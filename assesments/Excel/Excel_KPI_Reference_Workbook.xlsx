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Data" sheetId="2" state="visible" r:id="rId4"/>
    <sheet name="Data Profiling" sheetId="3" state="visible" r:id="rId5"/>
    <sheet name="AOV and Revenue per Hour" sheetId="4" state="visible" r:id="rId6"/>
    <sheet name="Pareto - Top Products" sheetId="5" state="visible" r:id="rId7"/>
    <sheet name="Revenue Foreca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<sst xmlns="http://schemas.openxmlformats.org/spreadsheetml/2006/main" count="21392" uniqueCount="1114">
  <si>
    <t xml:space="preserve">Advanced Excel for Analytics — Reference Workbook</t>
  </si>
  <si>
    <t xml:space="preserve">Sample OnlineRetail-style dataset + worked KPI/Pareto/forecast answers to check your own build against.</t>
  </si>
  <si>
    <t xml:space="preserve">WHAT'S ALREADY BUILT FOR YOU (open each tab):</t>
  </si>
  <si>
    <t xml:space="preserve">  • RawData — 5,314-row transaction table (Excel Table 'OnlineRetail'), with helper columns</t>
  </si>
  <si>
    <t xml:space="preserve">    LineRevenue, Hour, and IsFirstLineOfInvoice already added as live formulas.</t>
  </si>
  <si>
    <t xml:space="preserve">  • Data Profiling — COUNTBLANK/COUNTA formulas quantifying missing CustomerID &amp; Description,</t>
  </si>
  <si>
    <t xml:space="preserve">    matching what Power Query's Column Quality/Distribution view will show you.</t>
  </si>
  <si>
    <t xml:space="preserve">  • AOV and Revenue per Hour — hourly AOV and revenue-per-minute table, formula-driven</t>
  </si>
  <si>
    <t xml:space="preserve">    (SUMIFS/COUNTIFS), standing in for the PivotTable you'll build yourself.</t>
  </si>
  <si>
    <t xml:space="preserve">  • Pareto — Top Products — product revenue ranked, cumulative %, and a combo Pareto chart</t>
  </si>
  <si>
    <t xml:space="preserve">    (bars + cumulative-% line) built with real Excel chart objects.</t>
  </si>
  <si>
    <t xml:space="preserve">  • Revenue Forecast — 24 months of history plus TREND() formulas projecting the</t>
  </si>
  <si>
    <t xml:space="preserve">    next quarter, standing in for Analysis ToolPak's regression output.</t>
  </si>
  <si>
    <t xml:space="preserve">WHAT YOU STILL NEED TO BUILD BY HAND IN EXCEL (see the markdown steps you asked for):</t>
  </si>
  <si>
    <t xml:space="preserve">  • The actual Power Query 'Data Profiling' + 'Column Quality' steps (Section B1) — Power</t>
  </si>
  <si>
    <t xml:space="preserve">    Query queries can't be reliably authored outside the Excel UI, so this file gives you</t>
  </si>
  <si>
    <t xml:space="preserve">    formulas that reproduce the same numbers you'll get from Power Query.</t>
  </si>
  <si>
    <t xml:space="preserve">  • A real interactive PivotTable + PivotChart with slicers/timeline (Section B2) — openpyxl</t>
  </si>
  <si>
    <t xml:space="preserve">    cannot build a portable, click-to-filter native PivotTable, so use RawData as your</t>
  </si>
  <si>
    <t xml:space="preserve">    PivotTable source and follow the click-by-click steps.</t>
  </si>
  <si>
    <t xml:space="preserve">  • The Analysis ToolPak Regression/Exponential Smoothing dialog output (Section B4) — the</t>
  </si>
  <si>
    <t xml:space="preserve">    ToolPak is an Excel add-in dialog, not something a script can drive. TREND() on</t>
  </si>
  <si>
    <t xml:space="preserve">    the Revenue Forecast tab gives you the same underlying method (least-squares) to check</t>
  </si>
  <si>
    <t xml:space="preserve">    your ToolPak output against.</t>
  </si>
  <si>
    <t xml:space="preserve">COLOR LEGEND:</t>
  </si>
  <si>
    <t xml:space="preserve">  Blue text   = a value you type/change</t>
  </si>
  <si>
    <t xml:space="preserve">  Black text  = a live formula — don't overtype</t>
  </si>
  <si>
    <t xml:space="preserve">  Yellow fill = a cell worth double-checking / a key assumption</t>
  </si>
  <si>
    <t xml:space="preserve">InvoiceNo</t>
  </si>
  <si>
    <t xml:space="preserve">StockCode</t>
  </si>
  <si>
    <t xml:space="preserve">Description</t>
  </si>
  <si>
    <t xml:space="preserve">Quantity</t>
  </si>
  <si>
    <t xml:space="preserve">InvoiceDate</t>
  </si>
  <si>
    <t xml:space="preserve">UnitPrice</t>
  </si>
  <si>
    <t xml:space="preserve">CustomerID</t>
  </si>
  <si>
    <t xml:space="preserve">Country</t>
  </si>
  <si>
    <t xml:space="preserve">LineRevenue</t>
  </si>
  <si>
    <t xml:space="preserve">Hour</t>
  </si>
  <si>
    <t xml:space="preserve">IsFirstLineOfInvoice</t>
  </si>
  <si>
    <t xml:space="preserve">536530</t>
  </si>
  <si>
    <t xml:space="preserve">21071</t>
  </si>
  <si>
    <t xml:space="preserve">VINTAGE BILLBOARD DRINK ME MUG</t>
  </si>
  <si>
    <t xml:space="preserve">France</t>
  </si>
  <si>
    <t xml:space="preserve">22960</t>
  </si>
  <si>
    <t xml:space="preserve">JAM MAKING SET WITH JARS</t>
  </si>
  <si>
    <t xml:space="preserve">22150</t>
  </si>
  <si>
    <t xml:space="preserve">3 STRIPEY MICE FELTCRAFT</t>
  </si>
  <si>
    <t xml:space="preserve">22423</t>
  </si>
  <si>
    <t xml:space="preserve">REGENCY CAKESTAND 3 TIER</t>
  </si>
  <si>
    <t xml:space="preserve">536750</t>
  </si>
  <si>
    <t xml:space="preserve">21755</t>
  </si>
  <si>
    <t xml:space="preserve">LOVE BUILDING BLOCK WORD</t>
  </si>
  <si>
    <t xml:space="preserve">Portugal</t>
  </si>
  <si>
    <t xml:space="preserve">22910</t>
  </si>
  <si>
    <t xml:space="preserve">PAPER CHAIN KIT VINTAGE CHRISTMAS</t>
  </si>
  <si>
    <t xml:space="preserve">20727</t>
  </si>
  <si>
    <t xml:space="preserve">LUNCH BAG BLACK SKULL.</t>
  </si>
  <si>
    <t xml:space="preserve">21931</t>
  </si>
  <si>
    <t xml:space="preserve">JUMBO STORAGE BAG SUKI</t>
  </si>
  <si>
    <t xml:space="preserve">21212</t>
  </si>
  <si>
    <t xml:space="preserve">PACK OF 72 RETRO SPOT CAKE CASES</t>
  </si>
  <si>
    <t xml:space="preserve">20728</t>
  </si>
  <si>
    <t xml:space="preserve">LUNCH BAG CARS BLUE</t>
  </si>
  <si>
    <t xml:space="preserve">22633</t>
  </si>
  <si>
    <t xml:space="preserve">HAND WARMER UNION JACK</t>
  </si>
  <si>
    <t xml:space="preserve">22383</t>
  </si>
  <si>
    <t xml:space="preserve">LUNCH BAG SUKI DESIGN</t>
  </si>
  <si>
    <t xml:space="preserve">536555</t>
  </si>
  <si>
    <t xml:space="preserve">EIRE</t>
  </si>
  <si>
    <t xml:space="preserve">85099B</t>
  </si>
  <si>
    <t xml:space="preserve">JUMBO BAG RED RETROSPOT</t>
  </si>
  <si>
    <t xml:space="preserve">536424</t>
  </si>
  <si>
    <t xml:space="preserve">47566</t>
  </si>
  <si>
    <t xml:space="preserve">PARTY BUNTING</t>
  </si>
  <si>
    <t xml:space="preserve">United Kingdom</t>
  </si>
  <si>
    <t xml:space="preserve">84029E</t>
  </si>
  <si>
    <t xml:space="preserve">RED WOOLLY HOTTIE WHITE HEART</t>
  </si>
  <si>
    <t xml:space="preserve">22553</t>
  </si>
  <si>
    <t xml:space="preserve">PLASTERS IN TIN SKULLS</t>
  </si>
  <si>
    <t xml:space="preserve">71053</t>
  </si>
  <si>
    <t xml:space="preserve">WHITE METAL LANTERN</t>
  </si>
  <si>
    <t xml:space="preserve">22551</t>
  </si>
  <si>
    <t xml:space="preserve">PLASTERS IN TIN SPACEBOY</t>
  </si>
  <si>
    <t xml:space="preserve">22086</t>
  </si>
  <si>
    <t xml:space="preserve">PAPER CHAIN KIT 50'S CHRISTMAS</t>
  </si>
  <si>
    <t xml:space="preserve">537227</t>
  </si>
  <si>
    <t xml:space="preserve">21730</t>
  </si>
  <si>
    <t xml:space="preserve">GLASS STAR FROSTED T-LIGHT HOLDER</t>
  </si>
  <si>
    <t xml:space="preserve">84406B</t>
  </si>
  <si>
    <t xml:space="preserve">CREAM CUPID HEARTS COAT HANGER</t>
  </si>
  <si>
    <t xml:space="preserve">537138</t>
  </si>
  <si>
    <t xml:space="preserve">22752</t>
  </si>
  <si>
    <t xml:space="preserve">SET 7 BABUSHKA NESTING BOXES</t>
  </si>
  <si>
    <t xml:space="preserve">84879</t>
  </si>
  <si>
    <t xml:space="preserve">ASSORTED COLOUR BIRD ORNAMENT</t>
  </si>
  <si>
    <t xml:space="preserve">85123A</t>
  </si>
  <si>
    <t xml:space="preserve">WHITE HANGING HEART T-LIGHT HOLDER</t>
  </si>
  <si>
    <t xml:space="preserve">537306</t>
  </si>
  <si>
    <t xml:space="preserve">Netherlands</t>
  </si>
  <si>
    <t xml:space="preserve">21928</t>
  </si>
  <si>
    <t xml:space="preserve">JUMBO BAG SCANDINAVIAN BLUE PAISLEY</t>
  </si>
  <si>
    <t xml:space="preserve">C537247</t>
  </si>
  <si>
    <t xml:space="preserve">21625</t>
  </si>
  <si>
    <t xml:space="preserve">VINTAGE UNION JACK MEMOBOARD</t>
  </si>
  <si>
    <t xml:space="preserve">20725</t>
  </si>
  <si>
    <t xml:space="preserve">LUNCH BAG RED RETROSPOT</t>
  </si>
  <si>
    <t xml:space="preserve">536807</t>
  </si>
  <si>
    <t xml:space="preserve">22749</t>
  </si>
  <si>
    <t xml:space="preserve">FELTCRAFT PRINCESS CHARLOTTE DOLL</t>
  </si>
  <si>
    <t xml:space="preserve">22197</t>
  </si>
  <si>
    <t xml:space="preserve">SMALL POPCORN HOLDER</t>
  </si>
  <si>
    <t xml:space="preserve">536954</t>
  </si>
  <si>
    <t xml:space="preserve">536662</t>
  </si>
  <si>
    <t xml:space="preserve">Germany</t>
  </si>
  <si>
    <t xml:space="preserve">23203</t>
  </si>
  <si>
    <t xml:space="preserve">JUMBO BAG DOILEY PATTERNS</t>
  </si>
  <si>
    <t xml:space="preserve">22178</t>
  </si>
  <si>
    <t xml:space="preserve">VICTORIAN GLASS HANGING T-LIGHT</t>
  </si>
  <si>
    <t xml:space="preserve">23298</t>
  </si>
  <si>
    <t xml:space="preserve">SPOTTY BUNTING</t>
  </si>
  <si>
    <t xml:space="preserve">536833</t>
  </si>
  <si>
    <t xml:space="preserve">22745</t>
  </si>
  <si>
    <t xml:space="preserve">POPPY'S PLAYHOUSE BEDROOM</t>
  </si>
  <si>
    <t xml:space="preserve">536796</t>
  </si>
  <si>
    <t xml:space="preserve">536718</t>
  </si>
  <si>
    <t xml:space="preserve">22558</t>
  </si>
  <si>
    <t xml:space="preserve">CLOTHES PEGS RETROSPOT PACK 24</t>
  </si>
  <si>
    <t xml:space="preserve">22961</t>
  </si>
  <si>
    <t xml:space="preserve">JAM MAKING SET PRINTED</t>
  </si>
  <si>
    <t xml:space="preserve">537223</t>
  </si>
  <si>
    <t xml:space="preserve">536374</t>
  </si>
  <si>
    <t xml:space="preserve">84029G</t>
  </si>
  <si>
    <t xml:space="preserve">KNITTED UNION FLAG HOT WATER BOTTLE</t>
  </si>
  <si>
    <t xml:space="preserve">537120</t>
  </si>
  <si>
    <t xml:space="preserve">21754</t>
  </si>
  <si>
    <t xml:space="preserve">HOME BUILDING BLOCK WORD</t>
  </si>
  <si>
    <t xml:space="preserve">536538</t>
  </si>
  <si>
    <t xml:space="preserve">22748</t>
  </si>
  <si>
    <t xml:space="preserve">POPPY'S PLAYHOUSE KITCHEN</t>
  </si>
  <si>
    <t xml:space="preserve">536785</t>
  </si>
  <si>
    <t xml:space="preserve">21929</t>
  </si>
  <si>
    <t xml:space="preserve">JUMBO BAG PINK VINTAGE PAISLEY</t>
  </si>
  <si>
    <t xml:space="preserve">537303</t>
  </si>
  <si>
    <t xml:space="preserve">537025</t>
  </si>
  <si>
    <t xml:space="preserve">Italy</t>
  </si>
  <si>
    <t xml:space="preserve">22632</t>
  </si>
  <si>
    <t xml:space="preserve">HAND WARMER RED POLKA DOT</t>
  </si>
  <si>
    <t xml:space="preserve">536570</t>
  </si>
  <si>
    <t xml:space="preserve">536880</t>
  </si>
  <si>
    <t xml:space="preserve">536630</t>
  </si>
  <si>
    <t xml:space="preserve">537253</t>
  </si>
  <si>
    <t xml:space="preserve">Spain</t>
  </si>
  <si>
    <t xml:space="preserve">536759</t>
  </si>
  <si>
    <t xml:space="preserve">536827</t>
  </si>
  <si>
    <t xml:space="preserve">536681</t>
  </si>
  <si>
    <t xml:space="preserve">537083</t>
  </si>
  <si>
    <t xml:space="preserve">536789</t>
  </si>
  <si>
    <t xml:space="preserve">537169</t>
  </si>
  <si>
    <t xml:space="preserve">536988</t>
  </si>
  <si>
    <t xml:space="preserve">536433</t>
  </si>
  <si>
    <t xml:space="preserve">536366</t>
  </si>
  <si>
    <t xml:space="preserve">537094</t>
  </si>
  <si>
    <t xml:space="preserve">536956</t>
  </si>
  <si>
    <t xml:space="preserve">537037</t>
  </si>
  <si>
    <t xml:space="preserve">536605</t>
  </si>
  <si>
    <t xml:space="preserve">536819</t>
  </si>
  <si>
    <t xml:space="preserve">536406</t>
  </si>
  <si>
    <t xml:space="preserve">536892</t>
  </si>
  <si>
    <t xml:space="preserve">536653</t>
  </si>
  <si>
    <t xml:space="preserve">536783</t>
  </si>
  <si>
    <t xml:space="preserve">536867</t>
  </si>
  <si>
    <t xml:space="preserve">537021</t>
  </si>
  <si>
    <t xml:space="preserve">536596</t>
  </si>
  <si>
    <t xml:space="preserve">536934</t>
  </si>
  <si>
    <t xml:space="preserve">536675</t>
  </si>
  <si>
    <t xml:space="preserve">536638</t>
  </si>
  <si>
    <t xml:space="preserve">536581</t>
  </si>
  <si>
    <t xml:space="preserve">536428</t>
  </si>
  <si>
    <t xml:space="preserve">536733</t>
  </si>
  <si>
    <t xml:space="preserve">536810</t>
  </si>
  <si>
    <t xml:space="preserve">537091</t>
  </si>
  <si>
    <t xml:space="preserve">537127</t>
  </si>
  <si>
    <t xml:space="preserve">537042</t>
  </si>
  <si>
    <t xml:space="preserve">537077</t>
  </si>
  <si>
    <t xml:space="preserve">536633</t>
  </si>
  <si>
    <t xml:space="preserve">537125</t>
  </si>
  <si>
    <t xml:space="preserve">536608</t>
  </si>
  <si>
    <t xml:space="preserve">537228</t>
  </si>
  <si>
    <t xml:space="preserve">Belgium</t>
  </si>
  <si>
    <t xml:space="preserve">537151</t>
  </si>
  <si>
    <t xml:space="preserve">536610</t>
  </si>
  <si>
    <t xml:space="preserve">536613</t>
  </si>
  <si>
    <t xml:space="preserve">537308</t>
  </si>
  <si>
    <t xml:space="preserve">537029</t>
  </si>
  <si>
    <t xml:space="preserve">537146</t>
  </si>
  <si>
    <t xml:space="preserve">536404</t>
  </si>
  <si>
    <t xml:space="preserve">537050</t>
  </si>
  <si>
    <t xml:space="preserve">537132</t>
  </si>
  <si>
    <t xml:space="preserve">536729</t>
  </si>
  <si>
    <t xml:space="preserve">536680</t>
  </si>
  <si>
    <t xml:space="preserve">537166</t>
  </si>
  <si>
    <t xml:space="preserve">536500</t>
  </si>
  <si>
    <t xml:space="preserve">536427</t>
  </si>
  <si>
    <t xml:space="preserve">537185</t>
  </si>
  <si>
    <t xml:space="preserve">536446</t>
  </si>
  <si>
    <t xml:space="preserve">537176</t>
  </si>
  <si>
    <t xml:space="preserve">536449</t>
  </si>
  <si>
    <t xml:space="preserve">536871</t>
  </si>
  <si>
    <t xml:space="preserve">Switzerland</t>
  </si>
  <si>
    <t xml:space="preserve">C537072</t>
  </si>
  <si>
    <t xml:space="preserve">536693</t>
  </si>
  <si>
    <t xml:space="preserve">537016</t>
  </si>
  <si>
    <t xml:space="preserve">536642</t>
  </si>
  <si>
    <t xml:space="preserve">536368</t>
  </si>
  <si>
    <t xml:space="preserve">537045</t>
  </si>
  <si>
    <t xml:space="preserve">536910</t>
  </si>
  <si>
    <t xml:space="preserve">536975</t>
  </si>
  <si>
    <t xml:space="preserve">536603</t>
  </si>
  <si>
    <t xml:space="preserve">536865</t>
  </si>
  <si>
    <t xml:space="preserve">536645</t>
  </si>
  <si>
    <t xml:space="preserve">537177</t>
  </si>
  <si>
    <t xml:space="preserve">536860</t>
  </si>
  <si>
    <t xml:space="preserve">536967</t>
  </si>
  <si>
    <t xml:space="preserve">536769</t>
  </si>
  <si>
    <t xml:space="preserve">537000</t>
  </si>
  <si>
    <t xml:space="preserve">536619</t>
  </si>
  <si>
    <t xml:space="preserve">537259</t>
  </si>
  <si>
    <t xml:space="preserve">537114</t>
  </si>
  <si>
    <t xml:space="preserve">537153</t>
  </si>
  <si>
    <t xml:space="preserve">537278</t>
  </si>
  <si>
    <t xml:space="preserve">536655</t>
  </si>
  <si>
    <t xml:space="preserve">536485</t>
  </si>
  <si>
    <t xml:space="preserve">536385</t>
  </si>
  <si>
    <t xml:space="preserve">536854</t>
  </si>
  <si>
    <t xml:space="preserve">536525</t>
  </si>
  <si>
    <t xml:space="preserve">536689</t>
  </si>
  <si>
    <t xml:space="preserve">536629</t>
  </si>
  <si>
    <t xml:space="preserve">536597</t>
  </si>
  <si>
    <t xml:space="preserve">536793</t>
  </si>
  <si>
    <t xml:space="preserve">536872</t>
  </si>
  <si>
    <t xml:space="preserve">536542</t>
  </si>
  <si>
    <t xml:space="preserve">536890</t>
  </si>
  <si>
    <t xml:space="preserve">537313</t>
  </si>
  <si>
    <t xml:space="preserve">536814</t>
  </si>
  <si>
    <t xml:space="preserve">536599</t>
  </si>
  <si>
    <t xml:space="preserve">537096</t>
  </si>
  <si>
    <t xml:space="preserve">536863</t>
  </si>
  <si>
    <t xml:space="preserve">536463</t>
  </si>
  <si>
    <t xml:space="preserve">536818</t>
  </si>
  <si>
    <t xml:space="preserve">537224</t>
  </si>
  <si>
    <t xml:space="preserve">536755</t>
  </si>
  <si>
    <t xml:space="preserve">537304</t>
  </si>
  <si>
    <t xml:space="preserve">536395</t>
  </si>
  <si>
    <t xml:space="preserve">536757</t>
  </si>
  <si>
    <t xml:space="preserve">537145</t>
  </si>
  <si>
    <t xml:space="preserve">536611</t>
  </si>
  <si>
    <t xml:space="preserve">537295</t>
  </si>
  <si>
    <t xml:space="preserve">537121</t>
  </si>
  <si>
    <t xml:space="preserve">537008</t>
  </si>
  <si>
    <t xml:space="preserve">C536474</t>
  </si>
  <si>
    <t xml:space="preserve">536510</t>
  </si>
  <si>
    <t xml:space="preserve">536617</t>
  </si>
  <si>
    <t xml:space="preserve">536902</t>
  </si>
  <si>
    <t xml:space="preserve">Australia</t>
  </si>
  <si>
    <t xml:space="preserve">536771</t>
  </si>
  <si>
    <t xml:space="preserve">536631</t>
  </si>
  <si>
    <t xml:space="preserve">536791</t>
  </si>
  <si>
    <t xml:space="preserve">536547</t>
  </si>
  <si>
    <t xml:space="preserve">536741</t>
  </si>
  <si>
    <t xml:space="preserve">537261</t>
  </si>
  <si>
    <t xml:space="preserve">537300</t>
  </si>
  <si>
    <t xml:space="preserve">537143</t>
  </si>
  <si>
    <t xml:space="preserve">536855</t>
  </si>
  <si>
    <t xml:space="preserve">536550</t>
  </si>
  <si>
    <t xml:space="preserve">537131</t>
  </si>
  <si>
    <t xml:space="preserve">536701</t>
  </si>
  <si>
    <t xml:space="preserve">537053</t>
  </si>
  <si>
    <t xml:space="preserve">537163</t>
  </si>
  <si>
    <t xml:space="preserve">537242</t>
  </si>
  <si>
    <t xml:space="preserve">536763</t>
  </si>
  <si>
    <t xml:space="preserve">536643</t>
  </si>
  <si>
    <t xml:space="preserve">537087</t>
  </si>
  <si>
    <t xml:space="preserve">536520</t>
  </si>
  <si>
    <t xml:space="preserve">536588</t>
  </si>
  <si>
    <t xml:space="preserve">536711</t>
  </si>
  <si>
    <t xml:space="preserve">536667</t>
  </si>
  <si>
    <t xml:space="preserve">536495</t>
  </si>
  <si>
    <t xml:space="preserve">536844</t>
  </si>
  <si>
    <t xml:space="preserve">537231</t>
  </si>
  <si>
    <t xml:space="preserve">536761</t>
  </si>
  <si>
    <t xml:space="preserve">536590</t>
  </si>
  <si>
    <t xml:space="preserve">536920</t>
  </si>
  <si>
    <t xml:space="preserve">537178</t>
  </si>
  <si>
    <t xml:space="preserve">536448</t>
  </si>
  <si>
    <t xml:space="preserve">536984</t>
  </si>
  <si>
    <t xml:space="preserve">536585</t>
  </si>
  <si>
    <t xml:space="preserve">537014</t>
  </si>
  <si>
    <t xml:space="preserve">537258</t>
  </si>
  <si>
    <t xml:space="preserve">536561</t>
  </si>
  <si>
    <t xml:space="preserve">537076</t>
  </si>
  <si>
    <t xml:space="preserve">536809</t>
  </si>
  <si>
    <t xml:space="preserve">536968</t>
  </si>
  <si>
    <t xml:space="preserve">537222</t>
  </si>
  <si>
    <t xml:space="preserve">537155</t>
  </si>
  <si>
    <t xml:space="preserve">536486</t>
  </si>
  <si>
    <t xml:space="preserve">536826</t>
  </si>
  <si>
    <t xml:space="preserve">536802</t>
  </si>
  <si>
    <t xml:space="preserve">537277</t>
  </si>
  <si>
    <t xml:space="preserve">536519</t>
  </si>
  <si>
    <t xml:space="preserve">536942</t>
  </si>
  <si>
    <t xml:space="preserve">536505</t>
  </si>
  <si>
    <t xml:space="preserve">536410</t>
  </si>
  <si>
    <t xml:space="preserve">537066</t>
  </si>
  <si>
    <t xml:space="preserve">536924</t>
  </si>
  <si>
    <t xml:space="preserve">537034</t>
  </si>
  <si>
    <t xml:space="preserve">537285</t>
  </si>
  <si>
    <t xml:space="preserve">537266</t>
  </si>
  <si>
    <t xml:space="preserve">537188</t>
  </si>
  <si>
    <t xml:space="preserve">536493</t>
  </si>
  <si>
    <t xml:space="preserve">536758</t>
  </si>
  <si>
    <t xml:space="preserve">536489</t>
  </si>
  <si>
    <t xml:space="preserve">537157</t>
  </si>
  <si>
    <t xml:space="preserve">536841</t>
  </si>
  <si>
    <t xml:space="preserve">537013</t>
  </si>
  <si>
    <t xml:space="preserve">537060</t>
  </si>
  <si>
    <t xml:space="preserve">536714</t>
  </si>
  <si>
    <t xml:space="preserve">536754</t>
  </si>
  <si>
    <t xml:space="preserve">536445</t>
  </si>
  <si>
    <t xml:space="preserve">537183</t>
  </si>
  <si>
    <t xml:space="preserve">536476</t>
  </si>
  <si>
    <t xml:space="preserve">537225</t>
  </si>
  <si>
    <t xml:space="preserve">536722</t>
  </si>
  <si>
    <t xml:space="preserve">537079</t>
  </si>
  <si>
    <t xml:space="preserve">537067</t>
  </si>
  <si>
    <t xml:space="preserve">537302</t>
  </si>
  <si>
    <t xml:space="preserve">537020</t>
  </si>
  <si>
    <t xml:space="preserve">537293</t>
  </si>
  <si>
    <t xml:space="preserve">536909</t>
  </si>
  <si>
    <t xml:space="preserve">537290</t>
  </si>
  <si>
    <t xml:space="preserve">536669</t>
  </si>
  <si>
    <t xml:space="preserve">536422</t>
  </si>
  <si>
    <t xml:space="preserve">536804</t>
  </si>
  <si>
    <t xml:space="preserve">536808</t>
  </si>
  <si>
    <t xml:space="preserve">537144</t>
  </si>
  <si>
    <t xml:space="preserve">536852</t>
  </si>
  <si>
    <t xml:space="preserve">537181</t>
  </si>
  <si>
    <t xml:space="preserve">536450</t>
  </si>
  <si>
    <t xml:space="preserve">536787</t>
  </si>
  <si>
    <t xml:space="preserve">536652</t>
  </si>
  <si>
    <t xml:space="preserve">537191</t>
  </si>
  <si>
    <t xml:space="preserve">536594</t>
  </si>
  <si>
    <t xml:space="preserve">536383</t>
  </si>
  <si>
    <t xml:space="preserve">536766</t>
  </si>
  <si>
    <t xml:space="preserve">536584</t>
  </si>
  <si>
    <t xml:space="preserve">537237</t>
  </si>
  <si>
    <t xml:space="preserve">536557</t>
  </si>
  <si>
    <t xml:space="preserve">537270</t>
  </si>
  <si>
    <t xml:space="preserve">536935</t>
  </si>
  <si>
    <t xml:space="preserve">537264</t>
  </si>
  <si>
    <t xml:space="preserve">536992</t>
  </si>
  <si>
    <t xml:space="preserve">536875</t>
  </si>
  <si>
    <t xml:space="preserve">536730</t>
  </si>
  <si>
    <t xml:space="preserve">536475</t>
  </si>
  <si>
    <t xml:space="preserve">537251</t>
  </si>
  <si>
    <t xml:space="preserve">536764</t>
  </si>
  <si>
    <t xml:space="preserve">536459</t>
  </si>
  <si>
    <t xml:space="preserve">536622</t>
  </si>
  <si>
    <t xml:space="preserve">536702</t>
  </si>
  <si>
    <t xml:space="preserve">537024</t>
  </si>
  <si>
    <t xml:space="preserve">536941</t>
  </si>
  <si>
    <t xml:space="preserve">537204</t>
  </si>
  <si>
    <t xml:space="preserve">537100</t>
  </si>
  <si>
    <t xml:space="preserve">536672</t>
  </si>
  <si>
    <t xml:space="preserve">536864</t>
  </si>
  <si>
    <t xml:space="preserve">536497</t>
  </si>
  <si>
    <t xml:space="preserve">536823</t>
  </si>
  <si>
    <t xml:space="preserve">537246</t>
  </si>
  <si>
    <t xml:space="preserve">536471</t>
  </si>
  <si>
    <t xml:space="preserve">536460</t>
  </si>
  <si>
    <t xml:space="preserve">536953</t>
  </si>
  <si>
    <t xml:space="preserve">536516</t>
  </si>
  <si>
    <t xml:space="preserve">536749</t>
  </si>
  <si>
    <t xml:space="preserve">536634</t>
  </si>
  <si>
    <t xml:space="preserve">536994</t>
  </si>
  <si>
    <t xml:space="preserve">537254</t>
  </si>
  <si>
    <t xml:space="preserve">536545</t>
  </si>
  <si>
    <t xml:space="preserve">537117</t>
  </si>
  <si>
    <t xml:space="preserve">537071</t>
  </si>
  <si>
    <t xml:space="preserve">536830</t>
  </si>
  <si>
    <t xml:space="preserve">536912</t>
  </si>
  <si>
    <t xml:space="preserve">536965</t>
  </si>
  <si>
    <t xml:space="preserve">537159</t>
  </si>
  <si>
    <t xml:space="preserve">536370</t>
  </si>
  <si>
    <t xml:space="preserve">536908</t>
  </si>
  <si>
    <t xml:space="preserve">537161</t>
  </si>
  <si>
    <t xml:space="preserve">536884</t>
  </si>
  <si>
    <t xml:space="preserve">537196</t>
  </si>
  <si>
    <t xml:space="preserve">536859</t>
  </si>
  <si>
    <t xml:space="preserve">536548</t>
  </si>
  <si>
    <t xml:space="preserve">536420</t>
  </si>
  <si>
    <t xml:space="preserve">536426</t>
  </si>
  <si>
    <t xml:space="preserve">537189</t>
  </si>
  <si>
    <t xml:space="preserve">536392</t>
  </si>
  <si>
    <t xml:space="preserve">537296</t>
  </si>
  <si>
    <t xml:space="preserve">537162</t>
  </si>
  <si>
    <t xml:space="preserve">536778</t>
  </si>
  <si>
    <t xml:space="preserve">536973</t>
  </si>
  <si>
    <t xml:space="preserve">536508</t>
  </si>
  <si>
    <t xml:space="preserve">C537212</t>
  </si>
  <si>
    <t xml:space="preserve">536454</t>
  </si>
  <si>
    <t xml:space="preserve">536521</t>
  </si>
  <si>
    <t xml:space="preserve">536451</t>
  </si>
  <si>
    <t xml:space="preserve">536845</t>
  </si>
  <si>
    <t xml:space="preserve">537158</t>
  </si>
  <si>
    <t xml:space="preserve">536847</t>
  </si>
  <si>
    <t xml:space="preserve">536745</t>
  </si>
  <si>
    <t xml:space="preserve">536583</t>
  </si>
  <si>
    <t xml:space="preserve">536720</t>
  </si>
  <si>
    <t xml:space="preserve">536990</t>
  </si>
  <si>
    <t xml:space="preserve">536876</t>
  </si>
  <si>
    <t xml:space="preserve">536937</t>
  </si>
  <si>
    <t xml:space="preserve">536932</t>
  </si>
  <si>
    <t xml:space="preserve">537064</t>
  </si>
  <si>
    <t xml:space="preserve">536576</t>
  </si>
  <si>
    <t xml:space="preserve">536514</t>
  </si>
  <si>
    <t xml:space="preserve">536895</t>
  </si>
  <si>
    <t xml:space="preserve">537298</t>
  </si>
  <si>
    <t xml:space="preserve">536946</t>
  </si>
  <si>
    <t xml:space="preserve">536523</t>
  </si>
  <si>
    <t xml:space="preserve">537245</t>
  </si>
  <si>
    <t xml:space="preserve">536742</t>
  </si>
  <si>
    <t xml:space="preserve">536648</t>
  </si>
  <si>
    <t xml:space="preserve">537023</t>
  </si>
  <si>
    <t xml:space="preserve">537086</t>
  </si>
  <si>
    <t xml:space="preserve">536962</t>
  </si>
  <si>
    <t xml:space="preserve">537026</t>
  </si>
  <si>
    <t xml:space="preserve">536536</t>
  </si>
  <si>
    <t xml:space="preserve">536386</t>
  </si>
  <si>
    <t xml:space="preserve">536683</t>
  </si>
  <si>
    <t xml:space="preserve">536379</t>
  </si>
  <si>
    <t xml:space="preserve">536592</t>
  </si>
  <si>
    <t xml:space="preserve">537074</t>
  </si>
  <si>
    <t xml:space="preserve">537238</t>
  </si>
  <si>
    <t xml:space="preserve">536842</t>
  </si>
  <si>
    <t xml:space="preserve">C537311</t>
  </si>
  <si>
    <t xml:space="preserve">C537184</t>
  </si>
  <si>
    <t xml:space="preserve">536756</t>
  </si>
  <si>
    <t xml:space="preserve">537063</t>
  </si>
  <si>
    <t xml:space="preserve">536431</t>
  </si>
  <si>
    <t xml:space="preserve">536663</t>
  </si>
  <si>
    <t xml:space="preserve">536728</t>
  </si>
  <si>
    <t xml:space="preserve">536976</t>
  </si>
  <si>
    <t xml:space="preserve">536889</t>
  </si>
  <si>
    <t xml:space="preserve">536832</t>
  </si>
  <si>
    <t xml:space="preserve">537193</t>
  </si>
  <si>
    <t xml:space="preserve">536713</t>
  </si>
  <si>
    <t xml:space="preserve">536609</t>
  </si>
  <si>
    <t xml:space="preserve">536506</t>
  </si>
  <si>
    <t xml:space="preserve">537099</t>
  </si>
  <si>
    <t xml:space="preserve">536398</t>
  </si>
  <si>
    <t xml:space="preserve">537232</t>
  </si>
  <si>
    <t xml:space="preserve">536705</t>
  </si>
  <si>
    <t xml:space="preserve">537038</t>
  </si>
  <si>
    <t xml:space="preserve">536539</t>
  </si>
  <si>
    <t xml:space="preserve">536822</t>
  </si>
  <si>
    <t xml:space="preserve">536979</t>
  </si>
  <si>
    <t xml:space="preserve">C536481</t>
  </si>
  <si>
    <t xml:space="preserve">537055</t>
  </si>
  <si>
    <t xml:space="preserve">536885</t>
  </si>
  <si>
    <t xml:space="preserve">537284</t>
  </si>
  <si>
    <t xml:space="preserve">537069</t>
  </si>
  <si>
    <t xml:space="preserve">537033</t>
  </si>
  <si>
    <t xml:space="preserve">537165</t>
  </si>
  <si>
    <t xml:space="preserve">537208</t>
  </si>
  <si>
    <t xml:space="preserve">537260</t>
  </si>
  <si>
    <t xml:space="preserve">536898</t>
  </si>
  <si>
    <t xml:space="preserve">536948</t>
  </si>
  <si>
    <t xml:space="preserve">536805</t>
  </si>
  <si>
    <t xml:space="preserve">537171</t>
  </si>
  <si>
    <t xml:space="preserve">C536887</t>
  </si>
  <si>
    <t xml:space="preserve">536438</t>
  </si>
  <si>
    <t xml:space="preserve">536434</t>
  </si>
  <si>
    <t xml:space="preserve">536553</t>
  </si>
  <si>
    <t xml:space="preserve">536472</t>
  </si>
  <si>
    <t xml:space="preserve">536930</t>
  </si>
  <si>
    <t xml:space="preserve">536717</t>
  </si>
  <si>
    <t xml:space="preserve">536696</t>
  </si>
  <si>
    <t xml:space="preserve">537015</t>
  </si>
  <si>
    <t xml:space="preserve">536904</t>
  </si>
  <si>
    <t xml:space="preserve">537164</t>
  </si>
  <si>
    <t xml:space="preserve">536738</t>
  </si>
  <si>
    <t xml:space="preserve">536513</t>
  </si>
  <si>
    <t xml:space="preserve">537109</t>
  </si>
  <si>
    <t xml:space="preserve">537197</t>
  </si>
  <si>
    <t xml:space="preserve">537211</t>
  </si>
  <si>
    <t xml:space="preserve">537018</t>
  </si>
  <si>
    <t xml:space="preserve">536817</t>
  </si>
  <si>
    <t xml:space="preserve">537137</t>
  </si>
  <si>
    <t xml:space="preserve">536735</t>
  </si>
  <si>
    <t xml:space="preserve">536981</t>
  </si>
  <si>
    <t xml:space="preserve">537108</t>
  </si>
  <si>
    <t xml:space="preserve">536901</t>
  </si>
  <si>
    <t xml:space="preserve">C536843</t>
  </si>
  <si>
    <t xml:space="preserve">537051</t>
  </si>
  <si>
    <t xml:space="preserve">536866</t>
  </si>
  <si>
    <t xml:space="preserve">536621</t>
  </si>
  <si>
    <t xml:space="preserve">537126</t>
  </si>
  <si>
    <t xml:space="preserve">537229</t>
  </si>
  <si>
    <t xml:space="preserve">537030</t>
  </si>
  <si>
    <t xml:space="preserve">537249</t>
  </si>
  <si>
    <t xml:space="preserve">536665</t>
  </si>
  <si>
    <t xml:space="preserve">537084</t>
  </si>
  <si>
    <t xml:space="preserve">537186</t>
  </si>
  <si>
    <t xml:space="preserve">536499</t>
  </si>
  <si>
    <t xml:space="preserve">537267</t>
  </si>
  <si>
    <t xml:space="preserve">537262</t>
  </si>
  <si>
    <t xml:space="preserve">536604</t>
  </si>
  <si>
    <t xml:space="preserve">537057</t>
  </si>
  <si>
    <t xml:space="preserve">536721</t>
  </si>
  <si>
    <t xml:space="preserve">537090</t>
  </si>
  <si>
    <t xml:space="preserve">536571</t>
  </si>
  <si>
    <t xml:space="preserve">536480</t>
  </si>
  <si>
    <t xml:space="preserve">537294</t>
  </si>
  <si>
    <t xml:space="preserve">537297</t>
  </si>
  <si>
    <t xml:space="preserve">536601</t>
  </si>
  <si>
    <t xml:space="preserve">536821</t>
  </si>
  <si>
    <t xml:space="preserve">537129</t>
  </si>
  <si>
    <t xml:space="preserve">536794</t>
  </si>
  <si>
    <t xml:space="preserve">536944</t>
  </si>
  <si>
    <t xml:space="preserve">536503</t>
  </si>
  <si>
    <t xml:space="preserve">537110</t>
  </si>
  <si>
    <t xml:space="preserve">537287</t>
  </si>
  <si>
    <t xml:space="preserve">536743</t>
  </si>
  <si>
    <t xml:space="preserve">536896</t>
  </si>
  <si>
    <t xml:space="preserve">537156</t>
  </si>
  <si>
    <t xml:space="preserve">536746</t>
  </si>
  <si>
    <t xml:space="preserve">536393</t>
  </si>
  <si>
    <t xml:space="preserve">536479</t>
  </si>
  <si>
    <t xml:space="preserve">536507</t>
  </si>
  <si>
    <t xml:space="preserve">536795</t>
  </si>
  <si>
    <t xml:space="preserve">536752</t>
  </si>
  <si>
    <t xml:space="preserve">537001</t>
  </si>
  <si>
    <t xml:space="preserve">536899</t>
  </si>
  <si>
    <t xml:space="preserve">536688</t>
  </si>
  <si>
    <t xml:space="preserve">536724</t>
  </si>
  <si>
    <t xml:space="preserve">537113</t>
  </si>
  <si>
    <t xml:space="preserve">536784</t>
  </si>
  <si>
    <t xml:space="preserve">536423</t>
  </si>
  <si>
    <t xml:space="preserve">536469</t>
  </si>
  <si>
    <t xml:space="preserve">536532</t>
  </si>
  <si>
    <t xml:space="preserve">537003</t>
  </si>
  <si>
    <t xml:space="preserve">536744</t>
  </si>
  <si>
    <t xml:space="preserve">536995</t>
  </si>
  <si>
    <t xml:space="preserve">537170</t>
  </si>
  <si>
    <t xml:space="preserve">536664</t>
  </si>
  <si>
    <t xml:space="preserve">536829</t>
  </si>
  <si>
    <t xml:space="preserve">537283</t>
  </si>
  <si>
    <t xml:space="preserve">536582</t>
  </si>
  <si>
    <t xml:space="preserve">537312</t>
  </si>
  <si>
    <t xml:space="preserve">536511</t>
  </si>
  <si>
    <t xml:space="preserve">536835</t>
  </si>
  <si>
    <t xml:space="preserve">536820</t>
  </si>
  <si>
    <t xml:space="preserve">537124</t>
  </si>
  <si>
    <t xml:space="preserve">536857</t>
  </si>
  <si>
    <t xml:space="preserve">536400</t>
  </si>
  <si>
    <t xml:space="preserve">537092</t>
  </si>
  <si>
    <t xml:space="preserve">537039</t>
  </si>
  <si>
    <t xml:space="preserve">537101</t>
  </si>
  <si>
    <t xml:space="preserve">536888</t>
  </si>
  <si>
    <t xml:space="preserve">536938</t>
  </si>
  <si>
    <t xml:space="preserve">536824</t>
  </si>
  <si>
    <t xml:space="preserve">537272</t>
  </si>
  <si>
    <t xml:space="preserve">536986</t>
  </si>
  <si>
    <t xml:space="preserve">536397</t>
  </si>
  <si>
    <t xml:space="preserve">536639</t>
  </si>
  <si>
    <t xml:space="preserve">536661</t>
  </si>
  <si>
    <t xml:space="preserve">C537134</t>
  </si>
  <si>
    <t xml:space="preserve">536593</t>
  </si>
  <si>
    <t xml:space="preserve">537150</t>
  </si>
  <si>
    <t xml:space="preserve">536606</t>
  </si>
  <si>
    <t xml:space="preserve">536897</t>
  </si>
  <si>
    <t xml:space="preserve">536382</t>
  </si>
  <si>
    <t xml:space="preserve">536660</t>
  </si>
  <si>
    <t xml:space="preserve">536549</t>
  </si>
  <si>
    <t xml:space="preserve">537282</t>
  </si>
  <si>
    <t xml:space="preserve">536526</t>
  </si>
  <si>
    <t xml:space="preserve">536659</t>
  </si>
  <si>
    <t xml:space="preserve">537081</t>
  </si>
  <si>
    <t xml:space="preserve">537305</t>
  </si>
  <si>
    <t xml:space="preserve">536587</t>
  </si>
  <si>
    <t xml:space="preserve">537007</t>
  </si>
  <si>
    <t xml:space="preserve">537195</t>
  </si>
  <si>
    <t xml:space="preserve">536737</t>
  </si>
  <si>
    <t xml:space="preserve">536792</t>
  </si>
  <si>
    <t xml:space="preserve">537046</t>
  </si>
  <si>
    <t xml:space="preserve">536641</t>
  </si>
  <si>
    <t xml:space="preserve">536913</t>
  </si>
  <si>
    <t xml:space="preserve">536572</t>
  </si>
  <si>
    <t xml:space="preserve">536917</t>
  </si>
  <si>
    <t xml:space="preserve">537182</t>
  </si>
  <si>
    <t xml:space="preserve">536376</t>
  </si>
  <si>
    <t xml:space="preserve">536726</t>
  </si>
  <si>
    <t xml:space="preserve">536381</t>
  </si>
  <si>
    <t xml:space="preserve">536886</t>
  </si>
  <si>
    <t xml:space="preserve">536770</t>
  </si>
  <si>
    <t xml:space="preserve">536647</t>
  </si>
  <si>
    <t xml:space="preserve">536879</t>
  </si>
  <si>
    <t xml:space="preserve">536828</t>
  </si>
  <si>
    <t xml:space="preserve">536945</t>
  </si>
  <si>
    <t xml:space="preserve">537048</t>
  </si>
  <si>
    <t xml:space="preserve">536940</t>
  </si>
  <si>
    <t xml:space="preserve">536457</t>
  </si>
  <si>
    <t xml:space="preserve">537068</t>
  </si>
  <si>
    <t xml:space="preserve">536772</t>
  </si>
  <si>
    <t xml:space="preserve">536786</t>
  </si>
  <si>
    <t xml:space="preserve">536494</t>
  </si>
  <si>
    <t xml:space="preserve">537065</t>
  </si>
  <si>
    <t xml:space="preserve">536501</t>
  </si>
  <si>
    <t xml:space="preserve">536916</t>
  </si>
  <si>
    <t xml:space="preserve">536614</t>
  </si>
  <si>
    <t xml:space="preserve">537036</t>
  </si>
  <si>
    <t xml:space="preserve">536698</t>
  </si>
  <si>
    <t xml:space="preserve">536710</t>
  </si>
  <si>
    <t xml:space="preserve">536943</t>
  </si>
  <si>
    <t xml:space="preserve">536708</t>
  </si>
  <si>
    <t xml:space="preserve">537221</t>
  </si>
  <si>
    <t xml:space="preserve">536650</t>
  </si>
  <si>
    <t xml:space="preserve">536987</t>
  </si>
  <si>
    <t xml:space="preserve">537010</t>
  </si>
  <si>
    <t xml:space="preserve">536441</t>
  </si>
  <si>
    <t xml:space="preserve">537130</t>
  </si>
  <si>
    <t xml:space="preserve">536961</t>
  </si>
  <si>
    <t xml:space="preserve">536695</t>
  </si>
  <si>
    <t xml:space="preserve">536443</t>
  </si>
  <si>
    <t xml:space="preserve">536704</t>
  </si>
  <si>
    <t xml:space="preserve">537240</t>
  </si>
  <si>
    <t xml:space="preserve">536725</t>
  </si>
  <si>
    <t xml:space="preserve">537198</t>
  </si>
  <si>
    <t xml:space="preserve">536518</t>
  </si>
  <si>
    <t xml:space="preserve">537005</t>
  </si>
  <si>
    <t xml:space="preserve">536991</t>
  </si>
  <si>
    <t xml:space="preserve">537080</t>
  </si>
  <si>
    <t xml:space="preserve">536387</t>
  </si>
  <si>
    <t xml:space="preserve">536666</t>
  </si>
  <si>
    <t xml:space="preserve">537167</t>
  </si>
  <si>
    <t xml:space="preserve">537082</t>
  </si>
  <si>
    <t xml:space="preserve">537187</t>
  </si>
  <si>
    <t xml:space="preserve">536765</t>
  </si>
  <si>
    <t xml:space="preserve">536416</t>
  </si>
  <si>
    <t xml:space="preserve">536389</t>
  </si>
  <si>
    <t xml:space="preserve">536412</t>
  </si>
  <si>
    <t xml:space="preserve">536918</t>
  </si>
  <si>
    <t xml:space="preserve">536686</t>
  </si>
  <si>
    <t xml:space="preserve">537218</t>
  </si>
  <si>
    <t xml:space="preserve">537041</t>
  </si>
  <si>
    <t xml:space="preserve">537112</t>
  </si>
  <si>
    <t xml:space="preserve">537142</t>
  </si>
  <si>
    <t xml:space="preserve">536566</t>
  </si>
  <si>
    <t xml:space="preserve">536781</t>
  </si>
  <si>
    <t xml:space="preserve">536893</t>
  </si>
  <si>
    <t xml:space="preserve">536848</t>
  </si>
  <si>
    <t xml:space="preserve">537075</t>
  </si>
  <si>
    <t xml:space="preserve">536390</t>
  </si>
  <si>
    <t xml:space="preserve">536939</t>
  </si>
  <si>
    <t xml:space="preserve">536929</t>
  </si>
  <si>
    <t xml:space="preserve">536625</t>
  </si>
  <si>
    <t xml:space="preserve">536933</t>
  </si>
  <si>
    <t xml:space="preserve">537172</t>
  </si>
  <si>
    <t xml:space="preserve">537032</t>
  </si>
  <si>
    <t xml:space="preserve">536699</t>
  </si>
  <si>
    <t xml:space="preserve">536878</t>
  </si>
  <si>
    <t xml:space="preserve">536891</t>
  </si>
  <si>
    <t xml:space="preserve">536806</t>
  </si>
  <si>
    <t xml:space="preserve">536947</t>
  </si>
  <si>
    <t xml:space="preserve">536983</t>
  </si>
  <si>
    <t xml:space="preserve">536955</t>
  </si>
  <si>
    <t xml:space="preserve">536716</t>
  </si>
  <si>
    <t xml:space="preserve">536649</t>
  </si>
  <si>
    <t xml:space="preserve">536923</t>
  </si>
  <si>
    <t xml:space="preserve">536712</t>
  </si>
  <si>
    <t xml:space="preserve">536627</t>
  </si>
  <si>
    <t xml:space="preserve">536700</t>
  </si>
  <si>
    <t xml:space="preserve">536452</t>
  </si>
  <si>
    <t xml:space="preserve">536685</t>
  </si>
  <si>
    <t xml:space="preserve">536740</t>
  </si>
  <si>
    <t xml:space="preserve">537147</t>
  </si>
  <si>
    <t xml:space="preserve">536367</t>
  </si>
  <si>
    <t xml:space="preserve">536496</t>
  </si>
  <si>
    <t xml:space="preserve">536509</t>
  </si>
  <si>
    <t xml:space="preserve">536762</t>
  </si>
  <si>
    <t xml:space="preserve">536401</t>
  </si>
  <si>
    <t xml:space="preserve">536989</t>
  </si>
  <si>
    <t xml:space="preserve">536444</t>
  </si>
  <si>
    <t xml:space="preserve">537148</t>
  </si>
  <si>
    <t xml:space="preserve">536607</t>
  </si>
  <si>
    <t xml:space="preserve">536529</t>
  </si>
  <si>
    <t xml:space="preserve">537226</t>
  </si>
  <si>
    <t xml:space="preserve">536419</t>
  </si>
  <si>
    <t xml:space="preserve">536579</t>
  </si>
  <si>
    <t xml:space="preserve">536971</t>
  </si>
  <si>
    <t xml:space="preserve">536492</t>
  </si>
  <si>
    <t xml:space="preserve">536877</t>
  </si>
  <si>
    <t xml:space="preserve">536799</t>
  </si>
  <si>
    <t xml:space="preserve">536776</t>
  </si>
  <si>
    <t xml:space="preserve">536651</t>
  </si>
  <si>
    <t xml:space="preserve">536407</t>
  </si>
  <si>
    <t xml:space="preserve">537040</t>
  </si>
  <si>
    <t xml:space="preserve">537097</t>
  </si>
  <si>
    <t xml:space="preserve">536997</t>
  </si>
  <si>
    <t xml:space="preserve">537049</t>
  </si>
  <si>
    <t xml:space="preserve">536477</t>
  </si>
  <si>
    <t xml:space="preserve">536853</t>
  </si>
  <si>
    <t xml:space="preserve">536577</t>
  </si>
  <si>
    <t xml:space="preserve">536462</t>
  </si>
  <si>
    <t xml:space="preserve">536490</t>
  </si>
  <si>
    <t xml:space="preserve">536442</t>
  </si>
  <si>
    <t xml:space="preserve">537207</t>
  </si>
  <si>
    <t xml:space="preserve">537106</t>
  </si>
  <si>
    <t xml:space="preserve">537107</t>
  </si>
  <si>
    <t xml:space="preserve">537276</t>
  </si>
  <si>
    <t xml:space="preserve">537192</t>
  </si>
  <si>
    <t xml:space="preserve">537268</t>
  </si>
  <si>
    <t xml:space="preserve">537209</t>
  </si>
  <si>
    <t xml:space="preserve">537044</t>
  </si>
  <si>
    <t xml:space="preserve">536919</t>
  </si>
  <si>
    <t xml:space="preserve">536482</t>
  </si>
  <si>
    <t xml:space="preserve">536926</t>
  </si>
  <si>
    <t xml:space="preserve">536964</t>
  </si>
  <si>
    <t xml:space="preserve">537179</t>
  </si>
  <si>
    <t xml:space="preserve">537250</t>
  </si>
  <si>
    <t xml:space="preserve">537105</t>
  </si>
  <si>
    <t xml:space="preserve">536736</t>
  </si>
  <si>
    <t xml:space="preserve">536959</t>
  </si>
  <si>
    <t xml:space="preserve">536677</t>
  </si>
  <si>
    <t xml:space="preserve">537200</t>
  </si>
  <si>
    <t xml:space="preserve">537315</t>
  </si>
  <si>
    <t xml:space="preserve">536960</t>
  </si>
  <si>
    <t xml:space="preserve">536408</t>
  </si>
  <si>
    <t xml:space="preserve">537275</t>
  </si>
  <si>
    <t xml:space="preserve">536798</t>
  </si>
  <si>
    <t xml:space="preserve">536504</t>
  </si>
  <si>
    <t xml:space="preserve">536719</t>
  </si>
  <si>
    <t xml:space="preserve">C536668</t>
  </si>
  <si>
    <t xml:space="preserve">536468</t>
  </si>
  <si>
    <t xml:space="preserve">536950</t>
  </si>
  <si>
    <t xml:space="preserve">C537019</t>
  </si>
  <si>
    <t xml:space="preserve">537149</t>
  </si>
  <si>
    <t xml:space="preserve">537310</t>
  </si>
  <si>
    <t xml:space="preserve">537002</t>
  </si>
  <si>
    <t xml:space="preserve">537286</t>
  </si>
  <si>
    <t xml:space="preserve">536831</t>
  </si>
  <si>
    <t xml:space="preserve">536815</t>
  </si>
  <si>
    <t xml:space="preserve">537243</t>
  </si>
  <si>
    <t xml:space="preserve">536982</t>
  </si>
  <si>
    <t xml:space="preserve">537085</t>
  </si>
  <si>
    <t xml:space="preserve">537214</t>
  </si>
  <si>
    <t xml:space="preserve">536369</t>
  </si>
  <si>
    <t xml:space="preserve">536694</t>
  </si>
  <si>
    <t xml:space="preserve">536540</t>
  </si>
  <si>
    <t xml:space="preserve">537135</t>
  </si>
  <si>
    <t xml:space="preserve">536838</t>
  </si>
  <si>
    <t xml:space="preserve">536739</t>
  </si>
  <si>
    <t xml:space="preserve">537217</t>
  </si>
  <si>
    <t xml:space="preserve">537028</t>
  </si>
  <si>
    <t xml:space="preserve">537194</t>
  </si>
  <si>
    <t xml:space="preserve">536849</t>
  </si>
  <si>
    <t xml:space="preserve">537122</t>
  </si>
  <si>
    <t xml:space="preserve">536874</t>
  </si>
  <si>
    <t xml:space="preserve">537141</t>
  </si>
  <si>
    <t xml:space="preserve">536616</t>
  </si>
  <si>
    <t xml:space="preserve">536715</t>
  </si>
  <si>
    <t xml:space="preserve">536498</t>
  </si>
  <si>
    <t xml:space="preserve">536996</t>
  </si>
  <si>
    <t xml:space="preserve">536882</t>
  </si>
  <si>
    <t xml:space="preserve">536782</t>
  </si>
  <si>
    <t xml:space="preserve">536883</t>
  </si>
  <si>
    <t xml:space="preserve">537031</t>
  </si>
  <si>
    <t xml:space="preserve">536691</t>
  </si>
  <si>
    <t xml:space="preserve">536812</t>
  </si>
  <si>
    <t xml:space="preserve">536558</t>
  </si>
  <si>
    <t xml:space="preserve">537136</t>
  </si>
  <si>
    <t xml:space="preserve">536928</t>
  </si>
  <si>
    <t xml:space="preserve">536703</t>
  </si>
  <si>
    <t xml:space="preserve">537089</t>
  </si>
  <si>
    <t xml:space="preserve">537288</t>
  </si>
  <si>
    <t xml:space="preserve">536384</t>
  </si>
  <si>
    <t xml:space="preserve">537059</t>
  </si>
  <si>
    <t xml:space="preserve">536600</t>
  </si>
  <si>
    <t xml:space="preserve">536524</t>
  </si>
  <si>
    <t xml:space="preserve">537116</t>
  </si>
  <si>
    <t xml:space="preserve">536958</t>
  </si>
  <si>
    <t xml:space="preserve">537154</t>
  </si>
  <si>
    <t xml:space="preserve">536676</t>
  </si>
  <si>
    <t xml:space="preserve">536980</t>
  </si>
  <si>
    <t xml:space="preserve">536656</t>
  </si>
  <si>
    <t xml:space="preserve">537088</t>
  </si>
  <si>
    <t xml:space="preserve">536464</t>
  </si>
  <si>
    <t xml:space="preserve">536836</t>
  </si>
  <si>
    <t xml:space="preserve">536578</t>
  </si>
  <si>
    <t xml:space="preserve">536429</t>
  </si>
  <si>
    <t xml:space="preserve">536522</t>
  </si>
  <si>
    <t xml:space="preserve">536706</t>
  </si>
  <si>
    <t xml:space="preserve">537273</t>
  </si>
  <si>
    <t xml:space="preserve">537279</t>
  </si>
  <si>
    <t xml:space="preserve">536775</t>
  </si>
  <si>
    <t xml:space="preserve">536977</t>
  </si>
  <si>
    <t xml:space="preserve">537248</t>
  </si>
  <si>
    <t xml:space="preserve">536869</t>
  </si>
  <si>
    <t xml:space="preserve">537230</t>
  </si>
  <si>
    <t xml:space="preserve">537006</t>
  </si>
  <si>
    <t xml:space="preserve">537168</t>
  </si>
  <si>
    <t xml:space="preserve">536654</t>
  </si>
  <si>
    <t xml:space="preserve">536595</t>
  </si>
  <si>
    <t xml:space="preserve">536580</t>
  </si>
  <si>
    <t xml:space="preserve">536623</t>
  </si>
  <si>
    <t xml:space="preserve">536999</t>
  </si>
  <si>
    <t xml:space="preserve">536974</t>
  </si>
  <si>
    <t xml:space="preserve">537139</t>
  </si>
  <si>
    <t xml:space="preserve">536439</t>
  </si>
  <si>
    <t xml:space="preserve">537190</t>
  </si>
  <si>
    <t xml:space="preserve">537140</t>
  </si>
  <si>
    <t xml:space="preserve">536403</t>
  </si>
  <si>
    <t xml:space="preserve">536768</t>
  </si>
  <si>
    <t xml:space="preserve">536560</t>
  </si>
  <si>
    <t xml:space="preserve">536618</t>
  </si>
  <si>
    <t xml:space="preserve">536861</t>
  </si>
  <si>
    <t xml:space="preserve">536465</t>
  </si>
  <si>
    <t xml:space="preserve">537263</t>
  </si>
  <si>
    <t xml:space="preserve">536430</t>
  </si>
  <si>
    <t xml:space="preserve">536636</t>
  </si>
  <si>
    <t xml:space="preserve">536405</t>
  </si>
  <si>
    <t xml:space="preserve">536425</t>
  </si>
  <si>
    <t xml:space="preserve">536554</t>
  </si>
  <si>
    <t xml:space="preserve">537052</t>
  </si>
  <si>
    <t xml:space="preserve">536589</t>
  </si>
  <si>
    <t xml:space="preserve">537301</t>
  </si>
  <si>
    <t xml:space="preserve">536747</t>
  </si>
  <si>
    <t xml:space="preserve">C536678</t>
  </si>
  <si>
    <t xml:space="preserve">537215</t>
  </si>
  <si>
    <t xml:space="preserve">536767</t>
  </si>
  <si>
    <t xml:space="preserve">536723</t>
  </si>
  <si>
    <t xml:space="preserve">536637</t>
  </si>
  <si>
    <t xml:space="preserve">C536478</t>
  </si>
  <si>
    <t xml:space="preserve">537241</t>
  </si>
  <si>
    <t xml:space="preserve">536674</t>
  </si>
  <si>
    <t xml:space="preserve">536586</t>
  </si>
  <si>
    <t xml:space="preserve">536658</t>
  </si>
  <si>
    <t xml:space="preserve">537175</t>
  </si>
  <si>
    <t xml:space="preserve">536731</t>
  </si>
  <si>
    <t xml:space="preserve">536394</t>
  </si>
  <si>
    <t xml:space="preserve">536440</t>
  </si>
  <si>
    <t xml:space="preserve">536575</t>
  </si>
  <si>
    <t xml:space="preserve">536568</t>
  </si>
  <si>
    <t xml:space="preserve">536491</t>
  </si>
  <si>
    <t xml:space="preserve">537073</t>
  </si>
  <si>
    <t xml:space="preserve">536780</t>
  </si>
  <si>
    <t xml:space="preserve">536534</t>
  </si>
  <si>
    <t xml:space="preserve">536753</t>
  </si>
  <si>
    <t xml:space="preserve">536993</t>
  </si>
  <si>
    <t xml:space="preserve">536591</t>
  </si>
  <si>
    <t xml:space="preserve">536931</t>
  </si>
  <si>
    <t xml:space="preserve">536825</t>
  </si>
  <si>
    <t xml:space="preserve">537255</t>
  </si>
  <si>
    <t xml:space="preserve">536985</t>
  </si>
  <si>
    <t xml:space="preserve">536687</t>
  </si>
  <si>
    <t xml:space="preserve">536790</t>
  </si>
  <si>
    <t xml:space="preserve">536612</t>
  </si>
  <si>
    <t xml:space="preserve">537239</t>
  </si>
  <si>
    <t xml:space="preserve">537280</t>
  </si>
  <si>
    <t xml:space="preserve">536801</t>
  </si>
  <si>
    <t xml:space="preserve">536461</t>
  </si>
  <si>
    <t xml:space="preserve">536473</t>
  </si>
  <si>
    <t xml:space="preserve">537201</t>
  </si>
  <si>
    <t xml:space="preserve">537274</t>
  </si>
  <si>
    <t xml:space="preserve">536564</t>
  </si>
  <si>
    <t xml:space="preserve">536418</t>
  </si>
  <si>
    <t xml:space="preserve">536903</t>
  </si>
  <si>
    <t xml:space="preserve">537180</t>
  </si>
  <si>
    <t xml:space="preserve">536846</t>
  </si>
  <si>
    <t xml:space="preserve">537095</t>
  </si>
  <si>
    <t xml:space="preserve">536435</t>
  </si>
  <si>
    <t xml:space="preserve">536537</t>
  </si>
  <si>
    <t xml:space="preserve">536375</t>
  </si>
  <si>
    <t xml:space="preserve">537216</t>
  </si>
  <si>
    <t xml:space="preserve">536414</t>
  </si>
  <si>
    <t xml:space="preserve">537314</t>
  </si>
  <si>
    <t xml:space="preserve">537220</t>
  </si>
  <si>
    <t xml:space="preserve">536380</t>
  </si>
  <si>
    <t xml:space="preserve">537206</t>
  </si>
  <si>
    <t xml:space="preserve">536515</t>
  </si>
  <si>
    <t xml:space="preserve">537118</t>
  </si>
  <si>
    <t xml:space="preserve">536839</t>
  </si>
  <si>
    <t xml:space="preserve">537160</t>
  </si>
  <si>
    <t xml:space="preserve">536870</t>
  </si>
  <si>
    <t xml:space="preserve">537309</t>
  </si>
  <si>
    <t xml:space="preserve">536391</t>
  </si>
  <si>
    <t xml:space="preserve">536670</t>
  </si>
  <si>
    <t xml:space="preserve">537252</t>
  </si>
  <si>
    <t xml:space="preserve">537061</t>
  </si>
  <si>
    <t xml:space="preserve">536858</t>
  </si>
  <si>
    <t xml:space="preserve">537199</t>
  </si>
  <si>
    <t xml:space="preserve">536966</t>
  </si>
  <si>
    <t xml:space="preserve">537173</t>
  </si>
  <si>
    <t xml:space="preserve">536732</t>
  </si>
  <si>
    <t xml:space="preserve">537152</t>
  </si>
  <si>
    <t xml:space="preserve">536851</t>
  </si>
  <si>
    <t xml:space="preserve">537115</t>
  </si>
  <si>
    <t xml:space="preserve">537102</t>
  </si>
  <si>
    <t xml:space="preserve">536467</t>
  </si>
  <si>
    <t xml:space="preserve">536894</t>
  </si>
  <si>
    <t xml:space="preserve">536915</t>
  </si>
  <si>
    <t xml:space="preserve">536906</t>
  </si>
  <si>
    <t xml:space="preserve">537004</t>
  </si>
  <si>
    <t xml:space="preserve">536682</t>
  </si>
  <si>
    <t xml:space="preserve">536402</t>
  </si>
  <si>
    <t xml:space="preserve">536437</t>
  </si>
  <si>
    <t xml:space="preserve">536528</t>
  </si>
  <si>
    <t xml:space="preserve">536483</t>
  </si>
  <si>
    <t xml:space="preserve">536567</t>
  </si>
  <si>
    <t xml:space="preserve">536535</t>
  </si>
  <si>
    <t xml:space="preserve">536774</t>
  </si>
  <si>
    <t xml:space="preserve">536458</t>
  </si>
  <si>
    <t xml:space="preserve">536399</t>
  </si>
  <si>
    <t xml:space="preserve">536834</t>
  </si>
  <si>
    <t xml:space="preserve">536378</t>
  </si>
  <si>
    <t xml:space="preserve">537009</t>
  </si>
  <si>
    <t xml:space="preserve">536371</t>
  </si>
  <si>
    <t xml:space="preserve">536436</t>
  </si>
  <si>
    <t xml:space="preserve">536969</t>
  </si>
  <si>
    <t xml:space="preserve">537098</t>
  </si>
  <si>
    <t xml:space="preserve">C536640</t>
  </si>
  <si>
    <t xml:space="preserve">536377</t>
  </si>
  <si>
    <t xml:space="preserve">537265</t>
  </si>
  <si>
    <t xml:space="preserve">536811</t>
  </si>
  <si>
    <t xml:space="preserve">536541</t>
  </si>
  <si>
    <t xml:space="preserve">536531</t>
  </si>
  <si>
    <t xml:space="preserve">536813</t>
  </si>
  <si>
    <t xml:space="preserve">536914</t>
  </si>
  <si>
    <t xml:space="preserve">537123</t>
  </si>
  <si>
    <t xml:space="preserve">536684</t>
  </si>
  <si>
    <t xml:space="preserve">536951</t>
  </si>
  <si>
    <t xml:space="preserve">536840</t>
  </si>
  <si>
    <t xml:space="preserve">536922</t>
  </si>
  <si>
    <t xml:space="preserve">536527</t>
  </si>
  <si>
    <t xml:space="preserve">536543</t>
  </si>
  <si>
    <t xml:space="preserve">537289</t>
  </si>
  <si>
    <t xml:space="preserve">537070</t>
  </si>
  <si>
    <t xml:space="preserve">537119</t>
  </si>
  <si>
    <t xml:space="preserve">537022</t>
  </si>
  <si>
    <t xml:space="preserve">536487</t>
  </si>
  <si>
    <t xml:space="preserve">537058</t>
  </si>
  <si>
    <t xml:space="preserve">536626</t>
  </si>
  <si>
    <t xml:space="preserve">536952</t>
  </si>
  <si>
    <t xml:space="preserve">537210</t>
  </si>
  <si>
    <t xml:space="preserve">536957</t>
  </si>
  <si>
    <t xml:space="preserve">537093</t>
  </si>
  <si>
    <t xml:space="preserve">536881</t>
  </si>
  <si>
    <t xml:space="preserve">537043</t>
  </si>
  <si>
    <t xml:space="preserve">536413</t>
  </si>
  <si>
    <t xml:space="preserve">536816</t>
  </si>
  <si>
    <t xml:space="preserve">536905</t>
  </si>
  <si>
    <t xml:space="preserve">536628</t>
  </si>
  <si>
    <t xml:space="preserve">536911</t>
  </si>
  <si>
    <t xml:space="preserve">537047</t>
  </si>
  <si>
    <t xml:space="preserve">536502</t>
  </si>
  <si>
    <t xml:space="preserve">537244</t>
  </si>
  <si>
    <t xml:space="preserve">536727</t>
  </si>
  <si>
    <t xml:space="preserve">536777</t>
  </si>
  <si>
    <t xml:space="preserve">537062</t>
  </si>
  <si>
    <t xml:space="preserve">536598</t>
  </si>
  <si>
    <t xml:space="preserve">537104</t>
  </si>
  <si>
    <t xml:space="preserve">536372</t>
  </si>
  <si>
    <t xml:space="preserve">536415</t>
  </si>
  <si>
    <t xml:space="preserve">536546</t>
  </si>
  <si>
    <t xml:space="preserve">537078</t>
  </si>
  <si>
    <t xml:space="preserve">537236</t>
  </si>
  <si>
    <t xml:space="preserve">536936</t>
  </si>
  <si>
    <t xml:space="preserve">536760</t>
  </si>
  <si>
    <t xml:space="preserve">536797</t>
  </si>
  <si>
    <t xml:space="preserve">536868</t>
  </si>
  <si>
    <t xml:space="preserve">536803</t>
  </si>
  <si>
    <t xml:space="preserve">537269</t>
  </si>
  <si>
    <t xml:space="preserve">536679</t>
  </si>
  <si>
    <t xml:space="preserve">537307</t>
  </si>
  <si>
    <t xml:space="preserve">536673</t>
  </si>
  <si>
    <t xml:space="preserve">536517</t>
  </si>
  <si>
    <t xml:space="preserve">537011</t>
  </si>
  <si>
    <t xml:space="preserve">537203</t>
  </si>
  <si>
    <t xml:space="preserve">536788</t>
  </si>
  <si>
    <t xml:space="preserve">537291</t>
  </si>
  <si>
    <t xml:space="preserve">536544</t>
  </si>
  <si>
    <t xml:space="preserve">537281</t>
  </si>
  <si>
    <t xml:space="preserve">537054</t>
  </si>
  <si>
    <t xml:space="preserve">536907</t>
  </si>
  <si>
    <t xml:space="preserve">537219</t>
  </si>
  <si>
    <t xml:space="preserve">536800</t>
  </si>
  <si>
    <t xml:space="preserve">537213</t>
  </si>
  <si>
    <t xml:space="preserve">537103</t>
  </si>
  <si>
    <t xml:space="preserve">536972</t>
  </si>
  <si>
    <t xml:space="preserve">537128</t>
  </si>
  <si>
    <t xml:space="preserve">536409</t>
  </si>
  <si>
    <t xml:space="preserve">536559</t>
  </si>
  <si>
    <t xml:space="preserve">536862</t>
  </si>
  <si>
    <t xml:space="preserve">537202</t>
  </si>
  <si>
    <t xml:space="preserve">536565</t>
  </si>
  <si>
    <t xml:space="preserve">536748</t>
  </si>
  <si>
    <t xml:space="preserve">536624</t>
  </si>
  <si>
    <t xml:space="preserve">537035</t>
  </si>
  <si>
    <t xml:space="preserve">537174</t>
  </si>
  <si>
    <t xml:space="preserve">536432</t>
  </si>
  <si>
    <t xml:space="preserve">536552</t>
  </si>
  <si>
    <t xml:space="preserve">536734</t>
  </si>
  <si>
    <t xml:space="preserve">536837</t>
  </si>
  <si>
    <t xml:space="preserve">536921</t>
  </si>
  <si>
    <t xml:space="preserve">537012</t>
  </si>
  <si>
    <t xml:space="preserve">C536998</t>
  </si>
  <si>
    <t xml:space="preserve">536925</t>
  </si>
  <si>
    <t xml:space="preserve">536856</t>
  </si>
  <si>
    <t xml:space="preserve">536466</t>
  </si>
  <si>
    <t xml:space="preserve">536632</t>
  </si>
  <si>
    <t xml:space="preserve">536470</t>
  </si>
  <si>
    <t xml:space="preserve">537234</t>
  </si>
  <si>
    <t xml:space="preserve">536978</t>
  </si>
  <si>
    <t xml:space="preserve">537235</t>
  </si>
  <si>
    <t xml:space="preserve">536692</t>
  </si>
  <si>
    <t xml:space="preserve">536562</t>
  </si>
  <si>
    <t xml:space="preserve">537205</t>
  </si>
  <si>
    <t xml:space="preserve">536671</t>
  </si>
  <si>
    <t xml:space="preserve">536927</t>
  </si>
  <si>
    <t xml:space="preserve">536963</t>
  </si>
  <si>
    <t xml:space="preserve">536512</t>
  </si>
  <si>
    <t xml:space="preserve">536388</t>
  </si>
  <si>
    <t xml:space="preserve">536411</t>
  </si>
  <si>
    <t xml:space="preserve">536421</t>
  </si>
  <si>
    <t xml:space="preserve">537111</t>
  </si>
  <si>
    <t xml:space="preserve">536697</t>
  </si>
  <si>
    <t xml:space="preserve">537257</t>
  </si>
  <si>
    <t xml:space="preserve">536779</t>
  </si>
  <si>
    <t xml:space="preserve">536417</t>
  </si>
  <si>
    <t xml:space="preserve">537056</t>
  </si>
  <si>
    <t xml:space="preserve">536533</t>
  </si>
  <si>
    <t xml:space="preserve">536873</t>
  </si>
  <si>
    <t xml:space="preserve">536707</t>
  </si>
  <si>
    <t xml:space="preserve">537256</t>
  </si>
  <si>
    <t xml:space="preserve">536488</t>
  </si>
  <si>
    <t xml:space="preserve">537027</t>
  </si>
  <si>
    <t xml:space="preserve">536453</t>
  </si>
  <si>
    <t xml:space="preserve">536620</t>
  </si>
  <si>
    <t xml:space="preserve">536573</t>
  </si>
  <si>
    <t xml:space="preserve">536690</t>
  </si>
  <si>
    <t xml:space="preserve">536751</t>
  </si>
  <si>
    <t xml:space="preserve">536615</t>
  </si>
  <si>
    <t xml:space="preserve">537299</t>
  </si>
  <si>
    <t xml:space="preserve">536396</t>
  </si>
  <si>
    <t xml:space="preserve">536644</t>
  </si>
  <si>
    <t xml:space="preserve">536563</t>
  </si>
  <si>
    <t xml:space="preserve">536484</t>
  </si>
  <si>
    <t xml:space="preserve">537233</t>
  </si>
  <si>
    <t xml:space="preserve">536970</t>
  </si>
  <si>
    <t xml:space="preserve">536773</t>
  </si>
  <si>
    <t xml:space="preserve">536574</t>
  </si>
  <si>
    <t xml:space="preserve">536551</t>
  </si>
  <si>
    <t xml:space="preserve">536949</t>
  </si>
  <si>
    <t xml:space="preserve">536900</t>
  </si>
  <si>
    <t xml:space="preserve">536602</t>
  </si>
  <si>
    <t xml:space="preserve">537017</t>
  </si>
  <si>
    <t xml:space="preserve">536850</t>
  </si>
  <si>
    <t xml:space="preserve">537271</t>
  </si>
  <si>
    <t xml:space="preserve">536646</t>
  </si>
  <si>
    <t xml:space="preserve">536635</t>
  </si>
  <si>
    <t xml:space="preserve">537133</t>
  </si>
  <si>
    <t xml:space="preserve">536447</t>
  </si>
  <si>
    <t xml:space="preserve">536709</t>
  </si>
  <si>
    <t xml:space="preserve">536456</t>
  </si>
  <si>
    <t xml:space="preserve">536373</t>
  </si>
  <si>
    <t xml:space="preserve">536657</t>
  </si>
  <si>
    <t xml:space="preserve">536556</t>
  </si>
  <si>
    <t xml:space="preserve">536569</t>
  </si>
  <si>
    <t xml:space="preserve">537292</t>
  </si>
  <si>
    <t xml:space="preserve">536455</t>
  </si>
  <si>
    <t xml:space="preserve">Data Profiling — Missing Value Impact on KPI Accuracy</t>
  </si>
  <si>
    <t xml:space="preserve">Mirrors what Power Query's Column Quality / Column Distribution panes report for these two columns.</t>
  </si>
  <si>
    <t xml:space="preserve">Column</t>
  </si>
  <si>
    <t xml:space="preserve">Total Rows</t>
  </si>
  <si>
    <t xml:space="preserve">Non-Blank Count</t>
  </si>
  <si>
    <t xml:space="preserve">Missing Count</t>
  </si>
  <si>
    <t xml:space="preserve">% Missing</t>
  </si>
  <si>
    <t xml:space="preserve">KPI Impact</t>
  </si>
  <si>
    <t xml:space="preserve">Rows with no CustomerID can't be attributed to a customer, so Customer Repeat Rate and any cohort/RFM analysis will understate true repeat behaviour.</t>
  </si>
  <si>
    <t xml:space="preserve">Rows with no Description still carry valid Quantity/UnitPrice, so revenue KPIs (AOV, Revenue/Minute) are unaffected, but product-level KPIs (Pareto, top-seller reports) undercount that item.</t>
  </si>
  <si>
    <t xml:space="preserve">AOV and Revenue per Minute, by Hour of Day</t>
  </si>
  <si>
    <t xml:space="preserve">Stand-in for the multi-layered PivotTable — build the real PivotTable from RawData using the steps in your notes.</t>
  </si>
  <si>
    <t xml:space="preserve">Hour (24h)</t>
  </si>
  <si>
    <t xml:space="preserve">Orders (unique invoices)</t>
  </si>
  <si>
    <t xml:space="preserve">Revenue (£)</t>
  </si>
  <si>
    <t xml:space="preserve">AOV (£)</t>
  </si>
  <si>
    <t xml:space="preserve">Revenue per Minute (£)</t>
  </si>
  <si>
    <t xml:space="preserve">Overall AOV (£)</t>
  </si>
  <si>
    <t xml:space="preserve">Pareto Analysis (80/20 Rule) — Product Revenue</t>
  </si>
  <si>
    <t xml:space="preserve">Products pre-ranked by revenue; totals and cumulative % are live formulas so the chart updates if you edit RawData.</t>
  </si>
  <si>
    <t xml:space="preserve">Rank</t>
  </si>
  <si>
    <t xml:space="preserve">Cumulative Revenue (£)</t>
  </si>
  <si>
    <t xml:space="preserve">Cumulative %</t>
  </si>
  <si>
    <t xml:space="preserve">In Top 20% of Products?</t>
  </si>
  <si>
    <t xml:space="preserve">(unknown)</t>
  </si>
  <si>
    <t xml:space="preserve">Time-Series Forecast — Next Quarter Revenue</t>
  </si>
  <si>
    <t xml:space="preserve">24 months of history; TREND() reproduces the least-squares logic behind ToolPak's Regression tool — use this to sanity-check your ToolPak output.</t>
  </si>
  <si>
    <t xml:space="preserve">History below is a separate illustrative monthly series (not derived from the RawData transactions, which only span Oct-Dec) so there's enough seasonal history to forecast from.</t>
  </si>
  <si>
    <t xml:space="preserve">Month</t>
  </si>
  <si>
    <t xml:space="preserve">Forecast (£)</t>
  </si>
  <si>
    <t xml:space="preserve">Variance (£)</t>
  </si>
  <si>
    <t xml:space="preserve">Variance %</t>
  </si>
  <si>
    <t xml:space="preserve">Forecast — Next Quarter</t>
  </si>
  <si>
    <t xml:space="preserve">Forecasted Revenue (£)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</si>
</sst>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"/>
    <numFmt numFmtId="166" formatCode="0.0%"/>
    <numFmt numFmtId="167" formatCode="#,##0.00"/>
    <numFmt numFmtId="168" formatCode="0%"/>
    <numFmt numFmtId="169" formatCode="mmm\-yyyy"/>
    <numFmt numFmtId="170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per Minute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'AOV and Revenue per Hour'!E4</c:f>
              <c:strCache>
                <c:ptCount val="1"/>
                <c:pt idx="0">
                  <c:v>Revenue per Minute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'AOV and Revenue per Hour'!$A$5:$A$28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'AOV and Revenue per Hour'!$E$5:$E$28</c:f>
              <c:numCache>
                <c:formatCode>#,##0.00</c:formatCode>
                <c:ptCount val="24"/>
                <c:pt idx="0">
                  <c:v>42.6316666666667</c:v>
                </c:pt>
                <c:pt idx="1">
                  <c:v>39.953</c:v>
                </c:pt>
                <c:pt idx="2">
                  <c:v>20.7243333333333</c:v>
                </c:pt>
                <c:pt idx="3">
                  <c:v>26.0405</c:v>
                </c:pt>
                <c:pt idx="4">
                  <c:v>28.2733333333333</c:v>
                </c:pt>
                <c:pt idx="5">
                  <c:v>20.9778333333333</c:v>
                </c:pt>
                <c:pt idx="6">
                  <c:v>54.973</c:v>
                </c:pt>
                <c:pt idx="7">
                  <c:v>62.087</c:v>
                </c:pt>
                <c:pt idx="8">
                  <c:v>261.8065</c:v>
                </c:pt>
                <c:pt idx="9">
                  <c:v>394.806166666667</c:v>
                </c:pt>
                <c:pt idx="10">
                  <c:v>403.5705</c:v>
                </c:pt>
                <c:pt idx="11">
                  <c:v>415.847666666667</c:v>
                </c:pt>
                <c:pt idx="12">
                  <c:v>389.002833333333</c:v>
                </c:pt>
                <c:pt idx="13">
                  <c:v>396.894333333333</c:v>
                </c:pt>
                <c:pt idx="14">
                  <c:v>338.697166666667</c:v>
                </c:pt>
                <c:pt idx="15">
                  <c:v>211.430166666667</c:v>
                </c:pt>
                <c:pt idx="16">
                  <c:v>172.328666666667</c:v>
                </c:pt>
                <c:pt idx="17">
                  <c:v>280.706333333333</c:v>
                </c:pt>
                <c:pt idx="18">
                  <c:v>230.657</c:v>
                </c:pt>
                <c:pt idx="19">
                  <c:v>173.404333333333</c:v>
                </c:pt>
                <c:pt idx="20">
                  <c:v>98.2955</c:v>
                </c:pt>
                <c:pt idx="21">
                  <c:v>141.221833333333</c:v>
                </c:pt>
                <c:pt idx="22">
                  <c:v>93.7496666666667</c:v>
                </c:pt>
                <c:pt idx="23">
                  <c:v>42.4436666666667</c:v>
                </c:pt>
              </c:numCache>
            </c:numRef>
          </c:val>
        </c:ser>
        <c:gapWidth val="150"/>
        <c:overlap val="0"/>
        <c:axId val="60533864"/>
        <c:axId val="69177546"/>
      </c:barChart>
      <c:catAx>
        <c:axId val="60533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77546"/>
        <c:crosses val="autoZero"/>
        <c:auto val="1"/>
        <c:lblAlgn val="ctr"/>
        <c:lblOffset val="100"/>
        <c:noMultiLvlLbl val="0"/>
      </c:catAx>
      <c:valAx>
        <c:axId val="69177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 per 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33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Chart — Product Revenue (80/20)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'Pareto - Top Products'!D4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- Top Products'!$A$5:$A$80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strCache>
            </c:strRef>
          </c:cat>
          <c:val>
            <c:numRef>
              <c:f>'Pareto - Top Products'!$D$5:$D$80</c:f>
              <c:numCache>
                <c:formatCode>#,##0.00</c:formatCode>
                <c:ptCount val="76"/>
                <c:pt idx="0">
                  <c:v>41718</c:v>
                </c:pt>
                <c:pt idx="1">
                  <c:v>29231.5</c:v>
                </c:pt>
                <c:pt idx="2">
                  <c:v>17567.55</c:v>
                </c:pt>
                <c:pt idx="3">
                  <c:v>14315.4</c:v>
                </c:pt>
                <c:pt idx="4">
                  <c:v>13418.1</c:v>
                </c:pt>
                <c:pt idx="5">
                  <c:v>10864.7</c:v>
                </c:pt>
                <c:pt idx="6">
                  <c:v>9705.3</c:v>
                </c:pt>
                <c:pt idx="7">
                  <c:v>8972.6</c:v>
                </c:pt>
                <c:pt idx="8">
                  <c:v>7795.84</c:v>
                </c:pt>
                <c:pt idx="9">
                  <c:v>6451.5</c:v>
                </c:pt>
                <c:pt idx="10">
                  <c:v>6013.75</c:v>
                </c:pt>
                <c:pt idx="11">
                  <c:v>5898.75</c:v>
                </c:pt>
                <c:pt idx="12">
                  <c:v>5718.93</c:v>
                </c:pt>
                <c:pt idx="13">
                  <c:v>5551.9</c:v>
                </c:pt>
                <c:pt idx="14">
                  <c:v>5322.3</c:v>
                </c:pt>
                <c:pt idx="15">
                  <c:v>4837.53</c:v>
                </c:pt>
                <c:pt idx="16">
                  <c:v>4354.2</c:v>
                </c:pt>
                <c:pt idx="17">
                  <c:v>4009.5</c:v>
                </c:pt>
                <c:pt idx="18">
                  <c:v>3750.6</c:v>
                </c:pt>
                <c:pt idx="19">
                  <c:v>3654.56</c:v>
                </c:pt>
                <c:pt idx="20">
                  <c:v>3565.12</c:v>
                </c:pt>
                <c:pt idx="21">
                  <c:v>3228.25</c:v>
                </c:pt>
                <c:pt idx="22">
                  <c:v>3160.3</c:v>
                </c:pt>
                <c:pt idx="23">
                  <c:v>3093.2</c:v>
                </c:pt>
                <c:pt idx="24">
                  <c:v>3070.08</c:v>
                </c:pt>
                <c:pt idx="25">
                  <c:v>3024.45</c:v>
                </c:pt>
                <c:pt idx="26">
                  <c:v>2961</c:v>
                </c:pt>
                <c:pt idx="27">
                  <c:v>2851.2</c:v>
                </c:pt>
                <c:pt idx="28">
                  <c:v>2864.55</c:v>
                </c:pt>
                <c:pt idx="29">
                  <c:v>2760.45</c:v>
                </c:pt>
                <c:pt idx="30">
                  <c:v>2648.25</c:v>
                </c:pt>
                <c:pt idx="31">
                  <c:v>2715.3</c:v>
                </c:pt>
                <c:pt idx="32">
                  <c:v>2511.4</c:v>
                </c:pt>
                <c:pt idx="33">
                  <c:v>2483.25</c:v>
                </c:pt>
                <c:pt idx="34">
                  <c:v>2377.44</c:v>
                </c:pt>
                <c:pt idx="35">
                  <c:v>2175</c:v>
                </c:pt>
                <c:pt idx="36">
                  <c:v>2125.2</c:v>
                </c:pt>
                <c:pt idx="37">
                  <c:v>1559.75</c:v>
                </c:pt>
                <c:pt idx="38">
                  <c:v>1475.52</c:v>
                </c:pt>
                <c:pt idx="39">
                  <c:v>29231.5</c:v>
                </c:pt>
                <c:pt idx="40">
                  <c:v>41718</c:v>
                </c:pt>
                <c:pt idx="41">
                  <c:v>629.16</c:v>
                </c:pt>
                <c:pt idx="42">
                  <c:v>8972.6</c:v>
                </c:pt>
                <c:pt idx="43">
                  <c:v>14315.4</c:v>
                </c:pt>
                <c:pt idx="44">
                  <c:v>5898.75</c:v>
                </c:pt>
                <c:pt idx="45">
                  <c:v>17567.55</c:v>
                </c:pt>
                <c:pt idx="46">
                  <c:v>10864.7</c:v>
                </c:pt>
                <c:pt idx="47">
                  <c:v>5551.9</c:v>
                </c:pt>
                <c:pt idx="48">
                  <c:v>13418.1</c:v>
                </c:pt>
                <c:pt idx="49">
                  <c:v>3024.45</c:v>
                </c:pt>
                <c:pt idx="50">
                  <c:v>5718.93</c:v>
                </c:pt>
                <c:pt idx="51">
                  <c:v>7795.84</c:v>
                </c:pt>
                <c:pt idx="52">
                  <c:v>2715.3</c:v>
                </c:pt>
                <c:pt idx="53">
                  <c:v>4009.5</c:v>
                </c:pt>
                <c:pt idx="54">
                  <c:v>4837.53</c:v>
                </c:pt>
                <c:pt idx="55">
                  <c:v>2961</c:v>
                </c:pt>
                <c:pt idx="56">
                  <c:v>5322.3</c:v>
                </c:pt>
                <c:pt idx="57">
                  <c:v>2864.55</c:v>
                </c:pt>
                <c:pt idx="58">
                  <c:v>3070.08</c:v>
                </c:pt>
                <c:pt idx="59">
                  <c:v>2483.25</c:v>
                </c:pt>
                <c:pt idx="60">
                  <c:v>3160.3</c:v>
                </c:pt>
                <c:pt idx="61">
                  <c:v>3093.2</c:v>
                </c:pt>
                <c:pt idx="62">
                  <c:v>3565.12</c:v>
                </c:pt>
                <c:pt idx="63">
                  <c:v>3228.25</c:v>
                </c:pt>
                <c:pt idx="64">
                  <c:v>1559.75</c:v>
                </c:pt>
                <c:pt idx="65">
                  <c:v>2125.2</c:v>
                </c:pt>
                <c:pt idx="66">
                  <c:v>2511.4</c:v>
                </c:pt>
                <c:pt idx="67">
                  <c:v>629.16</c:v>
                </c:pt>
                <c:pt idx="68">
                  <c:v>3654.56</c:v>
                </c:pt>
                <c:pt idx="69">
                  <c:v>9705.3</c:v>
                </c:pt>
                <c:pt idx="70">
                  <c:v>3750.6</c:v>
                </c:pt>
                <c:pt idx="71">
                  <c:v>6451.5</c:v>
                </c:pt>
                <c:pt idx="72">
                  <c:v>6013.75</c:v>
                </c:pt>
                <c:pt idx="73">
                  <c:v>4354.2</c:v>
                </c:pt>
                <c:pt idx="74">
                  <c:v>2377.44</c:v>
                </c:pt>
                <c:pt idx="75">
                  <c:v>2851.2</c:v>
                </c:pt>
              </c:numCache>
            </c:numRef>
          </c:val>
        </c:ser>
        <c:gapWidth val="150"/>
        <c:overlap val="0"/>
        <c:axId val="16289127"/>
        <c:axId val="82048611"/>
      </c:barChart>
      <c:lineChart>
        <c:grouping val="standard"/>
        <c:varyColors val="0"/>
        <c:ser>
          <c:idx val="1"/>
          <c:order val="1"/>
          <c:tx>
            <c:strRef>
              <c:f>'Pareto - Top Products'!F4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- Top Products'!$A$5:$A$80</c:f>
              <c:strCach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strCache>
            </c:strRef>
          </c:cat>
          <c:val>
            <c:numRef>
              <c:f>'Pareto - Top Products'!$F$5:$F$80</c:f>
              <c:numCache>
                <c:formatCode>0.0%</c:formatCode>
                <c:ptCount val="76"/>
                <c:pt idx="0">
                  <c:v>0.0815117456983592</c:v>
                </c:pt>
                <c:pt idx="1">
                  <c:v>0.138626434666708</c:v>
                </c:pt>
                <c:pt idx="2">
                  <c:v>0.172951226558535</c:v>
                </c:pt>
                <c:pt idx="3">
                  <c:v>0.200921724769626</c:v>
                </c:pt>
                <c:pt idx="4">
                  <c:v>0.227139011191677</c:v>
                </c:pt>
                <c:pt idx="5">
                  <c:v>0.248367273895761</c:v>
                </c:pt>
                <c:pt idx="6">
                  <c:v>0.26733021424588</c:v>
                </c:pt>
                <c:pt idx="7">
                  <c:v>0.284861550586383</c:v>
                </c:pt>
                <c:pt idx="8">
                  <c:v>0.300093645307729</c:v>
                </c:pt>
                <c:pt idx="9">
                  <c:v>0.31269906808382</c:v>
                </c:pt>
                <c:pt idx="10">
                  <c:v>0.324449182199873</c:v>
                </c:pt>
                <c:pt idx="11">
                  <c:v>0.33597460072277</c:v>
                </c:pt>
                <c:pt idx="12">
                  <c:v>0.347148673492958</c:v>
                </c:pt>
                <c:pt idx="13">
                  <c:v>0.357996390568147</c:v>
                </c:pt>
                <c:pt idx="14">
                  <c:v>0.368395498006911</c:v>
                </c:pt>
                <c:pt idx="15">
                  <c:v>0.377847425596157</c:v>
                </c:pt>
                <c:pt idx="16">
                  <c:v>0.386354986915487</c:v>
                </c:pt>
                <c:pt idx="17">
                  <c:v>0.394189047617764</c:v>
                </c:pt>
                <c:pt idx="18">
                  <c:v>0.401517250154229</c:v>
                </c:pt>
                <c:pt idx="19">
                  <c:v>0.408657802562288</c:v>
                </c:pt>
                <c:pt idx="20">
                  <c:v>0.415623600415112</c:v>
                </c:pt>
                <c:pt idx="21">
                  <c:v>0.421931196489966</c:v>
                </c:pt>
                <c:pt idx="22">
                  <c:v>0.428106026777384</c:v>
                </c:pt>
                <c:pt idx="23">
                  <c:v>0.434149752070883</c:v>
                </c:pt>
                <c:pt idx="24">
                  <c:v>0.440148303780783</c:v>
                </c:pt>
                <c:pt idx="25">
                  <c:v>0.446057700187068</c:v>
                </c:pt>
                <c:pt idx="26">
                  <c:v>0.451843123242172</c:v>
                </c:pt>
                <c:pt idx="27">
                  <c:v>0.45741401085268</c:v>
                </c:pt>
                <c:pt idx="28">
                  <c:v>0.463010982690741</c:v>
                </c:pt>
                <c:pt idx="29">
                  <c:v>0.468404556170127</c:v>
                </c:pt>
                <c:pt idx="30">
                  <c:v>0.473578904905582</c:v>
                </c:pt>
                <c:pt idx="31">
                  <c:v>0.47888426094122</c:v>
                </c:pt>
                <c:pt idx="32">
                  <c:v>0.483791221920818</c:v>
                </c:pt>
                <c:pt idx="33">
                  <c:v>0.48864318132696</c:v>
                </c:pt>
                <c:pt idx="34">
                  <c:v>0.493288401248651</c:v>
                </c:pt>
                <c:pt idx="35">
                  <c:v>0.497538078771397</c:v>
                </c:pt>
                <c:pt idx="36">
                  <c:v>0.501690453332933</c:v>
                </c:pt>
                <c:pt idx="37">
                  <c:v>0.504738009432291</c:v>
                </c:pt>
                <c:pt idx="38">
                  <c:v>0.507620990663722</c:v>
                </c:pt>
                <c:pt idx="39">
                  <c:v>0.564735679632071</c:v>
                </c:pt>
                <c:pt idx="40">
                  <c:v>0.64624742533043</c:v>
                </c:pt>
                <c:pt idx="41">
                  <c:v>0.647476725151217</c:v>
                </c:pt>
                <c:pt idx="42">
                  <c:v>0.66500806149172</c:v>
                </c:pt>
                <c:pt idx="43">
                  <c:v>0.692978559702811</c:v>
                </c:pt>
                <c:pt idx="44">
                  <c:v>0.704503978225707</c:v>
                </c:pt>
                <c:pt idx="45">
                  <c:v>0.738828770117534</c:v>
                </c:pt>
                <c:pt idx="46">
                  <c:v>0.760057032821617</c:v>
                </c:pt>
                <c:pt idx="47">
                  <c:v>0.770904749896806</c:v>
                </c:pt>
                <c:pt idx="48">
                  <c:v>0.797122036318858</c:v>
                </c:pt>
                <c:pt idx="49">
                  <c:v>0.803031432725143</c:v>
                </c:pt>
                <c:pt idx="50">
                  <c:v>0.814205505495331</c:v>
                </c:pt>
                <c:pt idx="51">
                  <c:v>0.829437600216677</c:v>
                </c:pt>
                <c:pt idx="52">
                  <c:v>0.834742956252315</c:v>
                </c:pt>
                <c:pt idx="53">
                  <c:v>0.842577016954592</c:v>
                </c:pt>
                <c:pt idx="54">
                  <c:v>0.852028944543838</c:v>
                </c:pt>
                <c:pt idx="55">
                  <c:v>0.857814367598942</c:v>
                </c:pt>
                <c:pt idx="56">
                  <c:v>0.868213475037707</c:v>
                </c:pt>
                <c:pt idx="57">
                  <c:v>0.873810446875768</c:v>
                </c:pt>
                <c:pt idx="58">
                  <c:v>0.879808998585668</c:v>
                </c:pt>
                <c:pt idx="59">
                  <c:v>0.884660957991811</c:v>
                </c:pt>
                <c:pt idx="60">
                  <c:v>0.890835788279229</c:v>
                </c:pt>
                <c:pt idx="61">
                  <c:v>0.896879513572728</c:v>
                </c:pt>
                <c:pt idx="62">
                  <c:v>0.903845311425552</c:v>
                </c:pt>
                <c:pt idx="63">
                  <c:v>0.910152907500405</c:v>
                </c:pt>
                <c:pt idx="64">
                  <c:v>0.913200463599763</c:v>
                </c:pt>
                <c:pt idx="65">
                  <c:v>0.917352838161299</c:v>
                </c:pt>
                <c:pt idx="66">
                  <c:v>0.922259799140897</c:v>
                </c:pt>
                <c:pt idx="67">
                  <c:v>0.923489098961684</c:v>
                </c:pt>
                <c:pt idx="68">
                  <c:v>0.930629651369742</c:v>
                </c:pt>
                <c:pt idx="69">
                  <c:v>0.949592591719862</c:v>
                </c:pt>
                <c:pt idx="70">
                  <c:v>0.956920794256327</c:v>
                </c:pt>
                <c:pt idx="71">
                  <c:v>0.969526217032418</c:v>
                </c:pt>
                <c:pt idx="72">
                  <c:v>0.981276331148472</c:v>
                </c:pt>
                <c:pt idx="73">
                  <c:v>0.989783892467801</c:v>
                </c:pt>
                <c:pt idx="74">
                  <c:v>0.994429112389492</c:v>
                </c:pt>
                <c:pt idx="75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25608"/>
        <c:axId val="35830122"/>
      </c:lineChart>
      <c:catAx>
        <c:axId val="16289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48611"/>
        <c:crosses val="autoZero"/>
        <c:auto val="1"/>
        <c:lblAlgn val="ctr"/>
        <c:lblOffset val="100"/>
        <c:noMultiLvlLbl val="0"/>
      </c:catAx>
      <c:valAx>
        <c:axId val="820486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9127"/>
        <c:crosses val="autoZero"/>
        <c:crossBetween val="between"/>
      </c:valAx>
      <c:catAx>
        <c:axId val="572560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30122"/>
        <c:crosses val="autoZero"/>
        <c:auto val="1"/>
        <c:lblAlgn val="ctr"/>
        <c:lblOffset val="100"/>
        <c:noMultiLvlLbl val="0"/>
      </c:catAx>
      <c:valAx>
        <c:axId val="3583012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560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Actual vs. Trend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'Revenue Forecast'!B5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Forecast'!$A$6:$A$29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'Revenue Forecast'!$B$6:$B$29</c:f>
              <c:numCache>
                <c:formatCode>#,##0</c:formatCode>
                <c:ptCount val="24"/>
                <c:pt idx="0">
                  <c:v>32182.88</c:v>
                </c:pt>
                <c:pt idx="1">
                  <c:v>32030.2</c:v>
                </c:pt>
                <c:pt idx="2">
                  <c:v>43750.53</c:v>
                </c:pt>
                <c:pt idx="3">
                  <c:v>41783.68</c:v>
                </c:pt>
                <c:pt idx="4">
                  <c:v>44358.6</c:v>
                </c:pt>
                <c:pt idx="5">
                  <c:v>49446.83</c:v>
                </c:pt>
                <c:pt idx="6">
                  <c:v>48493.46</c:v>
                </c:pt>
                <c:pt idx="7">
                  <c:v>51390.18</c:v>
                </c:pt>
                <c:pt idx="8">
                  <c:v>44253.98</c:v>
                </c:pt>
                <c:pt idx="9">
                  <c:v>46638.47</c:v>
                </c:pt>
                <c:pt idx="10">
                  <c:v>70458.06</c:v>
                </c:pt>
                <c:pt idx="11">
                  <c:v>71429.23</c:v>
                </c:pt>
                <c:pt idx="12">
                  <c:v>37621.87</c:v>
                </c:pt>
                <c:pt idx="13">
                  <c:v>39590.05</c:v>
                </c:pt>
                <c:pt idx="14">
                  <c:v>47830.3</c:v>
                </c:pt>
                <c:pt idx="15">
                  <c:v>48859.28</c:v>
                </c:pt>
                <c:pt idx="16">
                  <c:v>51447.36</c:v>
                </c:pt>
                <c:pt idx="17">
                  <c:v>60086.86</c:v>
                </c:pt>
                <c:pt idx="18">
                  <c:v>58576.18</c:v>
                </c:pt>
                <c:pt idx="19">
                  <c:v>58137.06</c:v>
                </c:pt>
                <c:pt idx="20">
                  <c:v>55524.15</c:v>
                </c:pt>
                <c:pt idx="21">
                  <c:v>51121.95</c:v>
                </c:pt>
                <c:pt idx="22">
                  <c:v>86860.94</c:v>
                </c:pt>
                <c:pt idx="23">
                  <c:v>82925.33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'Revenue Forecast'!C5</c:f>
              <c:strCache>
                <c:ptCount val="1"/>
                <c:pt idx="0">
                  <c:v>Forecast (£)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Forecast'!$A$6:$A$29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'Revenue Forecast'!$C$6:$C$29</c:f>
              <c:numCache>
                <c:formatCode>#,##0</c:formatCode>
                <c:ptCount val="24"/>
                <c:pt idx="0">
                  <c:v>37000.5193825695</c:v>
                </c:pt>
                <c:pt idx="1">
                  <c:v>38354.4529273859</c:v>
                </c:pt>
                <c:pt idx="2">
                  <c:v>39621.0359209238</c:v>
                </c:pt>
                <c:pt idx="3">
                  <c:v>40974.9694657403</c:v>
                </c:pt>
                <c:pt idx="4">
                  <c:v>42285.2277349175</c:v>
                </c:pt>
                <c:pt idx="5">
                  <c:v>43639.161279734</c:v>
                </c:pt>
                <c:pt idx="6">
                  <c:v>44949.419548911</c:v>
                </c:pt>
                <c:pt idx="7">
                  <c:v>46303.3530937275</c:v>
                </c:pt>
                <c:pt idx="8">
                  <c:v>47657.2866385439</c:v>
                </c:pt>
                <c:pt idx="9">
                  <c:v>48967.5449077212</c:v>
                </c:pt>
                <c:pt idx="10">
                  <c:v>50321.4784525377</c:v>
                </c:pt>
                <c:pt idx="11">
                  <c:v>51631.7367217147</c:v>
                </c:pt>
                <c:pt idx="12">
                  <c:v>52985.6702665312</c:v>
                </c:pt>
                <c:pt idx="13">
                  <c:v>54339.6038113476</c:v>
                </c:pt>
                <c:pt idx="14">
                  <c:v>55562.5115292463</c:v>
                </c:pt>
                <c:pt idx="15">
                  <c:v>56916.4450740628</c:v>
                </c:pt>
                <c:pt idx="16">
                  <c:v>58226.7033432401</c:v>
                </c:pt>
                <c:pt idx="17">
                  <c:v>59580.6368880563</c:v>
                </c:pt>
                <c:pt idx="18">
                  <c:v>60890.8951572336</c:v>
                </c:pt>
                <c:pt idx="19">
                  <c:v>62244.82870205</c:v>
                </c:pt>
                <c:pt idx="20">
                  <c:v>63598.7622468665</c:v>
                </c:pt>
                <c:pt idx="21">
                  <c:v>64909.0205160435</c:v>
                </c:pt>
                <c:pt idx="22">
                  <c:v>66262.95406086</c:v>
                </c:pt>
                <c:pt idx="23">
                  <c:v>67573.2123300373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98607"/>
        <c:axId val="30222190"/>
      </c:lineChart>
      <c:catAx>
        <c:axId val="43098607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22190"/>
        <c:crosses val="autoZero"/>
        <c:auto val="1"/>
        <c:lblAlgn val="ctr"/>
        <c:lblOffset val="100"/>
        <c:noMultiLvlLbl val="0"/>
      </c:catAx>
      <c:valAx>
        <c:axId val="30222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98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20</xdr:col>
      <xdr:colOff>581760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756684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22</xdr:col>
      <xdr:colOff>78480</xdr:colOff>
      <xdr:row>23</xdr:row>
      <xdr:rowOff>119880</xdr:rowOff>
    </xdr:to>
    <xdr:graphicFrame>
      <xdr:nvGraphicFramePr>
        <xdr:cNvPr id="1" name="Chart 1"/>
        <xdr:cNvGraphicFramePr/>
      </xdr:nvGraphicFramePr>
      <xdr:xfrm>
        <a:off x="8787600" y="57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160560</xdr:rowOff>
    </xdr:from>
    <xdr:to>
      <xdr:col>20</xdr:col>
      <xdr:colOff>78840</xdr:colOff>
      <xdr:row>25</xdr:row>
      <xdr:rowOff>119880</xdr:rowOff>
    </xdr:to>
    <xdr:graphicFrame>
      <xdr:nvGraphicFramePr>
        <xdr:cNvPr id="2" name="Chart 1"/>
        <xdr:cNvGraphicFramePr/>
      </xdr:nvGraphicFramePr>
      <xdr:xfrm>
        <a:off x="5052240" y="952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nlineRetail" displayName="OnlineRetail" ref="A1:K5315" headerRowCount="1" totalsRowCount="0" totalsRowShown="0">
  <autoFilter ref="A1:K5315"/>
  <tableColumns count="11">
    <tableColumn id="1" name="InvoiceNo"/>
    <tableColumn id="2" name="StockCode"/>
    <tableColumn id="3" name="Description"/>
    <tableColumn id="4" name="Quantity"/>
    <tableColumn id="5" name="InvoiceDate"/>
    <tableColumn id="6" name="UnitPrice"/>
    <tableColumn id="7" name="CustomerID"/>
    <tableColumn id="8" name="Country"/>
    <tableColumn id="9" name="LineRevenue"/>
    <tableColumn id="10" name="Hour"/>
    <tableColumn id="11" name="IsFirstLineOfInvo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s">
        <v>41</v>
      </c>
      <c r="D2" s="0" t="n">
        <v>19</v>
      </c>
      <c r="E2" s="5" t="n">
        <v>45931.3587731482</v>
      </c>
      <c r="F2" s="0" t="n">
        <v>1.06</v>
      </c>
      <c r="G2" s="0" t="n">
        <v>17156</v>
      </c>
      <c r="H2" s="6" t="s">
        <v>42</v>
      </c>
      <c r="I2" s="6" t="n">
        <f aca="false">D2*F2</f>
        <v>20.14</v>
      </c>
      <c r="J2" s="6" t="n">
        <f aca="false">HOUR(E2)</f>
        <v>8</v>
      </c>
      <c r="K2" s="6" t="n">
        <f aca="false">IF(COUNTIF($A$2:$A2,A2)=1,1,0)</f>
        <v>1</v>
      </c>
    </row>
    <row r="3" customFormat="false" ht="15" hidden="false" customHeight="false" outlineLevel="0" collapsed="false">
      <c r="A3" s="0" t="s">
        <v>39</v>
      </c>
      <c r="B3" s="0" t="s">
        <v>43</v>
      </c>
      <c r="C3" s="0" t="s">
        <v>44</v>
      </c>
      <c r="D3" s="0" t="n">
        <v>6</v>
      </c>
      <c r="E3" s="5" t="n">
        <v>45931.3587731482</v>
      </c>
      <c r="F3" s="0" t="n">
        <v>4.25</v>
      </c>
      <c r="G3" s="0" t="n">
        <v>17156</v>
      </c>
      <c r="H3" s="6" t="s">
        <v>42</v>
      </c>
      <c r="I3" s="6" t="n">
        <f aca="false">D3*F3</f>
        <v>25.5</v>
      </c>
      <c r="J3" s="6" t="n">
        <f aca="false">HOUR(E3)</f>
        <v>8</v>
      </c>
      <c r="K3" s="6" t="n">
        <f aca="false">IF(COUNTIF($A$2:$A3,A3)=1,1,0)</f>
        <v>0</v>
      </c>
    </row>
    <row r="4" customFormat="false" ht="15" hidden="false" customHeight="false" outlineLevel="0" collapsed="false">
      <c r="A4" s="0" t="s">
        <v>39</v>
      </c>
      <c r="B4" s="0" t="s">
        <v>45</v>
      </c>
      <c r="C4" s="0" t="s">
        <v>46</v>
      </c>
      <c r="D4" s="0" t="n">
        <v>9</v>
      </c>
      <c r="E4" s="5" t="n">
        <v>45931.3587731482</v>
      </c>
      <c r="F4" s="0" t="n">
        <v>2.1</v>
      </c>
      <c r="G4" s="0" t="n">
        <v>17156</v>
      </c>
      <c r="H4" s="6" t="s">
        <v>42</v>
      </c>
      <c r="I4" s="6" t="n">
        <f aca="false">D4*F4</f>
        <v>18.9</v>
      </c>
      <c r="J4" s="6" t="n">
        <f aca="false">HOUR(E4)</f>
        <v>8</v>
      </c>
      <c r="K4" s="6" t="n">
        <f aca="false">IF(COUNTIF($A$2:$A4,A4)=1,1,0)</f>
        <v>0</v>
      </c>
    </row>
    <row r="5" customFormat="false" ht="15" hidden="false" customHeight="false" outlineLevel="0" collapsed="false">
      <c r="A5" s="0" t="s">
        <v>39</v>
      </c>
      <c r="B5" s="0" t="s">
        <v>47</v>
      </c>
      <c r="C5" s="0" t="s">
        <v>48</v>
      </c>
      <c r="D5" s="0" t="n">
        <v>20</v>
      </c>
      <c r="E5" s="5" t="n">
        <v>45931.3587731482</v>
      </c>
      <c r="F5" s="0" t="n">
        <v>12.75</v>
      </c>
      <c r="G5" s="0" t="n">
        <v>17156</v>
      </c>
      <c r="H5" s="6" t="s">
        <v>42</v>
      </c>
      <c r="I5" s="6" t="n">
        <f aca="false">D5*F5</f>
        <v>255</v>
      </c>
      <c r="J5" s="6" t="n">
        <f aca="false">HOUR(E5)</f>
        <v>8</v>
      </c>
      <c r="K5" s="6" t="n">
        <f aca="false">IF(COUNTIF($A$2:$A5,A5)=1,1,0)</f>
        <v>0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51</v>
      </c>
      <c r="D6" s="0" t="n">
        <v>2</v>
      </c>
      <c r="E6" s="5" t="n">
        <v>45931.3823611111</v>
      </c>
      <c r="F6" s="0" t="n">
        <v>5.95</v>
      </c>
      <c r="H6" s="6" t="s">
        <v>52</v>
      </c>
      <c r="I6" s="6" t="n">
        <f aca="false">D6*F6</f>
        <v>11.9</v>
      </c>
      <c r="J6" s="6" t="n">
        <f aca="false">HOUR(E6)</f>
        <v>9</v>
      </c>
      <c r="K6" s="6" t="n">
        <f aca="false">IF(COUNTIF($A$2:$A6,A6)=1,1,0)</f>
        <v>1</v>
      </c>
    </row>
    <row r="7" customFormat="false" ht="15" hidden="false" customHeight="false" outlineLevel="0" collapsed="false">
      <c r="A7" s="0" t="s">
        <v>49</v>
      </c>
      <c r="B7" s="0" t="s">
        <v>40</v>
      </c>
      <c r="C7" s="0" t="s">
        <v>41</v>
      </c>
      <c r="D7" s="0" t="n">
        <v>10</v>
      </c>
      <c r="E7" s="5" t="n">
        <v>45931.3823611111</v>
      </c>
      <c r="F7" s="0" t="n">
        <v>1.06</v>
      </c>
      <c r="H7" s="6" t="s">
        <v>52</v>
      </c>
      <c r="I7" s="6" t="n">
        <f aca="false">D7*F7</f>
        <v>10.6</v>
      </c>
      <c r="J7" s="6" t="n">
        <f aca="false">HOUR(E7)</f>
        <v>9</v>
      </c>
      <c r="K7" s="6" t="n">
        <f aca="false">IF(COUNTIF($A$2:$A7,A7)=1,1,0)</f>
        <v>0</v>
      </c>
    </row>
    <row r="8" customFormat="false" ht="15" hidden="false" customHeight="false" outlineLevel="0" collapsed="false">
      <c r="A8" s="0" t="s">
        <v>49</v>
      </c>
      <c r="B8" s="0" t="s">
        <v>53</v>
      </c>
      <c r="C8" s="0" t="s">
        <v>54</v>
      </c>
      <c r="D8" s="0" t="n">
        <v>5</v>
      </c>
      <c r="E8" s="5" t="n">
        <v>45931.3823611111</v>
      </c>
      <c r="F8" s="0" t="n">
        <v>2.95</v>
      </c>
      <c r="H8" s="6" t="s">
        <v>52</v>
      </c>
      <c r="I8" s="6" t="n">
        <f aca="false">D8*F8</f>
        <v>14.75</v>
      </c>
      <c r="J8" s="6" t="n">
        <f aca="false">HOUR(E8)</f>
        <v>9</v>
      </c>
      <c r="K8" s="6" t="n">
        <f aca="false">IF(COUNTIF($A$2:$A8,A8)=1,1,0)</f>
        <v>0</v>
      </c>
    </row>
    <row r="9" customFormat="false" ht="15" hidden="false" customHeight="false" outlineLevel="0" collapsed="false">
      <c r="A9" s="0" t="s">
        <v>49</v>
      </c>
      <c r="B9" s="0" t="s">
        <v>55</v>
      </c>
      <c r="C9" s="0" t="s">
        <v>56</v>
      </c>
      <c r="D9" s="0" t="n">
        <v>9</v>
      </c>
      <c r="E9" s="5" t="n">
        <v>45931.3823611111</v>
      </c>
      <c r="F9" s="0" t="n">
        <v>1.65</v>
      </c>
      <c r="H9" s="6" t="s">
        <v>52</v>
      </c>
      <c r="I9" s="6" t="n">
        <f aca="false">D9*F9</f>
        <v>14.85</v>
      </c>
      <c r="J9" s="6" t="n">
        <f aca="false">HOUR(E9)</f>
        <v>9</v>
      </c>
      <c r="K9" s="6" t="n">
        <f aca="false">IF(COUNTIF($A$2:$A9,A9)=1,1,0)</f>
        <v>0</v>
      </c>
    </row>
    <row r="10" customFormat="false" ht="15" hidden="false" customHeight="false" outlineLevel="0" collapsed="false">
      <c r="A10" s="0" t="s">
        <v>49</v>
      </c>
      <c r="B10" s="0" t="s">
        <v>57</v>
      </c>
      <c r="C10" s="0" t="s">
        <v>58</v>
      </c>
      <c r="D10" s="0" t="n">
        <v>9</v>
      </c>
      <c r="E10" s="5" t="n">
        <v>45931.3823611111</v>
      </c>
      <c r="F10" s="0" t="n">
        <v>2.08</v>
      </c>
      <c r="H10" s="6" t="s">
        <v>52</v>
      </c>
      <c r="I10" s="6" t="n">
        <f aca="false">D10*F10</f>
        <v>18.72</v>
      </c>
      <c r="J10" s="6" t="n">
        <f aca="false">HOUR(E10)</f>
        <v>9</v>
      </c>
      <c r="K10" s="6" t="n">
        <f aca="false">IF(COUNTIF($A$2:$A10,A10)=1,1,0)</f>
        <v>0</v>
      </c>
    </row>
    <row r="11" customFormat="false" ht="15" hidden="false" customHeight="false" outlineLevel="0" collapsed="false">
      <c r="A11" s="0" t="s">
        <v>49</v>
      </c>
      <c r="B11" s="0" t="s">
        <v>59</v>
      </c>
      <c r="C11" s="0" t="s">
        <v>60</v>
      </c>
      <c r="D11" s="0" t="n">
        <v>2</v>
      </c>
      <c r="E11" s="5" t="n">
        <v>45931.3823611111</v>
      </c>
      <c r="F11" s="0" t="n">
        <v>0.42</v>
      </c>
      <c r="H11" s="6" t="s">
        <v>52</v>
      </c>
      <c r="I11" s="6" t="n">
        <f aca="false">D11*F11</f>
        <v>0.84</v>
      </c>
      <c r="J11" s="6" t="n">
        <f aca="false">HOUR(E11)</f>
        <v>9</v>
      </c>
      <c r="K11" s="6" t="n">
        <f aca="false">IF(COUNTIF($A$2:$A11,A11)=1,1,0)</f>
        <v>0</v>
      </c>
    </row>
    <row r="12" customFormat="false" ht="15" hidden="false" customHeight="false" outlineLevel="0" collapsed="false">
      <c r="A12" s="0" t="s">
        <v>49</v>
      </c>
      <c r="B12" s="0" t="s">
        <v>61</v>
      </c>
      <c r="C12" s="0" t="s">
        <v>62</v>
      </c>
      <c r="D12" s="0" t="n">
        <v>8</v>
      </c>
      <c r="E12" s="5" t="n">
        <v>45931.3823611111</v>
      </c>
      <c r="F12" s="0" t="n">
        <v>1.65</v>
      </c>
      <c r="H12" s="6" t="s">
        <v>52</v>
      </c>
      <c r="I12" s="6" t="n">
        <f aca="false">D12*F12</f>
        <v>13.2</v>
      </c>
      <c r="J12" s="6" t="n">
        <f aca="false">HOUR(E12)</f>
        <v>9</v>
      </c>
      <c r="K12" s="6" t="n">
        <f aca="false">IF(COUNTIF($A$2:$A12,A12)=1,1,0)</f>
        <v>0</v>
      </c>
    </row>
    <row r="13" customFormat="false" ht="15" hidden="false" customHeight="false" outlineLevel="0" collapsed="false">
      <c r="A13" s="0" t="s">
        <v>49</v>
      </c>
      <c r="B13" s="0" t="s">
        <v>63</v>
      </c>
      <c r="C13" s="0" t="s">
        <v>64</v>
      </c>
      <c r="D13" s="0" t="n">
        <v>1</v>
      </c>
      <c r="E13" s="5" t="n">
        <v>45931.3823611111</v>
      </c>
      <c r="F13" s="0" t="n">
        <v>1.85</v>
      </c>
      <c r="H13" s="6" t="s">
        <v>52</v>
      </c>
      <c r="I13" s="6" t="n">
        <f aca="false">D13*F13</f>
        <v>1.85</v>
      </c>
      <c r="J13" s="6" t="n">
        <f aca="false">HOUR(E13)</f>
        <v>9</v>
      </c>
      <c r="K13" s="6" t="n">
        <f aca="false">IF(COUNTIF($A$2:$A13,A13)=1,1,0)</f>
        <v>0</v>
      </c>
    </row>
    <row r="14" customFormat="false" ht="15" hidden="false" customHeight="false" outlineLevel="0" collapsed="false">
      <c r="A14" s="0" t="s">
        <v>49</v>
      </c>
      <c r="B14" s="0" t="s">
        <v>65</v>
      </c>
      <c r="C14" s="0" t="s">
        <v>66</v>
      </c>
      <c r="D14" s="0" t="n">
        <v>7</v>
      </c>
      <c r="E14" s="5" t="n">
        <v>45931.3823611111</v>
      </c>
      <c r="F14" s="0" t="n">
        <v>1.65</v>
      </c>
      <c r="H14" s="6" t="s">
        <v>52</v>
      </c>
      <c r="I14" s="6" t="n">
        <f aca="false">D14*F14</f>
        <v>11.55</v>
      </c>
      <c r="J14" s="6" t="n">
        <f aca="false">HOUR(E14)</f>
        <v>9</v>
      </c>
      <c r="K14" s="6" t="n">
        <f aca="false">IF(COUNTIF($A$2:$A14,A14)=1,1,0)</f>
        <v>0</v>
      </c>
    </row>
    <row r="15" customFormat="false" ht="15" hidden="false" customHeight="false" outlineLevel="0" collapsed="false">
      <c r="A15" s="0" t="s">
        <v>67</v>
      </c>
      <c r="B15" s="0" t="s">
        <v>55</v>
      </c>
      <c r="C15" s="0" t="s">
        <v>56</v>
      </c>
      <c r="D15" s="0" t="n">
        <v>22</v>
      </c>
      <c r="E15" s="5" t="n">
        <v>45931.3995717593</v>
      </c>
      <c r="F15" s="0" t="n">
        <v>1.65</v>
      </c>
      <c r="G15" s="0" t="n">
        <v>17127</v>
      </c>
      <c r="H15" s="6" t="s">
        <v>68</v>
      </c>
      <c r="I15" s="6" t="n">
        <f aca="false">D15*F15</f>
        <v>36.3</v>
      </c>
      <c r="J15" s="6" t="n">
        <f aca="false">HOUR(E15)</f>
        <v>9</v>
      </c>
      <c r="K15" s="6" t="n">
        <f aca="false">IF(COUNTIF($A$2:$A15,A15)=1,1,0)</f>
        <v>1</v>
      </c>
    </row>
    <row r="16" customFormat="false" ht="15" hidden="false" customHeight="false" outlineLevel="0" collapsed="false">
      <c r="A16" s="0" t="s">
        <v>67</v>
      </c>
      <c r="B16" s="0" t="s">
        <v>59</v>
      </c>
      <c r="C16" s="0" t="s">
        <v>60</v>
      </c>
      <c r="D16" s="0" t="n">
        <v>20</v>
      </c>
      <c r="E16" s="5" t="n">
        <v>45931.3995717593</v>
      </c>
      <c r="F16" s="0" t="n">
        <v>0.42</v>
      </c>
      <c r="G16" s="0" t="n">
        <v>17127</v>
      </c>
      <c r="H16" s="6" t="s">
        <v>68</v>
      </c>
      <c r="I16" s="6" t="n">
        <f aca="false">D16*F16</f>
        <v>8.4</v>
      </c>
      <c r="J16" s="6" t="n">
        <f aca="false">HOUR(E16)</f>
        <v>9</v>
      </c>
      <c r="K16" s="6" t="n">
        <f aca="false">IF(COUNTIF($A$2:$A16,A16)=1,1,0)</f>
        <v>0</v>
      </c>
    </row>
    <row r="17" customFormat="false" ht="15" hidden="false" customHeight="false" outlineLevel="0" collapsed="false">
      <c r="A17" s="0" t="s">
        <v>67</v>
      </c>
      <c r="B17" s="0" t="s">
        <v>69</v>
      </c>
      <c r="C17" s="0" t="s">
        <v>70</v>
      </c>
      <c r="D17" s="0" t="n">
        <v>21</v>
      </c>
      <c r="E17" s="5" t="n">
        <v>45931.3995717593</v>
      </c>
      <c r="F17" s="0" t="n">
        <v>2.08</v>
      </c>
      <c r="G17" s="0" t="n">
        <v>17127</v>
      </c>
      <c r="H17" s="6" t="s">
        <v>68</v>
      </c>
      <c r="I17" s="6" t="n">
        <f aca="false">D17*F17</f>
        <v>43.68</v>
      </c>
      <c r="J17" s="6" t="n">
        <f aca="false">HOUR(E17)</f>
        <v>9</v>
      </c>
      <c r="K17" s="6" t="n">
        <f aca="false">IF(COUNTIF($A$2:$A17,A17)=1,1,0)</f>
        <v>0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s">
        <v>73</v>
      </c>
      <c r="D18" s="0" t="n">
        <v>29</v>
      </c>
      <c r="E18" s="5" t="n">
        <v>45931.4440046296</v>
      </c>
      <c r="F18" s="0" t="n">
        <v>4.95</v>
      </c>
      <c r="G18" s="0" t="n">
        <v>17043</v>
      </c>
      <c r="H18" s="6" t="s">
        <v>74</v>
      </c>
      <c r="I18" s="6" t="n">
        <f aca="false">D18*F18</f>
        <v>143.55</v>
      </c>
      <c r="J18" s="6" t="n">
        <f aca="false">HOUR(E18)</f>
        <v>10</v>
      </c>
      <c r="K18" s="6" t="n">
        <f aca="false">IF(COUNTIF($A$2:$A18,A18)=1,1,0)</f>
        <v>1</v>
      </c>
    </row>
    <row r="19" customFormat="false" ht="15" hidden="false" customHeight="false" outlineLevel="0" collapsed="false">
      <c r="A19" s="0" t="s">
        <v>71</v>
      </c>
      <c r="B19" s="0" t="s">
        <v>75</v>
      </c>
      <c r="C19" s="0" t="s">
        <v>76</v>
      </c>
      <c r="D19" s="0" t="n">
        <v>1</v>
      </c>
      <c r="E19" s="5" t="n">
        <v>45931.4440046296</v>
      </c>
      <c r="F19" s="0" t="n">
        <v>3.39</v>
      </c>
      <c r="G19" s="0" t="n">
        <v>17043</v>
      </c>
      <c r="H19" s="6" t="s">
        <v>74</v>
      </c>
      <c r="I19" s="6" t="n">
        <f aca="false">D19*F19</f>
        <v>3.39</v>
      </c>
      <c r="J19" s="6" t="n">
        <f aca="false">HOUR(E19)</f>
        <v>10</v>
      </c>
      <c r="K19" s="6" t="n">
        <f aca="false">IF(COUNTIF($A$2:$A19,A19)=1,1,0)</f>
        <v>0</v>
      </c>
    </row>
    <row r="20" customFormat="false" ht="15" hidden="false" customHeight="false" outlineLevel="0" collapsed="false">
      <c r="A20" s="0" t="s">
        <v>71</v>
      </c>
      <c r="B20" s="0" t="s">
        <v>53</v>
      </c>
      <c r="C20" s="0" t="s">
        <v>54</v>
      </c>
      <c r="D20" s="0" t="n">
        <v>3</v>
      </c>
      <c r="E20" s="5" t="n">
        <v>45931.4440046296</v>
      </c>
      <c r="F20" s="0" t="n">
        <v>2.95</v>
      </c>
      <c r="G20" s="0" t="n">
        <v>17043</v>
      </c>
      <c r="H20" s="6" t="s">
        <v>74</v>
      </c>
      <c r="I20" s="6" t="n">
        <f aca="false">D20*F20</f>
        <v>8.85</v>
      </c>
      <c r="J20" s="6" t="n">
        <f aca="false">HOUR(E20)</f>
        <v>10</v>
      </c>
      <c r="K20" s="6" t="n">
        <f aca="false">IF(COUNTIF($A$2:$A20,A20)=1,1,0)</f>
        <v>0</v>
      </c>
    </row>
    <row r="21" customFormat="false" ht="15" hidden="false" customHeight="false" outlineLevel="0" collapsed="false">
      <c r="A21" s="0" t="s">
        <v>71</v>
      </c>
      <c r="B21" s="0" t="s">
        <v>77</v>
      </c>
      <c r="C21" s="0" t="s">
        <v>78</v>
      </c>
      <c r="D21" s="0" t="n">
        <v>24</v>
      </c>
      <c r="E21" s="5" t="n">
        <v>45931.4440046296</v>
      </c>
      <c r="F21" s="0" t="n">
        <v>1.65</v>
      </c>
      <c r="G21" s="0" t="n">
        <v>17043</v>
      </c>
      <c r="H21" s="6" t="s">
        <v>74</v>
      </c>
      <c r="I21" s="6" t="n">
        <f aca="false">D21*F21</f>
        <v>39.6</v>
      </c>
      <c r="J21" s="6" t="n">
        <f aca="false">HOUR(E21)</f>
        <v>10</v>
      </c>
      <c r="K21" s="6" t="n">
        <f aca="false">IF(COUNTIF($A$2:$A21,A21)=1,1,0)</f>
        <v>0</v>
      </c>
    </row>
    <row r="22" customFormat="false" ht="15" hidden="false" customHeight="false" outlineLevel="0" collapsed="false">
      <c r="A22" s="0" t="s">
        <v>71</v>
      </c>
      <c r="B22" s="0" t="s">
        <v>69</v>
      </c>
      <c r="C22" s="0" t="s">
        <v>70</v>
      </c>
      <c r="D22" s="0" t="n">
        <v>27</v>
      </c>
      <c r="E22" s="5" t="n">
        <v>45931.4440046296</v>
      </c>
      <c r="F22" s="0" t="n">
        <v>2.08</v>
      </c>
      <c r="G22" s="0" t="n">
        <v>17043</v>
      </c>
      <c r="H22" s="6" t="s">
        <v>74</v>
      </c>
      <c r="I22" s="6" t="n">
        <f aca="false">D22*F22</f>
        <v>56.16</v>
      </c>
      <c r="J22" s="6" t="n">
        <f aca="false">HOUR(E22)</f>
        <v>10</v>
      </c>
      <c r="K22" s="6" t="n">
        <f aca="false">IF(COUNTIF($A$2:$A22,A22)=1,1,0)</f>
        <v>0</v>
      </c>
    </row>
    <row r="23" customFormat="false" ht="15" hidden="false" customHeight="false" outlineLevel="0" collapsed="false">
      <c r="A23" s="0" t="s">
        <v>71</v>
      </c>
      <c r="B23" s="0" t="s">
        <v>79</v>
      </c>
      <c r="C23" s="0" t="s">
        <v>80</v>
      </c>
      <c r="D23" s="0" t="n">
        <v>5</v>
      </c>
      <c r="E23" s="5" t="n">
        <v>45931.4440046296</v>
      </c>
      <c r="F23" s="0" t="n">
        <v>3.39</v>
      </c>
      <c r="G23" s="0" t="n">
        <v>17043</v>
      </c>
      <c r="H23" s="6" t="s">
        <v>74</v>
      </c>
      <c r="I23" s="6" t="n">
        <f aca="false">D23*F23</f>
        <v>16.95</v>
      </c>
      <c r="J23" s="6" t="n">
        <f aca="false">HOUR(E23)</f>
        <v>10</v>
      </c>
      <c r="K23" s="6" t="n">
        <f aca="false">IF(COUNTIF($A$2:$A23,A23)=1,1,0)</f>
        <v>0</v>
      </c>
    </row>
    <row r="24" customFormat="false" ht="15" hidden="false" customHeight="false" outlineLevel="0" collapsed="false">
      <c r="A24" s="0" t="s">
        <v>71</v>
      </c>
      <c r="B24" s="0" t="s">
        <v>81</v>
      </c>
      <c r="C24" s="0" t="s">
        <v>82</v>
      </c>
      <c r="D24" s="0" t="n">
        <v>24</v>
      </c>
      <c r="E24" s="5" t="n">
        <v>45931.4440046296</v>
      </c>
      <c r="F24" s="0" t="n">
        <v>1.65</v>
      </c>
      <c r="G24" s="0" t="n">
        <v>17043</v>
      </c>
      <c r="H24" s="6" t="s">
        <v>74</v>
      </c>
      <c r="I24" s="6" t="n">
        <f aca="false">D24*F24</f>
        <v>39.6</v>
      </c>
      <c r="J24" s="6" t="n">
        <f aca="false">HOUR(E24)</f>
        <v>10</v>
      </c>
      <c r="K24" s="6" t="n">
        <f aca="false">IF(COUNTIF($A$2:$A24,A24)=1,1,0)</f>
        <v>0</v>
      </c>
    </row>
    <row r="25" customFormat="false" ht="15" hidden="false" customHeight="false" outlineLevel="0" collapsed="false">
      <c r="A25" s="0" t="s">
        <v>71</v>
      </c>
      <c r="B25" s="0" t="s">
        <v>40</v>
      </c>
      <c r="C25" s="0" t="s">
        <v>41</v>
      </c>
      <c r="D25" s="0" t="n">
        <v>4</v>
      </c>
      <c r="E25" s="5" t="n">
        <v>45931.4440046296</v>
      </c>
      <c r="F25" s="0" t="n">
        <v>1.06</v>
      </c>
      <c r="G25" s="0" t="n">
        <v>17043</v>
      </c>
      <c r="H25" s="6" t="s">
        <v>74</v>
      </c>
      <c r="I25" s="6" t="n">
        <f aca="false">D25*F25</f>
        <v>4.24</v>
      </c>
      <c r="J25" s="6" t="n">
        <f aca="false">HOUR(E25)</f>
        <v>10</v>
      </c>
      <c r="K25" s="6" t="n">
        <f aca="false">IF(COUNTIF($A$2:$A25,A25)=1,1,0)</f>
        <v>0</v>
      </c>
    </row>
    <row r="26" customFormat="false" ht="15" hidden="false" customHeight="false" outlineLevel="0" collapsed="false">
      <c r="A26" s="0" t="s">
        <v>71</v>
      </c>
      <c r="B26" s="0" t="s">
        <v>83</v>
      </c>
      <c r="C26" s="0" t="s">
        <v>84</v>
      </c>
      <c r="D26" s="0" t="n">
        <v>6</v>
      </c>
      <c r="E26" s="5" t="n">
        <v>45931.4440046296</v>
      </c>
      <c r="F26" s="0" t="n">
        <v>2.95</v>
      </c>
      <c r="G26" s="0" t="n">
        <v>17043</v>
      </c>
      <c r="H26" s="6" t="s">
        <v>74</v>
      </c>
      <c r="I26" s="6" t="n">
        <f aca="false">D26*F26</f>
        <v>17.7</v>
      </c>
      <c r="J26" s="6" t="n">
        <f aca="false">HOUR(E26)</f>
        <v>10</v>
      </c>
      <c r="K26" s="6" t="n">
        <f aca="false">IF(COUNTIF($A$2:$A26,A26)=1,1,0)</f>
        <v>0</v>
      </c>
    </row>
    <row r="27" customFormat="false" ht="15" hidden="false" customHeight="false" outlineLevel="0" collapsed="false">
      <c r="A27" s="0" t="s">
        <v>85</v>
      </c>
      <c r="B27" s="0" t="s">
        <v>86</v>
      </c>
      <c r="C27" s="0" t="s">
        <v>87</v>
      </c>
      <c r="D27" s="0" t="n">
        <v>14</v>
      </c>
      <c r="E27" s="5" t="n">
        <v>45931.473587963</v>
      </c>
      <c r="F27" s="0" t="n">
        <v>4.25</v>
      </c>
      <c r="G27" s="0" t="n">
        <v>17193</v>
      </c>
      <c r="H27" s="6" t="s">
        <v>74</v>
      </c>
      <c r="I27" s="6" t="n">
        <f aca="false">D27*F27</f>
        <v>59.5</v>
      </c>
      <c r="J27" s="6" t="n">
        <f aca="false">HOUR(E27)</f>
        <v>11</v>
      </c>
      <c r="K27" s="6" t="n">
        <f aca="false">IF(COUNTIF($A$2:$A27,A27)=1,1,0)</f>
        <v>1</v>
      </c>
    </row>
    <row r="28" customFormat="false" ht="15" hidden="false" customHeight="false" outlineLevel="0" collapsed="false">
      <c r="A28" s="0" t="s">
        <v>85</v>
      </c>
      <c r="B28" s="0" t="s">
        <v>88</v>
      </c>
      <c r="C28" s="0" t="s">
        <v>89</v>
      </c>
      <c r="D28" s="0" t="n">
        <v>21</v>
      </c>
      <c r="E28" s="5" t="n">
        <v>45931.473587963</v>
      </c>
      <c r="F28" s="0" t="n">
        <v>2.75</v>
      </c>
      <c r="G28" s="0" t="n">
        <v>17193</v>
      </c>
      <c r="H28" s="6" t="s">
        <v>74</v>
      </c>
      <c r="I28" s="6" t="n">
        <f aca="false">D28*F28</f>
        <v>57.75</v>
      </c>
      <c r="J28" s="6" t="n">
        <f aca="false">HOUR(E28)</f>
        <v>11</v>
      </c>
      <c r="K28" s="6" t="n">
        <f aca="false">IF(COUNTIF($A$2:$A28,A28)=1,1,0)</f>
        <v>0</v>
      </c>
    </row>
    <row r="29" customFormat="false" ht="15" hidden="false" customHeight="false" outlineLevel="0" collapsed="false">
      <c r="A29" s="0" t="s">
        <v>85</v>
      </c>
      <c r="B29" s="0" t="s">
        <v>55</v>
      </c>
      <c r="C29" s="0" t="s">
        <v>56</v>
      </c>
      <c r="D29" s="0" t="n">
        <v>23</v>
      </c>
      <c r="E29" s="5" t="n">
        <v>45931.473587963</v>
      </c>
      <c r="F29" s="0" t="n">
        <v>1.65</v>
      </c>
      <c r="G29" s="0" t="n">
        <v>17193</v>
      </c>
      <c r="H29" s="6" t="s">
        <v>74</v>
      </c>
      <c r="I29" s="6" t="n">
        <f aca="false">D29*F29</f>
        <v>37.95</v>
      </c>
      <c r="J29" s="6" t="n">
        <f aca="false">HOUR(E29)</f>
        <v>11</v>
      </c>
      <c r="K29" s="6" t="n">
        <f aca="false">IF(COUNTIF($A$2:$A29,A29)=1,1,0)</f>
        <v>0</v>
      </c>
    </row>
    <row r="30" customFormat="false" ht="15" hidden="false" customHeight="false" outlineLevel="0" collapsed="false">
      <c r="A30" s="0" t="s">
        <v>85</v>
      </c>
      <c r="B30" s="0" t="s">
        <v>43</v>
      </c>
      <c r="C30" s="0" t="s">
        <v>44</v>
      </c>
      <c r="D30" s="0" t="n">
        <v>7</v>
      </c>
      <c r="E30" s="5" t="n">
        <v>45931.473587963</v>
      </c>
      <c r="F30" s="0" t="n">
        <v>4.25</v>
      </c>
      <c r="G30" s="0" t="n">
        <v>17193</v>
      </c>
      <c r="H30" s="6" t="s">
        <v>74</v>
      </c>
      <c r="I30" s="6" t="n">
        <f aca="false">D30*F30</f>
        <v>29.75</v>
      </c>
      <c r="J30" s="6" t="n">
        <f aca="false">HOUR(E30)</f>
        <v>11</v>
      </c>
      <c r="K30" s="6" t="n">
        <f aca="false">IF(COUNTIF($A$2:$A30,A30)=1,1,0)</f>
        <v>0</v>
      </c>
    </row>
    <row r="31" customFormat="false" ht="15" hidden="false" customHeight="false" outlineLevel="0" collapsed="false">
      <c r="A31" s="0" t="s">
        <v>85</v>
      </c>
      <c r="B31" s="0" t="s">
        <v>75</v>
      </c>
      <c r="C31" s="0" t="s">
        <v>76</v>
      </c>
      <c r="D31" s="0" t="n">
        <v>11</v>
      </c>
      <c r="E31" s="5" t="n">
        <v>45931.473587963</v>
      </c>
      <c r="F31" s="0" t="n">
        <v>3.39</v>
      </c>
      <c r="G31" s="0" t="n">
        <v>17193</v>
      </c>
      <c r="H31" s="6" t="s">
        <v>74</v>
      </c>
      <c r="I31" s="6" t="n">
        <f aca="false">D31*F31</f>
        <v>37.29</v>
      </c>
      <c r="J31" s="6" t="n">
        <f aca="false">HOUR(E31)</f>
        <v>11</v>
      </c>
      <c r="K31" s="6" t="n">
        <f aca="false">IF(COUNTIF($A$2:$A31,A31)=1,1,0)</f>
        <v>0</v>
      </c>
    </row>
    <row r="32" customFormat="false" ht="15" hidden="false" customHeight="false" outlineLevel="0" collapsed="false">
      <c r="A32" s="0" t="s">
        <v>90</v>
      </c>
      <c r="B32" s="0" t="s">
        <v>91</v>
      </c>
      <c r="C32" s="0" t="s">
        <v>92</v>
      </c>
      <c r="D32" s="0" t="n">
        <v>11</v>
      </c>
      <c r="E32" s="5" t="n">
        <v>45931.4866666667</v>
      </c>
      <c r="F32" s="0" t="n">
        <v>7.65</v>
      </c>
      <c r="G32" s="0" t="n">
        <v>17129</v>
      </c>
      <c r="H32" s="6" t="s">
        <v>68</v>
      </c>
      <c r="I32" s="6" t="n">
        <f aca="false">D32*F32</f>
        <v>84.15</v>
      </c>
      <c r="J32" s="6" t="n">
        <f aca="false">HOUR(E32)</f>
        <v>11</v>
      </c>
      <c r="K32" s="6" t="n">
        <f aca="false">IF(COUNTIF($A$2:$A32,A32)=1,1,0)</f>
        <v>1</v>
      </c>
    </row>
    <row r="33" customFormat="false" ht="15" hidden="false" customHeight="false" outlineLevel="0" collapsed="false">
      <c r="A33" s="0" t="s">
        <v>90</v>
      </c>
      <c r="B33" s="0" t="s">
        <v>63</v>
      </c>
      <c r="C33" s="0" t="s">
        <v>64</v>
      </c>
      <c r="D33" s="0" t="n">
        <v>10</v>
      </c>
      <c r="E33" s="5" t="n">
        <v>45931.4866666667</v>
      </c>
      <c r="F33" s="0" t="n">
        <v>1.85</v>
      </c>
      <c r="G33" s="0" t="n">
        <v>17129</v>
      </c>
      <c r="H33" s="6" t="s">
        <v>68</v>
      </c>
      <c r="I33" s="6" t="n">
        <f aca="false">D33*F33</f>
        <v>18.5</v>
      </c>
      <c r="J33" s="6" t="n">
        <f aca="false">HOUR(E33)</f>
        <v>11</v>
      </c>
      <c r="K33" s="6" t="n">
        <f aca="false">IF(COUNTIF($A$2:$A33,A33)=1,1,0)</f>
        <v>0</v>
      </c>
    </row>
    <row r="34" customFormat="false" ht="15" hidden="false" customHeight="false" outlineLevel="0" collapsed="false">
      <c r="A34" s="0" t="s">
        <v>90</v>
      </c>
      <c r="B34" s="0" t="s">
        <v>93</v>
      </c>
      <c r="C34" s="0" t="s">
        <v>94</v>
      </c>
      <c r="D34" s="0" t="n">
        <v>20</v>
      </c>
      <c r="E34" s="5" t="n">
        <v>45931.4866666667</v>
      </c>
      <c r="F34" s="0" t="n">
        <v>1.69</v>
      </c>
      <c r="G34" s="0" t="n">
        <v>17129</v>
      </c>
      <c r="H34" s="6" t="s">
        <v>68</v>
      </c>
      <c r="I34" s="6" t="n">
        <f aca="false">D34*F34</f>
        <v>33.8</v>
      </c>
      <c r="J34" s="6" t="n">
        <f aca="false">HOUR(E34)</f>
        <v>11</v>
      </c>
      <c r="K34" s="6" t="n">
        <f aca="false">IF(COUNTIF($A$2:$A34,A34)=1,1,0)</f>
        <v>0</v>
      </c>
    </row>
    <row r="35" customFormat="false" ht="15" hidden="false" customHeight="false" outlineLevel="0" collapsed="false">
      <c r="A35" s="0" t="s">
        <v>90</v>
      </c>
      <c r="B35" s="0" t="s">
        <v>95</v>
      </c>
      <c r="C35" s="0" t="s">
        <v>96</v>
      </c>
      <c r="D35" s="0" t="n">
        <v>20</v>
      </c>
      <c r="E35" s="5" t="n">
        <v>45931.4866666667</v>
      </c>
      <c r="F35" s="0" t="n">
        <v>2.55</v>
      </c>
      <c r="G35" s="0" t="n">
        <v>17129</v>
      </c>
      <c r="H35" s="6" t="s">
        <v>68</v>
      </c>
      <c r="I35" s="6" t="n">
        <f aca="false">D35*F35</f>
        <v>51</v>
      </c>
      <c r="J35" s="6" t="n">
        <f aca="false">HOUR(E35)</f>
        <v>11</v>
      </c>
      <c r="K35" s="6" t="n">
        <f aca="false">IF(COUNTIF($A$2:$A35,A35)=1,1,0)</f>
        <v>0</v>
      </c>
    </row>
    <row r="36" customFormat="false" ht="15" hidden="false" customHeight="false" outlineLevel="0" collapsed="false">
      <c r="A36" s="0" t="s">
        <v>97</v>
      </c>
      <c r="B36" s="0" t="s">
        <v>53</v>
      </c>
      <c r="C36" s="0" t="s">
        <v>54</v>
      </c>
      <c r="D36" s="0" t="n">
        <v>21</v>
      </c>
      <c r="E36" s="5" t="n">
        <v>45931.5587962963</v>
      </c>
      <c r="F36" s="0" t="n">
        <v>2.95</v>
      </c>
      <c r="G36" s="0" t="n">
        <v>17113</v>
      </c>
      <c r="H36" s="6" t="s">
        <v>98</v>
      </c>
      <c r="I36" s="6" t="n">
        <f aca="false">D36*F36</f>
        <v>61.95</v>
      </c>
      <c r="J36" s="6" t="n">
        <f aca="false">HOUR(E36)</f>
        <v>13</v>
      </c>
      <c r="K36" s="6" t="n">
        <f aca="false">IF(COUNTIF($A$2:$A36,A36)=1,1,0)</f>
        <v>1</v>
      </c>
    </row>
    <row r="37" customFormat="false" ht="15" hidden="false" customHeight="false" outlineLevel="0" collapsed="false">
      <c r="A37" s="0" t="s">
        <v>97</v>
      </c>
      <c r="B37" s="0" t="s">
        <v>99</v>
      </c>
      <c r="C37" s="0" t="s">
        <v>100</v>
      </c>
      <c r="D37" s="0" t="n">
        <v>2</v>
      </c>
      <c r="E37" s="5" t="n">
        <v>45931.5587962963</v>
      </c>
      <c r="F37" s="0" t="n">
        <v>2.08</v>
      </c>
      <c r="G37" s="0" t="n">
        <v>17113</v>
      </c>
      <c r="H37" s="6" t="s">
        <v>98</v>
      </c>
      <c r="I37" s="6" t="n">
        <f aca="false">D37*F37</f>
        <v>4.16</v>
      </c>
      <c r="J37" s="6" t="n">
        <f aca="false">HOUR(E37)</f>
        <v>13</v>
      </c>
      <c r="K37" s="6" t="n">
        <f aca="false">IF(COUNTIF($A$2:$A37,A37)=1,1,0)</f>
        <v>0</v>
      </c>
    </row>
    <row r="38" customFormat="false" ht="15" hidden="false" customHeight="false" outlineLevel="0" collapsed="false">
      <c r="A38" s="0" t="s">
        <v>101</v>
      </c>
      <c r="B38" s="0" t="s">
        <v>63</v>
      </c>
      <c r="C38" s="0" t="s">
        <v>64</v>
      </c>
      <c r="D38" s="0" t="n">
        <v>-3</v>
      </c>
      <c r="E38" s="5" t="n">
        <v>45931.6687615741</v>
      </c>
      <c r="F38" s="0" t="n">
        <v>1.85</v>
      </c>
      <c r="G38" s="0" t="n">
        <v>17149</v>
      </c>
      <c r="H38" s="6" t="s">
        <v>42</v>
      </c>
      <c r="I38" s="6" t="n">
        <f aca="false">D38*F38</f>
        <v>-5.55</v>
      </c>
      <c r="J38" s="6" t="n">
        <f aca="false">HOUR(E38)</f>
        <v>16</v>
      </c>
      <c r="K38" s="6" t="n">
        <f aca="false">IF(COUNTIF($A$2:$A38,A38)=1,1,0)</f>
        <v>1</v>
      </c>
    </row>
    <row r="39" customFormat="false" ht="15" hidden="false" customHeight="false" outlineLevel="0" collapsed="false">
      <c r="A39" s="0" t="s">
        <v>101</v>
      </c>
      <c r="B39" s="0" t="s">
        <v>102</v>
      </c>
      <c r="C39" s="0" t="s">
        <v>103</v>
      </c>
      <c r="D39" s="0" t="n">
        <v>-6</v>
      </c>
      <c r="E39" s="5" t="n">
        <v>45931.6687615741</v>
      </c>
      <c r="F39" s="0" t="n">
        <v>8.5</v>
      </c>
      <c r="G39" s="0" t="n">
        <v>17149</v>
      </c>
      <c r="H39" s="6" t="s">
        <v>42</v>
      </c>
      <c r="I39" s="6" t="n">
        <f aca="false">D39*F39</f>
        <v>-51</v>
      </c>
      <c r="J39" s="6" t="n">
        <f aca="false">HOUR(E39)</f>
        <v>16</v>
      </c>
      <c r="K39" s="6" t="n">
        <f aca="false">IF(COUNTIF($A$2:$A39,A39)=1,1,0)</f>
        <v>0</v>
      </c>
    </row>
    <row r="40" customFormat="false" ht="15" hidden="false" customHeight="false" outlineLevel="0" collapsed="false">
      <c r="A40" s="0" t="s">
        <v>101</v>
      </c>
      <c r="B40" s="0" t="s">
        <v>50</v>
      </c>
      <c r="C40" s="0" t="s">
        <v>51</v>
      </c>
      <c r="D40" s="0" t="n">
        <v>-19</v>
      </c>
      <c r="E40" s="5" t="n">
        <v>45931.6687615741</v>
      </c>
      <c r="F40" s="0" t="n">
        <v>5.95</v>
      </c>
      <c r="G40" s="0" t="n">
        <v>17149</v>
      </c>
      <c r="H40" s="6" t="s">
        <v>42</v>
      </c>
      <c r="I40" s="6" t="n">
        <f aca="false">D40*F40</f>
        <v>-113.05</v>
      </c>
      <c r="J40" s="6" t="n">
        <f aca="false">HOUR(E40)</f>
        <v>16</v>
      </c>
      <c r="K40" s="6" t="n">
        <f aca="false">IF(COUNTIF($A$2:$A40,A40)=1,1,0)</f>
        <v>0</v>
      </c>
    </row>
    <row r="41" customFormat="false" ht="15" hidden="false" customHeight="false" outlineLevel="0" collapsed="false">
      <c r="A41" s="0" t="s">
        <v>101</v>
      </c>
      <c r="B41" s="0" t="s">
        <v>95</v>
      </c>
      <c r="C41" s="0" t="s">
        <v>96</v>
      </c>
      <c r="D41" s="0" t="n">
        <v>-46</v>
      </c>
      <c r="E41" s="5" t="n">
        <v>45931.6687615741</v>
      </c>
      <c r="F41" s="0" t="n">
        <v>2.55</v>
      </c>
      <c r="G41" s="0" t="n">
        <v>17149</v>
      </c>
      <c r="H41" s="6" t="s">
        <v>42</v>
      </c>
      <c r="I41" s="6" t="n">
        <f aca="false">D41*F41</f>
        <v>-117.3</v>
      </c>
      <c r="J41" s="6" t="n">
        <f aca="false">HOUR(E41)</f>
        <v>16</v>
      </c>
      <c r="K41" s="6" t="n">
        <f aca="false">IF(COUNTIF($A$2:$A41,A41)=1,1,0)</f>
        <v>0</v>
      </c>
    </row>
    <row r="42" customFormat="false" ht="15" hidden="false" customHeight="false" outlineLevel="0" collapsed="false">
      <c r="A42" s="0" t="s">
        <v>101</v>
      </c>
      <c r="B42" s="0" t="s">
        <v>104</v>
      </c>
      <c r="C42" s="0" t="s">
        <v>105</v>
      </c>
      <c r="D42" s="0" t="n">
        <v>-4</v>
      </c>
      <c r="E42" s="5" t="n">
        <v>45931.6687615741</v>
      </c>
      <c r="F42" s="0" t="n">
        <v>1.65</v>
      </c>
      <c r="G42" s="0" t="n">
        <v>17149</v>
      </c>
      <c r="H42" s="6" t="s">
        <v>42</v>
      </c>
      <c r="I42" s="6" t="n">
        <f aca="false">D42*F42</f>
        <v>-6.6</v>
      </c>
      <c r="J42" s="6" t="n">
        <f aca="false">HOUR(E42)</f>
        <v>16</v>
      </c>
      <c r="K42" s="6" t="n">
        <f aca="false">IF(COUNTIF($A$2:$A42,A42)=1,1,0)</f>
        <v>0</v>
      </c>
    </row>
    <row r="43" customFormat="false" ht="15" hidden="false" customHeight="false" outlineLevel="0" collapsed="false">
      <c r="A43" s="0" t="s">
        <v>101</v>
      </c>
      <c r="B43" s="0" t="s">
        <v>53</v>
      </c>
      <c r="C43" s="0" t="s">
        <v>54</v>
      </c>
      <c r="D43" s="0" t="n">
        <v>-16</v>
      </c>
      <c r="E43" s="5" t="n">
        <v>45931.6687615741</v>
      </c>
      <c r="F43" s="0" t="n">
        <v>2.95</v>
      </c>
      <c r="G43" s="0" t="n">
        <v>17149</v>
      </c>
      <c r="H43" s="6" t="s">
        <v>42</v>
      </c>
      <c r="I43" s="6" t="n">
        <f aca="false">D43*F43</f>
        <v>-47.2</v>
      </c>
      <c r="J43" s="6" t="n">
        <f aca="false">HOUR(E43)</f>
        <v>16</v>
      </c>
      <c r="K43" s="6" t="n">
        <f aca="false">IF(COUNTIF($A$2:$A43,A43)=1,1,0)</f>
        <v>0</v>
      </c>
    </row>
    <row r="44" customFormat="false" ht="15" hidden="false" customHeight="false" outlineLevel="0" collapsed="false">
      <c r="A44" s="0" t="s">
        <v>101</v>
      </c>
      <c r="B44" s="0" t="s">
        <v>81</v>
      </c>
      <c r="C44" s="0" t="s">
        <v>82</v>
      </c>
      <c r="D44" s="0" t="n">
        <v>-8</v>
      </c>
      <c r="E44" s="5" t="n">
        <v>45931.6687615741</v>
      </c>
      <c r="F44" s="0" t="n">
        <v>1.65</v>
      </c>
      <c r="G44" s="0" t="n">
        <v>17149</v>
      </c>
      <c r="H44" s="6" t="s">
        <v>42</v>
      </c>
      <c r="I44" s="6" t="n">
        <f aca="false">D44*F44</f>
        <v>-13.2</v>
      </c>
      <c r="J44" s="6" t="n">
        <f aca="false">HOUR(E44)</f>
        <v>16</v>
      </c>
      <c r="K44" s="6" t="n">
        <f aca="false">IF(COUNTIF($A$2:$A44,A44)=1,1,0)</f>
        <v>0</v>
      </c>
    </row>
    <row r="45" customFormat="false" ht="15" hidden="false" customHeight="false" outlineLevel="0" collapsed="false">
      <c r="A45" s="0" t="s">
        <v>106</v>
      </c>
      <c r="B45" s="0" t="s">
        <v>107</v>
      </c>
      <c r="C45" s="0" t="s">
        <v>108</v>
      </c>
      <c r="D45" s="0" t="n">
        <v>20</v>
      </c>
      <c r="E45" s="5" t="n">
        <v>45931.7248726852</v>
      </c>
      <c r="F45" s="0" t="n">
        <v>3.75</v>
      </c>
      <c r="G45" s="0" t="n">
        <v>17174</v>
      </c>
      <c r="H45" s="6" t="s">
        <v>42</v>
      </c>
      <c r="I45" s="6" t="n">
        <f aca="false">D45*F45</f>
        <v>75</v>
      </c>
      <c r="J45" s="6" t="n">
        <f aca="false">HOUR(E45)</f>
        <v>17</v>
      </c>
      <c r="K45" s="6" t="n">
        <f aca="false">IF(COUNTIF($A$2:$A45,A45)=1,1,0)</f>
        <v>1</v>
      </c>
    </row>
    <row r="46" customFormat="false" ht="15" hidden="false" customHeight="false" outlineLevel="0" collapsed="false">
      <c r="A46" s="0" t="s">
        <v>106</v>
      </c>
      <c r="B46" s="0" t="s">
        <v>109</v>
      </c>
      <c r="C46" s="0" t="s">
        <v>110</v>
      </c>
      <c r="D46" s="0" t="n">
        <v>17</v>
      </c>
      <c r="E46" s="5" t="n">
        <v>45931.7248726852</v>
      </c>
      <c r="F46" s="0" t="n">
        <v>0.85</v>
      </c>
      <c r="G46" s="0" t="n">
        <v>17174</v>
      </c>
      <c r="H46" s="6" t="s">
        <v>42</v>
      </c>
      <c r="I46" s="6" t="n">
        <f aca="false">D46*F46</f>
        <v>14.45</v>
      </c>
      <c r="J46" s="6" t="n">
        <f aca="false">HOUR(E46)</f>
        <v>17</v>
      </c>
      <c r="K46" s="6" t="n">
        <f aca="false">IF(COUNTIF($A$2:$A46,A46)=1,1,0)</f>
        <v>0</v>
      </c>
    </row>
    <row r="47" customFormat="false" ht="15" hidden="false" customHeight="false" outlineLevel="0" collapsed="false">
      <c r="A47" s="0" t="s">
        <v>106</v>
      </c>
      <c r="B47" s="0" t="s">
        <v>53</v>
      </c>
      <c r="C47" s="0" t="s">
        <v>54</v>
      </c>
      <c r="D47" s="0" t="n">
        <v>19</v>
      </c>
      <c r="E47" s="5" t="n">
        <v>45931.7248726852</v>
      </c>
      <c r="F47" s="0" t="n">
        <v>2.95</v>
      </c>
      <c r="G47" s="0" t="n">
        <v>17174</v>
      </c>
      <c r="H47" s="6" t="s">
        <v>42</v>
      </c>
      <c r="I47" s="6" t="n">
        <f aca="false">D47*F47</f>
        <v>56.05</v>
      </c>
      <c r="J47" s="6" t="n">
        <f aca="false">HOUR(E47)</f>
        <v>17</v>
      </c>
      <c r="K47" s="6" t="n">
        <f aca="false">IF(COUNTIF($A$2:$A47,A47)=1,1,0)</f>
        <v>0</v>
      </c>
    </row>
    <row r="48" customFormat="false" ht="15" hidden="false" customHeight="false" outlineLevel="0" collapsed="false">
      <c r="A48" s="0" t="s">
        <v>111</v>
      </c>
      <c r="B48" s="0" t="s">
        <v>72</v>
      </c>
      <c r="C48" s="0" t="s">
        <v>73</v>
      </c>
      <c r="D48" s="0" t="n">
        <v>33</v>
      </c>
      <c r="E48" s="5" t="n">
        <v>45931.8468518519</v>
      </c>
      <c r="F48" s="0" t="n">
        <v>4.95</v>
      </c>
      <c r="G48" s="0" t="n">
        <v>17049</v>
      </c>
      <c r="H48" s="6" t="s">
        <v>68</v>
      </c>
      <c r="I48" s="6" t="n">
        <f aca="false">D48*F48</f>
        <v>163.35</v>
      </c>
      <c r="J48" s="6" t="n">
        <f aca="false">HOUR(E48)</f>
        <v>20</v>
      </c>
      <c r="K48" s="6" t="n">
        <f aca="false">IF(COUNTIF($A$2:$A48,A48)=1,1,0)</f>
        <v>1</v>
      </c>
    </row>
    <row r="49" customFormat="false" ht="15" hidden="false" customHeight="false" outlineLevel="0" collapsed="false">
      <c r="A49" s="0" t="s">
        <v>112</v>
      </c>
      <c r="B49" s="0" t="s">
        <v>63</v>
      </c>
      <c r="C49" s="0" t="s">
        <v>64</v>
      </c>
      <c r="D49" s="0" t="n">
        <v>15</v>
      </c>
      <c r="E49" s="5" t="n">
        <v>45932.2546296296</v>
      </c>
      <c r="F49" s="0" t="n">
        <v>1.85</v>
      </c>
      <c r="G49" s="0" t="n">
        <v>17253</v>
      </c>
      <c r="H49" s="6" t="s">
        <v>113</v>
      </c>
      <c r="I49" s="6" t="n">
        <f aca="false">D49*F49</f>
        <v>27.75</v>
      </c>
      <c r="J49" s="6" t="n">
        <f aca="false">HOUR(E49)</f>
        <v>6</v>
      </c>
      <c r="K49" s="6" t="n">
        <f aca="false">IF(COUNTIF($A$2:$A49,A49)=1,1,0)</f>
        <v>1</v>
      </c>
    </row>
    <row r="50" customFormat="false" ht="15" hidden="false" customHeight="false" outlineLevel="0" collapsed="false">
      <c r="A50" s="0" t="s">
        <v>112</v>
      </c>
      <c r="B50" s="0" t="s">
        <v>88</v>
      </c>
      <c r="C50" s="0" t="s">
        <v>89</v>
      </c>
      <c r="D50" s="0" t="n">
        <v>21</v>
      </c>
      <c r="E50" s="5" t="n">
        <v>45932.2546296296</v>
      </c>
      <c r="F50" s="0" t="n">
        <v>2.75</v>
      </c>
      <c r="G50" s="0" t="n">
        <v>17253</v>
      </c>
      <c r="H50" s="6" t="s">
        <v>113</v>
      </c>
      <c r="I50" s="6" t="n">
        <f aca="false">D50*F50</f>
        <v>57.75</v>
      </c>
      <c r="J50" s="6" t="n">
        <f aca="false">HOUR(E50)</f>
        <v>6</v>
      </c>
      <c r="K50" s="6" t="n">
        <f aca="false">IF(COUNTIF($A$2:$A50,A50)=1,1,0)</f>
        <v>0</v>
      </c>
    </row>
    <row r="51" customFormat="false" ht="15" hidden="false" customHeight="false" outlineLevel="0" collapsed="false">
      <c r="A51" s="0" t="s">
        <v>112</v>
      </c>
      <c r="B51" s="0" t="s">
        <v>61</v>
      </c>
      <c r="C51" s="0" t="s">
        <v>62</v>
      </c>
      <c r="D51" s="0" t="n">
        <v>3</v>
      </c>
      <c r="E51" s="5" t="n">
        <v>45932.2546296296</v>
      </c>
      <c r="F51" s="0" t="n">
        <v>1.65</v>
      </c>
      <c r="G51" s="0" t="n">
        <v>17253</v>
      </c>
      <c r="H51" s="6" t="s">
        <v>113</v>
      </c>
      <c r="I51" s="6" t="n">
        <f aca="false">D51*F51</f>
        <v>4.95</v>
      </c>
      <c r="J51" s="6" t="n">
        <f aca="false">HOUR(E51)</f>
        <v>6</v>
      </c>
      <c r="K51" s="6" t="n">
        <f aca="false">IF(COUNTIF($A$2:$A51,A51)=1,1,0)</f>
        <v>0</v>
      </c>
    </row>
    <row r="52" customFormat="false" ht="15" hidden="false" customHeight="false" outlineLevel="0" collapsed="false">
      <c r="A52" s="0" t="s">
        <v>112</v>
      </c>
      <c r="B52" s="0" t="s">
        <v>81</v>
      </c>
      <c r="D52" s="0" t="n">
        <v>19</v>
      </c>
      <c r="E52" s="5" t="n">
        <v>45932.2546296296</v>
      </c>
      <c r="F52" s="0" t="n">
        <v>1.65</v>
      </c>
      <c r="G52" s="0" t="n">
        <v>17253</v>
      </c>
      <c r="H52" s="6" t="s">
        <v>113</v>
      </c>
      <c r="I52" s="6" t="n">
        <f aca="false">D52*F52</f>
        <v>31.35</v>
      </c>
      <c r="J52" s="6" t="n">
        <f aca="false">HOUR(E52)</f>
        <v>6</v>
      </c>
      <c r="K52" s="6" t="n">
        <f aca="false">IF(COUNTIF($A$2:$A52,A52)=1,1,0)</f>
        <v>0</v>
      </c>
    </row>
    <row r="53" customFormat="false" ht="15" hidden="false" customHeight="false" outlineLevel="0" collapsed="false">
      <c r="A53" s="0" t="s">
        <v>112</v>
      </c>
      <c r="B53" s="0" t="s">
        <v>114</v>
      </c>
      <c r="C53" s="0" t="s">
        <v>115</v>
      </c>
      <c r="D53" s="0" t="n">
        <v>17</v>
      </c>
      <c r="E53" s="5" t="n">
        <v>45932.2546296296</v>
      </c>
      <c r="F53" s="0" t="n">
        <v>2.08</v>
      </c>
      <c r="G53" s="0" t="n">
        <v>17253</v>
      </c>
      <c r="H53" s="6" t="s">
        <v>113</v>
      </c>
      <c r="I53" s="6" t="n">
        <f aca="false">D53*F53</f>
        <v>35.36</v>
      </c>
      <c r="J53" s="6" t="n">
        <f aca="false">HOUR(E53)</f>
        <v>6</v>
      </c>
      <c r="K53" s="6" t="n">
        <f aca="false">IF(COUNTIF($A$2:$A53,A53)=1,1,0)</f>
        <v>0</v>
      </c>
    </row>
    <row r="54" customFormat="false" ht="15" hidden="false" customHeight="false" outlineLevel="0" collapsed="false">
      <c r="A54" s="0" t="s">
        <v>112</v>
      </c>
      <c r="B54" s="0" t="s">
        <v>53</v>
      </c>
      <c r="C54" s="0" t="s">
        <v>54</v>
      </c>
      <c r="D54" s="0" t="n">
        <v>7</v>
      </c>
      <c r="E54" s="5" t="n">
        <v>45932.2546296296</v>
      </c>
      <c r="F54" s="0" t="n">
        <v>2.95</v>
      </c>
      <c r="G54" s="0" t="n">
        <v>17253</v>
      </c>
      <c r="H54" s="6" t="s">
        <v>113</v>
      </c>
      <c r="I54" s="6" t="n">
        <f aca="false">D54*F54</f>
        <v>20.65</v>
      </c>
      <c r="J54" s="6" t="n">
        <f aca="false">HOUR(E54)</f>
        <v>6</v>
      </c>
      <c r="K54" s="6" t="n">
        <f aca="false">IF(COUNTIF($A$2:$A54,A54)=1,1,0)</f>
        <v>0</v>
      </c>
    </row>
    <row r="55" customFormat="false" ht="15" hidden="false" customHeight="false" outlineLevel="0" collapsed="false">
      <c r="A55" s="0" t="s">
        <v>112</v>
      </c>
      <c r="B55" s="0" t="s">
        <v>116</v>
      </c>
      <c r="C55" s="0" t="s">
        <v>117</v>
      </c>
      <c r="D55" s="0" t="n">
        <v>23</v>
      </c>
      <c r="E55" s="5" t="n">
        <v>45932.2546296296</v>
      </c>
      <c r="F55" s="0" t="n">
        <v>1.95</v>
      </c>
      <c r="G55" s="0" t="n">
        <v>17253</v>
      </c>
      <c r="H55" s="6" t="s">
        <v>113</v>
      </c>
      <c r="I55" s="6" t="n">
        <f aca="false">D55*F55</f>
        <v>44.85</v>
      </c>
      <c r="J55" s="6" t="n">
        <f aca="false">HOUR(E55)</f>
        <v>6</v>
      </c>
      <c r="K55" s="6" t="n">
        <f aca="false">IF(COUNTIF($A$2:$A55,A55)=1,1,0)</f>
        <v>0</v>
      </c>
    </row>
    <row r="56" customFormat="false" ht="15" hidden="false" customHeight="false" outlineLevel="0" collapsed="false">
      <c r="A56" s="0" t="s">
        <v>112</v>
      </c>
      <c r="B56" s="0" t="s">
        <v>40</v>
      </c>
      <c r="C56" s="0" t="s">
        <v>41</v>
      </c>
      <c r="D56" s="0" t="n">
        <v>6</v>
      </c>
      <c r="E56" s="5" t="n">
        <v>45932.2546296296</v>
      </c>
      <c r="F56" s="0" t="n">
        <v>1.06</v>
      </c>
      <c r="G56" s="0" t="n">
        <v>17253</v>
      </c>
      <c r="H56" s="6" t="s">
        <v>113</v>
      </c>
      <c r="I56" s="6" t="n">
        <f aca="false">D56*F56</f>
        <v>6.36</v>
      </c>
      <c r="J56" s="6" t="n">
        <f aca="false">HOUR(E56)</f>
        <v>6</v>
      </c>
      <c r="K56" s="6" t="n">
        <f aca="false">IF(COUNTIF($A$2:$A56,A56)=1,1,0)</f>
        <v>0</v>
      </c>
    </row>
    <row r="57" customFormat="false" ht="15" hidden="false" customHeight="false" outlineLevel="0" collapsed="false">
      <c r="A57" s="0" t="s">
        <v>112</v>
      </c>
      <c r="B57" s="0" t="s">
        <v>109</v>
      </c>
      <c r="C57" s="0" t="s">
        <v>110</v>
      </c>
      <c r="D57" s="0" t="n">
        <v>16</v>
      </c>
      <c r="E57" s="5" t="n">
        <v>45932.2546296296</v>
      </c>
      <c r="F57" s="0" t="n">
        <v>0.85</v>
      </c>
      <c r="G57" s="0" t="n">
        <v>17253</v>
      </c>
      <c r="H57" s="6" t="s">
        <v>113</v>
      </c>
      <c r="I57" s="6" t="n">
        <f aca="false">D57*F57</f>
        <v>13.6</v>
      </c>
      <c r="J57" s="6" t="n">
        <f aca="false">HOUR(E57)</f>
        <v>6</v>
      </c>
      <c r="K57" s="6" t="n">
        <f aca="false">IF(COUNTIF($A$2:$A57,A57)=1,1,0)</f>
        <v>0</v>
      </c>
    </row>
    <row r="58" customFormat="false" ht="15" hidden="false" customHeight="false" outlineLevel="0" collapsed="false">
      <c r="A58" s="0" t="s">
        <v>112</v>
      </c>
      <c r="B58" s="0" t="s">
        <v>118</v>
      </c>
      <c r="C58" s="0" t="s">
        <v>119</v>
      </c>
      <c r="D58" s="0" t="n">
        <v>47</v>
      </c>
      <c r="E58" s="5" t="n">
        <v>45932.2546296296</v>
      </c>
      <c r="F58" s="0" t="n">
        <v>4.95</v>
      </c>
      <c r="G58" s="0" t="n">
        <v>17253</v>
      </c>
      <c r="H58" s="6" t="s">
        <v>113</v>
      </c>
      <c r="I58" s="6" t="n">
        <f aca="false">D58*F58</f>
        <v>232.65</v>
      </c>
      <c r="J58" s="6" t="n">
        <f aca="false">HOUR(E58)</f>
        <v>6</v>
      </c>
      <c r="K58" s="6" t="n">
        <f aca="false">IF(COUNTIF($A$2:$A58,A58)=1,1,0)</f>
        <v>0</v>
      </c>
    </row>
    <row r="59" customFormat="false" ht="15" hidden="false" customHeight="false" outlineLevel="0" collapsed="false">
      <c r="A59" s="0" t="s">
        <v>120</v>
      </c>
      <c r="B59" s="0" t="s">
        <v>88</v>
      </c>
      <c r="C59" s="0" t="s">
        <v>89</v>
      </c>
      <c r="D59" s="0" t="n">
        <v>4</v>
      </c>
      <c r="E59" s="5" t="n">
        <v>45932.4186805556</v>
      </c>
      <c r="F59" s="0" t="n">
        <v>2.75</v>
      </c>
      <c r="G59" s="0" t="n">
        <v>17203</v>
      </c>
      <c r="H59" s="6" t="s">
        <v>42</v>
      </c>
      <c r="I59" s="6" t="n">
        <f aca="false">D59*F59</f>
        <v>11</v>
      </c>
      <c r="J59" s="6" t="n">
        <f aca="false">HOUR(E59)</f>
        <v>10</v>
      </c>
      <c r="K59" s="6" t="n">
        <f aca="false">IF(COUNTIF($A$2:$A59,A59)=1,1,0)</f>
        <v>1</v>
      </c>
    </row>
    <row r="60" customFormat="false" ht="15" hidden="false" customHeight="false" outlineLevel="0" collapsed="false">
      <c r="A60" s="0" t="s">
        <v>120</v>
      </c>
      <c r="B60" s="0" t="s">
        <v>121</v>
      </c>
      <c r="C60" s="0" t="s">
        <v>122</v>
      </c>
      <c r="D60" s="0" t="n">
        <v>13</v>
      </c>
      <c r="E60" s="5" t="n">
        <v>45932.4186805556</v>
      </c>
      <c r="F60" s="0" t="n">
        <v>2.1</v>
      </c>
      <c r="G60" s="0" t="n">
        <v>17203</v>
      </c>
      <c r="H60" s="6" t="s">
        <v>42</v>
      </c>
      <c r="I60" s="6" t="n">
        <f aca="false">D60*F60</f>
        <v>27.3</v>
      </c>
      <c r="J60" s="6" t="n">
        <f aca="false">HOUR(E60)</f>
        <v>10</v>
      </c>
      <c r="K60" s="6" t="n">
        <f aca="false">IF(COUNTIF($A$2:$A60,A60)=1,1,0)</f>
        <v>0</v>
      </c>
    </row>
    <row r="61" customFormat="false" ht="15" hidden="false" customHeight="false" outlineLevel="0" collapsed="false">
      <c r="A61" s="0" t="s">
        <v>120</v>
      </c>
      <c r="B61" s="0" t="s">
        <v>57</v>
      </c>
      <c r="C61" s="0" t="s">
        <v>58</v>
      </c>
      <c r="D61" s="0" t="n">
        <v>9</v>
      </c>
      <c r="E61" s="5" t="n">
        <v>45932.4186805556</v>
      </c>
      <c r="F61" s="0" t="n">
        <v>2.08</v>
      </c>
      <c r="G61" s="0" t="n">
        <v>17203</v>
      </c>
      <c r="H61" s="6" t="s">
        <v>42</v>
      </c>
      <c r="I61" s="6" t="n">
        <f aca="false">D61*F61</f>
        <v>18.72</v>
      </c>
      <c r="J61" s="6" t="n">
        <f aca="false">HOUR(E61)</f>
        <v>10</v>
      </c>
      <c r="K61" s="6" t="n">
        <f aca="false">IF(COUNTIF($A$2:$A61,A61)=1,1,0)</f>
        <v>0</v>
      </c>
    </row>
    <row r="62" customFormat="false" ht="15" hidden="false" customHeight="false" outlineLevel="0" collapsed="false">
      <c r="A62" s="0" t="s">
        <v>120</v>
      </c>
      <c r="B62" s="0" t="s">
        <v>61</v>
      </c>
      <c r="C62" s="0" t="s">
        <v>62</v>
      </c>
      <c r="D62" s="0" t="n">
        <v>5</v>
      </c>
      <c r="E62" s="5" t="n">
        <v>45932.4186805556</v>
      </c>
      <c r="F62" s="0" t="n">
        <v>1.65</v>
      </c>
      <c r="G62" s="0" t="n">
        <v>17203</v>
      </c>
      <c r="H62" s="6" t="s">
        <v>42</v>
      </c>
      <c r="I62" s="6" t="n">
        <f aca="false">D62*F62</f>
        <v>8.25</v>
      </c>
      <c r="J62" s="6" t="n">
        <f aca="false">HOUR(E62)</f>
        <v>10</v>
      </c>
      <c r="K62" s="6" t="n">
        <f aca="false">IF(COUNTIF($A$2:$A62,A62)=1,1,0)</f>
        <v>0</v>
      </c>
    </row>
    <row r="63" customFormat="false" ht="15" hidden="false" customHeight="false" outlineLevel="0" collapsed="false">
      <c r="A63" s="0" t="s">
        <v>120</v>
      </c>
      <c r="B63" s="0" t="s">
        <v>104</v>
      </c>
      <c r="C63" s="0" t="s">
        <v>105</v>
      </c>
      <c r="D63" s="0" t="n">
        <v>24</v>
      </c>
      <c r="E63" s="5" t="n">
        <v>45932.4186805556</v>
      </c>
      <c r="F63" s="0" t="n">
        <v>1.65</v>
      </c>
      <c r="G63" s="0" t="n">
        <v>17203</v>
      </c>
      <c r="H63" s="6" t="s">
        <v>42</v>
      </c>
      <c r="I63" s="6" t="n">
        <f aca="false">D63*F63</f>
        <v>39.6</v>
      </c>
      <c r="J63" s="6" t="n">
        <f aca="false">HOUR(E63)</f>
        <v>10</v>
      </c>
      <c r="K63" s="6" t="n">
        <f aca="false">IF(COUNTIF($A$2:$A63,A63)=1,1,0)</f>
        <v>0</v>
      </c>
    </row>
    <row r="64" customFormat="false" ht="15" hidden="false" customHeight="false" outlineLevel="0" collapsed="false">
      <c r="A64" s="0" t="s">
        <v>120</v>
      </c>
      <c r="B64" s="0" t="s">
        <v>59</v>
      </c>
      <c r="C64" s="0" t="s">
        <v>60</v>
      </c>
      <c r="D64" s="0" t="n">
        <v>24</v>
      </c>
      <c r="E64" s="5" t="n">
        <v>45932.4186805556</v>
      </c>
      <c r="F64" s="0" t="n">
        <v>0.42</v>
      </c>
      <c r="G64" s="0" t="n">
        <v>17203</v>
      </c>
      <c r="H64" s="6" t="s">
        <v>42</v>
      </c>
      <c r="I64" s="6" t="n">
        <f aca="false">D64*F64</f>
        <v>10.08</v>
      </c>
      <c r="J64" s="6" t="n">
        <f aca="false">HOUR(E64)</f>
        <v>10</v>
      </c>
      <c r="K64" s="6" t="n">
        <f aca="false">IF(COUNTIF($A$2:$A64,A64)=1,1,0)</f>
        <v>0</v>
      </c>
    </row>
    <row r="65" customFormat="false" ht="15" hidden="false" customHeight="false" outlineLevel="0" collapsed="false">
      <c r="A65" s="0" t="s">
        <v>120</v>
      </c>
      <c r="B65" s="0" t="s">
        <v>79</v>
      </c>
      <c r="C65" s="0" t="s">
        <v>80</v>
      </c>
      <c r="D65" s="0" t="n">
        <v>3</v>
      </c>
      <c r="E65" s="5" t="n">
        <v>45932.4186805556</v>
      </c>
      <c r="F65" s="0" t="n">
        <v>3.39</v>
      </c>
      <c r="G65" s="0" t="n">
        <v>17203</v>
      </c>
      <c r="H65" s="6" t="s">
        <v>42</v>
      </c>
      <c r="I65" s="6" t="n">
        <f aca="false">D65*F65</f>
        <v>10.17</v>
      </c>
      <c r="J65" s="6" t="n">
        <f aca="false">HOUR(E65)</f>
        <v>10</v>
      </c>
      <c r="K65" s="6" t="n">
        <f aca="false">IF(COUNTIF($A$2:$A65,A65)=1,1,0)</f>
        <v>0</v>
      </c>
    </row>
    <row r="66" customFormat="false" ht="15" hidden="false" customHeight="false" outlineLevel="0" collapsed="false">
      <c r="A66" s="0" t="s">
        <v>120</v>
      </c>
      <c r="B66" s="0" t="s">
        <v>116</v>
      </c>
      <c r="C66" s="0" t="s">
        <v>117</v>
      </c>
      <c r="D66" s="0" t="n">
        <v>1</v>
      </c>
      <c r="E66" s="5" t="n">
        <v>45932.4186805556</v>
      </c>
      <c r="F66" s="0" t="n">
        <v>1.95</v>
      </c>
      <c r="G66" s="0" t="n">
        <v>17203</v>
      </c>
      <c r="H66" s="6" t="s">
        <v>42</v>
      </c>
      <c r="I66" s="6" t="n">
        <f aca="false">D66*F66</f>
        <v>1.95</v>
      </c>
      <c r="J66" s="6" t="n">
        <f aca="false">HOUR(E66)</f>
        <v>10</v>
      </c>
      <c r="K66" s="6" t="n">
        <f aca="false">IF(COUNTIF($A$2:$A66,A66)=1,1,0)</f>
        <v>0</v>
      </c>
    </row>
    <row r="67" customFormat="false" ht="15" hidden="false" customHeight="false" outlineLevel="0" collapsed="false">
      <c r="A67" s="0" t="s">
        <v>123</v>
      </c>
      <c r="B67" s="0" t="s">
        <v>57</v>
      </c>
      <c r="C67" s="0" t="s">
        <v>58</v>
      </c>
      <c r="D67" s="0" t="n">
        <v>14</v>
      </c>
      <c r="E67" s="5" t="n">
        <v>45932.4388773148</v>
      </c>
      <c r="F67" s="0" t="n">
        <v>2.08</v>
      </c>
      <c r="G67" s="0" t="n">
        <v>17148</v>
      </c>
      <c r="H67" s="6" t="s">
        <v>113</v>
      </c>
      <c r="I67" s="6" t="n">
        <f aca="false">D67*F67</f>
        <v>29.12</v>
      </c>
      <c r="J67" s="6" t="n">
        <f aca="false">HOUR(E67)</f>
        <v>10</v>
      </c>
      <c r="K67" s="6" t="n">
        <f aca="false">IF(COUNTIF($A$2:$A67,A67)=1,1,0)</f>
        <v>1</v>
      </c>
    </row>
    <row r="68" customFormat="false" ht="15" hidden="false" customHeight="false" outlineLevel="0" collapsed="false">
      <c r="A68" s="0" t="s">
        <v>123</v>
      </c>
      <c r="B68" s="0" t="s">
        <v>79</v>
      </c>
      <c r="C68" s="0" t="s">
        <v>80</v>
      </c>
      <c r="D68" s="0" t="n">
        <v>24</v>
      </c>
      <c r="E68" s="5" t="n">
        <v>45932.4388773148</v>
      </c>
      <c r="F68" s="0" t="n">
        <v>3.39</v>
      </c>
      <c r="G68" s="0" t="n">
        <v>17148</v>
      </c>
      <c r="H68" s="6" t="s">
        <v>113</v>
      </c>
      <c r="I68" s="6" t="n">
        <f aca="false">D68*F68</f>
        <v>81.36</v>
      </c>
      <c r="J68" s="6" t="n">
        <f aca="false">HOUR(E68)</f>
        <v>10</v>
      </c>
      <c r="K68" s="6" t="n">
        <f aca="false">IF(COUNTIF($A$2:$A68,A68)=1,1,0)</f>
        <v>0</v>
      </c>
    </row>
    <row r="69" customFormat="false" ht="15" hidden="false" customHeight="false" outlineLevel="0" collapsed="false">
      <c r="A69" s="0" t="s">
        <v>123</v>
      </c>
      <c r="B69" s="0" t="s">
        <v>95</v>
      </c>
      <c r="C69" s="0" t="s">
        <v>96</v>
      </c>
      <c r="D69" s="0" t="n">
        <v>15</v>
      </c>
      <c r="E69" s="5" t="n">
        <v>45932.4388773148</v>
      </c>
      <c r="F69" s="0" t="n">
        <v>2.55</v>
      </c>
      <c r="G69" s="0" t="n">
        <v>17148</v>
      </c>
      <c r="H69" s="6" t="s">
        <v>113</v>
      </c>
      <c r="I69" s="6" t="n">
        <f aca="false">D69*F69</f>
        <v>38.25</v>
      </c>
      <c r="J69" s="6" t="n">
        <f aca="false">HOUR(E69)</f>
        <v>10</v>
      </c>
      <c r="K69" s="6" t="n">
        <f aca="false">IF(COUNTIF($A$2:$A69,A69)=1,1,0)</f>
        <v>0</v>
      </c>
    </row>
    <row r="70" customFormat="false" ht="15" hidden="false" customHeight="false" outlineLevel="0" collapsed="false">
      <c r="A70" s="0" t="s">
        <v>123</v>
      </c>
      <c r="B70" s="0" t="s">
        <v>50</v>
      </c>
      <c r="C70" s="0" t="s">
        <v>51</v>
      </c>
      <c r="D70" s="0" t="n">
        <v>23</v>
      </c>
      <c r="E70" s="5" t="n">
        <v>45932.4388773148</v>
      </c>
      <c r="F70" s="0" t="n">
        <v>5.95</v>
      </c>
      <c r="G70" s="0" t="n">
        <v>17148</v>
      </c>
      <c r="H70" s="6" t="s">
        <v>113</v>
      </c>
      <c r="I70" s="6" t="n">
        <f aca="false">D70*F70</f>
        <v>136.85</v>
      </c>
      <c r="J70" s="6" t="n">
        <f aca="false">HOUR(E70)</f>
        <v>10</v>
      </c>
      <c r="K70" s="6" t="n">
        <f aca="false">IF(COUNTIF($A$2:$A70,A70)=1,1,0)</f>
        <v>0</v>
      </c>
    </row>
    <row r="71" customFormat="false" ht="15" hidden="false" customHeight="false" outlineLevel="0" collapsed="false">
      <c r="A71" s="0" t="s">
        <v>123</v>
      </c>
      <c r="B71" s="0" t="s">
        <v>75</v>
      </c>
      <c r="C71" s="0" t="s">
        <v>76</v>
      </c>
      <c r="D71" s="0" t="n">
        <v>10</v>
      </c>
      <c r="E71" s="5" t="n">
        <v>45932.4388773148</v>
      </c>
      <c r="F71" s="0" t="n">
        <v>3.39</v>
      </c>
      <c r="G71" s="0" t="n">
        <v>17148</v>
      </c>
      <c r="H71" s="6" t="s">
        <v>113</v>
      </c>
      <c r="I71" s="6" t="n">
        <f aca="false">D71*F71</f>
        <v>33.9</v>
      </c>
      <c r="J71" s="6" t="n">
        <f aca="false">HOUR(E71)</f>
        <v>10</v>
      </c>
      <c r="K71" s="6" t="n">
        <f aca="false">IF(COUNTIF($A$2:$A71,A71)=1,1,0)</f>
        <v>0</v>
      </c>
    </row>
    <row r="72" customFormat="false" ht="15" hidden="false" customHeight="false" outlineLevel="0" collapsed="false">
      <c r="A72" s="0" t="s">
        <v>123</v>
      </c>
      <c r="B72" s="0" t="s">
        <v>61</v>
      </c>
      <c r="C72" s="0" t="s">
        <v>62</v>
      </c>
      <c r="D72" s="0" t="n">
        <v>5</v>
      </c>
      <c r="E72" s="5" t="n">
        <v>45932.4388773148</v>
      </c>
      <c r="F72" s="0" t="n">
        <v>1.65</v>
      </c>
      <c r="G72" s="0" t="n">
        <v>17148</v>
      </c>
      <c r="H72" s="6" t="s">
        <v>113</v>
      </c>
      <c r="I72" s="6" t="n">
        <f aca="false">D72*F72</f>
        <v>8.25</v>
      </c>
      <c r="J72" s="6" t="n">
        <f aca="false">HOUR(E72)</f>
        <v>10</v>
      </c>
      <c r="K72" s="6" t="n">
        <f aca="false">IF(COUNTIF($A$2:$A72,A72)=1,1,0)</f>
        <v>0</v>
      </c>
    </row>
    <row r="73" customFormat="false" ht="15" hidden="false" customHeight="false" outlineLevel="0" collapsed="false">
      <c r="A73" s="0" t="s">
        <v>123</v>
      </c>
      <c r="B73" s="0" t="s">
        <v>109</v>
      </c>
      <c r="C73" s="0" t="s">
        <v>110</v>
      </c>
      <c r="D73" s="0" t="n">
        <v>1</v>
      </c>
      <c r="E73" s="5" t="n">
        <v>45932.4388773148</v>
      </c>
      <c r="F73" s="0" t="n">
        <v>0.85</v>
      </c>
      <c r="G73" s="0" t="n">
        <v>17148</v>
      </c>
      <c r="H73" s="6" t="s">
        <v>113</v>
      </c>
      <c r="I73" s="6" t="n">
        <f aca="false">D73*F73</f>
        <v>0.85</v>
      </c>
      <c r="J73" s="6" t="n">
        <f aca="false">HOUR(E73)</f>
        <v>10</v>
      </c>
      <c r="K73" s="6" t="n">
        <f aca="false">IF(COUNTIF($A$2:$A73,A73)=1,1,0)</f>
        <v>0</v>
      </c>
    </row>
    <row r="74" customFormat="false" ht="15" hidden="false" customHeight="false" outlineLevel="0" collapsed="false">
      <c r="A74" s="0" t="s">
        <v>123</v>
      </c>
      <c r="B74" s="0" t="s">
        <v>81</v>
      </c>
      <c r="C74" s="0" t="s">
        <v>82</v>
      </c>
      <c r="D74" s="0" t="n">
        <v>19</v>
      </c>
      <c r="E74" s="5" t="n">
        <v>45932.4388773148</v>
      </c>
      <c r="F74" s="0" t="n">
        <v>1.65</v>
      </c>
      <c r="G74" s="0" t="n">
        <v>17148</v>
      </c>
      <c r="H74" s="6" t="s">
        <v>113</v>
      </c>
      <c r="I74" s="6" t="n">
        <f aca="false">D74*F74</f>
        <v>31.35</v>
      </c>
      <c r="J74" s="6" t="n">
        <f aca="false">HOUR(E74)</f>
        <v>10</v>
      </c>
      <c r="K74" s="6" t="n">
        <f aca="false">IF(COUNTIF($A$2:$A74,A74)=1,1,0)</f>
        <v>0</v>
      </c>
    </row>
    <row r="75" customFormat="false" ht="15" hidden="false" customHeight="false" outlineLevel="0" collapsed="false">
      <c r="A75" s="0" t="s">
        <v>123</v>
      </c>
      <c r="B75" s="0" t="s">
        <v>121</v>
      </c>
      <c r="C75" s="0" t="s">
        <v>122</v>
      </c>
      <c r="D75" s="0" t="n">
        <v>16</v>
      </c>
      <c r="E75" s="5" t="n">
        <v>45932.4388773148</v>
      </c>
      <c r="F75" s="0" t="n">
        <v>2.1</v>
      </c>
      <c r="G75" s="0" t="n">
        <v>17148</v>
      </c>
      <c r="H75" s="6" t="s">
        <v>113</v>
      </c>
      <c r="I75" s="6" t="n">
        <f aca="false">D75*F75</f>
        <v>33.6</v>
      </c>
      <c r="J75" s="6" t="n">
        <f aca="false">HOUR(E75)</f>
        <v>10</v>
      </c>
      <c r="K75" s="6" t="n">
        <f aca="false">IF(COUNTIF($A$2:$A75,A75)=1,1,0)</f>
        <v>0</v>
      </c>
    </row>
    <row r="76" customFormat="false" ht="15" hidden="false" customHeight="false" outlineLevel="0" collapsed="false">
      <c r="A76" s="0" t="s">
        <v>123</v>
      </c>
      <c r="B76" s="0" t="s">
        <v>116</v>
      </c>
      <c r="C76" s="0" t="s">
        <v>117</v>
      </c>
      <c r="D76" s="0" t="n">
        <v>17</v>
      </c>
      <c r="E76" s="5" t="n">
        <v>45932.4388773148</v>
      </c>
      <c r="F76" s="0" t="n">
        <v>1.95</v>
      </c>
      <c r="G76" s="0" t="n">
        <v>17148</v>
      </c>
      <c r="H76" s="6" t="s">
        <v>113</v>
      </c>
      <c r="I76" s="6" t="n">
        <f aca="false">D76*F76</f>
        <v>33.15</v>
      </c>
      <c r="J76" s="6" t="n">
        <f aca="false">HOUR(E76)</f>
        <v>10</v>
      </c>
      <c r="K76" s="6" t="n">
        <f aca="false">IF(COUNTIF($A$2:$A76,A76)=1,1,0)</f>
        <v>0</v>
      </c>
    </row>
    <row r="77" customFormat="false" ht="15" hidden="false" customHeight="false" outlineLevel="0" collapsed="false">
      <c r="A77" s="0" t="s">
        <v>124</v>
      </c>
      <c r="B77" s="0" t="s">
        <v>69</v>
      </c>
      <c r="C77" s="0" t="s">
        <v>70</v>
      </c>
      <c r="D77" s="0" t="n">
        <v>12</v>
      </c>
      <c r="E77" s="5" t="n">
        <v>45932.7554282407</v>
      </c>
      <c r="F77" s="0" t="n">
        <v>2.08</v>
      </c>
      <c r="G77" s="0" t="n">
        <v>17203</v>
      </c>
      <c r="H77" s="6" t="s">
        <v>52</v>
      </c>
      <c r="I77" s="6" t="n">
        <f aca="false">D77*F77</f>
        <v>24.96</v>
      </c>
      <c r="J77" s="6" t="n">
        <f aca="false">HOUR(E77)</f>
        <v>18</v>
      </c>
      <c r="K77" s="6" t="n">
        <f aca="false">IF(COUNTIF($A$2:$A77,A77)=1,1,0)</f>
        <v>1</v>
      </c>
    </row>
    <row r="78" customFormat="false" ht="15" hidden="false" customHeight="false" outlineLevel="0" collapsed="false">
      <c r="A78" s="0" t="s">
        <v>124</v>
      </c>
      <c r="B78" s="0" t="s">
        <v>125</v>
      </c>
      <c r="C78" s="0" t="s">
        <v>126</v>
      </c>
      <c r="D78" s="0" t="n">
        <v>24</v>
      </c>
      <c r="E78" s="5" t="n">
        <v>45932.7554282407</v>
      </c>
      <c r="F78" s="0" t="n">
        <v>1.25</v>
      </c>
      <c r="G78" s="0" t="n">
        <v>17203</v>
      </c>
      <c r="H78" s="6" t="s">
        <v>52</v>
      </c>
      <c r="I78" s="6" t="n">
        <f aca="false">D78*F78</f>
        <v>30</v>
      </c>
      <c r="J78" s="6" t="n">
        <f aca="false">HOUR(E78)</f>
        <v>18</v>
      </c>
      <c r="K78" s="6" t="n">
        <f aca="false">IF(COUNTIF($A$2:$A78,A78)=1,1,0)</f>
        <v>0</v>
      </c>
    </row>
    <row r="79" customFormat="false" ht="15" hidden="false" customHeight="false" outlineLevel="0" collapsed="false">
      <c r="A79" s="0" t="s">
        <v>124</v>
      </c>
      <c r="B79" s="0" t="s">
        <v>61</v>
      </c>
      <c r="C79" s="0" t="s">
        <v>62</v>
      </c>
      <c r="D79" s="0" t="n">
        <v>23</v>
      </c>
      <c r="E79" s="5" t="n">
        <v>45932.7554282407</v>
      </c>
      <c r="F79" s="0" t="n">
        <v>1.65</v>
      </c>
      <c r="G79" s="0" t="n">
        <v>17203</v>
      </c>
      <c r="H79" s="6" t="s">
        <v>52</v>
      </c>
      <c r="I79" s="6" t="n">
        <f aca="false">D79*F79</f>
        <v>37.95</v>
      </c>
      <c r="J79" s="6" t="n">
        <f aca="false">HOUR(E79)</f>
        <v>18</v>
      </c>
      <c r="K79" s="6" t="n">
        <f aca="false">IF(COUNTIF($A$2:$A79,A79)=1,1,0)</f>
        <v>0</v>
      </c>
    </row>
    <row r="80" customFormat="false" ht="15" hidden="false" customHeight="false" outlineLevel="0" collapsed="false">
      <c r="A80" s="0" t="s">
        <v>124</v>
      </c>
      <c r="B80" s="0" t="s">
        <v>121</v>
      </c>
      <c r="C80" s="0" t="s">
        <v>122</v>
      </c>
      <c r="D80" s="0" t="n">
        <v>9</v>
      </c>
      <c r="E80" s="5" t="n">
        <v>45932.7554282407</v>
      </c>
      <c r="F80" s="0" t="n">
        <v>2.1</v>
      </c>
      <c r="G80" s="0" t="n">
        <v>17203</v>
      </c>
      <c r="H80" s="6" t="s">
        <v>52</v>
      </c>
      <c r="I80" s="6" t="n">
        <f aca="false">D80*F80</f>
        <v>18.9</v>
      </c>
      <c r="J80" s="6" t="n">
        <f aca="false">HOUR(E80)</f>
        <v>18</v>
      </c>
      <c r="K80" s="6" t="n">
        <f aca="false">IF(COUNTIF($A$2:$A80,A80)=1,1,0)</f>
        <v>0</v>
      </c>
    </row>
    <row r="81" customFormat="false" ht="15" hidden="false" customHeight="false" outlineLevel="0" collapsed="false">
      <c r="A81" s="0" t="s">
        <v>124</v>
      </c>
      <c r="B81" s="0" t="s">
        <v>57</v>
      </c>
      <c r="D81" s="0" t="n">
        <v>6</v>
      </c>
      <c r="E81" s="5" t="n">
        <v>45932.7554282407</v>
      </c>
      <c r="F81" s="0" t="n">
        <v>2.08</v>
      </c>
      <c r="G81" s="0" t="n">
        <v>17203</v>
      </c>
      <c r="H81" s="6" t="s">
        <v>52</v>
      </c>
      <c r="I81" s="6" t="n">
        <f aca="false">D81*F81</f>
        <v>12.48</v>
      </c>
      <c r="J81" s="6" t="n">
        <f aca="false">HOUR(E81)</f>
        <v>18</v>
      </c>
      <c r="K81" s="6" t="n">
        <f aca="false">IF(COUNTIF($A$2:$A81,A81)=1,1,0)</f>
        <v>0</v>
      </c>
    </row>
    <row r="82" customFormat="false" ht="15" hidden="false" customHeight="false" outlineLevel="0" collapsed="false">
      <c r="A82" s="0" t="s">
        <v>124</v>
      </c>
      <c r="B82" s="0" t="s">
        <v>91</v>
      </c>
      <c r="C82" s="0" t="s">
        <v>92</v>
      </c>
      <c r="D82" s="0" t="n">
        <v>14</v>
      </c>
      <c r="E82" s="5" t="n">
        <v>45932.7554282407</v>
      </c>
      <c r="F82" s="0" t="n">
        <v>7.65</v>
      </c>
      <c r="G82" s="0" t="n">
        <v>17203</v>
      </c>
      <c r="H82" s="6" t="s">
        <v>52</v>
      </c>
      <c r="I82" s="6" t="n">
        <f aca="false">D82*F82</f>
        <v>107.1</v>
      </c>
      <c r="J82" s="6" t="n">
        <f aca="false">HOUR(E82)</f>
        <v>18</v>
      </c>
      <c r="K82" s="6" t="n">
        <f aca="false">IF(COUNTIF($A$2:$A82,A82)=1,1,0)</f>
        <v>0</v>
      </c>
    </row>
    <row r="83" customFormat="false" ht="15" hidden="false" customHeight="false" outlineLevel="0" collapsed="false">
      <c r="A83" s="0" t="s">
        <v>124</v>
      </c>
      <c r="B83" s="0" t="s">
        <v>107</v>
      </c>
      <c r="C83" s="0" t="s">
        <v>108</v>
      </c>
      <c r="D83" s="0" t="n">
        <v>4</v>
      </c>
      <c r="E83" s="5" t="n">
        <v>45932.7554282407</v>
      </c>
      <c r="F83" s="0" t="n">
        <v>3.75</v>
      </c>
      <c r="G83" s="0" t="n">
        <v>17203</v>
      </c>
      <c r="H83" s="6" t="s">
        <v>52</v>
      </c>
      <c r="I83" s="6" t="n">
        <f aca="false">D83*F83</f>
        <v>15</v>
      </c>
      <c r="J83" s="6" t="n">
        <f aca="false">HOUR(E83)</f>
        <v>18</v>
      </c>
      <c r="K83" s="6" t="n">
        <f aca="false">IF(COUNTIF($A$2:$A83,A83)=1,1,0)</f>
        <v>0</v>
      </c>
    </row>
    <row r="84" customFormat="false" ht="15" hidden="false" customHeight="false" outlineLevel="0" collapsed="false">
      <c r="A84" s="0" t="s">
        <v>124</v>
      </c>
      <c r="B84" s="0" t="s">
        <v>53</v>
      </c>
      <c r="C84" s="0" t="s">
        <v>54</v>
      </c>
      <c r="D84" s="0" t="n">
        <v>24</v>
      </c>
      <c r="E84" s="5" t="n">
        <v>45932.7554282407</v>
      </c>
      <c r="F84" s="0" t="n">
        <v>2.95</v>
      </c>
      <c r="G84" s="0" t="n">
        <v>17203</v>
      </c>
      <c r="H84" s="6" t="s">
        <v>52</v>
      </c>
      <c r="I84" s="6" t="n">
        <f aca="false">D84*F84</f>
        <v>70.8</v>
      </c>
      <c r="J84" s="6" t="n">
        <f aca="false">HOUR(E84)</f>
        <v>18</v>
      </c>
      <c r="K84" s="6" t="n">
        <f aca="false">IF(COUNTIF($A$2:$A84,A84)=1,1,0)</f>
        <v>0</v>
      </c>
    </row>
    <row r="85" customFormat="false" ht="15" hidden="false" customHeight="false" outlineLevel="0" collapsed="false">
      <c r="A85" s="0" t="s">
        <v>124</v>
      </c>
      <c r="B85" s="0" t="s">
        <v>127</v>
      </c>
      <c r="C85" s="0" t="s">
        <v>128</v>
      </c>
      <c r="D85" s="0" t="n">
        <v>12</v>
      </c>
      <c r="E85" s="5" t="n">
        <v>45932.7554282407</v>
      </c>
      <c r="F85" s="0" t="n">
        <v>1.45</v>
      </c>
      <c r="G85" s="0" t="n">
        <v>17203</v>
      </c>
      <c r="H85" s="6" t="s">
        <v>52</v>
      </c>
      <c r="I85" s="6" t="n">
        <f aca="false">D85*F85</f>
        <v>17.4</v>
      </c>
      <c r="J85" s="6" t="n">
        <f aca="false">HOUR(E85)</f>
        <v>18</v>
      </c>
      <c r="K85" s="6" t="n">
        <f aca="false">IF(COUNTIF($A$2:$A85,A85)=1,1,0)</f>
        <v>0</v>
      </c>
    </row>
    <row r="86" customFormat="false" ht="15" hidden="false" customHeight="false" outlineLevel="0" collapsed="false">
      <c r="A86" s="0" t="s">
        <v>124</v>
      </c>
      <c r="B86" s="0" t="s">
        <v>55</v>
      </c>
      <c r="C86" s="0" t="s">
        <v>56</v>
      </c>
      <c r="D86" s="0" t="n">
        <v>10</v>
      </c>
      <c r="E86" s="5" t="n">
        <v>45932.7554282407</v>
      </c>
      <c r="F86" s="0" t="n">
        <v>1.65</v>
      </c>
      <c r="G86" s="0" t="n">
        <v>17203</v>
      </c>
      <c r="H86" s="6" t="s">
        <v>52</v>
      </c>
      <c r="I86" s="6" t="n">
        <f aca="false">D86*F86</f>
        <v>16.5</v>
      </c>
      <c r="J86" s="6" t="n">
        <f aca="false">HOUR(E86)</f>
        <v>18</v>
      </c>
      <c r="K86" s="6" t="n">
        <f aca="false">IF(COUNTIF($A$2:$A86,A86)=1,1,0)</f>
        <v>0</v>
      </c>
    </row>
    <row r="87" customFormat="false" ht="15" hidden="false" customHeight="false" outlineLevel="0" collapsed="false">
      <c r="A87" s="0" t="s">
        <v>129</v>
      </c>
      <c r="B87" s="0" t="s">
        <v>63</v>
      </c>
      <c r="C87" s="0" t="s">
        <v>64</v>
      </c>
      <c r="D87" s="0" t="n">
        <v>8</v>
      </c>
      <c r="E87" s="5" t="n">
        <v>45932.9096412037</v>
      </c>
      <c r="F87" s="0" t="n">
        <v>1.85</v>
      </c>
      <c r="G87" s="0" t="n">
        <v>17202</v>
      </c>
      <c r="H87" s="6" t="s">
        <v>74</v>
      </c>
      <c r="I87" s="6" t="n">
        <f aca="false">D87*F87</f>
        <v>14.8</v>
      </c>
      <c r="J87" s="6" t="n">
        <f aca="false">HOUR(E87)</f>
        <v>21</v>
      </c>
      <c r="K87" s="6" t="n">
        <f aca="false">IF(COUNTIF($A$2:$A87,A87)=1,1,0)</f>
        <v>1</v>
      </c>
    </row>
    <row r="88" customFormat="false" ht="15" hidden="false" customHeight="false" outlineLevel="0" collapsed="false">
      <c r="A88" s="0" t="s">
        <v>130</v>
      </c>
      <c r="B88" s="0" t="s">
        <v>69</v>
      </c>
      <c r="C88" s="0" t="s">
        <v>70</v>
      </c>
      <c r="D88" s="0" t="n">
        <v>43</v>
      </c>
      <c r="E88" s="5" t="n">
        <v>45932.9624884259</v>
      </c>
      <c r="F88" s="0" t="n">
        <v>2.08</v>
      </c>
      <c r="G88" s="0" t="n">
        <v>17248</v>
      </c>
      <c r="H88" s="6" t="s">
        <v>74</v>
      </c>
      <c r="I88" s="6" t="n">
        <f aca="false">D88*F88</f>
        <v>89.44</v>
      </c>
      <c r="J88" s="6" t="n">
        <f aca="false">HOUR(E88)</f>
        <v>23</v>
      </c>
      <c r="K88" s="6" t="n">
        <f aca="false">IF(COUNTIF($A$2:$A88,A88)=1,1,0)</f>
        <v>1</v>
      </c>
    </row>
    <row r="89" customFormat="false" ht="15" hidden="false" customHeight="false" outlineLevel="0" collapsed="false">
      <c r="A89" s="0" t="s">
        <v>130</v>
      </c>
      <c r="B89" s="0" t="s">
        <v>55</v>
      </c>
      <c r="C89" s="0" t="s">
        <v>56</v>
      </c>
      <c r="D89" s="0" t="n">
        <v>17</v>
      </c>
      <c r="E89" s="5" t="n">
        <v>45932.9624884259</v>
      </c>
      <c r="F89" s="0" t="n">
        <v>1.65</v>
      </c>
      <c r="G89" s="0" t="n">
        <v>17248</v>
      </c>
      <c r="H89" s="6" t="s">
        <v>74</v>
      </c>
      <c r="I89" s="6" t="n">
        <f aca="false">D89*F89</f>
        <v>28.05</v>
      </c>
      <c r="J89" s="6" t="n">
        <f aca="false">HOUR(E89)</f>
        <v>23</v>
      </c>
      <c r="K89" s="6" t="n">
        <f aca="false">IF(COUNTIF($A$2:$A89,A89)=1,1,0)</f>
        <v>0</v>
      </c>
    </row>
    <row r="90" customFormat="false" ht="15" hidden="false" customHeight="false" outlineLevel="0" collapsed="false">
      <c r="A90" s="0" t="s">
        <v>130</v>
      </c>
      <c r="B90" s="0" t="s">
        <v>81</v>
      </c>
      <c r="C90" s="0" t="s">
        <v>82</v>
      </c>
      <c r="D90" s="0" t="n">
        <v>19</v>
      </c>
      <c r="E90" s="5" t="n">
        <v>45932.9624884259</v>
      </c>
      <c r="F90" s="0" t="n">
        <v>1.65</v>
      </c>
      <c r="G90" s="0" t="n">
        <v>17248</v>
      </c>
      <c r="H90" s="6" t="s">
        <v>74</v>
      </c>
      <c r="I90" s="6" t="n">
        <f aca="false">D90*F90</f>
        <v>31.35</v>
      </c>
      <c r="J90" s="6" t="n">
        <f aca="false">HOUR(E90)</f>
        <v>23</v>
      </c>
      <c r="K90" s="6" t="n">
        <f aca="false">IF(COUNTIF($A$2:$A90,A90)=1,1,0)</f>
        <v>0</v>
      </c>
    </row>
    <row r="91" customFormat="false" ht="15" hidden="false" customHeight="false" outlineLevel="0" collapsed="false">
      <c r="A91" s="0" t="s">
        <v>130</v>
      </c>
      <c r="B91" s="0" t="s">
        <v>95</v>
      </c>
      <c r="C91" s="0" t="s">
        <v>96</v>
      </c>
      <c r="D91" s="0" t="n">
        <v>26</v>
      </c>
      <c r="E91" s="5" t="n">
        <v>45932.9624884259</v>
      </c>
      <c r="F91" s="0" t="n">
        <v>2.55</v>
      </c>
      <c r="G91" s="0" t="n">
        <v>17248</v>
      </c>
      <c r="H91" s="6" t="s">
        <v>74</v>
      </c>
      <c r="I91" s="6" t="n">
        <f aca="false">D91*F91</f>
        <v>66.3</v>
      </c>
      <c r="J91" s="6" t="n">
        <f aca="false">HOUR(E91)</f>
        <v>23</v>
      </c>
      <c r="K91" s="6" t="n">
        <f aca="false">IF(COUNTIF($A$2:$A91,A91)=1,1,0)</f>
        <v>0</v>
      </c>
    </row>
    <row r="92" customFormat="false" ht="15" hidden="false" customHeight="false" outlineLevel="0" collapsed="false">
      <c r="A92" s="0" t="s">
        <v>130</v>
      </c>
      <c r="B92" s="0" t="s">
        <v>121</v>
      </c>
      <c r="C92" s="0" t="s">
        <v>122</v>
      </c>
      <c r="D92" s="0" t="n">
        <v>10</v>
      </c>
      <c r="E92" s="5" t="n">
        <v>45932.9624884259</v>
      </c>
      <c r="F92" s="0" t="n">
        <v>2.1</v>
      </c>
      <c r="G92" s="0" t="n">
        <v>17248</v>
      </c>
      <c r="H92" s="6" t="s">
        <v>74</v>
      </c>
      <c r="I92" s="6" t="n">
        <f aca="false">D92*F92</f>
        <v>21</v>
      </c>
      <c r="J92" s="6" t="n">
        <f aca="false">HOUR(E92)</f>
        <v>23</v>
      </c>
      <c r="K92" s="6" t="n">
        <f aca="false">IF(COUNTIF($A$2:$A92,A92)=1,1,0)</f>
        <v>0</v>
      </c>
    </row>
    <row r="93" customFormat="false" ht="15" hidden="false" customHeight="false" outlineLevel="0" collapsed="false">
      <c r="A93" s="0" t="s">
        <v>130</v>
      </c>
      <c r="B93" s="0" t="s">
        <v>131</v>
      </c>
      <c r="C93" s="0" t="s">
        <v>132</v>
      </c>
      <c r="D93" s="0" t="n">
        <v>16</v>
      </c>
      <c r="E93" s="5" t="n">
        <v>45932.9624884259</v>
      </c>
      <c r="F93" s="0" t="n">
        <v>3.39</v>
      </c>
      <c r="G93" s="0" t="n">
        <v>17248</v>
      </c>
      <c r="H93" s="6" t="s">
        <v>74</v>
      </c>
      <c r="I93" s="6" t="n">
        <f aca="false">D93*F93</f>
        <v>54.24</v>
      </c>
      <c r="J93" s="6" t="n">
        <f aca="false">HOUR(E93)</f>
        <v>23</v>
      </c>
      <c r="K93" s="6" t="n">
        <f aca="false">IF(COUNTIF($A$2:$A93,A93)=1,1,0)</f>
        <v>0</v>
      </c>
    </row>
    <row r="94" customFormat="false" ht="15" hidden="false" customHeight="false" outlineLevel="0" collapsed="false">
      <c r="A94" s="0" t="s">
        <v>130</v>
      </c>
      <c r="B94" s="0" t="s">
        <v>45</v>
      </c>
      <c r="C94" s="0" t="s">
        <v>46</v>
      </c>
      <c r="D94" s="0" t="n">
        <v>15</v>
      </c>
      <c r="E94" s="5" t="n">
        <v>45932.9624884259</v>
      </c>
      <c r="F94" s="0" t="n">
        <v>2.1</v>
      </c>
      <c r="G94" s="0" t="n">
        <v>17248</v>
      </c>
      <c r="H94" s="6" t="s">
        <v>74</v>
      </c>
      <c r="I94" s="6" t="n">
        <f aca="false">D94*F94</f>
        <v>31.5</v>
      </c>
      <c r="J94" s="6" t="n">
        <f aca="false">HOUR(E94)</f>
        <v>23</v>
      </c>
      <c r="K94" s="6" t="n">
        <f aca="false">IF(COUNTIF($A$2:$A94,A94)=1,1,0)</f>
        <v>0</v>
      </c>
    </row>
    <row r="95" customFormat="false" ht="15" hidden="false" customHeight="false" outlineLevel="0" collapsed="false">
      <c r="A95" s="0" t="s">
        <v>130</v>
      </c>
      <c r="B95" s="0" t="s">
        <v>118</v>
      </c>
      <c r="C95" s="0" t="s">
        <v>119</v>
      </c>
      <c r="D95" s="0" t="n">
        <v>41</v>
      </c>
      <c r="E95" s="5" t="n">
        <v>45932.9624884259</v>
      </c>
      <c r="F95" s="0" t="n">
        <v>4.95</v>
      </c>
      <c r="G95" s="0" t="n">
        <v>17248</v>
      </c>
      <c r="H95" s="6" t="s">
        <v>74</v>
      </c>
      <c r="I95" s="6" t="n">
        <f aca="false">D95*F95</f>
        <v>202.95</v>
      </c>
      <c r="J95" s="6" t="n">
        <f aca="false">HOUR(E95)</f>
        <v>23</v>
      </c>
      <c r="K95" s="6" t="n">
        <f aca="false">IF(COUNTIF($A$2:$A95,A95)=1,1,0)</f>
        <v>0</v>
      </c>
    </row>
    <row r="96" customFormat="false" ht="15" hidden="false" customHeight="false" outlineLevel="0" collapsed="false">
      <c r="A96" s="0" t="s">
        <v>133</v>
      </c>
      <c r="B96" s="0" t="s">
        <v>102</v>
      </c>
      <c r="C96" s="0" t="s">
        <v>103</v>
      </c>
      <c r="D96" s="0" t="n">
        <v>48</v>
      </c>
      <c r="E96" s="5" t="n">
        <v>45933.0207523148</v>
      </c>
      <c r="F96" s="0" t="n">
        <v>8.5</v>
      </c>
      <c r="H96" s="6" t="s">
        <v>74</v>
      </c>
      <c r="I96" s="6" t="n">
        <f aca="false">D96*F96</f>
        <v>408</v>
      </c>
      <c r="J96" s="6" t="n">
        <f aca="false">HOUR(E96)</f>
        <v>0</v>
      </c>
      <c r="K96" s="6" t="n">
        <f aca="false">IF(COUNTIF($A$2:$A96,A96)=1,1,0)</f>
        <v>1</v>
      </c>
    </row>
    <row r="97" customFormat="false" ht="15" hidden="false" customHeight="false" outlineLevel="0" collapsed="false">
      <c r="A97" s="0" t="s">
        <v>133</v>
      </c>
      <c r="B97" s="0" t="s">
        <v>134</v>
      </c>
      <c r="C97" s="0" t="s">
        <v>135</v>
      </c>
      <c r="D97" s="0" t="n">
        <v>21</v>
      </c>
      <c r="E97" s="5" t="n">
        <v>45933.0207523148</v>
      </c>
      <c r="F97" s="0" t="n">
        <v>5.95</v>
      </c>
      <c r="H97" s="6" t="s">
        <v>74</v>
      </c>
      <c r="I97" s="6" t="n">
        <f aca="false">D97*F97</f>
        <v>124.95</v>
      </c>
      <c r="J97" s="6" t="n">
        <f aca="false">HOUR(E97)</f>
        <v>0</v>
      </c>
      <c r="K97" s="6" t="n">
        <f aca="false">IF(COUNTIF($A$2:$A97,A97)=1,1,0)</f>
        <v>0</v>
      </c>
    </row>
    <row r="98" customFormat="false" ht="15" hidden="false" customHeight="false" outlineLevel="0" collapsed="false">
      <c r="A98" s="0" t="s">
        <v>133</v>
      </c>
      <c r="B98" s="0" t="s">
        <v>69</v>
      </c>
      <c r="C98" s="0" t="s">
        <v>70</v>
      </c>
      <c r="D98" s="0" t="n">
        <v>11</v>
      </c>
      <c r="E98" s="5" t="n">
        <v>45933.0207523148</v>
      </c>
      <c r="F98" s="0" t="n">
        <v>2.08</v>
      </c>
      <c r="H98" s="6" t="s">
        <v>74</v>
      </c>
      <c r="I98" s="6" t="n">
        <f aca="false">D98*F98</f>
        <v>22.88</v>
      </c>
      <c r="J98" s="6" t="n">
        <f aca="false">HOUR(E98)</f>
        <v>0</v>
      </c>
      <c r="K98" s="6" t="n">
        <f aca="false">IF(COUNTIF($A$2:$A98,A98)=1,1,0)</f>
        <v>0</v>
      </c>
    </row>
    <row r="99" customFormat="false" ht="15" hidden="false" customHeight="false" outlineLevel="0" collapsed="false">
      <c r="A99" s="0" t="s">
        <v>133</v>
      </c>
      <c r="B99" s="0" t="s">
        <v>99</v>
      </c>
      <c r="C99" s="0" t="s">
        <v>100</v>
      </c>
      <c r="D99" s="0" t="n">
        <v>23</v>
      </c>
      <c r="E99" s="5" t="n">
        <v>45933.0207523148</v>
      </c>
      <c r="F99" s="0" t="n">
        <v>2.08</v>
      </c>
      <c r="H99" s="6" t="s">
        <v>74</v>
      </c>
      <c r="I99" s="6" t="n">
        <f aca="false">D99*F99</f>
        <v>47.84</v>
      </c>
      <c r="J99" s="6" t="n">
        <f aca="false">HOUR(E99)</f>
        <v>0</v>
      </c>
      <c r="K99" s="6" t="n">
        <f aca="false">IF(COUNTIF($A$2:$A99,A99)=1,1,0)</f>
        <v>0</v>
      </c>
    </row>
    <row r="100" customFormat="false" ht="15" hidden="false" customHeight="false" outlineLevel="0" collapsed="false">
      <c r="A100" s="0" t="s">
        <v>133</v>
      </c>
      <c r="B100" s="0" t="s">
        <v>75</v>
      </c>
      <c r="C100" s="0" t="s">
        <v>76</v>
      </c>
      <c r="D100" s="0" t="n">
        <v>12</v>
      </c>
      <c r="E100" s="5" t="n">
        <v>45933.0207523148</v>
      </c>
      <c r="F100" s="0" t="n">
        <v>3.39</v>
      </c>
      <c r="H100" s="6" t="s">
        <v>74</v>
      </c>
      <c r="I100" s="6" t="n">
        <f aca="false">D100*F100</f>
        <v>40.68</v>
      </c>
      <c r="J100" s="6" t="n">
        <f aca="false">HOUR(E100)</f>
        <v>0</v>
      </c>
      <c r="K100" s="6" t="n">
        <f aca="false">IF(COUNTIF($A$2:$A100,A100)=1,1,0)</f>
        <v>0</v>
      </c>
    </row>
    <row r="101" customFormat="false" ht="15" hidden="false" customHeight="false" outlineLevel="0" collapsed="false">
      <c r="A101" s="0" t="s">
        <v>136</v>
      </c>
      <c r="B101" s="0" t="s">
        <v>91</v>
      </c>
      <c r="C101" s="0" t="s">
        <v>92</v>
      </c>
      <c r="D101" s="0" t="n">
        <v>13</v>
      </c>
      <c r="E101" s="5" t="n">
        <v>45933.3420486111</v>
      </c>
      <c r="F101" s="0" t="n">
        <v>7.65</v>
      </c>
      <c r="G101" s="0" t="n">
        <v>17076</v>
      </c>
      <c r="H101" s="6" t="s">
        <v>42</v>
      </c>
      <c r="I101" s="6" t="n">
        <f aca="false">D101*F101</f>
        <v>99.45</v>
      </c>
      <c r="J101" s="6" t="n">
        <f aca="false">HOUR(E101)</f>
        <v>8</v>
      </c>
      <c r="K101" s="6" t="n">
        <f aca="false">IF(COUNTIF($A$2:$A101,A101)=1,1,0)</f>
        <v>1</v>
      </c>
    </row>
    <row r="102" customFormat="false" ht="15" hidden="false" customHeight="false" outlineLevel="0" collapsed="false">
      <c r="A102" s="0" t="s">
        <v>136</v>
      </c>
      <c r="B102" s="0" t="s">
        <v>86</v>
      </c>
      <c r="C102" s="0" t="s">
        <v>87</v>
      </c>
      <c r="D102" s="0" t="n">
        <v>20</v>
      </c>
      <c r="E102" s="5" t="n">
        <v>45933.3420486111</v>
      </c>
      <c r="F102" s="0" t="n">
        <v>4.25</v>
      </c>
      <c r="G102" s="0" t="n">
        <v>17076</v>
      </c>
      <c r="H102" s="6" t="s">
        <v>42</v>
      </c>
      <c r="I102" s="6" t="n">
        <f aca="false">D102*F102</f>
        <v>85</v>
      </c>
      <c r="J102" s="6" t="n">
        <f aca="false">HOUR(E102)</f>
        <v>8</v>
      </c>
      <c r="K102" s="6" t="n">
        <f aca="false">IF(COUNTIF($A$2:$A102,A102)=1,1,0)</f>
        <v>0</v>
      </c>
    </row>
    <row r="103" customFormat="false" ht="15" hidden="false" customHeight="false" outlineLevel="0" collapsed="false">
      <c r="A103" s="0" t="s">
        <v>136</v>
      </c>
      <c r="B103" s="0" t="s">
        <v>137</v>
      </c>
      <c r="C103" s="0" t="s">
        <v>138</v>
      </c>
      <c r="D103" s="0" t="n">
        <v>1</v>
      </c>
      <c r="E103" s="5" t="n">
        <v>45933.3420486111</v>
      </c>
      <c r="F103" s="0" t="n">
        <v>2.1</v>
      </c>
      <c r="G103" s="0" t="n">
        <v>17076</v>
      </c>
      <c r="H103" s="6" t="s">
        <v>42</v>
      </c>
      <c r="I103" s="6" t="n">
        <f aca="false">D103*F103</f>
        <v>2.1</v>
      </c>
      <c r="J103" s="6" t="n">
        <f aca="false">HOUR(E103)</f>
        <v>8</v>
      </c>
      <c r="K103" s="6" t="n">
        <f aca="false">IF(COUNTIF($A$2:$A103,A103)=1,1,0)</f>
        <v>0</v>
      </c>
    </row>
    <row r="104" customFormat="false" ht="15" hidden="false" customHeight="false" outlineLevel="0" collapsed="false">
      <c r="A104" s="0" t="s">
        <v>136</v>
      </c>
      <c r="B104" s="0" t="s">
        <v>83</v>
      </c>
      <c r="C104" s="0" t="s">
        <v>84</v>
      </c>
      <c r="D104" s="0" t="n">
        <v>22</v>
      </c>
      <c r="E104" s="5" t="n">
        <v>45933.3420486111</v>
      </c>
      <c r="F104" s="0" t="n">
        <v>2.95</v>
      </c>
      <c r="G104" s="0" t="n">
        <v>17076</v>
      </c>
      <c r="H104" s="6" t="s">
        <v>42</v>
      </c>
      <c r="I104" s="6" t="n">
        <f aca="false">D104*F104</f>
        <v>64.9</v>
      </c>
      <c r="J104" s="6" t="n">
        <f aca="false">HOUR(E104)</f>
        <v>8</v>
      </c>
      <c r="K104" s="6" t="n">
        <f aca="false">IF(COUNTIF($A$2:$A104,A104)=1,1,0)</f>
        <v>0</v>
      </c>
    </row>
    <row r="105" customFormat="false" ht="15" hidden="false" customHeight="false" outlineLevel="0" collapsed="false">
      <c r="A105" s="0" t="s">
        <v>136</v>
      </c>
      <c r="B105" s="0" t="s">
        <v>88</v>
      </c>
      <c r="C105" s="0" t="s">
        <v>89</v>
      </c>
      <c r="D105" s="0" t="n">
        <v>17</v>
      </c>
      <c r="E105" s="5" t="n">
        <v>45933.3420486111</v>
      </c>
      <c r="F105" s="0" t="n">
        <v>2.75</v>
      </c>
      <c r="G105" s="0" t="n">
        <v>17076</v>
      </c>
      <c r="H105" s="6" t="s">
        <v>42</v>
      </c>
      <c r="I105" s="6" t="n">
        <f aca="false">D105*F105</f>
        <v>46.75</v>
      </c>
      <c r="J105" s="6" t="n">
        <f aca="false">HOUR(E105)</f>
        <v>8</v>
      </c>
      <c r="K105" s="6" t="n">
        <f aca="false">IF(COUNTIF($A$2:$A105,A105)=1,1,0)</f>
        <v>0</v>
      </c>
    </row>
    <row r="106" customFormat="false" ht="15" hidden="false" customHeight="false" outlineLevel="0" collapsed="false">
      <c r="A106" s="0" t="s">
        <v>136</v>
      </c>
      <c r="B106" s="0" t="s">
        <v>77</v>
      </c>
      <c r="C106" s="0" t="s">
        <v>78</v>
      </c>
      <c r="D106" s="0" t="n">
        <v>2</v>
      </c>
      <c r="E106" s="5" t="n">
        <v>45933.3420486111</v>
      </c>
      <c r="F106" s="0" t="n">
        <v>1.65</v>
      </c>
      <c r="G106" s="0" t="n">
        <v>17076</v>
      </c>
      <c r="H106" s="6" t="s">
        <v>42</v>
      </c>
      <c r="I106" s="6" t="n">
        <f aca="false">D106*F106</f>
        <v>3.3</v>
      </c>
      <c r="J106" s="6" t="n">
        <f aca="false">HOUR(E106)</f>
        <v>8</v>
      </c>
      <c r="K106" s="6" t="n">
        <f aca="false">IF(COUNTIF($A$2:$A106,A106)=1,1,0)</f>
        <v>0</v>
      </c>
    </row>
    <row r="107" customFormat="false" ht="15" hidden="false" customHeight="false" outlineLevel="0" collapsed="false">
      <c r="A107" s="0" t="s">
        <v>136</v>
      </c>
      <c r="B107" s="0" t="s">
        <v>40</v>
      </c>
      <c r="C107" s="0" t="s">
        <v>41</v>
      </c>
      <c r="D107" s="0" t="n">
        <v>14</v>
      </c>
      <c r="E107" s="5" t="n">
        <v>45933.3420486111</v>
      </c>
      <c r="F107" s="0" t="n">
        <v>1.06</v>
      </c>
      <c r="G107" s="0" t="n">
        <v>17076</v>
      </c>
      <c r="H107" s="6" t="s">
        <v>42</v>
      </c>
      <c r="I107" s="6" t="n">
        <f aca="false">D107*F107</f>
        <v>14.84</v>
      </c>
      <c r="J107" s="6" t="n">
        <f aca="false">HOUR(E107)</f>
        <v>8</v>
      </c>
      <c r="K107" s="6" t="n">
        <f aca="false">IF(COUNTIF($A$2:$A107,A107)=1,1,0)</f>
        <v>0</v>
      </c>
    </row>
    <row r="108" customFormat="false" ht="15" hidden="false" customHeight="false" outlineLevel="0" collapsed="false">
      <c r="A108" s="0" t="s">
        <v>136</v>
      </c>
      <c r="B108" s="0" t="s">
        <v>63</v>
      </c>
      <c r="C108" s="0" t="s">
        <v>64</v>
      </c>
      <c r="D108" s="0" t="n">
        <v>16</v>
      </c>
      <c r="E108" s="5" t="n">
        <v>45933.3420486111</v>
      </c>
      <c r="F108" s="0" t="n">
        <v>1.85</v>
      </c>
      <c r="G108" s="0" t="n">
        <v>17076</v>
      </c>
      <c r="H108" s="6" t="s">
        <v>42</v>
      </c>
      <c r="I108" s="6" t="n">
        <f aca="false">D108*F108</f>
        <v>29.6</v>
      </c>
      <c r="J108" s="6" t="n">
        <f aca="false">HOUR(E108)</f>
        <v>8</v>
      </c>
      <c r="K108" s="6" t="n">
        <f aca="false">IF(COUNTIF($A$2:$A108,A108)=1,1,0)</f>
        <v>0</v>
      </c>
    </row>
    <row r="109" customFormat="false" ht="15" hidden="false" customHeight="false" outlineLevel="0" collapsed="false">
      <c r="A109" s="0" t="s">
        <v>136</v>
      </c>
      <c r="B109" s="0" t="s">
        <v>102</v>
      </c>
      <c r="C109" s="0" t="s">
        <v>103</v>
      </c>
      <c r="D109" s="0" t="n">
        <v>42</v>
      </c>
      <c r="E109" s="5" t="n">
        <v>45933.3420486111</v>
      </c>
      <c r="F109" s="0" t="n">
        <v>8.5</v>
      </c>
      <c r="G109" s="0" t="n">
        <v>17076</v>
      </c>
      <c r="H109" s="6" t="s">
        <v>42</v>
      </c>
      <c r="I109" s="6" t="n">
        <f aca="false">D109*F109</f>
        <v>357</v>
      </c>
      <c r="J109" s="6" t="n">
        <f aca="false">HOUR(E109)</f>
        <v>8</v>
      </c>
      <c r="K109" s="6" t="n">
        <f aca="false">IF(COUNTIF($A$2:$A109,A109)=1,1,0)</f>
        <v>0</v>
      </c>
    </row>
    <row r="110" customFormat="false" ht="15" hidden="false" customHeight="false" outlineLevel="0" collapsed="false">
      <c r="A110" s="0" t="s">
        <v>136</v>
      </c>
      <c r="B110" s="0" t="s">
        <v>99</v>
      </c>
      <c r="C110" s="0" t="s">
        <v>100</v>
      </c>
      <c r="D110" s="0" t="n">
        <v>5</v>
      </c>
      <c r="E110" s="5" t="n">
        <v>45933.3420486111</v>
      </c>
      <c r="F110" s="0" t="n">
        <v>2.08</v>
      </c>
      <c r="G110" s="0" t="n">
        <v>17076</v>
      </c>
      <c r="H110" s="6" t="s">
        <v>42</v>
      </c>
      <c r="I110" s="6" t="n">
        <f aca="false">D110*F110</f>
        <v>10.4</v>
      </c>
      <c r="J110" s="6" t="n">
        <f aca="false">HOUR(E110)</f>
        <v>8</v>
      </c>
      <c r="K110" s="6" t="n">
        <f aca="false">IF(COUNTIF($A$2:$A110,A110)=1,1,0)</f>
        <v>0</v>
      </c>
    </row>
    <row r="111" customFormat="false" ht="15" hidden="false" customHeight="false" outlineLevel="0" collapsed="false">
      <c r="A111" s="0" t="s">
        <v>139</v>
      </c>
      <c r="B111" s="0" t="s">
        <v>109</v>
      </c>
      <c r="C111" s="0" t="s">
        <v>110</v>
      </c>
      <c r="D111" s="0" t="n">
        <v>1</v>
      </c>
      <c r="E111" s="5" t="n">
        <v>45933.4614583333</v>
      </c>
      <c r="F111" s="0" t="n">
        <v>0.85</v>
      </c>
      <c r="G111" s="0" t="n">
        <v>17140</v>
      </c>
      <c r="H111" s="6" t="s">
        <v>74</v>
      </c>
      <c r="I111" s="6" t="n">
        <f aca="false">D111*F111</f>
        <v>0.85</v>
      </c>
      <c r="J111" s="6" t="n">
        <f aca="false">HOUR(E111)</f>
        <v>11</v>
      </c>
      <c r="K111" s="6" t="n">
        <f aca="false">IF(COUNTIF($A$2:$A111,A111)=1,1,0)</f>
        <v>1</v>
      </c>
    </row>
    <row r="112" customFormat="false" ht="15" hidden="false" customHeight="false" outlineLevel="0" collapsed="false">
      <c r="A112" s="0" t="s">
        <v>139</v>
      </c>
      <c r="B112" s="0" t="s">
        <v>118</v>
      </c>
      <c r="C112" s="0" t="s">
        <v>119</v>
      </c>
      <c r="D112" s="0" t="n">
        <v>37</v>
      </c>
      <c r="E112" s="5" t="n">
        <v>45933.4614583333</v>
      </c>
      <c r="F112" s="0" t="n">
        <v>4.95</v>
      </c>
      <c r="G112" s="0" t="n">
        <v>17140</v>
      </c>
      <c r="H112" s="6" t="s">
        <v>74</v>
      </c>
      <c r="I112" s="6" t="n">
        <f aca="false">D112*F112</f>
        <v>183.15</v>
      </c>
      <c r="J112" s="6" t="n">
        <f aca="false">HOUR(E112)</f>
        <v>11</v>
      </c>
      <c r="K112" s="6" t="n">
        <f aca="false">IF(COUNTIF($A$2:$A112,A112)=1,1,0)</f>
        <v>0</v>
      </c>
    </row>
    <row r="113" customFormat="false" ht="15" hidden="false" customHeight="false" outlineLevel="0" collapsed="false">
      <c r="A113" s="0" t="s">
        <v>139</v>
      </c>
      <c r="B113" s="0" t="s">
        <v>91</v>
      </c>
      <c r="C113" s="0" t="s">
        <v>92</v>
      </c>
      <c r="D113" s="0" t="n">
        <v>4</v>
      </c>
      <c r="E113" s="5" t="n">
        <v>45933.4614583333</v>
      </c>
      <c r="F113" s="0" t="n">
        <v>7.65</v>
      </c>
      <c r="G113" s="0" t="n">
        <v>17140</v>
      </c>
      <c r="H113" s="6" t="s">
        <v>74</v>
      </c>
      <c r="I113" s="6" t="n">
        <f aca="false">D113*F113</f>
        <v>30.6</v>
      </c>
      <c r="J113" s="6" t="n">
        <f aca="false">HOUR(E113)</f>
        <v>11</v>
      </c>
      <c r="K113" s="6" t="n">
        <f aca="false">IF(COUNTIF($A$2:$A113,A113)=1,1,0)</f>
        <v>0</v>
      </c>
    </row>
    <row r="114" customFormat="false" ht="15" hidden="false" customHeight="false" outlineLevel="0" collapsed="false">
      <c r="A114" s="0" t="s">
        <v>139</v>
      </c>
      <c r="B114" s="0" t="s">
        <v>81</v>
      </c>
      <c r="C114" s="0" t="s">
        <v>82</v>
      </c>
      <c r="D114" s="0" t="n">
        <v>20</v>
      </c>
      <c r="E114" s="5" t="n">
        <v>45933.4614583333</v>
      </c>
      <c r="F114" s="0" t="n">
        <v>1.65</v>
      </c>
      <c r="G114" s="0" t="n">
        <v>17140</v>
      </c>
      <c r="H114" s="6" t="s">
        <v>74</v>
      </c>
      <c r="I114" s="6" t="n">
        <f aca="false">D114*F114</f>
        <v>33</v>
      </c>
      <c r="J114" s="6" t="n">
        <f aca="false">HOUR(E114)</f>
        <v>11</v>
      </c>
      <c r="K114" s="6" t="n">
        <f aca="false">IF(COUNTIF($A$2:$A114,A114)=1,1,0)</f>
        <v>0</v>
      </c>
    </row>
    <row r="115" customFormat="false" ht="15" hidden="false" customHeight="false" outlineLevel="0" collapsed="false">
      <c r="A115" s="0" t="s">
        <v>139</v>
      </c>
      <c r="B115" s="0" t="s">
        <v>140</v>
      </c>
      <c r="C115" s="0" t="s">
        <v>141</v>
      </c>
      <c r="D115" s="0" t="n">
        <v>8</v>
      </c>
      <c r="E115" s="5" t="n">
        <v>45933.4614583333</v>
      </c>
      <c r="F115" s="0" t="n">
        <v>2.08</v>
      </c>
      <c r="G115" s="0" t="n">
        <v>17140</v>
      </c>
      <c r="H115" s="6" t="s">
        <v>74</v>
      </c>
      <c r="I115" s="6" t="n">
        <f aca="false">D115*F115</f>
        <v>16.64</v>
      </c>
      <c r="J115" s="6" t="n">
        <f aca="false">HOUR(E115)</f>
        <v>11</v>
      </c>
      <c r="K115" s="6" t="n">
        <f aca="false">IF(COUNTIF($A$2:$A115,A115)=1,1,0)</f>
        <v>0</v>
      </c>
    </row>
    <row r="116" customFormat="false" ht="15" hidden="false" customHeight="false" outlineLevel="0" collapsed="false">
      <c r="A116" s="0" t="s">
        <v>139</v>
      </c>
      <c r="B116" s="0" t="s">
        <v>47</v>
      </c>
      <c r="C116" s="0" t="s">
        <v>48</v>
      </c>
      <c r="D116" s="0" t="n">
        <v>25</v>
      </c>
      <c r="E116" s="5" t="n">
        <v>45933.4614583333</v>
      </c>
      <c r="F116" s="0" t="n">
        <v>12.75</v>
      </c>
      <c r="G116" s="0" t="n">
        <v>17140</v>
      </c>
      <c r="H116" s="6" t="s">
        <v>74</v>
      </c>
      <c r="I116" s="6" t="n">
        <f aca="false">D116*F116</f>
        <v>318.75</v>
      </c>
      <c r="J116" s="6" t="n">
        <f aca="false">HOUR(E116)</f>
        <v>11</v>
      </c>
      <c r="K116" s="6" t="n">
        <f aca="false">IF(COUNTIF($A$2:$A116,A116)=1,1,0)</f>
        <v>0</v>
      </c>
    </row>
    <row r="117" customFormat="false" ht="15" hidden="false" customHeight="false" outlineLevel="0" collapsed="false">
      <c r="A117" s="0" t="s">
        <v>142</v>
      </c>
      <c r="B117" s="0" t="s">
        <v>127</v>
      </c>
      <c r="C117" s="0" t="s">
        <v>128</v>
      </c>
      <c r="D117" s="0" t="n">
        <v>19</v>
      </c>
      <c r="E117" s="5" t="n">
        <v>45933.4963194444</v>
      </c>
      <c r="F117" s="0" t="n">
        <v>1.45</v>
      </c>
      <c r="G117" s="0" t="n">
        <v>17060</v>
      </c>
      <c r="H117" s="6" t="s">
        <v>68</v>
      </c>
      <c r="I117" s="6" t="n">
        <f aca="false">D117*F117</f>
        <v>27.55</v>
      </c>
      <c r="J117" s="6" t="n">
        <f aca="false">HOUR(E117)</f>
        <v>11</v>
      </c>
      <c r="K117" s="6" t="n">
        <f aca="false">IF(COUNTIF($A$2:$A117,A117)=1,1,0)</f>
        <v>1</v>
      </c>
    </row>
    <row r="118" customFormat="false" ht="15" hidden="false" customHeight="false" outlineLevel="0" collapsed="false">
      <c r="A118" s="0" t="s">
        <v>142</v>
      </c>
      <c r="B118" s="0" t="s">
        <v>131</v>
      </c>
      <c r="C118" s="0" t="s">
        <v>132</v>
      </c>
      <c r="D118" s="0" t="n">
        <v>13</v>
      </c>
      <c r="E118" s="5" t="n">
        <v>45933.4963194444</v>
      </c>
      <c r="F118" s="0" t="n">
        <v>3.39</v>
      </c>
      <c r="G118" s="0" t="n">
        <v>17060</v>
      </c>
      <c r="H118" s="6" t="s">
        <v>68</v>
      </c>
      <c r="I118" s="6" t="n">
        <f aca="false">D118*F118</f>
        <v>44.07</v>
      </c>
      <c r="J118" s="6" t="n">
        <f aca="false">HOUR(E118)</f>
        <v>11</v>
      </c>
      <c r="K118" s="6" t="n">
        <f aca="false">IF(COUNTIF($A$2:$A118,A118)=1,1,0)</f>
        <v>0</v>
      </c>
    </row>
    <row r="119" customFormat="false" ht="15" hidden="false" customHeight="false" outlineLevel="0" collapsed="false">
      <c r="A119" s="0" t="s">
        <v>142</v>
      </c>
      <c r="B119" s="0" t="s">
        <v>77</v>
      </c>
      <c r="C119" s="0" t="s">
        <v>78</v>
      </c>
      <c r="D119" s="0" t="n">
        <v>1</v>
      </c>
      <c r="E119" s="5" t="n">
        <v>45933.4963194444</v>
      </c>
      <c r="F119" s="0" t="n">
        <v>1.65</v>
      </c>
      <c r="G119" s="0" t="n">
        <v>17060</v>
      </c>
      <c r="H119" s="6" t="s">
        <v>68</v>
      </c>
      <c r="I119" s="6" t="n">
        <f aca="false">D119*F119</f>
        <v>1.65</v>
      </c>
      <c r="J119" s="6" t="n">
        <f aca="false">HOUR(E119)</f>
        <v>11</v>
      </c>
      <c r="K119" s="6" t="n">
        <f aca="false">IF(COUNTIF($A$2:$A119,A119)=1,1,0)</f>
        <v>0</v>
      </c>
    </row>
    <row r="120" customFormat="false" ht="15" hidden="false" customHeight="false" outlineLevel="0" collapsed="false">
      <c r="A120" s="0" t="s">
        <v>142</v>
      </c>
      <c r="B120" s="0" t="s">
        <v>75</v>
      </c>
      <c r="C120" s="0" t="s">
        <v>76</v>
      </c>
      <c r="D120" s="0" t="n">
        <v>22</v>
      </c>
      <c r="E120" s="5" t="n">
        <v>45933.4963194444</v>
      </c>
      <c r="F120" s="0" t="n">
        <v>3.39</v>
      </c>
      <c r="G120" s="0" t="n">
        <v>17060</v>
      </c>
      <c r="H120" s="6" t="s">
        <v>68</v>
      </c>
      <c r="I120" s="6" t="n">
        <f aca="false">D120*F120</f>
        <v>74.58</v>
      </c>
      <c r="J120" s="6" t="n">
        <f aca="false">HOUR(E120)</f>
        <v>11</v>
      </c>
      <c r="K120" s="6" t="n">
        <f aca="false">IF(COUNTIF($A$2:$A120,A120)=1,1,0)</f>
        <v>0</v>
      </c>
    </row>
    <row r="121" customFormat="false" ht="15" hidden="false" customHeight="false" outlineLevel="0" collapsed="false">
      <c r="A121" s="0" t="s">
        <v>142</v>
      </c>
      <c r="B121" s="0" t="s">
        <v>134</v>
      </c>
      <c r="C121" s="0" t="s">
        <v>135</v>
      </c>
      <c r="D121" s="0" t="n">
        <v>17</v>
      </c>
      <c r="E121" s="5" t="n">
        <v>45933.4963194444</v>
      </c>
      <c r="F121" s="0" t="n">
        <v>5.95</v>
      </c>
      <c r="G121" s="0" t="n">
        <v>17060</v>
      </c>
      <c r="H121" s="6" t="s">
        <v>68</v>
      </c>
      <c r="I121" s="6" t="n">
        <f aca="false">D121*F121</f>
        <v>101.15</v>
      </c>
      <c r="J121" s="6" t="n">
        <f aca="false">HOUR(E121)</f>
        <v>11</v>
      </c>
      <c r="K121" s="6" t="n">
        <f aca="false">IF(COUNTIF($A$2:$A121,A121)=1,1,0)</f>
        <v>0</v>
      </c>
    </row>
    <row r="122" customFormat="false" ht="15" hidden="false" customHeight="false" outlineLevel="0" collapsed="false">
      <c r="A122" s="0" t="s">
        <v>142</v>
      </c>
      <c r="B122" s="0" t="s">
        <v>81</v>
      </c>
      <c r="C122" s="0" t="s">
        <v>82</v>
      </c>
      <c r="D122" s="0" t="n">
        <v>13</v>
      </c>
      <c r="E122" s="5" t="n">
        <v>45933.4963194444</v>
      </c>
      <c r="F122" s="0" t="n">
        <v>1.65</v>
      </c>
      <c r="G122" s="0" t="n">
        <v>17060</v>
      </c>
      <c r="H122" s="6" t="s">
        <v>68</v>
      </c>
      <c r="I122" s="6" t="n">
        <f aca="false">D122*F122</f>
        <v>21.45</v>
      </c>
      <c r="J122" s="6" t="n">
        <f aca="false">HOUR(E122)</f>
        <v>11</v>
      </c>
      <c r="K122" s="6" t="n">
        <f aca="false">IF(COUNTIF($A$2:$A122,A122)=1,1,0)</f>
        <v>0</v>
      </c>
    </row>
    <row r="123" customFormat="false" ht="15" hidden="false" customHeight="false" outlineLevel="0" collapsed="false">
      <c r="A123" s="0" t="s">
        <v>142</v>
      </c>
      <c r="B123" s="0" t="s">
        <v>55</v>
      </c>
      <c r="C123" s="0" t="s">
        <v>56</v>
      </c>
      <c r="D123" s="0" t="n">
        <v>2</v>
      </c>
      <c r="E123" s="5" t="n">
        <v>45933.4963194444</v>
      </c>
      <c r="F123" s="0" t="n">
        <v>1.65</v>
      </c>
      <c r="G123" s="0" t="n">
        <v>17060</v>
      </c>
      <c r="H123" s="6" t="s">
        <v>68</v>
      </c>
      <c r="I123" s="6" t="n">
        <f aca="false">D123*F123</f>
        <v>3.3</v>
      </c>
      <c r="J123" s="6" t="n">
        <f aca="false">HOUR(E123)</f>
        <v>11</v>
      </c>
      <c r="K123" s="6" t="n">
        <f aca="false">IF(COUNTIF($A$2:$A123,A123)=1,1,0)</f>
        <v>0</v>
      </c>
    </row>
    <row r="124" customFormat="false" ht="15" hidden="false" customHeight="false" outlineLevel="0" collapsed="false">
      <c r="A124" s="0" t="s">
        <v>142</v>
      </c>
      <c r="B124" s="0" t="s">
        <v>118</v>
      </c>
      <c r="C124" s="0" t="s">
        <v>119</v>
      </c>
      <c r="D124" s="0" t="n">
        <v>43</v>
      </c>
      <c r="E124" s="5" t="n">
        <v>45933.4963194444</v>
      </c>
      <c r="F124" s="0" t="n">
        <v>4.95</v>
      </c>
      <c r="G124" s="0" t="n">
        <v>17060</v>
      </c>
      <c r="H124" s="6" t="s">
        <v>68</v>
      </c>
      <c r="I124" s="6" t="n">
        <f aca="false">D124*F124</f>
        <v>212.85</v>
      </c>
      <c r="J124" s="6" t="n">
        <f aca="false">HOUR(E124)</f>
        <v>11</v>
      </c>
      <c r="K124" s="6" t="n">
        <f aca="false">IF(COUNTIF($A$2:$A124,A124)=1,1,0)</f>
        <v>0</v>
      </c>
    </row>
    <row r="125" customFormat="false" ht="15" hidden="false" customHeight="false" outlineLevel="0" collapsed="false">
      <c r="A125" s="0" t="s">
        <v>143</v>
      </c>
      <c r="B125" s="0" t="s">
        <v>79</v>
      </c>
      <c r="C125" s="0" t="s">
        <v>80</v>
      </c>
      <c r="D125" s="0" t="n">
        <v>2</v>
      </c>
      <c r="E125" s="5" t="n">
        <v>45933.5919560185</v>
      </c>
      <c r="F125" s="0" t="n">
        <v>3.39</v>
      </c>
      <c r="G125" s="0" t="n">
        <v>17046</v>
      </c>
      <c r="H125" s="6" t="s">
        <v>144</v>
      </c>
      <c r="I125" s="6" t="n">
        <f aca="false">D125*F125</f>
        <v>6.78</v>
      </c>
      <c r="J125" s="6" t="n">
        <f aca="false">HOUR(E125)</f>
        <v>14</v>
      </c>
      <c r="K125" s="6" t="n">
        <f aca="false">IF(COUNTIF($A$2:$A125,A125)=1,1,0)</f>
        <v>1</v>
      </c>
    </row>
    <row r="126" customFormat="false" ht="15" hidden="false" customHeight="false" outlineLevel="0" collapsed="false">
      <c r="A126" s="0" t="s">
        <v>143</v>
      </c>
      <c r="B126" s="0" t="s">
        <v>63</v>
      </c>
      <c r="C126" s="0" t="s">
        <v>64</v>
      </c>
      <c r="D126" s="0" t="n">
        <v>18</v>
      </c>
      <c r="E126" s="5" t="n">
        <v>45933.5919560185</v>
      </c>
      <c r="F126" s="0" t="n">
        <v>1.85</v>
      </c>
      <c r="G126" s="0" t="n">
        <v>17046</v>
      </c>
      <c r="H126" s="6" t="s">
        <v>144</v>
      </c>
      <c r="I126" s="6" t="n">
        <f aca="false">D126*F126</f>
        <v>33.3</v>
      </c>
      <c r="J126" s="6" t="n">
        <f aca="false">HOUR(E126)</f>
        <v>14</v>
      </c>
      <c r="K126" s="6" t="n">
        <f aca="false">IF(COUNTIF($A$2:$A126,A126)=1,1,0)</f>
        <v>0</v>
      </c>
    </row>
    <row r="127" customFormat="false" ht="15" hidden="false" customHeight="false" outlineLevel="0" collapsed="false">
      <c r="A127" s="0" t="s">
        <v>143</v>
      </c>
      <c r="B127" s="0" t="s">
        <v>145</v>
      </c>
      <c r="C127" s="0" t="s">
        <v>146</v>
      </c>
      <c r="D127" s="0" t="n">
        <v>5</v>
      </c>
      <c r="E127" s="5" t="n">
        <v>45933.5919560185</v>
      </c>
      <c r="F127" s="0" t="n">
        <v>1.85</v>
      </c>
      <c r="G127" s="0" t="n">
        <v>17046</v>
      </c>
      <c r="H127" s="6" t="s">
        <v>144</v>
      </c>
      <c r="I127" s="6" t="n">
        <f aca="false">D127*F127</f>
        <v>9.25</v>
      </c>
      <c r="J127" s="6" t="n">
        <f aca="false">HOUR(E127)</f>
        <v>14</v>
      </c>
      <c r="K127" s="6" t="n">
        <f aca="false">IF(COUNTIF($A$2:$A127,A127)=1,1,0)</f>
        <v>0</v>
      </c>
    </row>
    <row r="128" customFormat="false" ht="15" hidden="false" customHeight="false" outlineLevel="0" collapsed="false">
      <c r="A128" s="0" t="s">
        <v>143</v>
      </c>
      <c r="B128" s="0" t="s">
        <v>131</v>
      </c>
      <c r="C128" s="0" t="s">
        <v>132</v>
      </c>
      <c r="D128" s="0" t="n">
        <v>2</v>
      </c>
      <c r="E128" s="5" t="n">
        <v>45933.5919560185</v>
      </c>
      <c r="F128" s="0" t="n">
        <v>3.39</v>
      </c>
      <c r="G128" s="0" t="n">
        <v>17046</v>
      </c>
      <c r="H128" s="6" t="s">
        <v>144</v>
      </c>
      <c r="I128" s="6" t="n">
        <f aca="false">D128*F128</f>
        <v>6.78</v>
      </c>
      <c r="J128" s="6" t="n">
        <f aca="false">HOUR(E128)</f>
        <v>14</v>
      </c>
      <c r="K128" s="6" t="n">
        <f aca="false">IF(COUNTIF($A$2:$A128,A128)=1,1,0)</f>
        <v>0</v>
      </c>
    </row>
    <row r="129" customFormat="false" ht="15" hidden="false" customHeight="false" outlineLevel="0" collapsed="false">
      <c r="A129" s="0" t="s">
        <v>143</v>
      </c>
      <c r="B129" s="0" t="s">
        <v>59</v>
      </c>
      <c r="C129" s="0" t="s">
        <v>60</v>
      </c>
      <c r="D129" s="0" t="n">
        <v>20</v>
      </c>
      <c r="E129" s="5" t="n">
        <v>45933.5919560185</v>
      </c>
      <c r="F129" s="0" t="n">
        <v>0.42</v>
      </c>
      <c r="G129" s="0" t="n">
        <v>17046</v>
      </c>
      <c r="H129" s="6" t="s">
        <v>144</v>
      </c>
      <c r="I129" s="6" t="n">
        <f aca="false">D129*F129</f>
        <v>8.4</v>
      </c>
      <c r="J129" s="6" t="n">
        <f aca="false">HOUR(E129)</f>
        <v>14</v>
      </c>
      <c r="K129" s="6" t="n">
        <f aca="false">IF(COUNTIF($A$2:$A129,A129)=1,1,0)</f>
        <v>0</v>
      </c>
    </row>
    <row r="130" customFormat="false" ht="15" hidden="false" customHeight="false" outlineLevel="0" collapsed="false">
      <c r="A130" s="0" t="s">
        <v>143</v>
      </c>
      <c r="B130" s="0" t="s">
        <v>116</v>
      </c>
      <c r="C130" s="0" t="s">
        <v>117</v>
      </c>
      <c r="D130" s="0" t="n">
        <v>18</v>
      </c>
      <c r="E130" s="5" t="n">
        <v>45933.5919560185</v>
      </c>
      <c r="F130" s="0" t="n">
        <v>1.95</v>
      </c>
      <c r="G130" s="0" t="n">
        <v>17046</v>
      </c>
      <c r="H130" s="6" t="s">
        <v>144</v>
      </c>
      <c r="I130" s="6" t="n">
        <f aca="false">D130*F130</f>
        <v>35.1</v>
      </c>
      <c r="J130" s="6" t="n">
        <f aca="false">HOUR(E130)</f>
        <v>14</v>
      </c>
      <c r="K130" s="6" t="n">
        <f aca="false">IF(COUNTIF($A$2:$A130,A130)=1,1,0)</f>
        <v>0</v>
      </c>
    </row>
    <row r="131" customFormat="false" ht="15" hidden="false" customHeight="false" outlineLevel="0" collapsed="false">
      <c r="A131" s="0" t="s">
        <v>143</v>
      </c>
      <c r="B131" s="0" t="s">
        <v>83</v>
      </c>
      <c r="C131" s="0" t="s">
        <v>84</v>
      </c>
      <c r="D131" s="0" t="n">
        <v>17</v>
      </c>
      <c r="E131" s="5" t="n">
        <v>45933.5919560185</v>
      </c>
      <c r="F131" s="0" t="n">
        <v>2.95</v>
      </c>
      <c r="G131" s="0" t="n">
        <v>17046</v>
      </c>
      <c r="H131" s="6" t="s">
        <v>144</v>
      </c>
      <c r="I131" s="6" t="n">
        <f aca="false">D131*F131</f>
        <v>50.15</v>
      </c>
      <c r="J131" s="6" t="n">
        <f aca="false">HOUR(E131)</f>
        <v>14</v>
      </c>
      <c r="K131" s="6" t="n">
        <f aca="false">IF(COUNTIF($A$2:$A131,A131)=1,1,0)</f>
        <v>0</v>
      </c>
    </row>
    <row r="132" customFormat="false" ht="15" hidden="false" customHeight="false" outlineLevel="0" collapsed="false">
      <c r="A132" s="0" t="s">
        <v>143</v>
      </c>
      <c r="B132" s="0" t="s">
        <v>118</v>
      </c>
      <c r="C132" s="0" t="s">
        <v>119</v>
      </c>
      <c r="D132" s="0" t="n">
        <v>22</v>
      </c>
      <c r="E132" s="5" t="n">
        <v>45933.5919560185</v>
      </c>
      <c r="F132" s="0" t="n">
        <v>4.95</v>
      </c>
      <c r="G132" s="0" t="n">
        <v>17046</v>
      </c>
      <c r="H132" s="6" t="s">
        <v>144</v>
      </c>
      <c r="I132" s="6" t="n">
        <f aca="false">D132*F132</f>
        <v>108.9</v>
      </c>
      <c r="J132" s="6" t="n">
        <f aca="false">HOUR(E132)</f>
        <v>14</v>
      </c>
      <c r="K132" s="6" t="n">
        <f aca="false">IF(COUNTIF($A$2:$A132,A132)=1,1,0)</f>
        <v>0</v>
      </c>
    </row>
    <row r="133" customFormat="false" ht="15" hidden="false" customHeight="false" outlineLevel="0" collapsed="false">
      <c r="A133" s="0" t="s">
        <v>143</v>
      </c>
      <c r="B133" s="0" t="s">
        <v>114</v>
      </c>
      <c r="C133" s="0" t="s">
        <v>115</v>
      </c>
      <c r="D133" s="0" t="n">
        <v>5</v>
      </c>
      <c r="E133" s="5" t="n">
        <v>45933.5919560185</v>
      </c>
      <c r="F133" s="0" t="n">
        <v>2.08</v>
      </c>
      <c r="G133" s="0" t="n">
        <v>17046</v>
      </c>
      <c r="H133" s="6" t="s">
        <v>144</v>
      </c>
      <c r="I133" s="6" t="n">
        <f aca="false">D133*F133</f>
        <v>10.4</v>
      </c>
      <c r="J133" s="6" t="n">
        <f aca="false">HOUR(E133)</f>
        <v>14</v>
      </c>
      <c r="K133" s="6" t="n">
        <f aca="false">IF(COUNTIF($A$2:$A133,A133)=1,1,0)</f>
        <v>0</v>
      </c>
    </row>
    <row r="134" customFormat="false" ht="15" hidden="false" customHeight="false" outlineLevel="0" collapsed="false">
      <c r="A134" s="0" t="s">
        <v>143</v>
      </c>
      <c r="B134" s="0" t="s">
        <v>77</v>
      </c>
      <c r="C134" s="0" t="s">
        <v>78</v>
      </c>
      <c r="D134" s="0" t="n">
        <v>3</v>
      </c>
      <c r="E134" s="5" t="n">
        <v>45933.5919560185</v>
      </c>
      <c r="F134" s="0" t="n">
        <v>1.65</v>
      </c>
      <c r="G134" s="0" t="n">
        <v>17046</v>
      </c>
      <c r="H134" s="6" t="s">
        <v>144</v>
      </c>
      <c r="I134" s="6" t="n">
        <f aca="false">D134*F134</f>
        <v>4.95</v>
      </c>
      <c r="J134" s="6" t="n">
        <f aca="false">HOUR(E134)</f>
        <v>14</v>
      </c>
      <c r="K134" s="6" t="n">
        <f aca="false">IF(COUNTIF($A$2:$A134,A134)=1,1,0)</f>
        <v>0</v>
      </c>
    </row>
    <row r="135" customFormat="false" ht="15" hidden="false" customHeight="false" outlineLevel="0" collapsed="false">
      <c r="A135" s="0" t="s">
        <v>147</v>
      </c>
      <c r="B135" s="0" t="s">
        <v>107</v>
      </c>
      <c r="C135" s="0" t="s">
        <v>108</v>
      </c>
      <c r="D135" s="0" t="n">
        <v>1</v>
      </c>
      <c r="E135" s="5" t="n">
        <v>45933.6420949074</v>
      </c>
      <c r="F135" s="0" t="n">
        <v>3.75</v>
      </c>
      <c r="H135" s="6" t="s">
        <v>42</v>
      </c>
      <c r="I135" s="6" t="n">
        <f aca="false">D135*F135</f>
        <v>3.75</v>
      </c>
      <c r="J135" s="6" t="n">
        <f aca="false">HOUR(E135)</f>
        <v>15</v>
      </c>
      <c r="K135" s="6" t="n">
        <f aca="false">IF(COUNTIF($A$2:$A135,A135)=1,1,0)</f>
        <v>1</v>
      </c>
    </row>
    <row r="136" customFormat="false" ht="15" hidden="false" customHeight="false" outlineLevel="0" collapsed="false">
      <c r="A136" s="0" t="s">
        <v>147</v>
      </c>
      <c r="B136" s="0" t="s">
        <v>61</v>
      </c>
      <c r="C136" s="0" t="s">
        <v>62</v>
      </c>
      <c r="D136" s="0" t="n">
        <v>15</v>
      </c>
      <c r="E136" s="5" t="n">
        <v>45933.6420949074</v>
      </c>
      <c r="F136" s="0" t="n">
        <v>1.65</v>
      </c>
      <c r="H136" s="6" t="s">
        <v>42</v>
      </c>
      <c r="I136" s="6" t="n">
        <f aca="false">D136*F136</f>
        <v>24.75</v>
      </c>
      <c r="J136" s="6" t="n">
        <f aca="false">HOUR(E136)</f>
        <v>15</v>
      </c>
      <c r="K136" s="6" t="n">
        <f aca="false">IF(COUNTIF($A$2:$A136,A136)=1,1,0)</f>
        <v>0</v>
      </c>
    </row>
    <row r="137" customFormat="false" ht="15" hidden="false" customHeight="false" outlineLevel="0" collapsed="false">
      <c r="A137" s="0" t="s">
        <v>147</v>
      </c>
      <c r="B137" s="0" t="s">
        <v>131</v>
      </c>
      <c r="C137" s="0" t="s">
        <v>132</v>
      </c>
      <c r="D137" s="0" t="n">
        <v>20</v>
      </c>
      <c r="E137" s="5" t="n">
        <v>45933.6420949074</v>
      </c>
      <c r="F137" s="0" t="n">
        <v>3.39</v>
      </c>
      <c r="H137" s="6" t="s">
        <v>42</v>
      </c>
      <c r="I137" s="6" t="n">
        <f aca="false">D137*F137</f>
        <v>67.8</v>
      </c>
      <c r="J137" s="6" t="n">
        <f aca="false">HOUR(E137)</f>
        <v>15</v>
      </c>
      <c r="K137" s="6" t="n">
        <f aca="false">IF(COUNTIF($A$2:$A137,A137)=1,1,0)</f>
        <v>0</v>
      </c>
    </row>
    <row r="138" customFormat="false" ht="15" hidden="false" customHeight="false" outlineLevel="0" collapsed="false">
      <c r="A138" s="0" t="s">
        <v>148</v>
      </c>
      <c r="B138" s="0" t="s">
        <v>53</v>
      </c>
      <c r="C138" s="0" t="s">
        <v>54</v>
      </c>
      <c r="D138" s="0" t="n">
        <v>17</v>
      </c>
      <c r="E138" s="5" t="n">
        <v>45933.6723032407</v>
      </c>
      <c r="F138" s="0" t="n">
        <v>2.95</v>
      </c>
      <c r="G138" s="0" t="n">
        <v>17249</v>
      </c>
      <c r="H138" s="6" t="s">
        <v>74</v>
      </c>
      <c r="I138" s="6" t="n">
        <f aca="false">D138*F138</f>
        <v>50.15</v>
      </c>
      <c r="J138" s="6" t="n">
        <f aca="false">HOUR(E138)</f>
        <v>16</v>
      </c>
      <c r="K138" s="6" t="n">
        <f aca="false">IF(COUNTIF($A$2:$A138,A138)=1,1,0)</f>
        <v>1</v>
      </c>
    </row>
    <row r="139" customFormat="false" ht="15" hidden="false" customHeight="false" outlineLevel="0" collapsed="false">
      <c r="A139" s="0" t="s">
        <v>149</v>
      </c>
      <c r="B139" s="0" t="s">
        <v>93</v>
      </c>
      <c r="C139" s="0" t="s">
        <v>94</v>
      </c>
      <c r="D139" s="0" t="n">
        <v>9</v>
      </c>
      <c r="E139" s="5" t="n">
        <v>45933.7294212963</v>
      </c>
      <c r="F139" s="0" t="n">
        <v>1.69</v>
      </c>
      <c r="G139" s="0" t="n">
        <v>17226</v>
      </c>
      <c r="H139" s="6" t="s">
        <v>74</v>
      </c>
      <c r="I139" s="6" t="n">
        <f aca="false">D139*F139</f>
        <v>15.21</v>
      </c>
      <c r="J139" s="6" t="n">
        <f aca="false">HOUR(E139)</f>
        <v>17</v>
      </c>
      <c r="K139" s="6" t="n">
        <f aca="false">IF(COUNTIF($A$2:$A139,A139)=1,1,0)</f>
        <v>1</v>
      </c>
    </row>
    <row r="140" customFormat="false" ht="15" hidden="false" customHeight="false" outlineLevel="0" collapsed="false">
      <c r="A140" s="0" t="s">
        <v>149</v>
      </c>
      <c r="B140" s="0" t="s">
        <v>57</v>
      </c>
      <c r="C140" s="0" t="s">
        <v>58</v>
      </c>
      <c r="D140" s="0" t="n">
        <v>16</v>
      </c>
      <c r="E140" s="5" t="n">
        <v>45933.7294212963</v>
      </c>
      <c r="F140" s="0" t="n">
        <v>2.08</v>
      </c>
      <c r="G140" s="0" t="n">
        <v>17226</v>
      </c>
      <c r="H140" s="6" t="s">
        <v>74</v>
      </c>
      <c r="I140" s="6" t="n">
        <f aca="false">D140*F140</f>
        <v>33.28</v>
      </c>
      <c r="J140" s="6" t="n">
        <f aca="false">HOUR(E140)</f>
        <v>17</v>
      </c>
      <c r="K140" s="6" t="n">
        <f aca="false">IF(COUNTIF($A$2:$A140,A140)=1,1,0)</f>
        <v>0</v>
      </c>
    </row>
    <row r="141" customFormat="false" ht="15" hidden="false" customHeight="false" outlineLevel="0" collapsed="false">
      <c r="A141" s="0" t="s">
        <v>149</v>
      </c>
      <c r="B141" s="0" t="s">
        <v>79</v>
      </c>
      <c r="C141" s="0" t="s">
        <v>80</v>
      </c>
      <c r="D141" s="0" t="n">
        <v>2</v>
      </c>
      <c r="E141" s="5" t="n">
        <v>45933.7294212963</v>
      </c>
      <c r="F141" s="0" t="n">
        <v>3.39</v>
      </c>
      <c r="G141" s="0" t="n">
        <v>17226</v>
      </c>
      <c r="H141" s="6" t="s">
        <v>74</v>
      </c>
      <c r="I141" s="6" t="n">
        <f aca="false">D141*F141</f>
        <v>6.78</v>
      </c>
      <c r="J141" s="6" t="n">
        <f aca="false">HOUR(E141)</f>
        <v>17</v>
      </c>
      <c r="K141" s="6" t="n">
        <f aca="false">IF(COUNTIF($A$2:$A141,A141)=1,1,0)</f>
        <v>0</v>
      </c>
    </row>
    <row r="142" customFormat="false" ht="15" hidden="false" customHeight="false" outlineLevel="0" collapsed="false">
      <c r="A142" s="0" t="s">
        <v>149</v>
      </c>
      <c r="B142" s="0" t="s">
        <v>63</v>
      </c>
      <c r="C142" s="0" t="s">
        <v>64</v>
      </c>
      <c r="D142" s="0" t="n">
        <v>2</v>
      </c>
      <c r="E142" s="5" t="n">
        <v>45933.7294212963</v>
      </c>
      <c r="F142" s="0" t="n">
        <v>1.85</v>
      </c>
      <c r="G142" s="0" t="n">
        <v>17226</v>
      </c>
      <c r="H142" s="6" t="s">
        <v>74</v>
      </c>
      <c r="I142" s="6" t="n">
        <f aca="false">D142*F142</f>
        <v>3.7</v>
      </c>
      <c r="J142" s="6" t="n">
        <f aca="false">HOUR(E142)</f>
        <v>17</v>
      </c>
      <c r="K142" s="6" t="n">
        <f aca="false">IF(COUNTIF($A$2:$A142,A142)=1,1,0)</f>
        <v>0</v>
      </c>
    </row>
    <row r="143" customFormat="false" ht="15" hidden="false" customHeight="false" outlineLevel="0" collapsed="false">
      <c r="A143" s="0" t="s">
        <v>149</v>
      </c>
      <c r="B143" s="0" t="s">
        <v>59</v>
      </c>
      <c r="C143" s="0" t="s">
        <v>60</v>
      </c>
      <c r="D143" s="0" t="n">
        <v>17</v>
      </c>
      <c r="E143" s="5" t="n">
        <v>45933.7294212963</v>
      </c>
      <c r="F143" s="0" t="n">
        <v>0.42</v>
      </c>
      <c r="G143" s="0" t="n">
        <v>17226</v>
      </c>
      <c r="H143" s="6" t="s">
        <v>74</v>
      </c>
      <c r="I143" s="6" t="n">
        <f aca="false">D143*F143</f>
        <v>7.14</v>
      </c>
      <c r="J143" s="6" t="n">
        <f aca="false">HOUR(E143)</f>
        <v>17</v>
      </c>
      <c r="K143" s="6" t="n">
        <f aca="false">IF(COUNTIF($A$2:$A143,A143)=1,1,0)</f>
        <v>0</v>
      </c>
    </row>
    <row r="144" customFormat="false" ht="15" hidden="false" customHeight="false" outlineLevel="0" collapsed="false">
      <c r="A144" s="0" t="s">
        <v>149</v>
      </c>
      <c r="B144" s="0" t="s">
        <v>145</v>
      </c>
      <c r="C144" s="0" t="s">
        <v>146</v>
      </c>
      <c r="D144" s="0" t="n">
        <v>16</v>
      </c>
      <c r="E144" s="5" t="n">
        <v>45933.7294212963</v>
      </c>
      <c r="F144" s="0" t="n">
        <v>1.85</v>
      </c>
      <c r="G144" s="0" t="n">
        <v>17226</v>
      </c>
      <c r="H144" s="6" t="s">
        <v>74</v>
      </c>
      <c r="I144" s="6" t="n">
        <f aca="false">D144*F144</f>
        <v>29.6</v>
      </c>
      <c r="J144" s="6" t="n">
        <f aca="false">HOUR(E144)</f>
        <v>17</v>
      </c>
      <c r="K144" s="6" t="n">
        <f aca="false">IF(COUNTIF($A$2:$A144,A144)=1,1,0)</f>
        <v>0</v>
      </c>
    </row>
    <row r="145" customFormat="false" ht="15" hidden="false" customHeight="false" outlineLevel="0" collapsed="false">
      <c r="A145" s="0" t="s">
        <v>149</v>
      </c>
      <c r="B145" s="0" t="s">
        <v>53</v>
      </c>
      <c r="C145" s="0" t="s">
        <v>54</v>
      </c>
      <c r="D145" s="0" t="n">
        <v>5</v>
      </c>
      <c r="E145" s="5" t="n">
        <v>45933.7294212963</v>
      </c>
      <c r="F145" s="0" t="n">
        <v>2.95</v>
      </c>
      <c r="G145" s="0" t="n">
        <v>17226</v>
      </c>
      <c r="H145" s="6" t="s">
        <v>74</v>
      </c>
      <c r="I145" s="6" t="n">
        <f aca="false">D145*F145</f>
        <v>14.75</v>
      </c>
      <c r="J145" s="6" t="n">
        <f aca="false">HOUR(E145)</f>
        <v>17</v>
      </c>
      <c r="K145" s="6" t="n">
        <f aca="false">IF(COUNTIF($A$2:$A145,A145)=1,1,0)</f>
        <v>0</v>
      </c>
    </row>
    <row r="146" customFormat="false" ht="15" hidden="false" customHeight="false" outlineLevel="0" collapsed="false">
      <c r="A146" s="0" t="s">
        <v>149</v>
      </c>
      <c r="B146" s="0" t="s">
        <v>47</v>
      </c>
      <c r="C146" s="0" t="s">
        <v>48</v>
      </c>
      <c r="D146" s="0" t="n">
        <v>48</v>
      </c>
      <c r="E146" s="5" t="n">
        <v>45933.7294212963</v>
      </c>
      <c r="F146" s="0" t="n">
        <v>12.75</v>
      </c>
      <c r="G146" s="0" t="n">
        <v>17226</v>
      </c>
      <c r="H146" s="6" t="s">
        <v>74</v>
      </c>
      <c r="I146" s="6" t="n">
        <f aca="false">D146*F146</f>
        <v>612</v>
      </c>
      <c r="J146" s="6" t="n">
        <f aca="false">HOUR(E146)</f>
        <v>17</v>
      </c>
      <c r="K146" s="6" t="n">
        <f aca="false">IF(COUNTIF($A$2:$A146,A146)=1,1,0)</f>
        <v>0</v>
      </c>
    </row>
    <row r="147" customFormat="false" ht="15" hidden="false" customHeight="false" outlineLevel="0" collapsed="false">
      <c r="A147" s="0" t="s">
        <v>149</v>
      </c>
      <c r="B147" s="0" t="s">
        <v>99</v>
      </c>
      <c r="C147" s="0" t="s">
        <v>100</v>
      </c>
      <c r="D147" s="0" t="n">
        <v>3</v>
      </c>
      <c r="E147" s="5" t="n">
        <v>45933.7294212963</v>
      </c>
      <c r="F147" s="0" t="n">
        <v>2.08</v>
      </c>
      <c r="G147" s="0" t="n">
        <v>17226</v>
      </c>
      <c r="H147" s="6" t="s">
        <v>74</v>
      </c>
      <c r="I147" s="6" t="n">
        <f aca="false">D147*F147</f>
        <v>6.24</v>
      </c>
      <c r="J147" s="6" t="n">
        <f aca="false">HOUR(E147)</f>
        <v>17</v>
      </c>
      <c r="K147" s="6" t="n">
        <f aca="false">IF(COUNTIF($A$2:$A147,A147)=1,1,0)</f>
        <v>0</v>
      </c>
    </row>
    <row r="148" customFormat="false" ht="15" hidden="false" customHeight="false" outlineLevel="0" collapsed="false">
      <c r="A148" s="0" t="s">
        <v>149</v>
      </c>
      <c r="B148" s="0" t="s">
        <v>137</v>
      </c>
      <c r="C148" s="0" t="s">
        <v>138</v>
      </c>
      <c r="D148" s="0" t="n">
        <v>4</v>
      </c>
      <c r="E148" s="5" t="n">
        <v>45933.7294212963</v>
      </c>
      <c r="F148" s="0" t="n">
        <v>2.1</v>
      </c>
      <c r="G148" s="0" t="n">
        <v>17226</v>
      </c>
      <c r="H148" s="6" t="s">
        <v>74</v>
      </c>
      <c r="I148" s="6" t="n">
        <f aca="false">D148*F148</f>
        <v>8.4</v>
      </c>
      <c r="J148" s="6" t="n">
        <f aca="false">HOUR(E148)</f>
        <v>17</v>
      </c>
      <c r="K148" s="6" t="n">
        <f aca="false">IF(COUNTIF($A$2:$A148,A148)=1,1,0)</f>
        <v>0</v>
      </c>
    </row>
    <row r="149" customFormat="false" ht="15" hidden="false" customHeight="false" outlineLevel="0" collapsed="false">
      <c r="A149" s="0" t="s">
        <v>150</v>
      </c>
      <c r="B149" s="0" t="s">
        <v>81</v>
      </c>
      <c r="C149" s="0" t="s">
        <v>82</v>
      </c>
      <c r="D149" s="0" t="n">
        <v>2</v>
      </c>
      <c r="E149" s="5" t="n">
        <v>45933.9585416667</v>
      </c>
      <c r="F149" s="0" t="n">
        <v>1.65</v>
      </c>
      <c r="G149" s="0" t="n">
        <v>17071</v>
      </c>
      <c r="H149" s="6" t="s">
        <v>151</v>
      </c>
      <c r="I149" s="6" t="n">
        <f aca="false">D149*F149</f>
        <v>3.3</v>
      </c>
      <c r="J149" s="6" t="n">
        <f aca="false">HOUR(E149)</f>
        <v>23</v>
      </c>
      <c r="K149" s="6" t="n">
        <f aca="false">IF(COUNTIF($A$2:$A149,A149)=1,1,0)</f>
        <v>1</v>
      </c>
    </row>
    <row r="150" customFormat="false" ht="15" hidden="false" customHeight="false" outlineLevel="0" collapsed="false">
      <c r="A150" s="0" t="s">
        <v>150</v>
      </c>
      <c r="B150" s="0" t="s">
        <v>99</v>
      </c>
      <c r="C150" s="0" t="s">
        <v>100</v>
      </c>
      <c r="D150" s="0" t="n">
        <v>10</v>
      </c>
      <c r="E150" s="5" t="n">
        <v>45933.9585416667</v>
      </c>
      <c r="F150" s="0" t="n">
        <v>2.08</v>
      </c>
      <c r="G150" s="0" t="n">
        <v>17071</v>
      </c>
      <c r="H150" s="6" t="s">
        <v>151</v>
      </c>
      <c r="I150" s="6" t="n">
        <f aca="false">D150*F150</f>
        <v>20.8</v>
      </c>
      <c r="J150" s="6" t="n">
        <f aca="false">HOUR(E150)</f>
        <v>23</v>
      </c>
      <c r="K150" s="6" t="n">
        <f aca="false">IF(COUNTIF($A$2:$A150,A150)=1,1,0)</f>
        <v>0</v>
      </c>
    </row>
    <row r="151" customFormat="false" ht="15" hidden="false" customHeight="false" outlineLevel="0" collapsed="false">
      <c r="A151" s="0" t="s">
        <v>150</v>
      </c>
      <c r="B151" s="0" t="s">
        <v>86</v>
      </c>
      <c r="C151" s="0" t="s">
        <v>87</v>
      </c>
      <c r="D151" s="0" t="n">
        <v>13</v>
      </c>
      <c r="E151" s="5" t="n">
        <v>45933.9585416667</v>
      </c>
      <c r="F151" s="0" t="n">
        <v>4.25</v>
      </c>
      <c r="G151" s="0" t="n">
        <v>17071</v>
      </c>
      <c r="H151" s="6" t="s">
        <v>151</v>
      </c>
      <c r="I151" s="6" t="n">
        <f aca="false">D151*F151</f>
        <v>55.25</v>
      </c>
      <c r="J151" s="6" t="n">
        <f aca="false">HOUR(E151)</f>
        <v>23</v>
      </c>
      <c r="K151" s="6" t="n">
        <f aca="false">IF(COUNTIF($A$2:$A151,A151)=1,1,0)</f>
        <v>0</v>
      </c>
    </row>
    <row r="152" customFormat="false" ht="15" hidden="false" customHeight="false" outlineLevel="0" collapsed="false">
      <c r="A152" s="0" t="s">
        <v>150</v>
      </c>
      <c r="B152" s="0" t="s">
        <v>63</v>
      </c>
      <c r="C152" s="0" t="s">
        <v>64</v>
      </c>
      <c r="D152" s="0" t="n">
        <v>20</v>
      </c>
      <c r="E152" s="5" t="n">
        <v>45933.9585416667</v>
      </c>
      <c r="F152" s="0" t="n">
        <v>1.85</v>
      </c>
      <c r="G152" s="0" t="n">
        <v>17071</v>
      </c>
      <c r="H152" s="6" t="s">
        <v>151</v>
      </c>
      <c r="I152" s="6" t="n">
        <f aca="false">D152*F152</f>
        <v>37</v>
      </c>
      <c r="J152" s="6" t="n">
        <f aca="false">HOUR(E152)</f>
        <v>23</v>
      </c>
      <c r="K152" s="6" t="n">
        <f aca="false">IF(COUNTIF($A$2:$A152,A152)=1,1,0)</f>
        <v>0</v>
      </c>
    </row>
    <row r="153" customFormat="false" ht="15" hidden="false" customHeight="false" outlineLevel="0" collapsed="false">
      <c r="A153" s="0" t="s">
        <v>150</v>
      </c>
      <c r="B153" s="0" t="s">
        <v>43</v>
      </c>
      <c r="C153" s="0" t="s">
        <v>44</v>
      </c>
      <c r="D153" s="0" t="n">
        <v>2</v>
      </c>
      <c r="E153" s="5" t="n">
        <v>45933.9585416667</v>
      </c>
      <c r="F153" s="0" t="n">
        <v>4.25</v>
      </c>
      <c r="G153" s="0" t="n">
        <v>17071</v>
      </c>
      <c r="H153" s="6" t="s">
        <v>151</v>
      </c>
      <c r="I153" s="6" t="n">
        <f aca="false">D153*F153</f>
        <v>8.5</v>
      </c>
      <c r="J153" s="6" t="n">
        <f aca="false">HOUR(E153)</f>
        <v>23</v>
      </c>
      <c r="K153" s="6" t="n">
        <f aca="false">IF(COUNTIF($A$2:$A153,A153)=1,1,0)</f>
        <v>0</v>
      </c>
    </row>
    <row r="154" customFormat="false" ht="15" hidden="false" customHeight="false" outlineLevel="0" collapsed="false">
      <c r="A154" s="0" t="s">
        <v>150</v>
      </c>
      <c r="B154" s="0" t="s">
        <v>75</v>
      </c>
      <c r="C154" s="0" t="s">
        <v>76</v>
      </c>
      <c r="D154" s="0" t="n">
        <v>14</v>
      </c>
      <c r="E154" s="5" t="n">
        <v>45933.9585416667</v>
      </c>
      <c r="F154" s="0" t="n">
        <v>3.39</v>
      </c>
      <c r="G154" s="0" t="n">
        <v>17071</v>
      </c>
      <c r="H154" s="6" t="s">
        <v>151</v>
      </c>
      <c r="I154" s="6" t="n">
        <f aca="false">D154*F154</f>
        <v>47.46</v>
      </c>
      <c r="J154" s="6" t="n">
        <f aca="false">HOUR(E154)</f>
        <v>23</v>
      </c>
      <c r="K154" s="6" t="n">
        <f aca="false">IF(COUNTIF($A$2:$A154,A154)=1,1,0)</f>
        <v>0</v>
      </c>
    </row>
    <row r="155" customFormat="false" ht="15" hidden="false" customHeight="false" outlineLevel="0" collapsed="false">
      <c r="A155" s="0" t="s">
        <v>150</v>
      </c>
      <c r="B155" s="0" t="s">
        <v>137</v>
      </c>
      <c r="C155" s="0" t="s">
        <v>138</v>
      </c>
      <c r="D155" s="0" t="n">
        <v>3</v>
      </c>
      <c r="E155" s="5" t="n">
        <v>45933.9585416667</v>
      </c>
      <c r="F155" s="0" t="n">
        <v>2.1</v>
      </c>
      <c r="G155" s="0" t="n">
        <v>17071</v>
      </c>
      <c r="H155" s="6" t="s">
        <v>151</v>
      </c>
      <c r="I155" s="6" t="n">
        <f aca="false">D155*F155</f>
        <v>6.3</v>
      </c>
      <c r="J155" s="6" t="n">
        <f aca="false">HOUR(E155)</f>
        <v>23</v>
      </c>
      <c r="K155" s="6" t="n">
        <f aca="false">IF(COUNTIF($A$2:$A155,A155)=1,1,0)</f>
        <v>0</v>
      </c>
    </row>
    <row r="156" customFormat="false" ht="15" hidden="false" customHeight="false" outlineLevel="0" collapsed="false">
      <c r="A156" s="0" t="s">
        <v>150</v>
      </c>
      <c r="B156" s="0" t="s">
        <v>140</v>
      </c>
      <c r="C156" s="0" t="s">
        <v>141</v>
      </c>
      <c r="D156" s="0" t="n">
        <v>8</v>
      </c>
      <c r="E156" s="5" t="n">
        <v>45933.9585416667</v>
      </c>
      <c r="F156" s="0" t="n">
        <v>2.08</v>
      </c>
      <c r="G156" s="0" t="n">
        <v>17071</v>
      </c>
      <c r="H156" s="6" t="s">
        <v>151</v>
      </c>
      <c r="I156" s="6" t="n">
        <f aca="false">D156*F156</f>
        <v>16.64</v>
      </c>
      <c r="J156" s="6" t="n">
        <f aca="false">HOUR(E156)</f>
        <v>23</v>
      </c>
      <c r="K156" s="6" t="n">
        <f aca="false">IF(COUNTIF($A$2:$A156,A156)=1,1,0)</f>
        <v>0</v>
      </c>
    </row>
    <row r="157" customFormat="false" ht="15" hidden="false" customHeight="false" outlineLevel="0" collapsed="false">
      <c r="A157" s="0" t="s">
        <v>150</v>
      </c>
      <c r="B157" s="0" t="s">
        <v>47</v>
      </c>
      <c r="C157" s="0" t="s">
        <v>48</v>
      </c>
      <c r="D157" s="0" t="n">
        <v>11</v>
      </c>
      <c r="E157" s="5" t="n">
        <v>45933.9585416667</v>
      </c>
      <c r="F157" s="0" t="n">
        <v>12.75</v>
      </c>
      <c r="G157" s="0" t="n">
        <v>17071</v>
      </c>
      <c r="H157" s="6" t="s">
        <v>151</v>
      </c>
      <c r="I157" s="6" t="n">
        <f aca="false">D157*F157</f>
        <v>140.25</v>
      </c>
      <c r="J157" s="6" t="n">
        <f aca="false">HOUR(E157)</f>
        <v>23</v>
      </c>
      <c r="K157" s="6" t="n">
        <f aca="false">IF(COUNTIF($A$2:$A157,A157)=1,1,0)</f>
        <v>0</v>
      </c>
    </row>
    <row r="158" customFormat="false" ht="15" hidden="false" customHeight="false" outlineLevel="0" collapsed="false">
      <c r="A158" s="0" t="s">
        <v>152</v>
      </c>
      <c r="B158" s="0" t="s">
        <v>61</v>
      </c>
      <c r="C158" s="0" t="s">
        <v>62</v>
      </c>
      <c r="D158" s="0" t="n">
        <v>23</v>
      </c>
      <c r="E158" s="5" t="n">
        <v>45933.9747106481</v>
      </c>
      <c r="F158" s="0" t="n">
        <v>1.65</v>
      </c>
      <c r="G158" s="0" t="n">
        <v>17030</v>
      </c>
      <c r="H158" s="6" t="s">
        <v>74</v>
      </c>
      <c r="I158" s="6" t="n">
        <f aca="false">D158*F158</f>
        <v>37.95</v>
      </c>
      <c r="J158" s="6" t="n">
        <f aca="false">HOUR(E158)</f>
        <v>23</v>
      </c>
      <c r="K158" s="6" t="n">
        <f aca="false">IF(COUNTIF($A$2:$A158,A158)=1,1,0)</f>
        <v>1</v>
      </c>
    </row>
    <row r="159" customFormat="false" ht="15" hidden="false" customHeight="false" outlineLevel="0" collapsed="false">
      <c r="A159" s="0" t="s">
        <v>152</v>
      </c>
      <c r="B159" s="0" t="s">
        <v>72</v>
      </c>
      <c r="C159" s="0" t="s">
        <v>73</v>
      </c>
      <c r="D159" s="0" t="n">
        <v>9</v>
      </c>
      <c r="E159" s="5" t="n">
        <v>45933.9747106481</v>
      </c>
      <c r="F159" s="0" t="n">
        <v>4.95</v>
      </c>
      <c r="G159" s="0" t="n">
        <v>17030</v>
      </c>
      <c r="H159" s="6" t="s">
        <v>74</v>
      </c>
      <c r="I159" s="6" t="n">
        <f aca="false">D159*F159</f>
        <v>44.55</v>
      </c>
      <c r="J159" s="6" t="n">
        <f aca="false">HOUR(E159)</f>
        <v>23</v>
      </c>
      <c r="K159" s="6" t="n">
        <f aca="false">IF(COUNTIF($A$2:$A159,A159)=1,1,0)</f>
        <v>0</v>
      </c>
    </row>
    <row r="160" customFormat="false" ht="15" hidden="false" customHeight="false" outlineLevel="0" collapsed="false">
      <c r="A160" s="0" t="s">
        <v>152</v>
      </c>
      <c r="B160" s="0" t="s">
        <v>145</v>
      </c>
      <c r="C160" s="0" t="s">
        <v>146</v>
      </c>
      <c r="D160" s="0" t="n">
        <v>4</v>
      </c>
      <c r="E160" s="5" t="n">
        <v>45933.9747106481</v>
      </c>
      <c r="F160" s="0" t="n">
        <v>1.85</v>
      </c>
      <c r="G160" s="0" t="n">
        <v>17030</v>
      </c>
      <c r="H160" s="6" t="s">
        <v>74</v>
      </c>
      <c r="I160" s="6" t="n">
        <f aca="false">D160*F160</f>
        <v>7.4</v>
      </c>
      <c r="J160" s="6" t="n">
        <f aca="false">HOUR(E160)</f>
        <v>23</v>
      </c>
      <c r="K160" s="6" t="n">
        <f aca="false">IF(COUNTIF($A$2:$A160,A160)=1,1,0)</f>
        <v>0</v>
      </c>
    </row>
    <row r="161" customFormat="false" ht="15" hidden="false" customHeight="false" outlineLevel="0" collapsed="false">
      <c r="A161" s="0" t="s">
        <v>152</v>
      </c>
      <c r="B161" s="0" t="s">
        <v>43</v>
      </c>
      <c r="C161" s="0" t="s">
        <v>44</v>
      </c>
      <c r="D161" s="0" t="n">
        <v>23</v>
      </c>
      <c r="E161" s="5" t="n">
        <v>45933.9747106481</v>
      </c>
      <c r="F161" s="0" t="n">
        <v>4.25</v>
      </c>
      <c r="G161" s="0" t="n">
        <v>17030</v>
      </c>
      <c r="H161" s="6" t="s">
        <v>74</v>
      </c>
      <c r="I161" s="6" t="n">
        <f aca="false">D161*F161</f>
        <v>97.75</v>
      </c>
      <c r="J161" s="6" t="n">
        <f aca="false">HOUR(E161)</f>
        <v>23</v>
      </c>
      <c r="K161" s="6" t="n">
        <f aca="false">IF(COUNTIF($A$2:$A161,A161)=1,1,0)</f>
        <v>0</v>
      </c>
    </row>
    <row r="162" customFormat="false" ht="15" hidden="false" customHeight="false" outlineLevel="0" collapsed="false">
      <c r="A162" s="0" t="s">
        <v>152</v>
      </c>
      <c r="B162" s="0" t="s">
        <v>93</v>
      </c>
      <c r="C162" s="0" t="s">
        <v>94</v>
      </c>
      <c r="D162" s="0" t="n">
        <v>14</v>
      </c>
      <c r="E162" s="5" t="n">
        <v>45933.9747106481</v>
      </c>
      <c r="F162" s="0" t="n">
        <v>1.69</v>
      </c>
      <c r="G162" s="0" t="n">
        <v>17030</v>
      </c>
      <c r="H162" s="6" t="s">
        <v>74</v>
      </c>
      <c r="I162" s="6" t="n">
        <f aca="false">D162*F162</f>
        <v>23.66</v>
      </c>
      <c r="J162" s="6" t="n">
        <f aca="false">HOUR(E162)</f>
        <v>23</v>
      </c>
      <c r="K162" s="6" t="n">
        <f aca="false">IF(COUNTIF($A$2:$A162,A162)=1,1,0)</f>
        <v>0</v>
      </c>
    </row>
    <row r="163" customFormat="false" ht="15" hidden="false" customHeight="false" outlineLevel="0" collapsed="false">
      <c r="A163" s="0" t="s">
        <v>152</v>
      </c>
      <c r="B163" s="0" t="s">
        <v>50</v>
      </c>
      <c r="C163" s="0" t="s">
        <v>51</v>
      </c>
      <c r="D163" s="0" t="n">
        <v>24</v>
      </c>
      <c r="E163" s="5" t="n">
        <v>45933.9747106481</v>
      </c>
      <c r="F163" s="0" t="n">
        <v>5.95</v>
      </c>
      <c r="G163" s="0" t="n">
        <v>17030</v>
      </c>
      <c r="H163" s="6" t="s">
        <v>74</v>
      </c>
      <c r="I163" s="6" t="n">
        <f aca="false">D163*F163</f>
        <v>142.8</v>
      </c>
      <c r="J163" s="6" t="n">
        <f aca="false">HOUR(E163)</f>
        <v>23</v>
      </c>
      <c r="K163" s="6" t="n">
        <f aca="false">IF(COUNTIF($A$2:$A163,A163)=1,1,0)</f>
        <v>0</v>
      </c>
    </row>
    <row r="164" customFormat="false" ht="15" hidden="false" customHeight="false" outlineLevel="0" collapsed="false">
      <c r="A164" s="0" t="s">
        <v>153</v>
      </c>
      <c r="B164" s="0" t="s">
        <v>109</v>
      </c>
      <c r="C164" s="0" t="s">
        <v>110</v>
      </c>
      <c r="D164" s="0" t="n">
        <v>24</v>
      </c>
      <c r="E164" s="5" t="n">
        <v>45934.0161226852</v>
      </c>
      <c r="F164" s="0" t="n">
        <v>0.85</v>
      </c>
      <c r="G164" s="0" t="n">
        <v>17227</v>
      </c>
      <c r="H164" s="6" t="s">
        <v>68</v>
      </c>
      <c r="I164" s="6" t="n">
        <f aca="false">D164*F164</f>
        <v>20.4</v>
      </c>
      <c r="J164" s="6" t="n">
        <f aca="false">HOUR(E164)</f>
        <v>0</v>
      </c>
      <c r="K164" s="6" t="n">
        <f aca="false">IF(COUNTIF($A$2:$A164,A164)=1,1,0)</f>
        <v>1</v>
      </c>
    </row>
    <row r="165" customFormat="false" ht="15" hidden="false" customHeight="false" outlineLevel="0" collapsed="false">
      <c r="A165" s="0" t="s">
        <v>153</v>
      </c>
      <c r="B165" s="0" t="s">
        <v>127</v>
      </c>
      <c r="C165" s="0" t="s">
        <v>128</v>
      </c>
      <c r="D165" s="0" t="n">
        <v>9</v>
      </c>
      <c r="E165" s="5" t="n">
        <v>45934.0161226852</v>
      </c>
      <c r="F165" s="0" t="n">
        <v>1.45</v>
      </c>
      <c r="G165" s="0" t="n">
        <v>17227</v>
      </c>
      <c r="H165" s="6" t="s">
        <v>68</v>
      </c>
      <c r="I165" s="6" t="n">
        <f aca="false">D165*F165</f>
        <v>13.05</v>
      </c>
      <c r="J165" s="6" t="n">
        <f aca="false">HOUR(E165)</f>
        <v>0</v>
      </c>
      <c r="K165" s="6" t="n">
        <f aca="false">IF(COUNTIF($A$2:$A165,A165)=1,1,0)</f>
        <v>0</v>
      </c>
    </row>
    <row r="166" customFormat="false" ht="15" hidden="false" customHeight="false" outlineLevel="0" collapsed="false">
      <c r="A166" s="0" t="s">
        <v>153</v>
      </c>
      <c r="B166" s="0" t="s">
        <v>55</v>
      </c>
      <c r="C166" s="0" t="s">
        <v>56</v>
      </c>
      <c r="D166" s="0" t="n">
        <v>3</v>
      </c>
      <c r="E166" s="5" t="n">
        <v>45934.0161226852</v>
      </c>
      <c r="F166" s="0" t="n">
        <v>1.65</v>
      </c>
      <c r="G166" s="0" t="n">
        <v>17227</v>
      </c>
      <c r="H166" s="6" t="s">
        <v>68</v>
      </c>
      <c r="I166" s="6" t="n">
        <f aca="false">D166*F166</f>
        <v>4.95</v>
      </c>
      <c r="J166" s="6" t="n">
        <f aca="false">HOUR(E166)</f>
        <v>0</v>
      </c>
      <c r="K166" s="6" t="n">
        <f aca="false">IF(COUNTIF($A$2:$A166,A166)=1,1,0)</f>
        <v>0</v>
      </c>
    </row>
    <row r="167" customFormat="false" ht="15" hidden="false" customHeight="false" outlineLevel="0" collapsed="false">
      <c r="A167" s="0" t="s">
        <v>153</v>
      </c>
      <c r="B167" s="0" t="s">
        <v>134</v>
      </c>
      <c r="C167" s="0" t="s">
        <v>135</v>
      </c>
      <c r="D167" s="0" t="n">
        <v>6</v>
      </c>
      <c r="E167" s="5" t="n">
        <v>45934.0161226852</v>
      </c>
      <c r="F167" s="0" t="n">
        <v>5.95</v>
      </c>
      <c r="G167" s="0" t="n">
        <v>17227</v>
      </c>
      <c r="H167" s="6" t="s">
        <v>68</v>
      </c>
      <c r="I167" s="6" t="n">
        <f aca="false">D167*F167</f>
        <v>35.7</v>
      </c>
      <c r="J167" s="6" t="n">
        <f aca="false">HOUR(E167)</f>
        <v>0</v>
      </c>
      <c r="K167" s="6" t="n">
        <f aca="false">IF(COUNTIF($A$2:$A167,A167)=1,1,0)</f>
        <v>0</v>
      </c>
    </row>
    <row r="168" customFormat="false" ht="15" hidden="false" customHeight="false" outlineLevel="0" collapsed="false">
      <c r="A168" s="0" t="s">
        <v>153</v>
      </c>
      <c r="B168" s="0" t="s">
        <v>125</v>
      </c>
      <c r="C168" s="0" t="s">
        <v>126</v>
      </c>
      <c r="D168" s="0" t="n">
        <v>24</v>
      </c>
      <c r="E168" s="5" t="n">
        <v>45934.0161226852</v>
      </c>
      <c r="F168" s="0" t="n">
        <v>1.25</v>
      </c>
      <c r="G168" s="0" t="n">
        <v>17227</v>
      </c>
      <c r="H168" s="6" t="s">
        <v>68</v>
      </c>
      <c r="I168" s="6" t="n">
        <f aca="false">D168*F168</f>
        <v>30</v>
      </c>
      <c r="J168" s="6" t="n">
        <f aca="false">HOUR(E168)</f>
        <v>0</v>
      </c>
      <c r="K168" s="6" t="n">
        <f aca="false">IF(COUNTIF($A$2:$A168,A168)=1,1,0)</f>
        <v>0</v>
      </c>
    </row>
    <row r="169" customFormat="false" ht="15" hidden="false" customHeight="false" outlineLevel="0" collapsed="false">
      <c r="A169" s="0" t="s">
        <v>153</v>
      </c>
      <c r="B169" s="0" t="s">
        <v>63</v>
      </c>
      <c r="C169" s="0" t="s">
        <v>64</v>
      </c>
      <c r="D169" s="0" t="n">
        <v>24</v>
      </c>
      <c r="E169" s="5" t="n">
        <v>45934.0161226852</v>
      </c>
      <c r="F169" s="0" t="n">
        <v>1.85</v>
      </c>
      <c r="G169" s="0" t="n">
        <v>17227</v>
      </c>
      <c r="H169" s="6" t="s">
        <v>68</v>
      </c>
      <c r="I169" s="6" t="n">
        <f aca="false">D169*F169</f>
        <v>44.4</v>
      </c>
      <c r="J169" s="6" t="n">
        <f aca="false">HOUR(E169)</f>
        <v>0</v>
      </c>
      <c r="K169" s="6" t="n">
        <f aca="false">IF(COUNTIF($A$2:$A169,A169)=1,1,0)</f>
        <v>0</v>
      </c>
    </row>
    <row r="170" customFormat="false" ht="15" hidden="false" customHeight="false" outlineLevel="0" collapsed="false">
      <c r="A170" s="0" t="s">
        <v>153</v>
      </c>
      <c r="B170" s="0" t="s">
        <v>61</v>
      </c>
      <c r="C170" s="0" t="s">
        <v>62</v>
      </c>
      <c r="D170" s="0" t="n">
        <v>12</v>
      </c>
      <c r="E170" s="5" t="n">
        <v>45934.0161226852</v>
      </c>
      <c r="F170" s="0" t="n">
        <v>1.65</v>
      </c>
      <c r="G170" s="0" t="n">
        <v>17227</v>
      </c>
      <c r="H170" s="6" t="s">
        <v>68</v>
      </c>
      <c r="I170" s="6" t="n">
        <f aca="false">D170*F170</f>
        <v>19.8</v>
      </c>
      <c r="J170" s="6" t="n">
        <f aca="false">HOUR(E170)</f>
        <v>0</v>
      </c>
      <c r="K170" s="6" t="n">
        <f aca="false">IF(COUNTIF($A$2:$A170,A170)=1,1,0)</f>
        <v>0</v>
      </c>
    </row>
    <row r="171" customFormat="false" ht="15" hidden="false" customHeight="false" outlineLevel="0" collapsed="false">
      <c r="A171" s="0" t="s">
        <v>153</v>
      </c>
      <c r="B171" s="0" t="s">
        <v>50</v>
      </c>
      <c r="C171" s="0" t="s">
        <v>51</v>
      </c>
      <c r="D171" s="0" t="n">
        <v>24</v>
      </c>
      <c r="E171" s="5" t="n">
        <v>45934.0161226852</v>
      </c>
      <c r="F171" s="0" t="n">
        <v>5.95</v>
      </c>
      <c r="G171" s="0" t="n">
        <v>17227</v>
      </c>
      <c r="H171" s="6" t="s">
        <v>68</v>
      </c>
      <c r="I171" s="6" t="n">
        <f aca="false">D171*F171</f>
        <v>142.8</v>
      </c>
      <c r="J171" s="6" t="n">
        <f aca="false">HOUR(E171)</f>
        <v>0</v>
      </c>
      <c r="K171" s="6" t="n">
        <f aca="false">IF(COUNTIF($A$2:$A171,A171)=1,1,0)</f>
        <v>0</v>
      </c>
    </row>
    <row r="172" customFormat="false" ht="15" hidden="false" customHeight="false" outlineLevel="0" collapsed="false">
      <c r="A172" s="0" t="s">
        <v>153</v>
      </c>
      <c r="B172" s="0" t="s">
        <v>145</v>
      </c>
      <c r="C172" s="0" t="s">
        <v>146</v>
      </c>
      <c r="D172" s="0" t="n">
        <v>5</v>
      </c>
      <c r="E172" s="5" t="n">
        <v>45934.0161226852</v>
      </c>
      <c r="F172" s="0" t="n">
        <v>1.85</v>
      </c>
      <c r="G172" s="0" t="n">
        <v>17227</v>
      </c>
      <c r="H172" s="6" t="s">
        <v>68</v>
      </c>
      <c r="I172" s="6" t="n">
        <f aca="false">D172*F172</f>
        <v>9.25</v>
      </c>
      <c r="J172" s="6" t="n">
        <f aca="false">HOUR(E172)</f>
        <v>0</v>
      </c>
      <c r="K172" s="6" t="n">
        <f aca="false">IF(COUNTIF($A$2:$A172,A172)=1,1,0)</f>
        <v>0</v>
      </c>
    </row>
    <row r="173" customFormat="false" ht="15" hidden="false" customHeight="false" outlineLevel="0" collapsed="false">
      <c r="A173" s="0" t="s">
        <v>154</v>
      </c>
      <c r="B173" s="0" t="s">
        <v>125</v>
      </c>
      <c r="C173" s="0" t="s">
        <v>126</v>
      </c>
      <c r="D173" s="0" t="n">
        <v>6</v>
      </c>
      <c r="E173" s="5" t="n">
        <v>45934.2685185185</v>
      </c>
      <c r="F173" s="0" t="n">
        <v>1.25</v>
      </c>
      <c r="G173" s="0" t="n">
        <v>17051</v>
      </c>
      <c r="H173" s="6" t="s">
        <v>74</v>
      </c>
      <c r="I173" s="6" t="n">
        <f aca="false">D173*F173</f>
        <v>7.5</v>
      </c>
      <c r="J173" s="6" t="n">
        <f aca="false">HOUR(E173)</f>
        <v>6</v>
      </c>
      <c r="K173" s="6" t="n">
        <f aca="false">IF(COUNTIF($A$2:$A173,A173)=1,1,0)</f>
        <v>1</v>
      </c>
    </row>
    <row r="174" customFormat="false" ht="15" hidden="false" customHeight="false" outlineLevel="0" collapsed="false">
      <c r="A174" s="0" t="s">
        <v>154</v>
      </c>
      <c r="B174" s="0" t="s">
        <v>57</v>
      </c>
      <c r="C174" s="0" t="s">
        <v>58</v>
      </c>
      <c r="D174" s="0" t="n">
        <v>5</v>
      </c>
      <c r="E174" s="5" t="n">
        <v>45934.2685185185</v>
      </c>
      <c r="F174" s="0" t="n">
        <v>2.08</v>
      </c>
      <c r="G174" s="0" t="n">
        <v>17051</v>
      </c>
      <c r="H174" s="6" t="s">
        <v>74</v>
      </c>
      <c r="I174" s="6" t="n">
        <f aca="false">D174*F174</f>
        <v>10.4</v>
      </c>
      <c r="J174" s="6" t="n">
        <f aca="false">HOUR(E174)</f>
        <v>6</v>
      </c>
      <c r="K174" s="6" t="n">
        <f aca="false">IF(COUNTIF($A$2:$A174,A174)=1,1,0)</f>
        <v>0</v>
      </c>
    </row>
    <row r="175" customFormat="false" ht="15" hidden="false" customHeight="false" outlineLevel="0" collapsed="false">
      <c r="A175" s="0" t="s">
        <v>154</v>
      </c>
      <c r="B175" s="0" t="s">
        <v>81</v>
      </c>
      <c r="C175" s="0" t="s">
        <v>82</v>
      </c>
      <c r="D175" s="0" t="n">
        <v>3</v>
      </c>
      <c r="E175" s="5" t="n">
        <v>45934.2685185185</v>
      </c>
      <c r="F175" s="0" t="n">
        <v>1.65</v>
      </c>
      <c r="G175" s="0" t="n">
        <v>17051</v>
      </c>
      <c r="H175" s="6" t="s">
        <v>74</v>
      </c>
      <c r="I175" s="6" t="n">
        <f aca="false">D175*F175</f>
        <v>4.95</v>
      </c>
      <c r="J175" s="6" t="n">
        <f aca="false">HOUR(E175)</f>
        <v>6</v>
      </c>
      <c r="K175" s="6" t="n">
        <f aca="false">IF(COUNTIF($A$2:$A175,A175)=1,1,0)</f>
        <v>0</v>
      </c>
    </row>
    <row r="176" customFormat="false" ht="15" hidden="false" customHeight="false" outlineLevel="0" collapsed="false">
      <c r="A176" s="0" t="s">
        <v>154</v>
      </c>
      <c r="B176" s="0" t="s">
        <v>145</v>
      </c>
      <c r="C176" s="0" t="s">
        <v>146</v>
      </c>
      <c r="D176" s="0" t="n">
        <v>17</v>
      </c>
      <c r="E176" s="5" t="n">
        <v>45934.2685185185</v>
      </c>
      <c r="F176" s="0" t="n">
        <v>1.85</v>
      </c>
      <c r="G176" s="0" t="n">
        <v>17051</v>
      </c>
      <c r="H176" s="6" t="s">
        <v>74</v>
      </c>
      <c r="I176" s="6" t="n">
        <f aca="false">D176*F176</f>
        <v>31.45</v>
      </c>
      <c r="J176" s="6" t="n">
        <f aca="false">HOUR(E176)</f>
        <v>6</v>
      </c>
      <c r="K176" s="6" t="n">
        <f aca="false">IF(COUNTIF($A$2:$A176,A176)=1,1,0)</f>
        <v>0</v>
      </c>
    </row>
    <row r="177" customFormat="false" ht="15" hidden="false" customHeight="false" outlineLevel="0" collapsed="false">
      <c r="A177" s="0" t="s">
        <v>155</v>
      </c>
      <c r="B177" s="0" t="s">
        <v>83</v>
      </c>
      <c r="C177" s="0" t="s">
        <v>84</v>
      </c>
      <c r="D177" s="0" t="n">
        <v>5</v>
      </c>
      <c r="E177" s="5" t="n">
        <v>45934.3861574074</v>
      </c>
      <c r="F177" s="0" t="n">
        <v>2.95</v>
      </c>
      <c r="G177" s="0" t="n">
        <v>17072</v>
      </c>
      <c r="H177" s="6" t="s">
        <v>144</v>
      </c>
      <c r="I177" s="6" t="n">
        <f aca="false">D177*F177</f>
        <v>14.75</v>
      </c>
      <c r="J177" s="6" t="n">
        <f aca="false">HOUR(E177)</f>
        <v>9</v>
      </c>
      <c r="K177" s="6" t="n">
        <f aca="false">IF(COUNTIF($A$2:$A177,A177)=1,1,0)</f>
        <v>1</v>
      </c>
    </row>
    <row r="178" customFormat="false" ht="15" hidden="false" customHeight="false" outlineLevel="0" collapsed="false">
      <c r="A178" s="0" t="s">
        <v>155</v>
      </c>
      <c r="B178" s="0" t="s">
        <v>59</v>
      </c>
      <c r="C178" s="0" t="s">
        <v>60</v>
      </c>
      <c r="D178" s="0" t="n">
        <v>10</v>
      </c>
      <c r="E178" s="5" t="n">
        <v>45934.3861574074</v>
      </c>
      <c r="F178" s="0" t="n">
        <v>0.42</v>
      </c>
      <c r="G178" s="0" t="n">
        <v>17072</v>
      </c>
      <c r="H178" s="6" t="s">
        <v>144</v>
      </c>
      <c r="I178" s="6" t="n">
        <f aca="false">D178*F178</f>
        <v>4.2</v>
      </c>
      <c r="J178" s="6" t="n">
        <f aca="false">HOUR(E178)</f>
        <v>9</v>
      </c>
      <c r="K178" s="6" t="n">
        <f aca="false">IF(COUNTIF($A$2:$A178,A178)=1,1,0)</f>
        <v>0</v>
      </c>
    </row>
    <row r="179" customFormat="false" ht="15" hidden="false" customHeight="false" outlineLevel="0" collapsed="false">
      <c r="A179" s="0" t="s">
        <v>155</v>
      </c>
      <c r="B179" s="0" t="s">
        <v>72</v>
      </c>
      <c r="C179" s="0" t="s">
        <v>73</v>
      </c>
      <c r="D179" s="0" t="n">
        <v>33</v>
      </c>
      <c r="E179" s="5" t="n">
        <v>45934.3861574074</v>
      </c>
      <c r="F179" s="0" t="n">
        <v>4.95</v>
      </c>
      <c r="G179" s="0" t="n">
        <v>17072</v>
      </c>
      <c r="H179" s="6" t="s">
        <v>144</v>
      </c>
      <c r="I179" s="6" t="n">
        <f aca="false">D179*F179</f>
        <v>163.35</v>
      </c>
      <c r="J179" s="6" t="n">
        <f aca="false">HOUR(E179)</f>
        <v>9</v>
      </c>
      <c r="K179" s="6" t="n">
        <f aca="false">IF(COUNTIF($A$2:$A179,A179)=1,1,0)</f>
        <v>0</v>
      </c>
    </row>
    <row r="180" customFormat="false" ht="15" hidden="false" customHeight="false" outlineLevel="0" collapsed="false">
      <c r="A180" s="0" t="s">
        <v>155</v>
      </c>
      <c r="B180" s="0" t="s">
        <v>63</v>
      </c>
      <c r="C180" s="0" t="s">
        <v>64</v>
      </c>
      <c r="D180" s="0" t="n">
        <v>24</v>
      </c>
      <c r="E180" s="5" t="n">
        <v>45934.3861574074</v>
      </c>
      <c r="F180" s="0" t="n">
        <v>1.85</v>
      </c>
      <c r="G180" s="0" t="n">
        <v>17072</v>
      </c>
      <c r="H180" s="6" t="s">
        <v>144</v>
      </c>
      <c r="I180" s="6" t="n">
        <f aca="false">D180*F180</f>
        <v>44.4</v>
      </c>
      <c r="J180" s="6" t="n">
        <f aca="false">HOUR(E180)</f>
        <v>9</v>
      </c>
      <c r="K180" s="6" t="n">
        <f aca="false">IF(COUNTIF($A$2:$A180,A180)=1,1,0)</f>
        <v>0</v>
      </c>
    </row>
    <row r="181" customFormat="false" ht="15" hidden="false" customHeight="false" outlineLevel="0" collapsed="false">
      <c r="A181" s="0" t="s">
        <v>155</v>
      </c>
      <c r="B181" s="0" t="s">
        <v>127</v>
      </c>
      <c r="C181" s="0" t="s">
        <v>128</v>
      </c>
      <c r="D181" s="0" t="n">
        <v>2</v>
      </c>
      <c r="E181" s="5" t="n">
        <v>45934.3861574074</v>
      </c>
      <c r="F181" s="0" t="n">
        <v>1.45</v>
      </c>
      <c r="G181" s="0" t="n">
        <v>17072</v>
      </c>
      <c r="H181" s="6" t="s">
        <v>144</v>
      </c>
      <c r="I181" s="6" t="n">
        <f aca="false">D181*F181</f>
        <v>2.9</v>
      </c>
      <c r="J181" s="6" t="n">
        <f aca="false">HOUR(E181)</f>
        <v>9</v>
      </c>
      <c r="K181" s="6" t="n">
        <f aca="false">IF(COUNTIF($A$2:$A181,A181)=1,1,0)</f>
        <v>0</v>
      </c>
    </row>
    <row r="182" customFormat="false" ht="15" hidden="false" customHeight="false" outlineLevel="0" collapsed="false">
      <c r="A182" s="0" t="s">
        <v>155</v>
      </c>
      <c r="B182" s="0" t="s">
        <v>109</v>
      </c>
      <c r="C182" s="0" t="s">
        <v>110</v>
      </c>
      <c r="D182" s="0" t="n">
        <v>4</v>
      </c>
      <c r="E182" s="5" t="n">
        <v>45934.3861574074</v>
      </c>
      <c r="F182" s="0" t="n">
        <v>0.85</v>
      </c>
      <c r="G182" s="0" t="n">
        <v>17072</v>
      </c>
      <c r="H182" s="6" t="s">
        <v>144</v>
      </c>
      <c r="I182" s="6" t="n">
        <f aca="false">D182*F182</f>
        <v>3.4</v>
      </c>
      <c r="J182" s="6" t="n">
        <f aca="false">HOUR(E182)</f>
        <v>9</v>
      </c>
      <c r="K182" s="6" t="n">
        <f aca="false">IF(COUNTIF($A$2:$A182,A182)=1,1,0)</f>
        <v>0</v>
      </c>
    </row>
    <row r="183" customFormat="false" ht="15" hidden="false" customHeight="false" outlineLevel="0" collapsed="false">
      <c r="A183" s="0" t="s">
        <v>155</v>
      </c>
      <c r="B183" s="0" t="s">
        <v>131</v>
      </c>
      <c r="C183" s="0" t="s">
        <v>132</v>
      </c>
      <c r="D183" s="0" t="n">
        <v>6</v>
      </c>
      <c r="E183" s="5" t="n">
        <v>45934.3861574074</v>
      </c>
      <c r="F183" s="0" t="n">
        <v>3.39</v>
      </c>
      <c r="G183" s="0" t="n">
        <v>17072</v>
      </c>
      <c r="H183" s="6" t="s">
        <v>144</v>
      </c>
      <c r="I183" s="6" t="n">
        <f aca="false">D183*F183</f>
        <v>20.34</v>
      </c>
      <c r="J183" s="6" t="n">
        <f aca="false">HOUR(E183)</f>
        <v>9</v>
      </c>
      <c r="K183" s="6" t="n">
        <f aca="false">IF(COUNTIF($A$2:$A183,A183)=1,1,0)</f>
        <v>0</v>
      </c>
    </row>
    <row r="184" customFormat="false" ht="15" hidden="false" customHeight="false" outlineLevel="0" collapsed="false">
      <c r="A184" s="0" t="s">
        <v>155</v>
      </c>
      <c r="B184" s="0" t="s">
        <v>121</v>
      </c>
      <c r="C184" s="0" t="s">
        <v>122</v>
      </c>
      <c r="D184" s="0" t="n">
        <v>1</v>
      </c>
      <c r="E184" s="5" t="n">
        <v>45934.3861574074</v>
      </c>
      <c r="F184" s="0" t="n">
        <v>2.1</v>
      </c>
      <c r="G184" s="0" t="n">
        <v>17072</v>
      </c>
      <c r="H184" s="6" t="s">
        <v>144</v>
      </c>
      <c r="I184" s="6" t="n">
        <f aca="false">D184*F184</f>
        <v>2.1</v>
      </c>
      <c r="J184" s="6" t="n">
        <f aca="false">HOUR(E184)</f>
        <v>9</v>
      </c>
      <c r="K184" s="6" t="n">
        <f aca="false">IF(COUNTIF($A$2:$A184,A184)=1,1,0)</f>
        <v>0</v>
      </c>
    </row>
    <row r="185" customFormat="false" ht="15" hidden="false" customHeight="false" outlineLevel="0" collapsed="false">
      <c r="A185" s="0" t="s">
        <v>156</v>
      </c>
      <c r="B185" s="0" t="s">
        <v>116</v>
      </c>
      <c r="C185" s="0" t="s">
        <v>117</v>
      </c>
      <c r="D185" s="0" t="n">
        <v>9</v>
      </c>
      <c r="E185" s="5" t="n">
        <v>45934.3963194444</v>
      </c>
      <c r="F185" s="0" t="n">
        <v>1.95</v>
      </c>
      <c r="G185" s="0" t="n">
        <v>17043</v>
      </c>
      <c r="H185" s="6" t="s">
        <v>74</v>
      </c>
      <c r="I185" s="6" t="n">
        <f aca="false">D185*F185</f>
        <v>17.55</v>
      </c>
      <c r="J185" s="6" t="n">
        <f aca="false">HOUR(E185)</f>
        <v>9</v>
      </c>
      <c r="K185" s="6" t="n">
        <f aca="false">IF(COUNTIF($A$2:$A185,A185)=1,1,0)</f>
        <v>1</v>
      </c>
    </row>
    <row r="186" customFormat="false" ht="15" hidden="false" customHeight="false" outlineLevel="0" collapsed="false">
      <c r="A186" s="0" t="s">
        <v>156</v>
      </c>
      <c r="B186" s="0" t="s">
        <v>40</v>
      </c>
      <c r="C186" s="0" t="s">
        <v>41</v>
      </c>
      <c r="D186" s="0" t="n">
        <v>13</v>
      </c>
      <c r="E186" s="5" t="n">
        <v>45934.3963194444</v>
      </c>
      <c r="F186" s="0" t="n">
        <v>1.06</v>
      </c>
      <c r="G186" s="0" t="n">
        <v>17043</v>
      </c>
      <c r="H186" s="6" t="s">
        <v>74</v>
      </c>
      <c r="I186" s="6" t="n">
        <f aca="false">D186*F186</f>
        <v>13.78</v>
      </c>
      <c r="J186" s="6" t="n">
        <f aca="false">HOUR(E186)</f>
        <v>9</v>
      </c>
      <c r="K186" s="6" t="n">
        <f aca="false">IF(COUNTIF($A$2:$A186,A186)=1,1,0)</f>
        <v>0</v>
      </c>
    </row>
    <row r="187" customFormat="false" ht="15" hidden="false" customHeight="false" outlineLevel="0" collapsed="false">
      <c r="A187" s="0" t="s">
        <v>156</v>
      </c>
      <c r="B187" s="0" t="s">
        <v>118</v>
      </c>
      <c r="C187" s="0" t="s">
        <v>119</v>
      </c>
      <c r="D187" s="0" t="n">
        <v>18</v>
      </c>
      <c r="E187" s="5" t="n">
        <v>45934.3963194444</v>
      </c>
      <c r="F187" s="0" t="n">
        <v>4.95</v>
      </c>
      <c r="G187" s="0" t="n">
        <v>17043</v>
      </c>
      <c r="H187" s="6" t="s">
        <v>74</v>
      </c>
      <c r="I187" s="6" t="n">
        <f aca="false">D187*F187</f>
        <v>89.1</v>
      </c>
      <c r="J187" s="6" t="n">
        <f aca="false">HOUR(E187)</f>
        <v>9</v>
      </c>
      <c r="K187" s="6" t="n">
        <f aca="false">IF(COUNTIF($A$2:$A187,A187)=1,1,0)</f>
        <v>0</v>
      </c>
    </row>
    <row r="188" customFormat="false" ht="15" hidden="false" customHeight="false" outlineLevel="0" collapsed="false">
      <c r="A188" s="0" t="s">
        <v>156</v>
      </c>
      <c r="B188" s="0" t="s">
        <v>93</v>
      </c>
      <c r="C188" s="0" t="s">
        <v>94</v>
      </c>
      <c r="D188" s="0" t="n">
        <v>21</v>
      </c>
      <c r="E188" s="5" t="n">
        <v>45934.3963194444</v>
      </c>
      <c r="F188" s="0" t="n">
        <v>1.69</v>
      </c>
      <c r="G188" s="0" t="n">
        <v>17043</v>
      </c>
      <c r="H188" s="6" t="s">
        <v>74</v>
      </c>
      <c r="I188" s="6" t="n">
        <f aca="false">D188*F188</f>
        <v>35.49</v>
      </c>
      <c r="J188" s="6" t="n">
        <f aca="false">HOUR(E188)</f>
        <v>9</v>
      </c>
      <c r="K188" s="6" t="n">
        <f aca="false">IF(COUNTIF($A$2:$A188,A188)=1,1,0)</f>
        <v>0</v>
      </c>
    </row>
    <row r="189" customFormat="false" ht="15" hidden="false" customHeight="false" outlineLevel="0" collapsed="false">
      <c r="A189" s="0" t="s">
        <v>156</v>
      </c>
      <c r="B189" s="0" t="s">
        <v>45</v>
      </c>
      <c r="C189" s="0" t="s">
        <v>46</v>
      </c>
      <c r="D189" s="0" t="n">
        <v>12</v>
      </c>
      <c r="E189" s="5" t="n">
        <v>45934.3963194444</v>
      </c>
      <c r="F189" s="0" t="n">
        <v>2.1</v>
      </c>
      <c r="G189" s="0" t="n">
        <v>17043</v>
      </c>
      <c r="H189" s="6" t="s">
        <v>74</v>
      </c>
      <c r="I189" s="6" t="n">
        <f aca="false">D189*F189</f>
        <v>25.2</v>
      </c>
      <c r="J189" s="6" t="n">
        <f aca="false">HOUR(E189)</f>
        <v>9</v>
      </c>
      <c r="K189" s="6" t="n">
        <f aca="false">IF(COUNTIF($A$2:$A189,A189)=1,1,0)</f>
        <v>0</v>
      </c>
    </row>
    <row r="190" customFormat="false" ht="15" hidden="false" customHeight="false" outlineLevel="0" collapsed="false">
      <c r="A190" s="0" t="s">
        <v>156</v>
      </c>
      <c r="B190" s="0" t="s">
        <v>127</v>
      </c>
      <c r="C190" s="0" t="s">
        <v>128</v>
      </c>
      <c r="D190" s="0" t="n">
        <v>2</v>
      </c>
      <c r="E190" s="5" t="n">
        <v>45934.3963194444</v>
      </c>
      <c r="F190" s="0" t="n">
        <v>1.45</v>
      </c>
      <c r="G190" s="0" t="n">
        <v>17043</v>
      </c>
      <c r="H190" s="6" t="s">
        <v>74</v>
      </c>
      <c r="I190" s="6" t="n">
        <f aca="false">D190*F190</f>
        <v>2.9</v>
      </c>
      <c r="J190" s="6" t="n">
        <f aca="false">HOUR(E190)</f>
        <v>9</v>
      </c>
      <c r="K190" s="6" t="n">
        <f aca="false">IF(COUNTIF($A$2:$A190,A190)=1,1,0)</f>
        <v>0</v>
      </c>
    </row>
    <row r="191" customFormat="false" ht="15" hidden="false" customHeight="false" outlineLevel="0" collapsed="false">
      <c r="A191" s="0" t="s">
        <v>157</v>
      </c>
      <c r="B191" s="0" t="s">
        <v>69</v>
      </c>
      <c r="C191" s="0" t="s">
        <v>70</v>
      </c>
      <c r="D191" s="0" t="n">
        <v>42</v>
      </c>
      <c r="E191" s="5" t="n">
        <v>45934.4787152778</v>
      </c>
      <c r="F191" s="0" t="n">
        <v>2.08</v>
      </c>
      <c r="G191" s="0" t="n">
        <v>17243</v>
      </c>
      <c r="H191" s="6" t="s">
        <v>42</v>
      </c>
      <c r="I191" s="6" t="n">
        <f aca="false">D191*F191</f>
        <v>87.36</v>
      </c>
      <c r="J191" s="6" t="n">
        <f aca="false">HOUR(E191)</f>
        <v>11</v>
      </c>
      <c r="K191" s="6" t="n">
        <f aca="false">IF(COUNTIF($A$2:$A191,A191)=1,1,0)</f>
        <v>1</v>
      </c>
    </row>
    <row r="192" customFormat="false" ht="15" hidden="false" customHeight="false" outlineLevel="0" collapsed="false">
      <c r="A192" s="0" t="s">
        <v>157</v>
      </c>
      <c r="B192" s="0" t="s">
        <v>107</v>
      </c>
      <c r="C192" s="0" t="s">
        <v>108</v>
      </c>
      <c r="D192" s="0" t="n">
        <v>12</v>
      </c>
      <c r="E192" s="5" t="n">
        <v>45934.4787152778</v>
      </c>
      <c r="F192" s="0" t="n">
        <v>3.75</v>
      </c>
      <c r="G192" s="0" t="n">
        <v>17243</v>
      </c>
      <c r="H192" s="6" t="s">
        <v>42</v>
      </c>
      <c r="I192" s="6" t="n">
        <f aca="false">D192*F192</f>
        <v>45</v>
      </c>
      <c r="J192" s="6" t="n">
        <f aca="false">HOUR(E192)</f>
        <v>11</v>
      </c>
      <c r="K192" s="6" t="n">
        <f aca="false">IF(COUNTIF($A$2:$A192,A192)=1,1,0)</f>
        <v>0</v>
      </c>
    </row>
    <row r="193" customFormat="false" ht="15" hidden="false" customHeight="false" outlineLevel="0" collapsed="false">
      <c r="A193" s="0" t="s">
        <v>157</v>
      </c>
      <c r="B193" s="0" t="s">
        <v>63</v>
      </c>
      <c r="C193" s="0" t="s">
        <v>64</v>
      </c>
      <c r="D193" s="0" t="n">
        <v>12</v>
      </c>
      <c r="E193" s="5" t="n">
        <v>45934.4787152778</v>
      </c>
      <c r="F193" s="0" t="n">
        <v>1.85</v>
      </c>
      <c r="G193" s="0" t="n">
        <v>17243</v>
      </c>
      <c r="H193" s="6" t="s">
        <v>42</v>
      </c>
      <c r="I193" s="6" t="n">
        <f aca="false">D193*F193</f>
        <v>22.2</v>
      </c>
      <c r="J193" s="6" t="n">
        <f aca="false">HOUR(E193)</f>
        <v>11</v>
      </c>
      <c r="K193" s="6" t="n">
        <f aca="false">IF(COUNTIF($A$2:$A193,A193)=1,1,0)</f>
        <v>0</v>
      </c>
    </row>
    <row r="194" customFormat="false" ht="15" hidden="false" customHeight="false" outlineLevel="0" collapsed="false">
      <c r="A194" s="0" t="s">
        <v>157</v>
      </c>
      <c r="B194" s="0" t="s">
        <v>57</v>
      </c>
      <c r="C194" s="0" t="s">
        <v>58</v>
      </c>
      <c r="D194" s="0" t="n">
        <v>4</v>
      </c>
      <c r="E194" s="5" t="n">
        <v>45934.4787152778</v>
      </c>
      <c r="F194" s="0" t="n">
        <v>2.08</v>
      </c>
      <c r="G194" s="0" t="n">
        <v>17243</v>
      </c>
      <c r="H194" s="6" t="s">
        <v>42</v>
      </c>
      <c r="I194" s="6" t="n">
        <f aca="false">D194*F194</f>
        <v>8.32</v>
      </c>
      <c r="J194" s="6" t="n">
        <f aca="false">HOUR(E194)</f>
        <v>11</v>
      </c>
      <c r="K194" s="6" t="n">
        <f aca="false">IF(COUNTIF($A$2:$A194,A194)=1,1,0)</f>
        <v>0</v>
      </c>
    </row>
    <row r="195" customFormat="false" ht="15" hidden="false" customHeight="false" outlineLevel="0" collapsed="false">
      <c r="A195" s="0" t="s">
        <v>157</v>
      </c>
      <c r="B195" s="0" t="s">
        <v>45</v>
      </c>
      <c r="C195" s="0" t="s">
        <v>46</v>
      </c>
      <c r="D195" s="0" t="n">
        <v>5</v>
      </c>
      <c r="E195" s="5" t="n">
        <v>45934.4787152778</v>
      </c>
      <c r="F195" s="0" t="n">
        <v>2.1</v>
      </c>
      <c r="G195" s="0" t="n">
        <v>17243</v>
      </c>
      <c r="H195" s="6" t="s">
        <v>42</v>
      </c>
      <c r="I195" s="6" t="n">
        <f aca="false">D195*F195</f>
        <v>10.5</v>
      </c>
      <c r="J195" s="6" t="n">
        <f aca="false">HOUR(E195)</f>
        <v>11</v>
      </c>
      <c r="K195" s="6" t="n">
        <f aca="false">IF(COUNTIF($A$2:$A195,A195)=1,1,0)</f>
        <v>0</v>
      </c>
    </row>
    <row r="196" customFormat="false" ht="15" hidden="false" customHeight="false" outlineLevel="0" collapsed="false">
      <c r="A196" s="0" t="s">
        <v>157</v>
      </c>
      <c r="B196" s="0" t="s">
        <v>104</v>
      </c>
      <c r="C196" s="0" t="s">
        <v>105</v>
      </c>
      <c r="D196" s="0" t="n">
        <v>6</v>
      </c>
      <c r="E196" s="5" t="n">
        <v>45934.4787152778</v>
      </c>
      <c r="F196" s="0" t="n">
        <v>1.65</v>
      </c>
      <c r="G196" s="0" t="n">
        <v>17243</v>
      </c>
      <c r="H196" s="6" t="s">
        <v>42</v>
      </c>
      <c r="I196" s="6" t="n">
        <f aca="false">D196*F196</f>
        <v>9.9</v>
      </c>
      <c r="J196" s="6" t="n">
        <f aca="false">HOUR(E196)</f>
        <v>11</v>
      </c>
      <c r="K196" s="6" t="n">
        <f aca="false">IF(COUNTIF($A$2:$A196,A196)=1,1,0)</f>
        <v>0</v>
      </c>
    </row>
    <row r="197" customFormat="false" ht="15" hidden="false" customHeight="false" outlineLevel="0" collapsed="false">
      <c r="A197" s="0" t="s">
        <v>157</v>
      </c>
      <c r="B197" s="0" t="s">
        <v>43</v>
      </c>
      <c r="C197" s="0" t="s">
        <v>44</v>
      </c>
      <c r="D197" s="0" t="n">
        <v>7</v>
      </c>
      <c r="E197" s="5" t="n">
        <v>45934.4787152778</v>
      </c>
      <c r="F197" s="0" t="n">
        <v>4.25</v>
      </c>
      <c r="G197" s="0" t="n">
        <v>17243</v>
      </c>
      <c r="H197" s="6" t="s">
        <v>42</v>
      </c>
      <c r="I197" s="6" t="n">
        <f aca="false">D197*F197</f>
        <v>29.75</v>
      </c>
      <c r="J197" s="6" t="n">
        <f aca="false">HOUR(E197)</f>
        <v>11</v>
      </c>
      <c r="K197" s="6" t="n">
        <f aca="false">IF(COUNTIF($A$2:$A197,A197)=1,1,0)</f>
        <v>0</v>
      </c>
    </row>
    <row r="198" customFormat="false" ht="15" hidden="false" customHeight="false" outlineLevel="0" collapsed="false">
      <c r="A198" s="0" t="s">
        <v>157</v>
      </c>
      <c r="B198" s="0" t="s">
        <v>91</v>
      </c>
      <c r="C198" s="0" t="s">
        <v>92</v>
      </c>
      <c r="D198" s="0" t="n">
        <v>13</v>
      </c>
      <c r="E198" s="5" t="n">
        <v>45934.4787152778</v>
      </c>
      <c r="F198" s="0" t="n">
        <v>7.65</v>
      </c>
      <c r="G198" s="0" t="n">
        <v>17243</v>
      </c>
      <c r="H198" s="6" t="s">
        <v>42</v>
      </c>
      <c r="I198" s="6" t="n">
        <f aca="false">D198*F198</f>
        <v>99.45</v>
      </c>
      <c r="J198" s="6" t="n">
        <f aca="false">HOUR(E198)</f>
        <v>11</v>
      </c>
      <c r="K198" s="6" t="n">
        <f aca="false">IF(COUNTIF($A$2:$A198,A198)=1,1,0)</f>
        <v>0</v>
      </c>
    </row>
    <row r="199" customFormat="false" ht="15" hidden="false" customHeight="false" outlineLevel="0" collapsed="false">
      <c r="A199" s="0" t="s">
        <v>157</v>
      </c>
      <c r="B199" s="0" t="s">
        <v>47</v>
      </c>
      <c r="C199" s="0" t="s">
        <v>48</v>
      </c>
      <c r="D199" s="0" t="n">
        <v>43</v>
      </c>
      <c r="E199" s="5" t="n">
        <v>45934.4787152778</v>
      </c>
      <c r="F199" s="0" t="n">
        <v>12.75</v>
      </c>
      <c r="G199" s="0" t="n">
        <v>17243</v>
      </c>
      <c r="H199" s="6" t="s">
        <v>42</v>
      </c>
      <c r="I199" s="6" t="n">
        <f aca="false">D199*F199</f>
        <v>548.25</v>
      </c>
      <c r="J199" s="6" t="n">
        <f aca="false">HOUR(E199)</f>
        <v>11</v>
      </c>
      <c r="K199" s="6" t="n">
        <f aca="false">IF(COUNTIF($A$2:$A199,A199)=1,1,0)</f>
        <v>0</v>
      </c>
    </row>
    <row r="200" customFormat="false" ht="15" hidden="false" customHeight="false" outlineLevel="0" collapsed="false">
      <c r="A200" s="0" t="s">
        <v>158</v>
      </c>
      <c r="B200" s="0" t="s">
        <v>63</v>
      </c>
      <c r="C200" s="0" t="s">
        <v>64</v>
      </c>
      <c r="D200" s="0" t="n">
        <v>5</v>
      </c>
      <c r="E200" s="5" t="n">
        <v>45934.561400463</v>
      </c>
      <c r="F200" s="0" t="n">
        <v>1.85</v>
      </c>
      <c r="G200" s="0" t="n">
        <v>17167</v>
      </c>
      <c r="H200" s="6" t="s">
        <v>151</v>
      </c>
      <c r="I200" s="6" t="n">
        <f aca="false">D200*F200</f>
        <v>9.25</v>
      </c>
      <c r="J200" s="6" t="n">
        <f aca="false">HOUR(E200)</f>
        <v>13</v>
      </c>
      <c r="K200" s="6" t="n">
        <f aca="false">IF(COUNTIF($A$2:$A200,A200)=1,1,0)</f>
        <v>1</v>
      </c>
    </row>
    <row r="201" customFormat="false" ht="15" hidden="false" customHeight="false" outlineLevel="0" collapsed="false">
      <c r="A201" s="0" t="s">
        <v>158</v>
      </c>
      <c r="B201" s="0" t="s">
        <v>102</v>
      </c>
      <c r="C201" s="0" t="s">
        <v>103</v>
      </c>
      <c r="D201" s="0" t="n">
        <v>38</v>
      </c>
      <c r="E201" s="5" t="n">
        <v>45934.561400463</v>
      </c>
      <c r="F201" s="0" t="n">
        <v>8.5</v>
      </c>
      <c r="G201" s="0" t="n">
        <v>17167</v>
      </c>
      <c r="H201" s="6" t="s">
        <v>151</v>
      </c>
      <c r="I201" s="6" t="n">
        <f aca="false">D201*F201</f>
        <v>323</v>
      </c>
      <c r="J201" s="6" t="n">
        <f aca="false">HOUR(E201)</f>
        <v>13</v>
      </c>
      <c r="K201" s="6" t="n">
        <f aca="false">IF(COUNTIF($A$2:$A201,A201)=1,1,0)</f>
        <v>0</v>
      </c>
    </row>
    <row r="202" customFormat="false" ht="15" hidden="false" customHeight="false" outlineLevel="0" collapsed="false">
      <c r="A202" s="0" t="s">
        <v>158</v>
      </c>
      <c r="B202" s="0" t="s">
        <v>53</v>
      </c>
      <c r="C202" s="0" t="s">
        <v>54</v>
      </c>
      <c r="D202" s="0" t="n">
        <v>18</v>
      </c>
      <c r="E202" s="5" t="n">
        <v>45934.561400463</v>
      </c>
      <c r="F202" s="0" t="n">
        <v>2.95</v>
      </c>
      <c r="G202" s="0" t="n">
        <v>17167</v>
      </c>
      <c r="H202" s="6" t="s">
        <v>151</v>
      </c>
      <c r="I202" s="6" t="n">
        <f aca="false">D202*F202</f>
        <v>53.1</v>
      </c>
      <c r="J202" s="6" t="n">
        <f aca="false">HOUR(E202)</f>
        <v>13</v>
      </c>
      <c r="K202" s="6" t="n">
        <f aca="false">IF(COUNTIF($A$2:$A202,A202)=1,1,0)</f>
        <v>0</v>
      </c>
    </row>
    <row r="203" customFormat="false" ht="15" hidden="false" customHeight="false" outlineLevel="0" collapsed="false">
      <c r="A203" s="0" t="s">
        <v>158</v>
      </c>
      <c r="B203" s="0" t="s">
        <v>131</v>
      </c>
      <c r="C203" s="0" t="s">
        <v>132</v>
      </c>
      <c r="D203" s="0" t="n">
        <v>2</v>
      </c>
      <c r="E203" s="5" t="n">
        <v>45934.561400463</v>
      </c>
      <c r="F203" s="0" t="n">
        <v>3.39</v>
      </c>
      <c r="G203" s="0" t="n">
        <v>17167</v>
      </c>
      <c r="H203" s="6" t="s">
        <v>151</v>
      </c>
      <c r="I203" s="6" t="n">
        <f aca="false">D203*F203</f>
        <v>6.78</v>
      </c>
      <c r="J203" s="6" t="n">
        <f aca="false">HOUR(E203)</f>
        <v>13</v>
      </c>
      <c r="K203" s="6" t="n">
        <f aca="false">IF(COUNTIF($A$2:$A203,A203)=1,1,0)</f>
        <v>0</v>
      </c>
    </row>
    <row r="204" customFormat="false" ht="15" hidden="false" customHeight="false" outlineLevel="0" collapsed="false">
      <c r="A204" s="0" t="s">
        <v>158</v>
      </c>
      <c r="B204" s="0" t="s">
        <v>72</v>
      </c>
      <c r="C204" s="0" t="s">
        <v>73</v>
      </c>
      <c r="D204" s="0" t="n">
        <v>33</v>
      </c>
      <c r="E204" s="5" t="n">
        <v>45934.561400463</v>
      </c>
      <c r="F204" s="0" t="n">
        <v>4.95</v>
      </c>
      <c r="G204" s="0" t="n">
        <v>17167</v>
      </c>
      <c r="H204" s="6" t="s">
        <v>151</v>
      </c>
      <c r="I204" s="6" t="n">
        <f aca="false">D204*F204</f>
        <v>163.35</v>
      </c>
      <c r="J204" s="6" t="n">
        <f aca="false">HOUR(E204)</f>
        <v>13</v>
      </c>
      <c r="K204" s="6" t="n">
        <f aca="false">IF(COUNTIF($A$2:$A204,A204)=1,1,0)</f>
        <v>0</v>
      </c>
    </row>
    <row r="205" customFormat="false" ht="15" hidden="false" customHeight="false" outlineLevel="0" collapsed="false">
      <c r="A205" s="0" t="s">
        <v>159</v>
      </c>
      <c r="B205" s="0" t="s">
        <v>104</v>
      </c>
      <c r="C205" s="0" t="s">
        <v>105</v>
      </c>
      <c r="D205" s="0" t="n">
        <v>15</v>
      </c>
      <c r="E205" s="5" t="n">
        <v>45934.6055092593</v>
      </c>
      <c r="F205" s="0" t="n">
        <v>1.65</v>
      </c>
      <c r="G205" s="0" t="n">
        <v>17154</v>
      </c>
      <c r="H205" s="6" t="s">
        <v>74</v>
      </c>
      <c r="I205" s="6" t="n">
        <f aca="false">D205*F205</f>
        <v>24.75</v>
      </c>
      <c r="J205" s="6" t="n">
        <f aca="false">HOUR(E205)</f>
        <v>14</v>
      </c>
      <c r="K205" s="6" t="n">
        <f aca="false">IF(COUNTIF($A$2:$A205,A205)=1,1,0)</f>
        <v>1</v>
      </c>
    </row>
    <row r="206" customFormat="false" ht="15" hidden="false" customHeight="false" outlineLevel="0" collapsed="false">
      <c r="A206" s="0" t="s">
        <v>159</v>
      </c>
      <c r="B206" s="0" t="s">
        <v>121</v>
      </c>
      <c r="C206" s="0" t="s">
        <v>122</v>
      </c>
      <c r="D206" s="0" t="n">
        <v>11</v>
      </c>
      <c r="E206" s="5" t="n">
        <v>45934.6055092593</v>
      </c>
      <c r="F206" s="0" t="n">
        <v>2.1</v>
      </c>
      <c r="G206" s="0" t="n">
        <v>17154</v>
      </c>
      <c r="H206" s="6" t="s">
        <v>74</v>
      </c>
      <c r="I206" s="6" t="n">
        <f aca="false">D206*F206</f>
        <v>23.1</v>
      </c>
      <c r="J206" s="6" t="n">
        <f aca="false">HOUR(E206)</f>
        <v>14</v>
      </c>
      <c r="K206" s="6" t="n">
        <f aca="false">IF(COUNTIF($A$2:$A206,A206)=1,1,0)</f>
        <v>0</v>
      </c>
    </row>
    <row r="207" customFormat="false" ht="15" hidden="false" customHeight="false" outlineLevel="0" collapsed="false">
      <c r="A207" s="0" t="s">
        <v>159</v>
      </c>
      <c r="B207" s="0" t="s">
        <v>131</v>
      </c>
      <c r="C207" s="0" t="s">
        <v>132</v>
      </c>
      <c r="D207" s="0" t="n">
        <v>17</v>
      </c>
      <c r="E207" s="5" t="n">
        <v>45934.6055092593</v>
      </c>
      <c r="F207" s="0" t="n">
        <v>3.39</v>
      </c>
      <c r="G207" s="0" t="n">
        <v>17154</v>
      </c>
      <c r="H207" s="6" t="s">
        <v>74</v>
      </c>
      <c r="I207" s="6" t="n">
        <f aca="false">D207*F207</f>
        <v>57.63</v>
      </c>
      <c r="J207" s="6" t="n">
        <f aca="false">HOUR(E207)</f>
        <v>14</v>
      </c>
      <c r="K207" s="6" t="n">
        <f aca="false">IF(COUNTIF($A$2:$A207,A207)=1,1,0)</f>
        <v>0</v>
      </c>
    </row>
    <row r="208" customFormat="false" ht="15" hidden="false" customHeight="false" outlineLevel="0" collapsed="false">
      <c r="A208" s="0" t="s">
        <v>159</v>
      </c>
      <c r="B208" s="0" t="s">
        <v>75</v>
      </c>
      <c r="C208" s="0" t="s">
        <v>76</v>
      </c>
      <c r="D208" s="0" t="n">
        <v>5</v>
      </c>
      <c r="E208" s="5" t="n">
        <v>45934.6055092593</v>
      </c>
      <c r="F208" s="0" t="n">
        <v>3.39</v>
      </c>
      <c r="G208" s="0" t="n">
        <v>17154</v>
      </c>
      <c r="H208" s="6" t="s">
        <v>74</v>
      </c>
      <c r="I208" s="6" t="n">
        <f aca="false">D208*F208</f>
        <v>16.95</v>
      </c>
      <c r="J208" s="6" t="n">
        <f aca="false">HOUR(E208)</f>
        <v>14</v>
      </c>
      <c r="K208" s="6" t="n">
        <f aca="false">IF(COUNTIF($A$2:$A208,A208)=1,1,0)</f>
        <v>0</v>
      </c>
    </row>
    <row r="209" customFormat="false" ht="15" hidden="false" customHeight="false" outlineLevel="0" collapsed="false">
      <c r="A209" s="0" t="s">
        <v>159</v>
      </c>
      <c r="B209" s="0" t="s">
        <v>57</v>
      </c>
      <c r="C209" s="0" t="s">
        <v>58</v>
      </c>
      <c r="D209" s="0" t="n">
        <v>23</v>
      </c>
      <c r="E209" s="5" t="n">
        <v>45934.6055092593</v>
      </c>
      <c r="F209" s="0" t="n">
        <v>2.08</v>
      </c>
      <c r="G209" s="0" t="n">
        <v>17154</v>
      </c>
      <c r="H209" s="6" t="s">
        <v>74</v>
      </c>
      <c r="I209" s="6" t="n">
        <f aca="false">D209*F209</f>
        <v>47.84</v>
      </c>
      <c r="J209" s="6" t="n">
        <f aca="false">HOUR(E209)</f>
        <v>14</v>
      </c>
      <c r="K209" s="6" t="n">
        <f aca="false">IF(COUNTIF($A$2:$A209,A209)=1,1,0)</f>
        <v>0</v>
      </c>
    </row>
    <row r="210" customFormat="false" ht="15" hidden="false" customHeight="false" outlineLevel="0" collapsed="false">
      <c r="A210" s="0" t="s">
        <v>159</v>
      </c>
      <c r="B210" s="0" t="s">
        <v>118</v>
      </c>
      <c r="C210" s="0" t="s">
        <v>119</v>
      </c>
      <c r="D210" s="0" t="n">
        <v>15</v>
      </c>
      <c r="E210" s="5" t="n">
        <v>45934.6055092593</v>
      </c>
      <c r="F210" s="0" t="n">
        <v>4.95</v>
      </c>
      <c r="G210" s="0" t="n">
        <v>17154</v>
      </c>
      <c r="H210" s="6" t="s">
        <v>74</v>
      </c>
      <c r="I210" s="6" t="n">
        <f aca="false">D210*F210</f>
        <v>74.25</v>
      </c>
      <c r="J210" s="6" t="n">
        <f aca="false">HOUR(E210)</f>
        <v>14</v>
      </c>
      <c r="K210" s="6" t="n">
        <f aca="false">IF(COUNTIF($A$2:$A210,A210)=1,1,0)</f>
        <v>0</v>
      </c>
    </row>
    <row r="211" customFormat="false" ht="15" hidden="false" customHeight="false" outlineLevel="0" collapsed="false">
      <c r="A211" s="0" t="s">
        <v>159</v>
      </c>
      <c r="B211" s="0" t="s">
        <v>134</v>
      </c>
      <c r="C211" s="0" t="s">
        <v>135</v>
      </c>
      <c r="D211" s="0" t="n">
        <v>4</v>
      </c>
      <c r="E211" s="5" t="n">
        <v>45934.6055092593</v>
      </c>
      <c r="F211" s="0" t="n">
        <v>5.95</v>
      </c>
      <c r="G211" s="0" t="n">
        <v>17154</v>
      </c>
      <c r="H211" s="6" t="s">
        <v>74</v>
      </c>
      <c r="I211" s="6" t="n">
        <f aca="false">D211*F211</f>
        <v>23.8</v>
      </c>
      <c r="J211" s="6" t="n">
        <f aca="false">HOUR(E211)</f>
        <v>14</v>
      </c>
      <c r="K211" s="6" t="n">
        <f aca="false">IF(COUNTIF($A$2:$A211,A211)=1,1,0)</f>
        <v>0</v>
      </c>
    </row>
    <row r="212" customFormat="false" ht="15" hidden="false" customHeight="false" outlineLevel="0" collapsed="false">
      <c r="A212" s="0" t="s">
        <v>159</v>
      </c>
      <c r="B212" s="0" t="s">
        <v>50</v>
      </c>
      <c r="C212" s="0" t="s">
        <v>51</v>
      </c>
      <c r="D212" s="0" t="n">
        <v>12</v>
      </c>
      <c r="E212" s="5" t="n">
        <v>45934.6055092593</v>
      </c>
      <c r="F212" s="0" t="n">
        <v>5.95</v>
      </c>
      <c r="G212" s="0" t="n">
        <v>17154</v>
      </c>
      <c r="H212" s="6" t="s">
        <v>74</v>
      </c>
      <c r="I212" s="6" t="n">
        <f aca="false">D212*F212</f>
        <v>71.4</v>
      </c>
      <c r="J212" s="6" t="n">
        <f aca="false">HOUR(E212)</f>
        <v>14</v>
      </c>
      <c r="K212" s="6" t="n">
        <f aca="false">IF(COUNTIF($A$2:$A212,A212)=1,1,0)</f>
        <v>0</v>
      </c>
    </row>
    <row r="213" customFormat="false" ht="15" hidden="false" customHeight="false" outlineLevel="0" collapsed="false">
      <c r="A213" s="0" t="s">
        <v>160</v>
      </c>
      <c r="B213" s="0" t="s">
        <v>127</v>
      </c>
      <c r="C213" s="0" t="s">
        <v>128</v>
      </c>
      <c r="D213" s="0" t="n">
        <v>18</v>
      </c>
      <c r="E213" s="5" t="n">
        <v>45934.6161689815</v>
      </c>
      <c r="F213" s="0" t="n">
        <v>1.45</v>
      </c>
      <c r="G213" s="0" t="n">
        <v>17044</v>
      </c>
      <c r="H213" s="6" t="s">
        <v>74</v>
      </c>
      <c r="I213" s="6" t="n">
        <f aca="false">D213*F213</f>
        <v>26.1</v>
      </c>
      <c r="J213" s="6" t="n">
        <f aca="false">HOUR(E213)</f>
        <v>14</v>
      </c>
      <c r="K213" s="6" t="n">
        <f aca="false">IF(COUNTIF($A$2:$A213,A213)=1,1,0)</f>
        <v>1</v>
      </c>
    </row>
    <row r="214" customFormat="false" ht="15" hidden="false" customHeight="false" outlineLevel="0" collapsed="false">
      <c r="A214" s="0" t="s">
        <v>160</v>
      </c>
      <c r="B214" s="0" t="s">
        <v>88</v>
      </c>
      <c r="C214" s="0" t="s">
        <v>89</v>
      </c>
      <c r="D214" s="0" t="n">
        <v>15</v>
      </c>
      <c r="E214" s="5" t="n">
        <v>45934.6161689815</v>
      </c>
      <c r="F214" s="0" t="n">
        <v>2.75</v>
      </c>
      <c r="G214" s="0" t="n">
        <v>17044</v>
      </c>
      <c r="H214" s="6" t="s">
        <v>74</v>
      </c>
      <c r="I214" s="6" t="n">
        <f aca="false">D214*F214</f>
        <v>41.25</v>
      </c>
      <c r="J214" s="6" t="n">
        <f aca="false">HOUR(E214)</f>
        <v>14</v>
      </c>
      <c r="K214" s="6" t="n">
        <f aca="false">IF(COUNTIF($A$2:$A214,A214)=1,1,0)</f>
        <v>0</v>
      </c>
    </row>
    <row r="215" customFormat="false" ht="15" hidden="false" customHeight="false" outlineLevel="0" collapsed="false">
      <c r="A215" s="0" t="s">
        <v>160</v>
      </c>
      <c r="B215" s="0" t="s">
        <v>79</v>
      </c>
      <c r="C215" s="0" t="s">
        <v>80</v>
      </c>
      <c r="D215" s="0" t="n">
        <v>1</v>
      </c>
      <c r="E215" s="5" t="n">
        <v>45934.6161689815</v>
      </c>
      <c r="F215" s="0" t="n">
        <v>3.39</v>
      </c>
      <c r="G215" s="0" t="n">
        <v>17044</v>
      </c>
      <c r="H215" s="6" t="s">
        <v>74</v>
      </c>
      <c r="I215" s="6" t="n">
        <f aca="false">D215*F215</f>
        <v>3.39</v>
      </c>
      <c r="J215" s="6" t="n">
        <f aca="false">HOUR(E215)</f>
        <v>14</v>
      </c>
      <c r="K215" s="6" t="n">
        <f aca="false">IF(COUNTIF($A$2:$A215,A215)=1,1,0)</f>
        <v>0</v>
      </c>
    </row>
    <row r="216" customFormat="false" ht="15" hidden="false" customHeight="false" outlineLevel="0" collapsed="false">
      <c r="A216" s="0" t="s">
        <v>160</v>
      </c>
      <c r="B216" s="0" t="s">
        <v>91</v>
      </c>
      <c r="C216" s="0" t="s">
        <v>92</v>
      </c>
      <c r="D216" s="0" t="n">
        <v>6</v>
      </c>
      <c r="E216" s="5" t="n">
        <v>45934.6161689815</v>
      </c>
      <c r="F216" s="0" t="n">
        <v>7.65</v>
      </c>
      <c r="G216" s="0" t="n">
        <v>17044</v>
      </c>
      <c r="H216" s="6" t="s">
        <v>74</v>
      </c>
      <c r="I216" s="6" t="n">
        <f aca="false">D216*F216</f>
        <v>45.9</v>
      </c>
      <c r="J216" s="6" t="n">
        <f aca="false">HOUR(E216)</f>
        <v>14</v>
      </c>
      <c r="K216" s="6" t="n">
        <f aca="false">IF(COUNTIF($A$2:$A216,A216)=1,1,0)</f>
        <v>0</v>
      </c>
    </row>
    <row r="217" customFormat="false" ht="15" hidden="false" customHeight="false" outlineLevel="0" collapsed="false">
      <c r="A217" s="0" t="s">
        <v>160</v>
      </c>
      <c r="B217" s="0" t="s">
        <v>45</v>
      </c>
      <c r="C217" s="0" t="s">
        <v>46</v>
      </c>
      <c r="D217" s="0" t="n">
        <v>11</v>
      </c>
      <c r="E217" s="5" t="n">
        <v>45934.6161689815</v>
      </c>
      <c r="F217" s="0" t="n">
        <v>2.1</v>
      </c>
      <c r="G217" s="0" t="n">
        <v>17044</v>
      </c>
      <c r="H217" s="6" t="s">
        <v>74</v>
      </c>
      <c r="I217" s="6" t="n">
        <f aca="false">D217*F217</f>
        <v>23.1</v>
      </c>
      <c r="J217" s="6" t="n">
        <f aca="false">HOUR(E217)</f>
        <v>14</v>
      </c>
      <c r="K217" s="6" t="n">
        <f aca="false">IF(COUNTIF($A$2:$A217,A217)=1,1,0)</f>
        <v>0</v>
      </c>
    </row>
    <row r="218" customFormat="false" ht="15" hidden="false" customHeight="false" outlineLevel="0" collapsed="false">
      <c r="A218" s="0" t="s">
        <v>160</v>
      </c>
      <c r="B218" s="0" t="s">
        <v>59</v>
      </c>
      <c r="C218" s="0" t="s">
        <v>60</v>
      </c>
      <c r="D218" s="0" t="n">
        <v>7</v>
      </c>
      <c r="E218" s="5" t="n">
        <v>45934.6161689815</v>
      </c>
      <c r="F218" s="0" t="n">
        <v>0.42</v>
      </c>
      <c r="G218" s="0" t="n">
        <v>17044</v>
      </c>
      <c r="H218" s="6" t="s">
        <v>74</v>
      </c>
      <c r="I218" s="6" t="n">
        <f aca="false">D218*F218</f>
        <v>2.94</v>
      </c>
      <c r="J218" s="6" t="n">
        <f aca="false">HOUR(E218)</f>
        <v>14</v>
      </c>
      <c r="K218" s="6" t="n">
        <f aca="false">IF(COUNTIF($A$2:$A218,A218)=1,1,0)</f>
        <v>0</v>
      </c>
    </row>
    <row r="219" customFormat="false" ht="15" hidden="false" customHeight="false" outlineLevel="0" collapsed="false">
      <c r="A219" s="0" t="s">
        <v>160</v>
      </c>
      <c r="B219" s="0" t="s">
        <v>47</v>
      </c>
      <c r="C219" s="0" t="s">
        <v>48</v>
      </c>
      <c r="D219" s="0" t="n">
        <v>35</v>
      </c>
      <c r="E219" s="5" t="n">
        <v>45934.6161689815</v>
      </c>
      <c r="F219" s="0" t="n">
        <v>12.75</v>
      </c>
      <c r="G219" s="0" t="n">
        <v>17044</v>
      </c>
      <c r="H219" s="6" t="s">
        <v>74</v>
      </c>
      <c r="I219" s="6" t="n">
        <f aca="false">D219*F219</f>
        <v>446.25</v>
      </c>
      <c r="J219" s="6" t="n">
        <f aca="false">HOUR(E219)</f>
        <v>14</v>
      </c>
      <c r="K219" s="6" t="n">
        <f aca="false">IF(COUNTIF($A$2:$A219,A219)=1,1,0)</f>
        <v>0</v>
      </c>
    </row>
    <row r="220" customFormat="false" ht="15" hidden="false" customHeight="false" outlineLevel="0" collapsed="false">
      <c r="A220" s="0" t="s">
        <v>160</v>
      </c>
      <c r="B220" s="0" t="s">
        <v>107</v>
      </c>
      <c r="C220" s="0" t="s">
        <v>108</v>
      </c>
      <c r="D220" s="0" t="n">
        <v>12</v>
      </c>
      <c r="E220" s="5" t="n">
        <v>45934.6161689815</v>
      </c>
      <c r="F220" s="0" t="n">
        <v>3.75</v>
      </c>
      <c r="G220" s="0" t="n">
        <v>17044</v>
      </c>
      <c r="H220" s="6" t="s">
        <v>74</v>
      </c>
      <c r="I220" s="6" t="n">
        <f aca="false">D220*F220</f>
        <v>45</v>
      </c>
      <c r="J220" s="6" t="n">
        <f aca="false">HOUR(E220)</f>
        <v>14</v>
      </c>
      <c r="K220" s="6" t="n">
        <f aca="false">IF(COUNTIF($A$2:$A220,A220)=1,1,0)</f>
        <v>0</v>
      </c>
    </row>
    <row r="221" customFormat="false" ht="15" hidden="false" customHeight="false" outlineLevel="0" collapsed="false">
      <c r="A221" s="0" t="s">
        <v>160</v>
      </c>
      <c r="B221" s="0" t="s">
        <v>102</v>
      </c>
      <c r="C221" s="0" t="s">
        <v>103</v>
      </c>
      <c r="D221" s="0" t="n">
        <v>12</v>
      </c>
      <c r="E221" s="5" t="n">
        <v>45934.6161689815</v>
      </c>
      <c r="F221" s="0" t="n">
        <v>8.5</v>
      </c>
      <c r="G221" s="0" t="n">
        <v>17044</v>
      </c>
      <c r="H221" s="6" t="s">
        <v>74</v>
      </c>
      <c r="I221" s="6" t="n">
        <f aca="false">D221*F221</f>
        <v>102</v>
      </c>
      <c r="J221" s="6" t="n">
        <f aca="false">HOUR(E221)</f>
        <v>14</v>
      </c>
      <c r="K221" s="6" t="n">
        <f aca="false">IF(COUNTIF($A$2:$A221,A221)=1,1,0)</f>
        <v>0</v>
      </c>
    </row>
    <row r="222" customFormat="false" ht="15" hidden="false" customHeight="false" outlineLevel="0" collapsed="false">
      <c r="A222" s="0" t="s">
        <v>160</v>
      </c>
      <c r="B222" s="0" t="s">
        <v>40</v>
      </c>
      <c r="C222" s="0" t="s">
        <v>41</v>
      </c>
      <c r="D222" s="0" t="n">
        <v>11</v>
      </c>
      <c r="E222" s="5" t="n">
        <v>45934.6161689815</v>
      </c>
      <c r="F222" s="0" t="n">
        <v>1.06</v>
      </c>
      <c r="G222" s="0" t="n">
        <v>17044</v>
      </c>
      <c r="H222" s="6" t="s">
        <v>74</v>
      </c>
      <c r="I222" s="6" t="n">
        <f aca="false">D222*F222</f>
        <v>11.66</v>
      </c>
      <c r="J222" s="6" t="n">
        <f aca="false">HOUR(E222)</f>
        <v>14</v>
      </c>
      <c r="K222" s="6" t="n">
        <f aca="false">IF(COUNTIF($A$2:$A222,A222)=1,1,0)</f>
        <v>0</v>
      </c>
    </row>
    <row r="223" customFormat="false" ht="15" hidden="false" customHeight="false" outlineLevel="0" collapsed="false">
      <c r="A223" s="0" t="s">
        <v>161</v>
      </c>
      <c r="B223" s="0" t="s">
        <v>40</v>
      </c>
      <c r="C223" s="0" t="s">
        <v>41</v>
      </c>
      <c r="D223" s="0" t="n">
        <v>24</v>
      </c>
      <c r="E223" s="5" t="n">
        <v>45934.6533680556</v>
      </c>
      <c r="F223" s="0" t="n">
        <v>1.06</v>
      </c>
      <c r="G223" s="0" t="n">
        <v>17042</v>
      </c>
      <c r="H223" s="6" t="s">
        <v>74</v>
      </c>
      <c r="I223" s="6" t="n">
        <f aca="false">D223*F223</f>
        <v>25.44</v>
      </c>
      <c r="J223" s="6" t="n">
        <f aca="false">HOUR(E223)</f>
        <v>15</v>
      </c>
      <c r="K223" s="6" t="n">
        <f aca="false">IF(COUNTIF($A$2:$A223,A223)=1,1,0)</f>
        <v>1</v>
      </c>
    </row>
    <row r="224" customFormat="false" ht="15" hidden="false" customHeight="false" outlineLevel="0" collapsed="false">
      <c r="A224" s="0" t="s">
        <v>161</v>
      </c>
      <c r="B224" s="0" t="s">
        <v>125</v>
      </c>
      <c r="C224" s="0" t="s">
        <v>126</v>
      </c>
      <c r="D224" s="0" t="n">
        <v>15</v>
      </c>
      <c r="E224" s="5" t="n">
        <v>45934.6533680556</v>
      </c>
      <c r="F224" s="0" t="n">
        <v>1.25</v>
      </c>
      <c r="G224" s="0" t="n">
        <v>17042</v>
      </c>
      <c r="H224" s="6" t="s">
        <v>74</v>
      </c>
      <c r="I224" s="6" t="n">
        <f aca="false">D224*F224</f>
        <v>18.75</v>
      </c>
      <c r="J224" s="6" t="n">
        <f aca="false">HOUR(E224)</f>
        <v>15</v>
      </c>
      <c r="K224" s="6" t="n">
        <f aca="false">IF(COUNTIF($A$2:$A224,A224)=1,1,0)</f>
        <v>0</v>
      </c>
    </row>
    <row r="225" customFormat="false" ht="15" hidden="false" customHeight="false" outlineLevel="0" collapsed="false">
      <c r="A225" s="0" t="s">
        <v>161</v>
      </c>
      <c r="B225" s="0" t="s">
        <v>116</v>
      </c>
      <c r="C225" s="0" t="s">
        <v>117</v>
      </c>
      <c r="D225" s="0" t="n">
        <v>4</v>
      </c>
      <c r="E225" s="5" t="n">
        <v>45934.6533680556</v>
      </c>
      <c r="F225" s="0" t="n">
        <v>1.95</v>
      </c>
      <c r="G225" s="0" t="n">
        <v>17042</v>
      </c>
      <c r="H225" s="6" t="s">
        <v>74</v>
      </c>
      <c r="I225" s="6" t="n">
        <f aca="false">D225*F225</f>
        <v>7.8</v>
      </c>
      <c r="J225" s="6" t="n">
        <f aca="false">HOUR(E225)</f>
        <v>15</v>
      </c>
      <c r="K225" s="6" t="n">
        <f aca="false">IF(COUNTIF($A$2:$A225,A225)=1,1,0)</f>
        <v>0</v>
      </c>
    </row>
    <row r="226" customFormat="false" ht="15" hidden="false" customHeight="false" outlineLevel="0" collapsed="false">
      <c r="A226" s="0" t="s">
        <v>161</v>
      </c>
      <c r="B226" s="0" t="s">
        <v>72</v>
      </c>
      <c r="C226" s="0" t="s">
        <v>73</v>
      </c>
      <c r="D226" s="0" t="n">
        <v>34</v>
      </c>
      <c r="E226" s="5" t="n">
        <v>45934.6533680556</v>
      </c>
      <c r="F226" s="0" t="n">
        <v>4.95</v>
      </c>
      <c r="G226" s="0" t="n">
        <v>17042</v>
      </c>
      <c r="H226" s="6" t="s">
        <v>74</v>
      </c>
      <c r="I226" s="6" t="n">
        <f aca="false">D226*F226</f>
        <v>168.3</v>
      </c>
      <c r="J226" s="6" t="n">
        <f aca="false">HOUR(E226)</f>
        <v>15</v>
      </c>
      <c r="K226" s="6" t="n">
        <f aca="false">IF(COUNTIF($A$2:$A226,A226)=1,1,0)</f>
        <v>0</v>
      </c>
    </row>
    <row r="227" customFormat="false" ht="15" hidden="false" customHeight="false" outlineLevel="0" collapsed="false">
      <c r="A227" s="0" t="s">
        <v>162</v>
      </c>
      <c r="B227" s="0" t="s">
        <v>104</v>
      </c>
      <c r="C227" s="0" t="s">
        <v>105</v>
      </c>
      <c r="D227" s="0" t="n">
        <v>19</v>
      </c>
      <c r="E227" s="5" t="n">
        <v>45934.7062384259</v>
      </c>
      <c r="F227" s="0" t="n">
        <v>1.65</v>
      </c>
      <c r="H227" s="6" t="s">
        <v>74</v>
      </c>
      <c r="I227" s="6" t="n">
        <f aca="false">D227*F227</f>
        <v>31.35</v>
      </c>
      <c r="J227" s="6" t="n">
        <f aca="false">HOUR(E227)</f>
        <v>16</v>
      </c>
      <c r="K227" s="6" t="n">
        <f aca="false">IF(COUNTIF($A$2:$A227,A227)=1,1,0)</f>
        <v>1</v>
      </c>
    </row>
    <row r="228" customFormat="false" ht="15" hidden="false" customHeight="false" outlineLevel="0" collapsed="false">
      <c r="A228" s="0" t="s">
        <v>162</v>
      </c>
      <c r="B228" s="0" t="s">
        <v>50</v>
      </c>
      <c r="C228" s="0" t="s">
        <v>51</v>
      </c>
      <c r="D228" s="0" t="n">
        <v>9</v>
      </c>
      <c r="E228" s="5" t="n">
        <v>45934.7062384259</v>
      </c>
      <c r="F228" s="0" t="n">
        <v>5.95</v>
      </c>
      <c r="H228" s="6" t="s">
        <v>74</v>
      </c>
      <c r="I228" s="6" t="n">
        <f aca="false">D228*F228</f>
        <v>53.55</v>
      </c>
      <c r="J228" s="6" t="n">
        <f aca="false">HOUR(E228)</f>
        <v>16</v>
      </c>
      <c r="K228" s="6" t="n">
        <f aca="false">IF(COUNTIF($A$2:$A228,A228)=1,1,0)</f>
        <v>0</v>
      </c>
    </row>
    <row r="229" customFormat="false" ht="15" hidden="false" customHeight="false" outlineLevel="0" collapsed="false">
      <c r="A229" s="0" t="s">
        <v>163</v>
      </c>
      <c r="B229" s="0" t="s">
        <v>104</v>
      </c>
      <c r="C229" s="0" t="s">
        <v>105</v>
      </c>
      <c r="D229" s="0" t="n">
        <v>22</v>
      </c>
      <c r="E229" s="5" t="n">
        <v>45934.9840972222</v>
      </c>
      <c r="F229" s="0" t="n">
        <v>1.65</v>
      </c>
      <c r="G229" s="0" t="n">
        <v>17065</v>
      </c>
      <c r="H229" s="6" t="s">
        <v>74</v>
      </c>
      <c r="I229" s="6" t="n">
        <f aca="false">D229*F229</f>
        <v>36.3</v>
      </c>
      <c r="J229" s="6" t="n">
        <f aca="false">HOUR(E229)</f>
        <v>23</v>
      </c>
      <c r="K229" s="6" t="n">
        <f aca="false">IF(COUNTIF($A$2:$A229,A229)=1,1,0)</f>
        <v>1</v>
      </c>
    </row>
    <row r="230" customFormat="false" ht="15" hidden="false" customHeight="false" outlineLevel="0" collapsed="false">
      <c r="A230" s="0" t="s">
        <v>163</v>
      </c>
      <c r="B230" s="0" t="s">
        <v>53</v>
      </c>
      <c r="C230" s="0" t="s">
        <v>54</v>
      </c>
      <c r="D230" s="0" t="n">
        <v>4</v>
      </c>
      <c r="E230" s="5" t="n">
        <v>45934.9840972222</v>
      </c>
      <c r="F230" s="0" t="n">
        <v>2.95</v>
      </c>
      <c r="G230" s="0" t="n">
        <v>17065</v>
      </c>
      <c r="H230" s="6" t="s">
        <v>74</v>
      </c>
      <c r="I230" s="6" t="n">
        <f aca="false">D230*F230</f>
        <v>11.8</v>
      </c>
      <c r="J230" s="6" t="n">
        <f aca="false">HOUR(E230)</f>
        <v>23</v>
      </c>
      <c r="K230" s="6" t="n">
        <f aca="false">IF(COUNTIF($A$2:$A230,A230)=1,1,0)</f>
        <v>0</v>
      </c>
    </row>
    <row r="231" customFormat="false" ht="15" hidden="false" customHeight="false" outlineLevel="0" collapsed="false">
      <c r="A231" s="0" t="s">
        <v>163</v>
      </c>
      <c r="B231" s="0" t="s">
        <v>95</v>
      </c>
      <c r="C231" s="0" t="s">
        <v>96</v>
      </c>
      <c r="D231" s="0" t="n">
        <v>6</v>
      </c>
      <c r="E231" s="5" t="n">
        <v>45934.9840972222</v>
      </c>
      <c r="F231" s="0" t="n">
        <v>2.55</v>
      </c>
      <c r="G231" s="0" t="n">
        <v>17065</v>
      </c>
      <c r="H231" s="6" t="s">
        <v>74</v>
      </c>
      <c r="I231" s="6" t="n">
        <f aca="false">D231*F231</f>
        <v>15.3</v>
      </c>
      <c r="J231" s="6" t="n">
        <f aca="false">HOUR(E231)</f>
        <v>23</v>
      </c>
      <c r="K231" s="6" t="n">
        <f aca="false">IF(COUNTIF($A$2:$A231,A231)=1,1,0)</f>
        <v>0</v>
      </c>
    </row>
    <row r="232" customFormat="false" ht="15" hidden="false" customHeight="false" outlineLevel="0" collapsed="false">
      <c r="A232" s="0" t="s">
        <v>163</v>
      </c>
      <c r="B232" s="0" t="s">
        <v>43</v>
      </c>
      <c r="C232" s="0" t="s">
        <v>44</v>
      </c>
      <c r="D232" s="0" t="n">
        <v>18</v>
      </c>
      <c r="E232" s="5" t="n">
        <v>45934.9840972222</v>
      </c>
      <c r="F232" s="0" t="n">
        <v>4.25</v>
      </c>
      <c r="G232" s="0" t="n">
        <v>17065</v>
      </c>
      <c r="H232" s="6" t="s">
        <v>74</v>
      </c>
      <c r="I232" s="6" t="n">
        <f aca="false">D232*F232</f>
        <v>76.5</v>
      </c>
      <c r="J232" s="6" t="n">
        <f aca="false">HOUR(E232)</f>
        <v>23</v>
      </c>
      <c r="K232" s="6" t="n">
        <f aca="false">IF(COUNTIF($A$2:$A232,A232)=1,1,0)</f>
        <v>0</v>
      </c>
    </row>
    <row r="233" customFormat="false" ht="15" hidden="false" customHeight="false" outlineLevel="0" collapsed="false">
      <c r="A233" s="0" t="s">
        <v>163</v>
      </c>
      <c r="B233" s="0" t="s">
        <v>99</v>
      </c>
      <c r="C233" s="0" t="s">
        <v>100</v>
      </c>
      <c r="D233" s="0" t="n">
        <v>5</v>
      </c>
      <c r="E233" s="5" t="n">
        <v>45934.9840972222</v>
      </c>
      <c r="F233" s="0" t="n">
        <v>2.08</v>
      </c>
      <c r="G233" s="0" t="n">
        <v>17065</v>
      </c>
      <c r="H233" s="6" t="s">
        <v>74</v>
      </c>
      <c r="I233" s="6" t="n">
        <f aca="false">D233*F233</f>
        <v>10.4</v>
      </c>
      <c r="J233" s="6" t="n">
        <f aca="false">HOUR(E233)</f>
        <v>23</v>
      </c>
      <c r="K233" s="6" t="n">
        <f aca="false">IF(COUNTIF($A$2:$A233,A233)=1,1,0)</f>
        <v>0</v>
      </c>
    </row>
    <row r="234" customFormat="false" ht="15" hidden="false" customHeight="false" outlineLevel="0" collapsed="false">
      <c r="A234" s="0" t="s">
        <v>163</v>
      </c>
      <c r="B234" s="0" t="s">
        <v>83</v>
      </c>
      <c r="C234" s="0" t="s">
        <v>84</v>
      </c>
      <c r="D234" s="0" t="n">
        <v>3</v>
      </c>
      <c r="E234" s="5" t="n">
        <v>45934.9840972222</v>
      </c>
      <c r="F234" s="0" t="n">
        <v>2.95</v>
      </c>
      <c r="G234" s="0" t="n">
        <v>17065</v>
      </c>
      <c r="H234" s="6" t="s">
        <v>74</v>
      </c>
      <c r="I234" s="6" t="n">
        <f aca="false">D234*F234</f>
        <v>8.85</v>
      </c>
      <c r="J234" s="6" t="n">
        <f aca="false">HOUR(E234)</f>
        <v>23</v>
      </c>
      <c r="K234" s="6" t="n">
        <f aca="false">IF(COUNTIF($A$2:$A234,A234)=1,1,0)</f>
        <v>0</v>
      </c>
    </row>
    <row r="235" customFormat="false" ht="15" hidden="false" customHeight="false" outlineLevel="0" collapsed="false">
      <c r="A235" s="0" t="s">
        <v>163</v>
      </c>
      <c r="B235" s="0" t="s">
        <v>109</v>
      </c>
      <c r="C235" s="0" t="s">
        <v>110</v>
      </c>
      <c r="D235" s="0" t="n">
        <v>3</v>
      </c>
      <c r="E235" s="5" t="n">
        <v>45934.9840972222</v>
      </c>
      <c r="F235" s="0" t="n">
        <v>0.85</v>
      </c>
      <c r="G235" s="0" t="n">
        <v>17065</v>
      </c>
      <c r="H235" s="6" t="s">
        <v>74</v>
      </c>
      <c r="I235" s="6" t="n">
        <f aca="false">D235*F235</f>
        <v>2.55</v>
      </c>
      <c r="J235" s="6" t="n">
        <f aca="false">HOUR(E235)</f>
        <v>23</v>
      </c>
      <c r="K235" s="6" t="n">
        <f aca="false">IF(COUNTIF($A$2:$A235,A235)=1,1,0)</f>
        <v>0</v>
      </c>
    </row>
    <row r="236" customFormat="false" ht="15" hidden="false" customHeight="false" outlineLevel="0" collapsed="false">
      <c r="A236" s="0" t="s">
        <v>163</v>
      </c>
      <c r="B236" s="0" t="s">
        <v>55</v>
      </c>
      <c r="C236" s="0" t="s">
        <v>56</v>
      </c>
      <c r="D236" s="0" t="n">
        <v>17</v>
      </c>
      <c r="E236" s="5" t="n">
        <v>45934.9840972222</v>
      </c>
      <c r="F236" s="0" t="n">
        <v>1.65</v>
      </c>
      <c r="G236" s="0" t="n">
        <v>17065</v>
      </c>
      <c r="H236" s="6" t="s">
        <v>74</v>
      </c>
      <c r="I236" s="6" t="n">
        <f aca="false">D236*F236</f>
        <v>28.05</v>
      </c>
      <c r="J236" s="6" t="n">
        <f aca="false">HOUR(E236)</f>
        <v>23</v>
      </c>
      <c r="K236" s="6" t="n">
        <f aca="false">IF(COUNTIF($A$2:$A236,A236)=1,1,0)</f>
        <v>0</v>
      </c>
    </row>
    <row r="237" customFormat="false" ht="15" hidden="false" customHeight="false" outlineLevel="0" collapsed="false">
      <c r="A237" s="0" t="s">
        <v>163</v>
      </c>
      <c r="B237" s="0" t="s">
        <v>69</v>
      </c>
      <c r="C237" s="0" t="s">
        <v>70</v>
      </c>
      <c r="D237" s="0" t="n">
        <v>45</v>
      </c>
      <c r="E237" s="5" t="n">
        <v>45934.9840972222</v>
      </c>
      <c r="F237" s="0" t="n">
        <v>2.08</v>
      </c>
      <c r="G237" s="0" t="n">
        <v>17065</v>
      </c>
      <c r="H237" s="6" t="s">
        <v>74</v>
      </c>
      <c r="I237" s="6" t="n">
        <f aca="false">D237*F237</f>
        <v>93.6</v>
      </c>
      <c r="J237" s="6" t="n">
        <f aca="false">HOUR(E237)</f>
        <v>23</v>
      </c>
      <c r="K237" s="6" t="n">
        <f aca="false">IF(COUNTIF($A$2:$A237,A237)=1,1,0)</f>
        <v>0</v>
      </c>
    </row>
    <row r="238" customFormat="false" ht="15" hidden="false" customHeight="false" outlineLevel="0" collapsed="false">
      <c r="A238" s="0" t="s">
        <v>163</v>
      </c>
      <c r="B238" s="0" t="s">
        <v>61</v>
      </c>
      <c r="C238" s="0" t="s">
        <v>62</v>
      </c>
      <c r="D238" s="0" t="n">
        <v>19</v>
      </c>
      <c r="E238" s="5" t="n">
        <v>45934.9840972222</v>
      </c>
      <c r="F238" s="0" t="n">
        <v>1.65</v>
      </c>
      <c r="G238" s="0" t="n">
        <v>17065</v>
      </c>
      <c r="H238" s="6" t="s">
        <v>74</v>
      </c>
      <c r="I238" s="6" t="n">
        <f aca="false">D238*F238</f>
        <v>31.35</v>
      </c>
      <c r="J238" s="6" t="n">
        <f aca="false">HOUR(E238)</f>
        <v>23</v>
      </c>
      <c r="K238" s="6" t="n">
        <f aca="false">IF(COUNTIF($A$2:$A238,A238)=1,1,0)</f>
        <v>0</v>
      </c>
    </row>
    <row r="239" customFormat="false" ht="15" hidden="false" customHeight="false" outlineLevel="0" collapsed="false">
      <c r="A239" s="0" t="s">
        <v>164</v>
      </c>
      <c r="B239" s="0" t="s">
        <v>116</v>
      </c>
      <c r="C239" s="0" t="s">
        <v>117</v>
      </c>
      <c r="D239" s="0" t="n">
        <v>6</v>
      </c>
      <c r="E239" s="5" t="n">
        <v>45935.0294444444</v>
      </c>
      <c r="F239" s="0" t="n">
        <v>1.95</v>
      </c>
      <c r="G239" s="0" t="n">
        <v>17200</v>
      </c>
      <c r="H239" s="6" t="s">
        <v>52</v>
      </c>
      <c r="I239" s="6" t="n">
        <f aca="false">D239*F239</f>
        <v>11.7</v>
      </c>
      <c r="J239" s="6" t="n">
        <f aca="false">HOUR(E239)</f>
        <v>0</v>
      </c>
      <c r="K239" s="6" t="n">
        <f aca="false">IF(COUNTIF($A$2:$A239,A239)=1,1,0)</f>
        <v>1</v>
      </c>
    </row>
    <row r="240" customFormat="false" ht="15" hidden="false" customHeight="false" outlineLevel="0" collapsed="false">
      <c r="A240" s="0" t="s">
        <v>164</v>
      </c>
      <c r="B240" s="0" t="s">
        <v>59</v>
      </c>
      <c r="C240" s="0" t="s">
        <v>60</v>
      </c>
      <c r="D240" s="0" t="n">
        <v>10</v>
      </c>
      <c r="E240" s="5" t="n">
        <v>45935.0294444444</v>
      </c>
      <c r="F240" s="0" t="n">
        <v>0.42</v>
      </c>
      <c r="G240" s="0" t="n">
        <v>17200</v>
      </c>
      <c r="H240" s="6" t="s">
        <v>52</v>
      </c>
      <c r="I240" s="6" t="n">
        <f aca="false">D240*F240</f>
        <v>4.2</v>
      </c>
      <c r="J240" s="6" t="n">
        <f aca="false">HOUR(E240)</f>
        <v>0</v>
      </c>
      <c r="K240" s="6" t="n">
        <f aca="false">IF(COUNTIF($A$2:$A240,A240)=1,1,0)</f>
        <v>0</v>
      </c>
    </row>
    <row r="241" customFormat="false" ht="15" hidden="false" customHeight="false" outlineLevel="0" collapsed="false">
      <c r="A241" s="0" t="s">
        <v>164</v>
      </c>
      <c r="B241" s="0" t="s">
        <v>75</v>
      </c>
      <c r="C241" s="0" t="s">
        <v>76</v>
      </c>
      <c r="D241" s="0" t="n">
        <v>15</v>
      </c>
      <c r="E241" s="5" t="n">
        <v>45935.0294444444</v>
      </c>
      <c r="F241" s="0" t="n">
        <v>3.39</v>
      </c>
      <c r="G241" s="0" t="n">
        <v>17200</v>
      </c>
      <c r="H241" s="6" t="s">
        <v>52</v>
      </c>
      <c r="I241" s="6" t="n">
        <f aca="false">D241*F241</f>
        <v>50.85</v>
      </c>
      <c r="J241" s="6" t="n">
        <f aca="false">HOUR(E241)</f>
        <v>0</v>
      </c>
      <c r="K241" s="6" t="n">
        <f aca="false">IF(COUNTIF($A$2:$A241,A241)=1,1,0)</f>
        <v>0</v>
      </c>
    </row>
    <row r="242" customFormat="false" ht="15" hidden="false" customHeight="false" outlineLevel="0" collapsed="false">
      <c r="A242" s="0" t="s">
        <v>164</v>
      </c>
      <c r="B242" s="0" t="s">
        <v>118</v>
      </c>
      <c r="C242" s="0" t="s">
        <v>119</v>
      </c>
      <c r="D242" s="0" t="n">
        <v>27</v>
      </c>
      <c r="E242" s="5" t="n">
        <v>45935.0294444444</v>
      </c>
      <c r="F242" s="0" t="n">
        <v>4.95</v>
      </c>
      <c r="G242" s="0" t="n">
        <v>17200</v>
      </c>
      <c r="H242" s="6" t="s">
        <v>52</v>
      </c>
      <c r="I242" s="6" t="n">
        <f aca="false">D242*F242</f>
        <v>133.65</v>
      </c>
      <c r="J242" s="6" t="n">
        <f aca="false">HOUR(E242)</f>
        <v>0</v>
      </c>
      <c r="K242" s="6" t="n">
        <f aca="false">IF(COUNTIF($A$2:$A242,A242)=1,1,0)</f>
        <v>0</v>
      </c>
    </row>
    <row r="243" customFormat="false" ht="15" hidden="false" customHeight="false" outlineLevel="0" collapsed="false">
      <c r="A243" s="0" t="s">
        <v>164</v>
      </c>
      <c r="B243" s="0" t="s">
        <v>127</v>
      </c>
      <c r="C243" s="0" t="s">
        <v>128</v>
      </c>
      <c r="D243" s="0" t="n">
        <v>21</v>
      </c>
      <c r="E243" s="5" t="n">
        <v>45935.0294444444</v>
      </c>
      <c r="F243" s="0" t="n">
        <v>1.45</v>
      </c>
      <c r="G243" s="0" t="n">
        <v>17200</v>
      </c>
      <c r="H243" s="6" t="s">
        <v>52</v>
      </c>
      <c r="I243" s="6" t="n">
        <f aca="false">D243*F243</f>
        <v>30.45</v>
      </c>
      <c r="J243" s="6" t="n">
        <f aca="false">HOUR(E243)</f>
        <v>0</v>
      </c>
      <c r="K243" s="6" t="n">
        <f aca="false">IF(COUNTIF($A$2:$A243,A243)=1,1,0)</f>
        <v>0</v>
      </c>
    </row>
    <row r="244" customFormat="false" ht="15" hidden="false" customHeight="false" outlineLevel="0" collapsed="false">
      <c r="A244" s="0" t="s">
        <v>164</v>
      </c>
      <c r="B244" s="0" t="s">
        <v>83</v>
      </c>
      <c r="C244" s="0" t="s">
        <v>84</v>
      </c>
      <c r="D244" s="0" t="n">
        <v>21</v>
      </c>
      <c r="E244" s="5" t="n">
        <v>45935.0294444444</v>
      </c>
      <c r="F244" s="0" t="n">
        <v>2.95</v>
      </c>
      <c r="G244" s="0" t="n">
        <v>17200</v>
      </c>
      <c r="H244" s="6" t="s">
        <v>52</v>
      </c>
      <c r="I244" s="6" t="n">
        <f aca="false">D244*F244</f>
        <v>61.95</v>
      </c>
      <c r="J244" s="6" t="n">
        <f aca="false">HOUR(E244)</f>
        <v>0</v>
      </c>
      <c r="K244" s="6" t="n">
        <f aca="false">IF(COUNTIF($A$2:$A244,A244)=1,1,0)</f>
        <v>0</v>
      </c>
    </row>
    <row r="245" customFormat="false" ht="15" hidden="false" customHeight="false" outlineLevel="0" collapsed="false">
      <c r="A245" s="0" t="s">
        <v>164</v>
      </c>
      <c r="B245" s="0" t="s">
        <v>109</v>
      </c>
      <c r="C245" s="0" t="s">
        <v>110</v>
      </c>
      <c r="D245" s="0" t="n">
        <v>10</v>
      </c>
      <c r="E245" s="5" t="n">
        <v>45935.0294444444</v>
      </c>
      <c r="F245" s="0" t="n">
        <v>0.85</v>
      </c>
      <c r="G245" s="0" t="n">
        <v>17200</v>
      </c>
      <c r="H245" s="6" t="s">
        <v>52</v>
      </c>
      <c r="I245" s="6" t="n">
        <f aca="false">D245*F245</f>
        <v>8.5</v>
      </c>
      <c r="J245" s="6" t="n">
        <f aca="false">HOUR(E245)</f>
        <v>0</v>
      </c>
      <c r="K245" s="6" t="n">
        <f aca="false">IF(COUNTIF($A$2:$A245,A245)=1,1,0)</f>
        <v>0</v>
      </c>
    </row>
    <row r="246" customFormat="false" ht="15" hidden="false" customHeight="false" outlineLevel="0" collapsed="false">
      <c r="A246" s="0" t="s">
        <v>164</v>
      </c>
      <c r="B246" s="0" t="s">
        <v>40</v>
      </c>
      <c r="C246" s="0" t="s">
        <v>41</v>
      </c>
      <c r="D246" s="0" t="n">
        <v>12</v>
      </c>
      <c r="E246" s="5" t="n">
        <v>45935.0294444444</v>
      </c>
      <c r="F246" s="0" t="n">
        <v>1.06</v>
      </c>
      <c r="G246" s="0" t="n">
        <v>17200</v>
      </c>
      <c r="H246" s="6" t="s">
        <v>52</v>
      </c>
      <c r="I246" s="6" t="n">
        <f aca="false">D246*F246</f>
        <v>12.72</v>
      </c>
      <c r="J246" s="6" t="n">
        <f aca="false">HOUR(E246)</f>
        <v>0</v>
      </c>
      <c r="K246" s="6" t="n">
        <f aca="false">IF(COUNTIF($A$2:$A246,A246)=1,1,0)</f>
        <v>0</v>
      </c>
    </row>
    <row r="247" customFormat="false" ht="15" hidden="false" customHeight="false" outlineLevel="0" collapsed="false">
      <c r="A247" s="0" t="s">
        <v>164</v>
      </c>
      <c r="B247" s="0" t="s">
        <v>95</v>
      </c>
      <c r="C247" s="0" t="s">
        <v>96</v>
      </c>
      <c r="D247" s="0" t="n">
        <v>13</v>
      </c>
      <c r="E247" s="5" t="n">
        <v>45935.0294444444</v>
      </c>
      <c r="F247" s="0" t="n">
        <v>2.55</v>
      </c>
      <c r="G247" s="0" t="n">
        <v>17200</v>
      </c>
      <c r="H247" s="6" t="s">
        <v>52</v>
      </c>
      <c r="I247" s="6" t="n">
        <f aca="false">D247*F247</f>
        <v>33.15</v>
      </c>
      <c r="J247" s="6" t="n">
        <f aca="false">HOUR(E247)</f>
        <v>0</v>
      </c>
      <c r="K247" s="6" t="n">
        <f aca="false">IF(COUNTIF($A$2:$A247,A247)=1,1,0)</f>
        <v>0</v>
      </c>
    </row>
    <row r="248" customFormat="false" ht="15" hidden="false" customHeight="false" outlineLevel="0" collapsed="false">
      <c r="A248" s="0" t="s">
        <v>164</v>
      </c>
      <c r="B248" s="0" t="s">
        <v>107</v>
      </c>
      <c r="C248" s="0" t="s">
        <v>108</v>
      </c>
      <c r="D248" s="0" t="n">
        <v>13</v>
      </c>
      <c r="E248" s="5" t="n">
        <v>45935.0294444444</v>
      </c>
      <c r="F248" s="0" t="n">
        <v>3.75</v>
      </c>
      <c r="G248" s="0" t="n">
        <v>17200</v>
      </c>
      <c r="H248" s="6" t="s">
        <v>52</v>
      </c>
      <c r="I248" s="6" t="n">
        <f aca="false">D248*F248</f>
        <v>48.75</v>
      </c>
      <c r="J248" s="6" t="n">
        <f aca="false">HOUR(E248)</f>
        <v>0</v>
      </c>
      <c r="K248" s="6" t="n">
        <f aca="false">IF(COUNTIF($A$2:$A248,A248)=1,1,0)</f>
        <v>0</v>
      </c>
    </row>
    <row r="249" customFormat="false" ht="15" hidden="false" customHeight="false" outlineLevel="0" collapsed="false">
      <c r="A249" s="0" t="s">
        <v>165</v>
      </c>
      <c r="B249" s="0" t="s">
        <v>104</v>
      </c>
      <c r="C249" s="0" t="s">
        <v>105</v>
      </c>
      <c r="D249" s="0" t="n">
        <v>14</v>
      </c>
      <c r="E249" s="5" t="n">
        <v>45935.3414699074</v>
      </c>
      <c r="F249" s="0" t="n">
        <v>1.65</v>
      </c>
      <c r="G249" s="0" t="n">
        <v>17021</v>
      </c>
      <c r="H249" s="6" t="s">
        <v>113</v>
      </c>
      <c r="I249" s="6" t="n">
        <f aca="false">D249*F249</f>
        <v>23.1</v>
      </c>
      <c r="J249" s="6" t="n">
        <f aca="false">HOUR(E249)</f>
        <v>8</v>
      </c>
      <c r="K249" s="6" t="n">
        <f aca="false">IF(COUNTIF($A$2:$A249,A249)=1,1,0)</f>
        <v>1</v>
      </c>
    </row>
    <row r="250" customFormat="false" ht="15" hidden="false" customHeight="false" outlineLevel="0" collapsed="false">
      <c r="A250" s="0" t="s">
        <v>165</v>
      </c>
      <c r="B250" s="0" t="s">
        <v>77</v>
      </c>
      <c r="C250" s="0" t="s">
        <v>78</v>
      </c>
      <c r="D250" s="0" t="n">
        <v>12</v>
      </c>
      <c r="E250" s="5" t="n">
        <v>45935.3414699074</v>
      </c>
      <c r="F250" s="0" t="n">
        <v>1.65</v>
      </c>
      <c r="G250" s="0" t="n">
        <v>17021</v>
      </c>
      <c r="H250" s="6" t="s">
        <v>113</v>
      </c>
      <c r="I250" s="6" t="n">
        <f aca="false">D250*F250</f>
        <v>19.8</v>
      </c>
      <c r="J250" s="6" t="n">
        <f aca="false">HOUR(E250)</f>
        <v>8</v>
      </c>
      <c r="K250" s="6" t="n">
        <f aca="false">IF(COUNTIF($A$2:$A250,A250)=1,1,0)</f>
        <v>0</v>
      </c>
    </row>
    <row r="251" customFormat="false" ht="15" hidden="false" customHeight="false" outlineLevel="0" collapsed="false">
      <c r="A251" s="0" t="s">
        <v>165</v>
      </c>
      <c r="B251" s="0" t="s">
        <v>47</v>
      </c>
      <c r="C251" s="0" t="s">
        <v>48</v>
      </c>
      <c r="D251" s="0" t="n">
        <v>7</v>
      </c>
      <c r="E251" s="5" t="n">
        <v>45935.3414699074</v>
      </c>
      <c r="F251" s="0" t="n">
        <v>12.75</v>
      </c>
      <c r="G251" s="0" t="n">
        <v>17021</v>
      </c>
      <c r="H251" s="6" t="s">
        <v>113</v>
      </c>
      <c r="I251" s="6" t="n">
        <f aca="false">D251*F251</f>
        <v>89.25</v>
      </c>
      <c r="J251" s="6" t="n">
        <f aca="false">HOUR(E251)</f>
        <v>8</v>
      </c>
      <c r="K251" s="6" t="n">
        <f aca="false">IF(COUNTIF($A$2:$A251,A251)=1,1,0)</f>
        <v>0</v>
      </c>
    </row>
    <row r="252" customFormat="false" ht="15" hidden="false" customHeight="false" outlineLevel="0" collapsed="false">
      <c r="A252" s="0" t="s">
        <v>165</v>
      </c>
      <c r="B252" s="0" t="s">
        <v>79</v>
      </c>
      <c r="C252" s="0" t="s">
        <v>80</v>
      </c>
      <c r="D252" s="0" t="n">
        <v>14</v>
      </c>
      <c r="E252" s="5" t="n">
        <v>45935.3414699074</v>
      </c>
      <c r="F252" s="0" t="n">
        <v>3.39</v>
      </c>
      <c r="G252" s="0" t="n">
        <v>17021</v>
      </c>
      <c r="H252" s="6" t="s">
        <v>113</v>
      </c>
      <c r="I252" s="6" t="n">
        <f aca="false">D252*F252</f>
        <v>47.46</v>
      </c>
      <c r="J252" s="6" t="n">
        <f aca="false">HOUR(E252)</f>
        <v>8</v>
      </c>
      <c r="K252" s="6" t="n">
        <f aca="false">IF(COUNTIF($A$2:$A252,A252)=1,1,0)</f>
        <v>0</v>
      </c>
    </row>
    <row r="253" customFormat="false" ht="15" hidden="false" customHeight="false" outlineLevel="0" collapsed="false">
      <c r="A253" s="0" t="s">
        <v>165</v>
      </c>
      <c r="B253" s="0" t="s">
        <v>102</v>
      </c>
      <c r="C253" s="0" t="s">
        <v>103</v>
      </c>
      <c r="D253" s="0" t="n">
        <v>32</v>
      </c>
      <c r="E253" s="5" t="n">
        <v>45935.3414699074</v>
      </c>
      <c r="F253" s="0" t="n">
        <v>8.5</v>
      </c>
      <c r="G253" s="0" t="n">
        <v>17021</v>
      </c>
      <c r="H253" s="6" t="s">
        <v>113</v>
      </c>
      <c r="I253" s="6" t="n">
        <f aca="false">D253*F253</f>
        <v>272</v>
      </c>
      <c r="J253" s="6" t="n">
        <f aca="false">HOUR(E253)</f>
        <v>8</v>
      </c>
      <c r="K253" s="6" t="n">
        <f aca="false">IF(COUNTIF($A$2:$A253,A253)=1,1,0)</f>
        <v>0</v>
      </c>
    </row>
    <row r="254" customFormat="false" ht="15" hidden="false" customHeight="false" outlineLevel="0" collapsed="false">
      <c r="A254" s="0" t="s">
        <v>165</v>
      </c>
      <c r="B254" s="0" t="s">
        <v>88</v>
      </c>
      <c r="C254" s="0" t="s">
        <v>89</v>
      </c>
      <c r="D254" s="0" t="n">
        <v>12</v>
      </c>
      <c r="E254" s="5" t="n">
        <v>45935.3414699074</v>
      </c>
      <c r="F254" s="0" t="n">
        <v>2.75</v>
      </c>
      <c r="G254" s="0" t="n">
        <v>17021</v>
      </c>
      <c r="H254" s="6" t="s">
        <v>113</v>
      </c>
      <c r="I254" s="6" t="n">
        <f aca="false">D254*F254</f>
        <v>33</v>
      </c>
      <c r="J254" s="6" t="n">
        <f aca="false">HOUR(E254)</f>
        <v>8</v>
      </c>
      <c r="K254" s="6" t="n">
        <f aca="false">IF(COUNTIF($A$2:$A254,A254)=1,1,0)</f>
        <v>0</v>
      </c>
    </row>
    <row r="255" customFormat="false" ht="15" hidden="false" customHeight="false" outlineLevel="0" collapsed="false">
      <c r="A255" s="0" t="s">
        <v>165</v>
      </c>
      <c r="B255" s="0" t="s">
        <v>131</v>
      </c>
      <c r="C255" s="0" t="s">
        <v>132</v>
      </c>
      <c r="D255" s="0" t="n">
        <v>17</v>
      </c>
      <c r="E255" s="5" t="n">
        <v>45935.3414699074</v>
      </c>
      <c r="F255" s="0" t="n">
        <v>3.39</v>
      </c>
      <c r="G255" s="0" t="n">
        <v>17021</v>
      </c>
      <c r="H255" s="6" t="s">
        <v>113</v>
      </c>
      <c r="I255" s="6" t="n">
        <f aca="false">D255*F255</f>
        <v>57.63</v>
      </c>
      <c r="J255" s="6" t="n">
        <f aca="false">HOUR(E255)</f>
        <v>8</v>
      </c>
      <c r="K255" s="6" t="n">
        <f aca="false">IF(COUNTIF($A$2:$A255,A255)=1,1,0)</f>
        <v>0</v>
      </c>
    </row>
    <row r="256" customFormat="false" ht="15" hidden="false" customHeight="false" outlineLevel="0" collapsed="false">
      <c r="A256" s="0" t="s">
        <v>165</v>
      </c>
      <c r="B256" s="0" t="s">
        <v>59</v>
      </c>
      <c r="C256" s="0" t="s">
        <v>60</v>
      </c>
      <c r="D256" s="0" t="n">
        <v>17</v>
      </c>
      <c r="E256" s="5" t="n">
        <v>45935.3414699074</v>
      </c>
      <c r="F256" s="0" t="n">
        <v>0.42</v>
      </c>
      <c r="G256" s="0" t="n">
        <v>17021</v>
      </c>
      <c r="H256" s="6" t="s">
        <v>113</v>
      </c>
      <c r="I256" s="6" t="n">
        <f aca="false">D256*F256</f>
        <v>7.14</v>
      </c>
      <c r="J256" s="6" t="n">
        <f aca="false">HOUR(E256)</f>
        <v>8</v>
      </c>
      <c r="K256" s="6" t="n">
        <f aca="false">IF(COUNTIF($A$2:$A256,A256)=1,1,0)</f>
        <v>0</v>
      </c>
    </row>
    <row r="257" customFormat="false" ht="15" hidden="false" customHeight="false" outlineLevel="0" collapsed="false">
      <c r="A257" s="0" t="s">
        <v>165</v>
      </c>
      <c r="B257" s="0" t="s">
        <v>55</v>
      </c>
      <c r="C257" s="0" t="s">
        <v>56</v>
      </c>
      <c r="D257" s="0" t="n">
        <v>7</v>
      </c>
      <c r="E257" s="5" t="n">
        <v>45935.3414699074</v>
      </c>
      <c r="F257" s="0" t="n">
        <v>1.65</v>
      </c>
      <c r="G257" s="0" t="n">
        <v>17021</v>
      </c>
      <c r="H257" s="6" t="s">
        <v>113</v>
      </c>
      <c r="I257" s="6" t="n">
        <f aca="false">D257*F257</f>
        <v>11.55</v>
      </c>
      <c r="J257" s="6" t="n">
        <f aca="false">HOUR(E257)</f>
        <v>8</v>
      </c>
      <c r="K257" s="6" t="n">
        <f aca="false">IF(COUNTIF($A$2:$A257,A257)=1,1,0)</f>
        <v>0</v>
      </c>
    </row>
    <row r="258" customFormat="false" ht="15" hidden="false" customHeight="false" outlineLevel="0" collapsed="false">
      <c r="A258" s="0" t="s">
        <v>166</v>
      </c>
      <c r="B258" s="0" t="s">
        <v>86</v>
      </c>
      <c r="C258" s="0" t="s">
        <v>87</v>
      </c>
      <c r="D258" s="0" t="n">
        <v>21</v>
      </c>
      <c r="E258" s="5" t="n">
        <v>45935.3468865741</v>
      </c>
      <c r="F258" s="0" t="n">
        <v>4.25</v>
      </c>
      <c r="G258" s="0" t="n">
        <v>17069</v>
      </c>
      <c r="H258" s="6" t="s">
        <v>74</v>
      </c>
      <c r="I258" s="6" t="n">
        <f aca="false">D258*F258</f>
        <v>89.25</v>
      </c>
      <c r="J258" s="6" t="n">
        <f aca="false">HOUR(E258)</f>
        <v>8</v>
      </c>
      <c r="K258" s="6" t="n">
        <f aca="false">IF(COUNTIF($A$2:$A258,A258)=1,1,0)</f>
        <v>1</v>
      </c>
    </row>
    <row r="259" customFormat="false" ht="15" hidden="false" customHeight="false" outlineLevel="0" collapsed="false">
      <c r="A259" s="0" t="s">
        <v>166</v>
      </c>
      <c r="B259" s="0" t="s">
        <v>125</v>
      </c>
      <c r="C259" s="0" t="s">
        <v>126</v>
      </c>
      <c r="D259" s="0" t="n">
        <v>12</v>
      </c>
      <c r="E259" s="5" t="n">
        <v>45935.3468865741</v>
      </c>
      <c r="F259" s="0" t="n">
        <v>1.25</v>
      </c>
      <c r="G259" s="0" t="n">
        <v>17069</v>
      </c>
      <c r="H259" s="6" t="s">
        <v>74</v>
      </c>
      <c r="I259" s="6" t="n">
        <f aca="false">D259*F259</f>
        <v>15</v>
      </c>
      <c r="J259" s="6" t="n">
        <f aca="false">HOUR(E259)</f>
        <v>8</v>
      </c>
      <c r="K259" s="6" t="n">
        <f aca="false">IF(COUNTIF($A$2:$A259,A259)=1,1,0)</f>
        <v>0</v>
      </c>
    </row>
    <row r="260" customFormat="false" ht="15" hidden="false" customHeight="false" outlineLevel="0" collapsed="false">
      <c r="A260" s="0" t="s">
        <v>166</v>
      </c>
      <c r="B260" s="0" t="s">
        <v>93</v>
      </c>
      <c r="C260" s="0" t="s">
        <v>94</v>
      </c>
      <c r="D260" s="0" t="n">
        <v>4</v>
      </c>
      <c r="E260" s="5" t="n">
        <v>45935.3468865741</v>
      </c>
      <c r="F260" s="0" t="n">
        <v>1.69</v>
      </c>
      <c r="G260" s="0" t="n">
        <v>17069</v>
      </c>
      <c r="H260" s="6" t="s">
        <v>74</v>
      </c>
      <c r="I260" s="6" t="n">
        <f aca="false">D260*F260</f>
        <v>6.76</v>
      </c>
      <c r="J260" s="6" t="n">
        <f aca="false">HOUR(E260)</f>
        <v>8</v>
      </c>
      <c r="K260" s="6" t="n">
        <f aca="false">IF(COUNTIF($A$2:$A260,A260)=1,1,0)</f>
        <v>0</v>
      </c>
    </row>
    <row r="261" customFormat="false" ht="15" hidden="false" customHeight="false" outlineLevel="0" collapsed="false">
      <c r="A261" s="0" t="s">
        <v>166</v>
      </c>
      <c r="B261" s="0" t="s">
        <v>43</v>
      </c>
      <c r="C261" s="0" t="s">
        <v>44</v>
      </c>
      <c r="D261" s="0" t="n">
        <v>8</v>
      </c>
      <c r="E261" s="5" t="n">
        <v>45935.3468865741</v>
      </c>
      <c r="F261" s="0" t="n">
        <v>4.25</v>
      </c>
      <c r="G261" s="0" t="n">
        <v>17069</v>
      </c>
      <c r="H261" s="6" t="s">
        <v>74</v>
      </c>
      <c r="I261" s="6" t="n">
        <f aca="false">D261*F261</f>
        <v>34</v>
      </c>
      <c r="J261" s="6" t="n">
        <f aca="false">HOUR(E261)</f>
        <v>8</v>
      </c>
      <c r="K261" s="6" t="n">
        <f aca="false">IF(COUNTIF($A$2:$A261,A261)=1,1,0)</f>
        <v>0</v>
      </c>
    </row>
    <row r="262" customFormat="false" ht="15" hidden="false" customHeight="false" outlineLevel="0" collapsed="false">
      <c r="A262" s="0" t="s">
        <v>166</v>
      </c>
      <c r="B262" s="0" t="s">
        <v>77</v>
      </c>
      <c r="C262" s="0" t="s">
        <v>78</v>
      </c>
      <c r="D262" s="0" t="n">
        <v>7</v>
      </c>
      <c r="E262" s="5" t="n">
        <v>45935.3468865741</v>
      </c>
      <c r="F262" s="0" t="n">
        <v>1.65</v>
      </c>
      <c r="G262" s="0" t="n">
        <v>17069</v>
      </c>
      <c r="H262" s="6" t="s">
        <v>74</v>
      </c>
      <c r="I262" s="6" t="n">
        <f aca="false">D262*F262</f>
        <v>11.55</v>
      </c>
      <c r="J262" s="6" t="n">
        <f aca="false">HOUR(E262)</f>
        <v>8</v>
      </c>
      <c r="K262" s="6" t="n">
        <f aca="false">IF(COUNTIF($A$2:$A262,A262)=1,1,0)</f>
        <v>0</v>
      </c>
    </row>
    <row r="263" customFormat="false" ht="15" hidden="false" customHeight="false" outlineLevel="0" collapsed="false">
      <c r="A263" s="0" t="s">
        <v>166</v>
      </c>
      <c r="B263" s="0" t="s">
        <v>50</v>
      </c>
      <c r="C263" s="0" t="s">
        <v>51</v>
      </c>
      <c r="D263" s="0" t="n">
        <v>20</v>
      </c>
      <c r="E263" s="5" t="n">
        <v>45935.3468865741</v>
      </c>
      <c r="F263" s="0" t="n">
        <v>5.95</v>
      </c>
      <c r="G263" s="0" t="n">
        <v>17069</v>
      </c>
      <c r="H263" s="6" t="s">
        <v>74</v>
      </c>
      <c r="I263" s="6" t="n">
        <f aca="false">D263*F263</f>
        <v>119</v>
      </c>
      <c r="J263" s="6" t="n">
        <f aca="false">HOUR(E263)</f>
        <v>8</v>
      </c>
      <c r="K263" s="6" t="n">
        <f aca="false">IF(COUNTIF($A$2:$A263,A263)=1,1,0)</f>
        <v>0</v>
      </c>
    </row>
    <row r="264" customFormat="false" ht="15" hidden="false" customHeight="false" outlineLevel="0" collapsed="false">
      <c r="A264" s="0" t="s">
        <v>166</v>
      </c>
      <c r="B264" s="0" t="s">
        <v>72</v>
      </c>
      <c r="C264" s="0" t="s">
        <v>73</v>
      </c>
      <c r="D264" s="0" t="n">
        <v>8</v>
      </c>
      <c r="E264" s="5" t="n">
        <v>45935.3468865741</v>
      </c>
      <c r="F264" s="0" t="n">
        <v>4.95</v>
      </c>
      <c r="G264" s="0" t="n">
        <v>17069</v>
      </c>
      <c r="H264" s="6" t="s">
        <v>74</v>
      </c>
      <c r="I264" s="6" t="n">
        <f aca="false">D264*F264</f>
        <v>39.6</v>
      </c>
      <c r="J264" s="6" t="n">
        <f aca="false">HOUR(E264)</f>
        <v>8</v>
      </c>
      <c r="K264" s="6" t="n">
        <f aca="false">IF(COUNTIF($A$2:$A264,A264)=1,1,0)</f>
        <v>0</v>
      </c>
    </row>
    <row r="265" customFormat="false" ht="15" hidden="false" customHeight="false" outlineLevel="0" collapsed="false">
      <c r="A265" s="0" t="s">
        <v>167</v>
      </c>
      <c r="B265" s="0" t="s">
        <v>47</v>
      </c>
      <c r="C265" s="0" t="s">
        <v>48</v>
      </c>
      <c r="D265" s="0" t="n">
        <v>23</v>
      </c>
      <c r="E265" s="5" t="n">
        <v>45935.3707175926</v>
      </c>
      <c r="F265" s="0" t="n">
        <v>12.75</v>
      </c>
      <c r="G265" s="0" t="n">
        <v>17246</v>
      </c>
      <c r="H265" s="6" t="s">
        <v>74</v>
      </c>
      <c r="I265" s="6" t="n">
        <f aca="false">D265*F265</f>
        <v>293.25</v>
      </c>
      <c r="J265" s="6" t="n">
        <f aca="false">HOUR(E265)</f>
        <v>8</v>
      </c>
      <c r="K265" s="6" t="n">
        <f aca="false">IF(COUNTIF($A$2:$A265,A265)=1,1,0)</f>
        <v>1</v>
      </c>
    </row>
    <row r="266" customFormat="false" ht="15" hidden="false" customHeight="false" outlineLevel="0" collapsed="false">
      <c r="A266" s="0" t="s">
        <v>167</v>
      </c>
      <c r="B266" s="0" t="s">
        <v>107</v>
      </c>
      <c r="C266" s="0" t="s">
        <v>108</v>
      </c>
      <c r="D266" s="0" t="n">
        <v>17</v>
      </c>
      <c r="E266" s="5" t="n">
        <v>45935.3707175926</v>
      </c>
      <c r="F266" s="0" t="n">
        <v>3.75</v>
      </c>
      <c r="G266" s="0" t="n">
        <v>17246</v>
      </c>
      <c r="H266" s="6" t="s">
        <v>74</v>
      </c>
      <c r="I266" s="6" t="n">
        <f aca="false">D266*F266</f>
        <v>63.75</v>
      </c>
      <c r="J266" s="6" t="n">
        <f aca="false">HOUR(E266)</f>
        <v>8</v>
      </c>
      <c r="K266" s="6" t="n">
        <f aca="false">IF(COUNTIF($A$2:$A266,A266)=1,1,0)</f>
        <v>0</v>
      </c>
    </row>
    <row r="267" customFormat="false" ht="15" hidden="false" customHeight="false" outlineLevel="0" collapsed="false">
      <c r="A267" s="0" t="s">
        <v>167</v>
      </c>
      <c r="B267" s="0" t="s">
        <v>125</v>
      </c>
      <c r="C267" s="0" t="s">
        <v>126</v>
      </c>
      <c r="D267" s="0" t="n">
        <v>11</v>
      </c>
      <c r="E267" s="5" t="n">
        <v>45935.3707175926</v>
      </c>
      <c r="F267" s="0" t="n">
        <v>1.25</v>
      </c>
      <c r="G267" s="0" t="n">
        <v>17246</v>
      </c>
      <c r="H267" s="6" t="s">
        <v>74</v>
      </c>
      <c r="I267" s="6" t="n">
        <f aca="false">D267*F267</f>
        <v>13.75</v>
      </c>
      <c r="J267" s="6" t="n">
        <f aca="false">HOUR(E267)</f>
        <v>8</v>
      </c>
      <c r="K267" s="6" t="n">
        <f aca="false">IF(COUNTIF($A$2:$A267,A267)=1,1,0)</f>
        <v>0</v>
      </c>
    </row>
    <row r="268" customFormat="false" ht="15" hidden="false" customHeight="false" outlineLevel="0" collapsed="false">
      <c r="A268" s="0" t="s">
        <v>167</v>
      </c>
      <c r="B268" s="0" t="s">
        <v>55</v>
      </c>
      <c r="C268" s="0" t="s">
        <v>56</v>
      </c>
      <c r="D268" s="0" t="n">
        <v>17</v>
      </c>
      <c r="E268" s="5" t="n">
        <v>45935.3707175926</v>
      </c>
      <c r="F268" s="0" t="n">
        <v>1.65</v>
      </c>
      <c r="G268" s="0" t="n">
        <v>17246</v>
      </c>
      <c r="H268" s="6" t="s">
        <v>74</v>
      </c>
      <c r="I268" s="6" t="n">
        <f aca="false">D268*F268</f>
        <v>28.05</v>
      </c>
      <c r="J268" s="6" t="n">
        <f aca="false">HOUR(E268)</f>
        <v>8</v>
      </c>
      <c r="K268" s="6" t="n">
        <f aca="false">IF(COUNTIF($A$2:$A268,A268)=1,1,0)</f>
        <v>0</v>
      </c>
    </row>
    <row r="269" customFormat="false" ht="15" hidden="false" customHeight="false" outlineLevel="0" collapsed="false">
      <c r="A269" s="0" t="s">
        <v>167</v>
      </c>
      <c r="B269" s="0" t="s">
        <v>50</v>
      </c>
      <c r="C269" s="0" t="s">
        <v>51</v>
      </c>
      <c r="D269" s="0" t="n">
        <v>22</v>
      </c>
      <c r="E269" s="5" t="n">
        <v>45935.3707175926</v>
      </c>
      <c r="F269" s="0" t="n">
        <v>5.95</v>
      </c>
      <c r="G269" s="0" t="n">
        <v>17246</v>
      </c>
      <c r="H269" s="6" t="s">
        <v>74</v>
      </c>
      <c r="I269" s="6" t="n">
        <f aca="false">D269*F269</f>
        <v>130.9</v>
      </c>
      <c r="J269" s="6" t="n">
        <f aca="false">HOUR(E269)</f>
        <v>8</v>
      </c>
      <c r="K269" s="6" t="n">
        <f aca="false">IF(COUNTIF($A$2:$A269,A269)=1,1,0)</f>
        <v>0</v>
      </c>
    </row>
    <row r="270" customFormat="false" ht="15" hidden="false" customHeight="false" outlineLevel="0" collapsed="false">
      <c r="A270" s="0" t="s">
        <v>167</v>
      </c>
      <c r="B270" s="0" t="s">
        <v>118</v>
      </c>
      <c r="C270" s="0" t="s">
        <v>119</v>
      </c>
      <c r="D270" s="0" t="n">
        <v>22</v>
      </c>
      <c r="E270" s="5" t="n">
        <v>45935.3707175926</v>
      </c>
      <c r="F270" s="0" t="n">
        <v>4.95</v>
      </c>
      <c r="G270" s="0" t="n">
        <v>17246</v>
      </c>
      <c r="H270" s="6" t="s">
        <v>74</v>
      </c>
      <c r="I270" s="6" t="n">
        <f aca="false">D270*F270</f>
        <v>108.9</v>
      </c>
      <c r="J270" s="6" t="n">
        <f aca="false">HOUR(E270)</f>
        <v>8</v>
      </c>
      <c r="K270" s="6" t="n">
        <f aca="false">IF(COUNTIF($A$2:$A270,A270)=1,1,0)</f>
        <v>0</v>
      </c>
    </row>
    <row r="271" customFormat="false" ht="15" hidden="false" customHeight="false" outlineLevel="0" collapsed="false">
      <c r="A271" s="0" t="s">
        <v>167</v>
      </c>
      <c r="B271" s="0" t="s">
        <v>45</v>
      </c>
      <c r="C271" s="0" t="s">
        <v>46</v>
      </c>
      <c r="D271" s="0" t="n">
        <v>15</v>
      </c>
      <c r="E271" s="5" t="n">
        <v>45935.3707175926</v>
      </c>
      <c r="F271" s="0" t="n">
        <v>2.1</v>
      </c>
      <c r="G271" s="0" t="n">
        <v>17246</v>
      </c>
      <c r="H271" s="6" t="s">
        <v>74</v>
      </c>
      <c r="I271" s="6" t="n">
        <f aca="false">D271*F271</f>
        <v>31.5</v>
      </c>
      <c r="J271" s="6" t="n">
        <f aca="false">HOUR(E271)</f>
        <v>8</v>
      </c>
      <c r="K271" s="6" t="n">
        <f aca="false">IF(COUNTIF($A$2:$A271,A271)=1,1,0)</f>
        <v>0</v>
      </c>
    </row>
    <row r="272" customFormat="false" ht="15" hidden="false" customHeight="false" outlineLevel="0" collapsed="false">
      <c r="A272" s="0" t="s">
        <v>167</v>
      </c>
      <c r="B272" s="0" t="s">
        <v>134</v>
      </c>
      <c r="C272" s="0" t="s">
        <v>135</v>
      </c>
      <c r="D272" s="0" t="n">
        <v>16</v>
      </c>
      <c r="E272" s="5" t="n">
        <v>45935.3707175926</v>
      </c>
      <c r="F272" s="0" t="n">
        <v>5.95</v>
      </c>
      <c r="G272" s="0" t="n">
        <v>17246</v>
      </c>
      <c r="H272" s="6" t="s">
        <v>74</v>
      </c>
      <c r="I272" s="6" t="n">
        <f aca="false">D272*F272</f>
        <v>95.2</v>
      </c>
      <c r="J272" s="6" t="n">
        <f aca="false">HOUR(E272)</f>
        <v>8</v>
      </c>
      <c r="K272" s="6" t="n">
        <f aca="false">IF(COUNTIF($A$2:$A272,A272)=1,1,0)</f>
        <v>0</v>
      </c>
    </row>
    <row r="273" customFormat="false" ht="15" hidden="false" customHeight="false" outlineLevel="0" collapsed="false">
      <c r="A273" s="0" t="s">
        <v>168</v>
      </c>
      <c r="B273" s="0" t="s">
        <v>134</v>
      </c>
      <c r="C273" s="0" t="s">
        <v>135</v>
      </c>
      <c r="D273" s="0" t="n">
        <v>23</v>
      </c>
      <c r="E273" s="5" t="n">
        <v>45935.3960185185</v>
      </c>
      <c r="F273" s="0" t="n">
        <v>5.95</v>
      </c>
      <c r="G273" s="0" t="n">
        <v>17253</v>
      </c>
      <c r="H273" s="6" t="s">
        <v>113</v>
      </c>
      <c r="I273" s="6" t="n">
        <f aca="false">D273*F273</f>
        <v>136.85</v>
      </c>
      <c r="J273" s="6" t="n">
        <f aca="false">HOUR(E273)</f>
        <v>9</v>
      </c>
      <c r="K273" s="6" t="n">
        <f aca="false">IF(COUNTIF($A$2:$A273,A273)=1,1,0)</f>
        <v>1</v>
      </c>
    </row>
    <row r="274" customFormat="false" ht="15" hidden="false" customHeight="false" outlineLevel="0" collapsed="false">
      <c r="A274" s="0" t="s">
        <v>169</v>
      </c>
      <c r="B274" s="0" t="s">
        <v>102</v>
      </c>
      <c r="C274" s="0" t="s">
        <v>103</v>
      </c>
      <c r="D274" s="0" t="n">
        <v>42</v>
      </c>
      <c r="E274" s="5" t="n">
        <v>45935.3974074074</v>
      </c>
      <c r="F274" s="0" t="n">
        <v>8.5</v>
      </c>
      <c r="G274" s="0" t="n">
        <v>17180</v>
      </c>
      <c r="H274" s="6" t="s">
        <v>74</v>
      </c>
      <c r="I274" s="6" t="n">
        <f aca="false">D274*F274</f>
        <v>357</v>
      </c>
      <c r="J274" s="6" t="n">
        <f aca="false">HOUR(E274)</f>
        <v>9</v>
      </c>
      <c r="K274" s="6" t="n">
        <f aca="false">IF(COUNTIF($A$2:$A274,A274)=1,1,0)</f>
        <v>1</v>
      </c>
    </row>
    <row r="275" customFormat="false" ht="15" hidden="false" customHeight="false" outlineLevel="0" collapsed="false">
      <c r="A275" s="0" t="s">
        <v>169</v>
      </c>
      <c r="B275" s="0" t="s">
        <v>79</v>
      </c>
      <c r="C275" s="0" t="s">
        <v>80</v>
      </c>
      <c r="D275" s="0" t="n">
        <v>7</v>
      </c>
      <c r="E275" s="5" t="n">
        <v>45935.3974074074</v>
      </c>
      <c r="F275" s="0" t="n">
        <v>3.39</v>
      </c>
      <c r="G275" s="0" t="n">
        <v>17180</v>
      </c>
      <c r="H275" s="6" t="s">
        <v>74</v>
      </c>
      <c r="I275" s="6" t="n">
        <f aca="false">D275*F275</f>
        <v>23.73</v>
      </c>
      <c r="J275" s="6" t="n">
        <f aca="false">HOUR(E275)</f>
        <v>9</v>
      </c>
      <c r="K275" s="6" t="n">
        <f aca="false">IF(COUNTIF($A$2:$A275,A275)=1,1,0)</f>
        <v>0</v>
      </c>
    </row>
    <row r="276" customFormat="false" ht="15" hidden="false" customHeight="false" outlineLevel="0" collapsed="false">
      <c r="A276" s="0" t="s">
        <v>169</v>
      </c>
      <c r="B276" s="0" t="s">
        <v>47</v>
      </c>
      <c r="C276" s="0" t="s">
        <v>48</v>
      </c>
      <c r="D276" s="0" t="n">
        <v>41</v>
      </c>
      <c r="E276" s="5" t="n">
        <v>45935.3974074074</v>
      </c>
      <c r="F276" s="0" t="n">
        <v>12.75</v>
      </c>
      <c r="G276" s="0" t="n">
        <v>17180</v>
      </c>
      <c r="H276" s="6" t="s">
        <v>74</v>
      </c>
      <c r="I276" s="6" t="n">
        <f aca="false">D276*F276</f>
        <v>522.75</v>
      </c>
      <c r="J276" s="6" t="n">
        <f aca="false">HOUR(E276)</f>
        <v>9</v>
      </c>
      <c r="K276" s="6" t="n">
        <f aca="false">IF(COUNTIF($A$2:$A276,A276)=1,1,0)</f>
        <v>0</v>
      </c>
    </row>
    <row r="277" customFormat="false" ht="15" hidden="false" customHeight="false" outlineLevel="0" collapsed="false">
      <c r="A277" s="0" t="s">
        <v>169</v>
      </c>
      <c r="B277" s="0" t="s">
        <v>63</v>
      </c>
      <c r="C277" s="0" t="s">
        <v>64</v>
      </c>
      <c r="D277" s="0" t="n">
        <v>12</v>
      </c>
      <c r="E277" s="5" t="n">
        <v>45935.3974074074</v>
      </c>
      <c r="F277" s="0" t="n">
        <v>1.85</v>
      </c>
      <c r="G277" s="0" t="n">
        <v>17180</v>
      </c>
      <c r="H277" s="6" t="s">
        <v>74</v>
      </c>
      <c r="I277" s="6" t="n">
        <f aca="false">D277*F277</f>
        <v>22.2</v>
      </c>
      <c r="J277" s="6" t="n">
        <f aca="false">HOUR(E277)</f>
        <v>9</v>
      </c>
      <c r="K277" s="6" t="n">
        <f aca="false">IF(COUNTIF($A$2:$A277,A277)=1,1,0)</f>
        <v>0</v>
      </c>
    </row>
    <row r="278" customFormat="false" ht="15" hidden="false" customHeight="false" outlineLevel="0" collapsed="false">
      <c r="A278" s="0" t="s">
        <v>169</v>
      </c>
      <c r="B278" s="0" t="s">
        <v>140</v>
      </c>
      <c r="C278" s="0" t="s">
        <v>141</v>
      </c>
      <c r="D278" s="0" t="n">
        <v>11</v>
      </c>
      <c r="E278" s="5" t="n">
        <v>45935.3974074074</v>
      </c>
      <c r="F278" s="0" t="n">
        <v>2.08</v>
      </c>
      <c r="G278" s="0" t="n">
        <v>17180</v>
      </c>
      <c r="H278" s="6" t="s">
        <v>74</v>
      </c>
      <c r="I278" s="6" t="n">
        <f aca="false">D278*F278</f>
        <v>22.88</v>
      </c>
      <c r="J278" s="6" t="n">
        <f aca="false">HOUR(E278)</f>
        <v>9</v>
      </c>
      <c r="K278" s="6" t="n">
        <f aca="false">IF(COUNTIF($A$2:$A278,A278)=1,1,0)</f>
        <v>0</v>
      </c>
    </row>
    <row r="279" customFormat="false" ht="15" hidden="false" customHeight="false" outlineLevel="0" collapsed="false">
      <c r="A279" s="0" t="s">
        <v>169</v>
      </c>
      <c r="B279" s="0" t="s">
        <v>127</v>
      </c>
      <c r="C279" s="0" t="s">
        <v>128</v>
      </c>
      <c r="D279" s="0" t="n">
        <v>23</v>
      </c>
      <c r="E279" s="5" t="n">
        <v>45935.3974074074</v>
      </c>
      <c r="F279" s="0" t="n">
        <v>1.45</v>
      </c>
      <c r="G279" s="0" t="n">
        <v>17180</v>
      </c>
      <c r="H279" s="6" t="s">
        <v>74</v>
      </c>
      <c r="I279" s="6" t="n">
        <f aca="false">D279*F279</f>
        <v>33.35</v>
      </c>
      <c r="J279" s="6" t="n">
        <f aca="false">HOUR(E279)</f>
        <v>9</v>
      </c>
      <c r="K279" s="6" t="n">
        <f aca="false">IF(COUNTIF($A$2:$A279,A279)=1,1,0)</f>
        <v>0</v>
      </c>
    </row>
    <row r="280" customFormat="false" ht="15" hidden="false" customHeight="false" outlineLevel="0" collapsed="false">
      <c r="A280" s="0" t="s">
        <v>169</v>
      </c>
      <c r="B280" s="0" t="s">
        <v>137</v>
      </c>
      <c r="C280" s="0" t="s">
        <v>138</v>
      </c>
      <c r="D280" s="0" t="n">
        <v>11</v>
      </c>
      <c r="E280" s="5" t="n">
        <v>45935.3974074074</v>
      </c>
      <c r="F280" s="0" t="n">
        <v>2.1</v>
      </c>
      <c r="G280" s="0" t="n">
        <v>17180</v>
      </c>
      <c r="H280" s="6" t="s">
        <v>74</v>
      </c>
      <c r="I280" s="6" t="n">
        <f aca="false">D280*F280</f>
        <v>23.1</v>
      </c>
      <c r="J280" s="6" t="n">
        <f aca="false">HOUR(E280)</f>
        <v>9</v>
      </c>
      <c r="K280" s="6" t="n">
        <f aca="false">IF(COUNTIF($A$2:$A280,A280)=1,1,0)</f>
        <v>0</v>
      </c>
    </row>
    <row r="281" customFormat="false" ht="15" hidden="false" customHeight="false" outlineLevel="0" collapsed="false">
      <c r="A281" s="0" t="s">
        <v>170</v>
      </c>
      <c r="B281" s="0" t="s">
        <v>121</v>
      </c>
      <c r="C281" s="0" t="s">
        <v>122</v>
      </c>
      <c r="D281" s="0" t="n">
        <v>1</v>
      </c>
      <c r="E281" s="5" t="n">
        <v>45935.4500925926</v>
      </c>
      <c r="F281" s="0" t="n">
        <v>2.1</v>
      </c>
      <c r="H281" s="6" t="s">
        <v>74</v>
      </c>
      <c r="I281" s="6" t="n">
        <f aca="false">D281*F281</f>
        <v>2.1</v>
      </c>
      <c r="J281" s="6" t="n">
        <f aca="false">HOUR(E281)</f>
        <v>10</v>
      </c>
      <c r="K281" s="6" t="n">
        <f aca="false">IF(COUNTIF($A$2:$A281,A281)=1,1,0)</f>
        <v>1</v>
      </c>
    </row>
    <row r="282" customFormat="false" ht="15" hidden="false" customHeight="false" outlineLevel="0" collapsed="false">
      <c r="A282" s="0" t="s">
        <v>170</v>
      </c>
      <c r="B282" s="0" t="s">
        <v>57</v>
      </c>
      <c r="C282" s="0" t="s">
        <v>58</v>
      </c>
      <c r="D282" s="0" t="n">
        <v>9</v>
      </c>
      <c r="E282" s="5" t="n">
        <v>45935.4500925926</v>
      </c>
      <c r="F282" s="0" t="n">
        <v>2.08</v>
      </c>
      <c r="H282" s="6" t="s">
        <v>74</v>
      </c>
      <c r="I282" s="6" t="n">
        <f aca="false">D282*F282</f>
        <v>18.72</v>
      </c>
      <c r="J282" s="6" t="n">
        <f aca="false">HOUR(E282)</f>
        <v>10</v>
      </c>
      <c r="K282" s="6" t="n">
        <f aca="false">IF(COUNTIF($A$2:$A282,A282)=1,1,0)</f>
        <v>0</v>
      </c>
    </row>
    <row r="283" customFormat="false" ht="15" hidden="false" customHeight="false" outlineLevel="0" collapsed="false">
      <c r="A283" s="0" t="s">
        <v>170</v>
      </c>
      <c r="B283" s="0" t="s">
        <v>61</v>
      </c>
      <c r="C283" s="0" t="s">
        <v>62</v>
      </c>
      <c r="D283" s="0" t="n">
        <v>10</v>
      </c>
      <c r="E283" s="5" t="n">
        <v>45935.4500925926</v>
      </c>
      <c r="F283" s="0" t="n">
        <v>1.65</v>
      </c>
      <c r="H283" s="6" t="s">
        <v>74</v>
      </c>
      <c r="I283" s="6" t="n">
        <f aca="false">D283*F283</f>
        <v>16.5</v>
      </c>
      <c r="J283" s="6" t="n">
        <f aca="false">HOUR(E283)</f>
        <v>10</v>
      </c>
      <c r="K283" s="6" t="n">
        <f aca="false">IF(COUNTIF($A$2:$A283,A283)=1,1,0)</f>
        <v>0</v>
      </c>
    </row>
    <row r="284" customFormat="false" ht="15" hidden="false" customHeight="false" outlineLevel="0" collapsed="false">
      <c r="A284" s="0" t="s">
        <v>170</v>
      </c>
      <c r="B284" s="0" t="s">
        <v>72</v>
      </c>
      <c r="C284" s="0" t="s">
        <v>73</v>
      </c>
      <c r="D284" s="0" t="n">
        <v>14</v>
      </c>
      <c r="E284" s="5" t="n">
        <v>45935.4500925926</v>
      </c>
      <c r="F284" s="0" t="n">
        <v>4.95</v>
      </c>
      <c r="H284" s="6" t="s">
        <v>74</v>
      </c>
      <c r="I284" s="6" t="n">
        <f aca="false">D284*F284</f>
        <v>69.3</v>
      </c>
      <c r="J284" s="6" t="n">
        <f aca="false">HOUR(E284)</f>
        <v>10</v>
      </c>
      <c r="K284" s="6" t="n">
        <f aca="false">IF(COUNTIF($A$2:$A284,A284)=1,1,0)</f>
        <v>0</v>
      </c>
    </row>
    <row r="285" customFormat="false" ht="15" hidden="false" customHeight="false" outlineLevel="0" collapsed="false">
      <c r="A285" s="0" t="s">
        <v>170</v>
      </c>
      <c r="B285" s="0" t="s">
        <v>125</v>
      </c>
      <c r="C285" s="0" t="s">
        <v>126</v>
      </c>
      <c r="D285" s="0" t="n">
        <v>15</v>
      </c>
      <c r="E285" s="5" t="n">
        <v>45935.4500925926</v>
      </c>
      <c r="F285" s="0" t="n">
        <v>1.25</v>
      </c>
      <c r="H285" s="6" t="s">
        <v>74</v>
      </c>
      <c r="I285" s="6" t="n">
        <f aca="false">D285*F285</f>
        <v>18.75</v>
      </c>
      <c r="J285" s="6" t="n">
        <f aca="false">HOUR(E285)</f>
        <v>10</v>
      </c>
      <c r="K285" s="6" t="n">
        <f aca="false">IF(COUNTIF($A$2:$A285,A285)=1,1,0)</f>
        <v>0</v>
      </c>
    </row>
    <row r="286" customFormat="false" ht="15" hidden="false" customHeight="false" outlineLevel="0" collapsed="false">
      <c r="A286" s="0" t="s">
        <v>170</v>
      </c>
      <c r="B286" s="0" t="s">
        <v>116</v>
      </c>
      <c r="C286" s="0" t="s">
        <v>117</v>
      </c>
      <c r="D286" s="0" t="n">
        <v>19</v>
      </c>
      <c r="E286" s="5" t="n">
        <v>45935.4500925926</v>
      </c>
      <c r="F286" s="0" t="n">
        <v>1.95</v>
      </c>
      <c r="H286" s="6" t="s">
        <v>74</v>
      </c>
      <c r="I286" s="6" t="n">
        <f aca="false">D286*F286</f>
        <v>37.05</v>
      </c>
      <c r="J286" s="6" t="n">
        <f aca="false">HOUR(E286)</f>
        <v>10</v>
      </c>
      <c r="K286" s="6" t="n">
        <f aca="false">IF(COUNTIF($A$2:$A286,A286)=1,1,0)</f>
        <v>0</v>
      </c>
    </row>
    <row r="287" customFormat="false" ht="15" hidden="false" customHeight="false" outlineLevel="0" collapsed="false">
      <c r="A287" s="0" t="s">
        <v>171</v>
      </c>
      <c r="B287" s="0" t="s">
        <v>79</v>
      </c>
      <c r="C287" s="0" t="s">
        <v>80</v>
      </c>
      <c r="D287" s="0" t="n">
        <v>12</v>
      </c>
      <c r="E287" s="5" t="n">
        <v>45935.4694444445</v>
      </c>
      <c r="F287" s="0" t="n">
        <v>3.39</v>
      </c>
      <c r="G287" s="0" t="n">
        <v>17143</v>
      </c>
      <c r="H287" s="6" t="s">
        <v>74</v>
      </c>
      <c r="I287" s="6" t="n">
        <f aca="false">D287*F287</f>
        <v>40.68</v>
      </c>
      <c r="J287" s="6" t="n">
        <f aca="false">HOUR(E287)</f>
        <v>11</v>
      </c>
      <c r="K287" s="6" t="n">
        <f aca="false">IF(COUNTIF($A$2:$A287,A287)=1,1,0)</f>
        <v>1</v>
      </c>
    </row>
    <row r="288" customFormat="false" ht="15" hidden="false" customHeight="false" outlineLevel="0" collapsed="false">
      <c r="A288" s="0" t="s">
        <v>171</v>
      </c>
      <c r="B288" s="0" t="s">
        <v>134</v>
      </c>
      <c r="C288" s="0" t="s">
        <v>135</v>
      </c>
      <c r="D288" s="0" t="n">
        <v>9</v>
      </c>
      <c r="E288" s="5" t="n">
        <v>45935.4694444445</v>
      </c>
      <c r="F288" s="0" t="n">
        <v>5.95</v>
      </c>
      <c r="G288" s="0" t="n">
        <v>17143</v>
      </c>
      <c r="H288" s="6" t="s">
        <v>74</v>
      </c>
      <c r="I288" s="6" t="n">
        <f aca="false">D288*F288</f>
        <v>53.55</v>
      </c>
      <c r="J288" s="6" t="n">
        <f aca="false">HOUR(E288)</f>
        <v>11</v>
      </c>
      <c r="K288" s="6" t="n">
        <f aca="false">IF(COUNTIF($A$2:$A288,A288)=1,1,0)</f>
        <v>0</v>
      </c>
    </row>
    <row r="289" customFormat="false" ht="15" hidden="false" customHeight="false" outlineLevel="0" collapsed="false">
      <c r="A289" s="0" t="s">
        <v>171</v>
      </c>
      <c r="B289" s="0" t="s">
        <v>91</v>
      </c>
      <c r="C289" s="0" t="s">
        <v>92</v>
      </c>
      <c r="D289" s="0" t="n">
        <v>24</v>
      </c>
      <c r="E289" s="5" t="n">
        <v>45935.4694444445</v>
      </c>
      <c r="F289" s="0" t="n">
        <v>7.65</v>
      </c>
      <c r="G289" s="0" t="n">
        <v>17143</v>
      </c>
      <c r="H289" s="6" t="s">
        <v>74</v>
      </c>
      <c r="I289" s="6" t="n">
        <f aca="false">D289*F289</f>
        <v>183.6</v>
      </c>
      <c r="J289" s="6" t="n">
        <f aca="false">HOUR(E289)</f>
        <v>11</v>
      </c>
      <c r="K289" s="6" t="n">
        <f aca="false">IF(COUNTIF($A$2:$A289,A289)=1,1,0)</f>
        <v>0</v>
      </c>
    </row>
    <row r="290" customFormat="false" ht="15" hidden="false" customHeight="false" outlineLevel="0" collapsed="false">
      <c r="A290" s="0" t="s">
        <v>171</v>
      </c>
      <c r="B290" s="0" t="s">
        <v>104</v>
      </c>
      <c r="C290" s="0" t="s">
        <v>105</v>
      </c>
      <c r="D290" s="0" t="n">
        <v>7</v>
      </c>
      <c r="E290" s="5" t="n">
        <v>45935.4694444445</v>
      </c>
      <c r="F290" s="0" t="n">
        <v>1.65</v>
      </c>
      <c r="G290" s="0" t="n">
        <v>17143</v>
      </c>
      <c r="H290" s="6" t="s">
        <v>74</v>
      </c>
      <c r="I290" s="6" t="n">
        <f aca="false">D290*F290</f>
        <v>11.55</v>
      </c>
      <c r="J290" s="6" t="n">
        <f aca="false">HOUR(E290)</f>
        <v>11</v>
      </c>
      <c r="K290" s="6" t="n">
        <f aca="false">IF(COUNTIF($A$2:$A290,A290)=1,1,0)</f>
        <v>0</v>
      </c>
    </row>
    <row r="291" customFormat="false" ht="15" hidden="false" customHeight="false" outlineLevel="0" collapsed="false">
      <c r="A291" s="0" t="s">
        <v>171</v>
      </c>
      <c r="B291" s="0" t="s">
        <v>63</v>
      </c>
      <c r="C291" s="0" t="s">
        <v>64</v>
      </c>
      <c r="D291" s="0" t="n">
        <v>11</v>
      </c>
      <c r="E291" s="5" t="n">
        <v>45935.4694444445</v>
      </c>
      <c r="F291" s="0" t="n">
        <v>1.85</v>
      </c>
      <c r="G291" s="0" t="n">
        <v>17143</v>
      </c>
      <c r="H291" s="6" t="s">
        <v>74</v>
      </c>
      <c r="I291" s="6" t="n">
        <f aca="false">D291*F291</f>
        <v>20.35</v>
      </c>
      <c r="J291" s="6" t="n">
        <f aca="false">HOUR(E291)</f>
        <v>11</v>
      </c>
      <c r="K291" s="6" t="n">
        <f aca="false">IF(COUNTIF($A$2:$A291,A291)=1,1,0)</f>
        <v>0</v>
      </c>
    </row>
    <row r="292" customFormat="false" ht="15" hidden="false" customHeight="false" outlineLevel="0" collapsed="false">
      <c r="A292" s="0" t="s">
        <v>171</v>
      </c>
      <c r="B292" s="0" t="s">
        <v>102</v>
      </c>
      <c r="C292" s="0" t="s">
        <v>103</v>
      </c>
      <c r="D292" s="0" t="n">
        <v>43</v>
      </c>
      <c r="E292" s="5" t="n">
        <v>45935.4694444445</v>
      </c>
      <c r="F292" s="0" t="n">
        <v>8.5</v>
      </c>
      <c r="G292" s="0" t="n">
        <v>17143</v>
      </c>
      <c r="H292" s="6" t="s">
        <v>74</v>
      </c>
      <c r="I292" s="6" t="n">
        <f aca="false">D292*F292</f>
        <v>365.5</v>
      </c>
      <c r="J292" s="6" t="n">
        <f aca="false">HOUR(E292)</f>
        <v>11</v>
      </c>
      <c r="K292" s="6" t="n">
        <f aca="false">IF(COUNTIF($A$2:$A292,A292)=1,1,0)</f>
        <v>0</v>
      </c>
    </row>
    <row r="293" customFormat="false" ht="15" hidden="false" customHeight="false" outlineLevel="0" collapsed="false">
      <c r="A293" s="0" t="s">
        <v>171</v>
      </c>
      <c r="B293" s="0" t="s">
        <v>55</v>
      </c>
      <c r="C293" s="0" t="s">
        <v>56</v>
      </c>
      <c r="D293" s="0" t="n">
        <v>19</v>
      </c>
      <c r="E293" s="5" t="n">
        <v>45935.4694444445</v>
      </c>
      <c r="F293" s="0" t="n">
        <v>1.65</v>
      </c>
      <c r="G293" s="0" t="n">
        <v>17143</v>
      </c>
      <c r="H293" s="6" t="s">
        <v>74</v>
      </c>
      <c r="I293" s="6" t="n">
        <f aca="false">D293*F293</f>
        <v>31.35</v>
      </c>
      <c r="J293" s="6" t="n">
        <f aca="false">HOUR(E293)</f>
        <v>11</v>
      </c>
      <c r="K293" s="6" t="n">
        <f aca="false">IF(COUNTIF($A$2:$A293,A293)=1,1,0)</f>
        <v>0</v>
      </c>
    </row>
    <row r="294" customFormat="false" ht="15" hidden="false" customHeight="false" outlineLevel="0" collapsed="false">
      <c r="A294" s="0" t="s">
        <v>171</v>
      </c>
      <c r="B294" s="0" t="s">
        <v>81</v>
      </c>
      <c r="C294" s="0" t="s">
        <v>82</v>
      </c>
      <c r="D294" s="0" t="n">
        <v>14</v>
      </c>
      <c r="E294" s="5" t="n">
        <v>45935.4694444445</v>
      </c>
      <c r="F294" s="0" t="n">
        <v>1.65</v>
      </c>
      <c r="G294" s="0" t="n">
        <v>17143</v>
      </c>
      <c r="H294" s="6" t="s">
        <v>74</v>
      </c>
      <c r="I294" s="6" t="n">
        <f aca="false">D294*F294</f>
        <v>23.1</v>
      </c>
      <c r="J294" s="6" t="n">
        <f aca="false">HOUR(E294)</f>
        <v>11</v>
      </c>
      <c r="K294" s="6" t="n">
        <f aca="false">IF(COUNTIF($A$2:$A294,A294)=1,1,0)</f>
        <v>0</v>
      </c>
    </row>
    <row r="295" customFormat="false" ht="15" hidden="false" customHeight="false" outlineLevel="0" collapsed="false">
      <c r="A295" s="0" t="s">
        <v>171</v>
      </c>
      <c r="B295" s="0" t="s">
        <v>45</v>
      </c>
      <c r="C295" s="0" t="s">
        <v>46</v>
      </c>
      <c r="D295" s="0" t="n">
        <v>22</v>
      </c>
      <c r="E295" s="5" t="n">
        <v>45935.4694444445</v>
      </c>
      <c r="F295" s="0" t="n">
        <v>2.1</v>
      </c>
      <c r="G295" s="0" t="n">
        <v>17143</v>
      </c>
      <c r="H295" s="6" t="s">
        <v>74</v>
      </c>
      <c r="I295" s="6" t="n">
        <f aca="false">D295*F295</f>
        <v>46.2</v>
      </c>
      <c r="J295" s="6" t="n">
        <f aca="false">HOUR(E295)</f>
        <v>11</v>
      </c>
      <c r="K295" s="6" t="n">
        <f aca="false">IF(COUNTIF($A$2:$A295,A295)=1,1,0)</f>
        <v>0</v>
      </c>
    </row>
    <row r="296" customFormat="false" ht="15" hidden="false" customHeight="false" outlineLevel="0" collapsed="false">
      <c r="A296" s="0" t="s">
        <v>171</v>
      </c>
      <c r="B296" s="0" t="s">
        <v>99</v>
      </c>
      <c r="D296" s="0" t="n">
        <v>16</v>
      </c>
      <c r="E296" s="5" t="n">
        <v>45935.4694444445</v>
      </c>
      <c r="F296" s="0" t="n">
        <v>2.08</v>
      </c>
      <c r="G296" s="0" t="n">
        <v>17143</v>
      </c>
      <c r="H296" s="6" t="s">
        <v>74</v>
      </c>
      <c r="I296" s="6" t="n">
        <f aca="false">D296*F296</f>
        <v>33.28</v>
      </c>
      <c r="J296" s="6" t="n">
        <f aca="false">HOUR(E296)</f>
        <v>11</v>
      </c>
      <c r="K296" s="6" t="n">
        <f aca="false">IF(COUNTIF($A$2:$A296,A296)=1,1,0)</f>
        <v>0</v>
      </c>
    </row>
    <row r="297" customFormat="false" ht="15" hidden="false" customHeight="false" outlineLevel="0" collapsed="false">
      <c r="A297" s="0" t="s">
        <v>172</v>
      </c>
      <c r="B297" s="0" t="s">
        <v>50</v>
      </c>
      <c r="C297" s="0" t="s">
        <v>51</v>
      </c>
      <c r="D297" s="0" t="n">
        <v>21</v>
      </c>
      <c r="E297" s="5" t="n">
        <v>45935.4836805556</v>
      </c>
      <c r="F297" s="0" t="n">
        <v>5.95</v>
      </c>
      <c r="G297" s="0" t="n">
        <v>17040</v>
      </c>
      <c r="H297" s="6" t="s">
        <v>74</v>
      </c>
      <c r="I297" s="6" t="n">
        <f aca="false">D297*F297</f>
        <v>124.95</v>
      </c>
      <c r="J297" s="6" t="n">
        <f aca="false">HOUR(E297)</f>
        <v>11</v>
      </c>
      <c r="K297" s="6" t="n">
        <f aca="false">IF(COUNTIF($A$2:$A297,A297)=1,1,0)</f>
        <v>1</v>
      </c>
    </row>
    <row r="298" customFormat="false" ht="15" hidden="false" customHeight="false" outlineLevel="0" collapsed="false">
      <c r="A298" s="0" t="s">
        <v>172</v>
      </c>
      <c r="B298" s="0" t="s">
        <v>53</v>
      </c>
      <c r="C298" s="0" t="s">
        <v>54</v>
      </c>
      <c r="D298" s="0" t="n">
        <v>17</v>
      </c>
      <c r="E298" s="5" t="n">
        <v>45935.4836805556</v>
      </c>
      <c r="F298" s="0" t="n">
        <v>2.95</v>
      </c>
      <c r="G298" s="0" t="n">
        <v>17040</v>
      </c>
      <c r="H298" s="6" t="s">
        <v>74</v>
      </c>
      <c r="I298" s="6" t="n">
        <f aca="false">D298*F298</f>
        <v>50.15</v>
      </c>
      <c r="J298" s="6" t="n">
        <f aca="false">HOUR(E298)</f>
        <v>11</v>
      </c>
      <c r="K298" s="6" t="n">
        <f aca="false">IF(COUNTIF($A$2:$A298,A298)=1,1,0)</f>
        <v>0</v>
      </c>
    </row>
    <row r="299" customFormat="false" ht="15" hidden="false" customHeight="false" outlineLevel="0" collapsed="false">
      <c r="A299" s="0" t="s">
        <v>172</v>
      </c>
      <c r="B299" s="0" t="s">
        <v>65</v>
      </c>
      <c r="C299" s="0" t="s">
        <v>66</v>
      </c>
      <c r="D299" s="0" t="n">
        <v>3</v>
      </c>
      <c r="E299" s="5" t="n">
        <v>45935.4836805556</v>
      </c>
      <c r="F299" s="0" t="n">
        <v>1.65</v>
      </c>
      <c r="G299" s="0" t="n">
        <v>17040</v>
      </c>
      <c r="H299" s="6" t="s">
        <v>74</v>
      </c>
      <c r="I299" s="6" t="n">
        <f aca="false">D299*F299</f>
        <v>4.95</v>
      </c>
      <c r="J299" s="6" t="n">
        <f aca="false">HOUR(E299)</f>
        <v>11</v>
      </c>
      <c r="K299" s="6" t="n">
        <f aca="false">IF(COUNTIF($A$2:$A299,A299)=1,1,0)</f>
        <v>0</v>
      </c>
    </row>
    <row r="300" customFormat="false" ht="15" hidden="false" customHeight="false" outlineLevel="0" collapsed="false">
      <c r="A300" s="0" t="s">
        <v>173</v>
      </c>
      <c r="B300" s="0" t="s">
        <v>47</v>
      </c>
      <c r="C300" s="0" t="s">
        <v>48</v>
      </c>
      <c r="D300" s="0" t="n">
        <v>26</v>
      </c>
      <c r="E300" s="5" t="n">
        <v>45935.4893865741</v>
      </c>
      <c r="F300" s="0" t="n">
        <v>12.75</v>
      </c>
      <c r="G300" s="0" t="n">
        <v>17217</v>
      </c>
      <c r="H300" s="6" t="s">
        <v>74</v>
      </c>
      <c r="I300" s="6" t="n">
        <f aca="false">D300*F300</f>
        <v>331.5</v>
      </c>
      <c r="J300" s="6" t="n">
        <f aca="false">HOUR(E300)</f>
        <v>11</v>
      </c>
      <c r="K300" s="6" t="n">
        <f aca="false">IF(COUNTIF($A$2:$A300,A300)=1,1,0)</f>
        <v>1</v>
      </c>
    </row>
    <row r="301" customFormat="false" ht="15" hidden="false" customHeight="false" outlineLevel="0" collapsed="false">
      <c r="A301" s="0" t="s">
        <v>173</v>
      </c>
      <c r="B301" s="0" t="s">
        <v>55</v>
      </c>
      <c r="C301" s="0" t="s">
        <v>56</v>
      </c>
      <c r="D301" s="0" t="n">
        <v>4</v>
      </c>
      <c r="E301" s="5" t="n">
        <v>45935.4893865741</v>
      </c>
      <c r="F301" s="0" t="n">
        <v>1.65</v>
      </c>
      <c r="G301" s="0" t="n">
        <v>17217</v>
      </c>
      <c r="H301" s="6" t="s">
        <v>74</v>
      </c>
      <c r="I301" s="6" t="n">
        <f aca="false">D301*F301</f>
        <v>6.6</v>
      </c>
      <c r="J301" s="6" t="n">
        <f aca="false">HOUR(E301)</f>
        <v>11</v>
      </c>
      <c r="K301" s="6" t="n">
        <f aca="false">IF(COUNTIF($A$2:$A301,A301)=1,1,0)</f>
        <v>0</v>
      </c>
    </row>
    <row r="302" customFormat="false" ht="15" hidden="false" customHeight="false" outlineLevel="0" collapsed="false">
      <c r="A302" s="0" t="s">
        <v>173</v>
      </c>
      <c r="B302" s="0" t="s">
        <v>145</v>
      </c>
      <c r="C302" s="0" t="s">
        <v>146</v>
      </c>
      <c r="D302" s="0" t="n">
        <v>22</v>
      </c>
      <c r="E302" s="5" t="n">
        <v>45935.4893865741</v>
      </c>
      <c r="F302" s="0" t="n">
        <v>1.85</v>
      </c>
      <c r="G302" s="0" t="n">
        <v>17217</v>
      </c>
      <c r="H302" s="6" t="s">
        <v>74</v>
      </c>
      <c r="I302" s="6" t="n">
        <f aca="false">D302*F302</f>
        <v>40.7</v>
      </c>
      <c r="J302" s="6" t="n">
        <f aca="false">HOUR(E302)</f>
        <v>11</v>
      </c>
      <c r="K302" s="6" t="n">
        <f aca="false">IF(COUNTIF($A$2:$A302,A302)=1,1,0)</f>
        <v>0</v>
      </c>
    </row>
    <row r="303" customFormat="false" ht="15" hidden="false" customHeight="false" outlineLevel="0" collapsed="false">
      <c r="A303" s="0" t="s">
        <v>173</v>
      </c>
      <c r="B303" s="0" t="s">
        <v>81</v>
      </c>
      <c r="C303" s="0" t="s">
        <v>82</v>
      </c>
      <c r="D303" s="0" t="n">
        <v>5</v>
      </c>
      <c r="E303" s="5" t="n">
        <v>45935.4893865741</v>
      </c>
      <c r="F303" s="0" t="n">
        <v>1.65</v>
      </c>
      <c r="G303" s="0" t="n">
        <v>17217</v>
      </c>
      <c r="H303" s="6" t="s">
        <v>74</v>
      </c>
      <c r="I303" s="6" t="n">
        <f aca="false">D303*F303</f>
        <v>8.25</v>
      </c>
      <c r="J303" s="6" t="n">
        <f aca="false">HOUR(E303)</f>
        <v>11</v>
      </c>
      <c r="K303" s="6" t="n">
        <f aca="false">IF(COUNTIF($A$2:$A303,A303)=1,1,0)</f>
        <v>0</v>
      </c>
    </row>
    <row r="304" customFormat="false" ht="15" hidden="false" customHeight="false" outlineLevel="0" collapsed="false">
      <c r="A304" s="0" t="s">
        <v>173</v>
      </c>
      <c r="B304" s="0" t="s">
        <v>107</v>
      </c>
      <c r="C304" s="0" t="s">
        <v>108</v>
      </c>
      <c r="D304" s="0" t="n">
        <v>4</v>
      </c>
      <c r="E304" s="5" t="n">
        <v>45935.4893865741</v>
      </c>
      <c r="F304" s="0" t="n">
        <v>3.75</v>
      </c>
      <c r="G304" s="0" t="n">
        <v>17217</v>
      </c>
      <c r="H304" s="6" t="s">
        <v>74</v>
      </c>
      <c r="I304" s="6" t="n">
        <f aca="false">D304*F304</f>
        <v>15</v>
      </c>
      <c r="J304" s="6" t="n">
        <f aca="false">HOUR(E304)</f>
        <v>11</v>
      </c>
      <c r="K304" s="6" t="n">
        <f aca="false">IF(COUNTIF($A$2:$A304,A304)=1,1,0)</f>
        <v>0</v>
      </c>
    </row>
    <row r="305" customFormat="false" ht="15" hidden="false" customHeight="false" outlineLevel="0" collapsed="false">
      <c r="A305" s="0" t="s">
        <v>173</v>
      </c>
      <c r="B305" s="0" t="s">
        <v>109</v>
      </c>
      <c r="C305" s="0" t="s">
        <v>110</v>
      </c>
      <c r="D305" s="0" t="n">
        <v>6</v>
      </c>
      <c r="E305" s="5" t="n">
        <v>45935.4893865741</v>
      </c>
      <c r="F305" s="0" t="n">
        <v>0.85</v>
      </c>
      <c r="G305" s="0" t="n">
        <v>17217</v>
      </c>
      <c r="H305" s="6" t="s">
        <v>74</v>
      </c>
      <c r="I305" s="6" t="n">
        <f aca="false">D305*F305</f>
        <v>5.1</v>
      </c>
      <c r="J305" s="6" t="n">
        <f aca="false">HOUR(E305)</f>
        <v>11</v>
      </c>
      <c r="K305" s="6" t="n">
        <f aca="false">IF(COUNTIF($A$2:$A305,A305)=1,1,0)</f>
        <v>0</v>
      </c>
    </row>
    <row r="306" customFormat="false" ht="15" hidden="false" customHeight="false" outlineLevel="0" collapsed="false">
      <c r="A306" s="0" t="s">
        <v>173</v>
      </c>
      <c r="B306" s="0" t="s">
        <v>99</v>
      </c>
      <c r="C306" s="0" t="s">
        <v>100</v>
      </c>
      <c r="D306" s="0" t="n">
        <v>3</v>
      </c>
      <c r="E306" s="5" t="n">
        <v>45935.4893865741</v>
      </c>
      <c r="F306" s="0" t="n">
        <v>2.08</v>
      </c>
      <c r="G306" s="0" t="n">
        <v>17217</v>
      </c>
      <c r="H306" s="6" t="s">
        <v>74</v>
      </c>
      <c r="I306" s="6" t="n">
        <f aca="false">D306*F306</f>
        <v>6.24</v>
      </c>
      <c r="J306" s="6" t="n">
        <f aca="false">HOUR(E306)</f>
        <v>11</v>
      </c>
      <c r="K306" s="6" t="n">
        <f aca="false">IF(COUNTIF($A$2:$A306,A306)=1,1,0)</f>
        <v>0</v>
      </c>
    </row>
    <row r="307" customFormat="false" ht="15" hidden="false" customHeight="false" outlineLevel="0" collapsed="false">
      <c r="A307" s="0" t="s">
        <v>174</v>
      </c>
      <c r="B307" s="0" t="s">
        <v>43</v>
      </c>
      <c r="C307" s="0" t="s">
        <v>44</v>
      </c>
      <c r="D307" s="0" t="n">
        <v>12</v>
      </c>
      <c r="E307" s="5" t="n">
        <v>45935.5327546296</v>
      </c>
      <c r="F307" s="0" t="n">
        <v>4.25</v>
      </c>
      <c r="G307" s="0" t="n">
        <v>17060</v>
      </c>
      <c r="H307" s="6" t="s">
        <v>74</v>
      </c>
      <c r="I307" s="6" t="n">
        <f aca="false">D307*F307</f>
        <v>51</v>
      </c>
      <c r="J307" s="6" t="n">
        <f aca="false">HOUR(E307)</f>
        <v>12</v>
      </c>
      <c r="K307" s="6" t="n">
        <f aca="false">IF(COUNTIF($A$2:$A307,A307)=1,1,0)</f>
        <v>1</v>
      </c>
    </row>
    <row r="308" customFormat="false" ht="15" hidden="false" customHeight="false" outlineLevel="0" collapsed="false">
      <c r="A308" s="0" t="s">
        <v>174</v>
      </c>
      <c r="B308" s="0" t="s">
        <v>63</v>
      </c>
      <c r="C308" s="0" t="s">
        <v>64</v>
      </c>
      <c r="D308" s="0" t="n">
        <v>16</v>
      </c>
      <c r="E308" s="5" t="n">
        <v>45935.5327546296</v>
      </c>
      <c r="F308" s="0" t="n">
        <v>1.85</v>
      </c>
      <c r="G308" s="0" t="n">
        <v>17060</v>
      </c>
      <c r="H308" s="6" t="s">
        <v>74</v>
      </c>
      <c r="I308" s="6" t="n">
        <f aca="false">D308*F308</f>
        <v>29.6</v>
      </c>
      <c r="J308" s="6" t="n">
        <f aca="false">HOUR(E308)</f>
        <v>12</v>
      </c>
      <c r="K308" s="6" t="n">
        <f aca="false">IF(COUNTIF($A$2:$A308,A308)=1,1,0)</f>
        <v>0</v>
      </c>
    </row>
    <row r="309" customFormat="false" ht="15" hidden="false" customHeight="false" outlineLevel="0" collapsed="false">
      <c r="A309" s="0" t="s">
        <v>174</v>
      </c>
      <c r="B309" s="0" t="s">
        <v>114</v>
      </c>
      <c r="C309" s="0" t="s">
        <v>115</v>
      </c>
      <c r="D309" s="0" t="n">
        <v>5</v>
      </c>
      <c r="E309" s="5" t="n">
        <v>45935.5327546296</v>
      </c>
      <c r="F309" s="0" t="n">
        <v>2.08</v>
      </c>
      <c r="G309" s="0" t="n">
        <v>17060</v>
      </c>
      <c r="H309" s="6" t="s">
        <v>74</v>
      </c>
      <c r="I309" s="6" t="n">
        <f aca="false">D309*F309</f>
        <v>10.4</v>
      </c>
      <c r="J309" s="6" t="n">
        <f aca="false">HOUR(E309)</f>
        <v>12</v>
      </c>
      <c r="K309" s="6" t="n">
        <f aca="false">IF(COUNTIF($A$2:$A309,A309)=1,1,0)</f>
        <v>0</v>
      </c>
    </row>
    <row r="310" customFormat="false" ht="15" hidden="false" customHeight="false" outlineLevel="0" collapsed="false">
      <c r="A310" s="0" t="s">
        <v>174</v>
      </c>
      <c r="B310" s="0" t="s">
        <v>72</v>
      </c>
      <c r="C310" s="0" t="s">
        <v>73</v>
      </c>
      <c r="D310" s="0" t="n">
        <v>32</v>
      </c>
      <c r="E310" s="5" t="n">
        <v>45935.5327546296</v>
      </c>
      <c r="F310" s="0" t="n">
        <v>4.95</v>
      </c>
      <c r="G310" s="0" t="n">
        <v>17060</v>
      </c>
      <c r="H310" s="6" t="s">
        <v>74</v>
      </c>
      <c r="I310" s="6" t="n">
        <f aca="false">D310*F310</f>
        <v>158.4</v>
      </c>
      <c r="J310" s="6" t="n">
        <f aca="false">HOUR(E310)</f>
        <v>12</v>
      </c>
      <c r="K310" s="6" t="n">
        <f aca="false">IF(COUNTIF($A$2:$A310,A310)=1,1,0)</f>
        <v>0</v>
      </c>
    </row>
    <row r="311" customFormat="false" ht="15" hidden="false" customHeight="false" outlineLevel="0" collapsed="false">
      <c r="A311" s="0" t="s">
        <v>174</v>
      </c>
      <c r="B311" s="0" t="s">
        <v>61</v>
      </c>
      <c r="C311" s="0" t="s">
        <v>62</v>
      </c>
      <c r="D311" s="0" t="n">
        <v>10</v>
      </c>
      <c r="E311" s="5" t="n">
        <v>45935.5327546296</v>
      </c>
      <c r="F311" s="0" t="n">
        <v>1.65</v>
      </c>
      <c r="G311" s="0" t="n">
        <v>17060</v>
      </c>
      <c r="H311" s="6" t="s">
        <v>74</v>
      </c>
      <c r="I311" s="6" t="n">
        <f aca="false">D311*F311</f>
        <v>16.5</v>
      </c>
      <c r="J311" s="6" t="n">
        <f aca="false">HOUR(E311)</f>
        <v>12</v>
      </c>
      <c r="K311" s="6" t="n">
        <f aca="false">IF(COUNTIF($A$2:$A311,A311)=1,1,0)</f>
        <v>0</v>
      </c>
    </row>
    <row r="312" customFormat="false" ht="15" hidden="false" customHeight="false" outlineLevel="0" collapsed="false">
      <c r="A312" s="0" t="s">
        <v>174</v>
      </c>
      <c r="B312" s="0" t="s">
        <v>137</v>
      </c>
      <c r="C312" s="0" t="s">
        <v>138</v>
      </c>
      <c r="D312" s="0" t="n">
        <v>19</v>
      </c>
      <c r="E312" s="5" t="n">
        <v>45935.5327546296</v>
      </c>
      <c r="F312" s="0" t="n">
        <v>2.1</v>
      </c>
      <c r="G312" s="0" t="n">
        <v>17060</v>
      </c>
      <c r="H312" s="6" t="s">
        <v>74</v>
      </c>
      <c r="I312" s="6" t="n">
        <f aca="false">D312*F312</f>
        <v>39.9</v>
      </c>
      <c r="J312" s="6" t="n">
        <f aca="false">HOUR(E312)</f>
        <v>12</v>
      </c>
      <c r="K312" s="6" t="n">
        <f aca="false">IF(COUNTIF($A$2:$A312,A312)=1,1,0)</f>
        <v>0</v>
      </c>
    </row>
    <row r="313" customFormat="false" ht="15" hidden="false" customHeight="false" outlineLevel="0" collapsed="false">
      <c r="A313" s="0" t="s">
        <v>174</v>
      </c>
      <c r="B313" s="0" t="s">
        <v>102</v>
      </c>
      <c r="C313" s="0" t="s">
        <v>103</v>
      </c>
      <c r="D313" s="0" t="n">
        <v>8</v>
      </c>
      <c r="E313" s="5" t="n">
        <v>45935.5327546296</v>
      </c>
      <c r="F313" s="0" t="n">
        <v>8.5</v>
      </c>
      <c r="G313" s="0" t="n">
        <v>17060</v>
      </c>
      <c r="H313" s="6" t="s">
        <v>74</v>
      </c>
      <c r="I313" s="6" t="n">
        <f aca="false">D313*F313</f>
        <v>68</v>
      </c>
      <c r="J313" s="6" t="n">
        <f aca="false">HOUR(E313)</f>
        <v>12</v>
      </c>
      <c r="K313" s="6" t="n">
        <f aca="false">IF(COUNTIF($A$2:$A313,A313)=1,1,0)</f>
        <v>0</v>
      </c>
    </row>
    <row r="314" customFormat="false" ht="15" hidden="false" customHeight="false" outlineLevel="0" collapsed="false">
      <c r="A314" s="0" t="s">
        <v>174</v>
      </c>
      <c r="B314" s="0" t="s">
        <v>93</v>
      </c>
      <c r="C314" s="0" t="s">
        <v>94</v>
      </c>
      <c r="D314" s="0" t="n">
        <v>4</v>
      </c>
      <c r="E314" s="5" t="n">
        <v>45935.5327546296</v>
      </c>
      <c r="F314" s="0" t="n">
        <v>1.69</v>
      </c>
      <c r="G314" s="0" t="n">
        <v>17060</v>
      </c>
      <c r="H314" s="6" t="s">
        <v>74</v>
      </c>
      <c r="I314" s="6" t="n">
        <f aca="false">D314*F314</f>
        <v>6.76</v>
      </c>
      <c r="J314" s="6" t="n">
        <f aca="false">HOUR(E314)</f>
        <v>12</v>
      </c>
      <c r="K314" s="6" t="n">
        <f aca="false">IF(COUNTIF($A$2:$A314,A314)=1,1,0)</f>
        <v>0</v>
      </c>
    </row>
    <row r="315" customFormat="false" ht="15" hidden="false" customHeight="false" outlineLevel="0" collapsed="false">
      <c r="A315" s="0" t="s">
        <v>174</v>
      </c>
      <c r="B315" s="0" t="s">
        <v>53</v>
      </c>
      <c r="C315" s="0" t="s">
        <v>54</v>
      </c>
      <c r="D315" s="0" t="n">
        <v>24</v>
      </c>
      <c r="E315" s="5" t="n">
        <v>45935.5327546296</v>
      </c>
      <c r="F315" s="0" t="n">
        <v>2.95</v>
      </c>
      <c r="G315" s="0" t="n">
        <v>17060</v>
      </c>
      <c r="H315" s="6" t="s">
        <v>74</v>
      </c>
      <c r="I315" s="6" t="n">
        <f aca="false">D315*F315</f>
        <v>70.8</v>
      </c>
      <c r="J315" s="6" t="n">
        <f aca="false">HOUR(E315)</f>
        <v>12</v>
      </c>
      <c r="K315" s="6" t="n">
        <f aca="false">IF(COUNTIF($A$2:$A315,A315)=1,1,0)</f>
        <v>0</v>
      </c>
    </row>
    <row r="316" customFormat="false" ht="15" hidden="false" customHeight="false" outlineLevel="0" collapsed="false">
      <c r="A316" s="0" t="s">
        <v>174</v>
      </c>
      <c r="B316" s="0" t="s">
        <v>88</v>
      </c>
      <c r="C316" s="0" t="s">
        <v>89</v>
      </c>
      <c r="D316" s="0" t="n">
        <v>7</v>
      </c>
      <c r="E316" s="5" t="n">
        <v>45935.5327546296</v>
      </c>
      <c r="F316" s="0" t="n">
        <v>2.75</v>
      </c>
      <c r="G316" s="0" t="n">
        <v>17060</v>
      </c>
      <c r="H316" s="6" t="s">
        <v>74</v>
      </c>
      <c r="I316" s="6" t="n">
        <f aca="false">D316*F316</f>
        <v>19.25</v>
      </c>
      <c r="J316" s="6" t="n">
        <f aca="false">HOUR(E316)</f>
        <v>12</v>
      </c>
      <c r="K316" s="6" t="n">
        <f aca="false">IF(COUNTIF($A$2:$A316,A316)=1,1,0)</f>
        <v>0</v>
      </c>
    </row>
    <row r="317" customFormat="false" ht="15" hidden="false" customHeight="false" outlineLevel="0" collapsed="false">
      <c r="A317" s="0" t="s">
        <v>175</v>
      </c>
      <c r="B317" s="0" t="s">
        <v>79</v>
      </c>
      <c r="C317" s="0" t="s">
        <v>80</v>
      </c>
      <c r="D317" s="0" t="n">
        <v>11</v>
      </c>
      <c r="E317" s="5" t="n">
        <v>45935.5622916667</v>
      </c>
      <c r="F317" s="0" t="n">
        <v>3.39</v>
      </c>
      <c r="G317" s="0" t="n">
        <v>17215</v>
      </c>
      <c r="H317" s="6" t="s">
        <v>68</v>
      </c>
      <c r="I317" s="6" t="n">
        <f aca="false">D317*F317</f>
        <v>37.29</v>
      </c>
      <c r="J317" s="6" t="n">
        <f aca="false">HOUR(E317)</f>
        <v>13</v>
      </c>
      <c r="K317" s="6" t="n">
        <f aca="false">IF(COUNTIF($A$2:$A317,A317)=1,1,0)</f>
        <v>1</v>
      </c>
    </row>
    <row r="318" customFormat="false" ht="15" hidden="false" customHeight="false" outlineLevel="0" collapsed="false">
      <c r="A318" s="0" t="s">
        <v>175</v>
      </c>
      <c r="B318" s="0" t="s">
        <v>140</v>
      </c>
      <c r="C318" s="0" t="s">
        <v>141</v>
      </c>
      <c r="D318" s="0" t="n">
        <v>17</v>
      </c>
      <c r="E318" s="5" t="n">
        <v>45935.5622916667</v>
      </c>
      <c r="F318" s="0" t="n">
        <v>2.08</v>
      </c>
      <c r="G318" s="0" t="n">
        <v>17215</v>
      </c>
      <c r="H318" s="6" t="s">
        <v>68</v>
      </c>
      <c r="I318" s="6" t="n">
        <f aca="false">D318*F318</f>
        <v>35.36</v>
      </c>
      <c r="J318" s="6" t="n">
        <f aca="false">HOUR(E318)</f>
        <v>13</v>
      </c>
      <c r="K318" s="6" t="n">
        <f aca="false">IF(COUNTIF($A$2:$A318,A318)=1,1,0)</f>
        <v>0</v>
      </c>
    </row>
    <row r="319" customFormat="false" ht="15" hidden="false" customHeight="false" outlineLevel="0" collapsed="false">
      <c r="A319" s="0" t="s">
        <v>175</v>
      </c>
      <c r="B319" s="0" t="s">
        <v>102</v>
      </c>
      <c r="C319" s="0" t="s">
        <v>103</v>
      </c>
      <c r="D319" s="0" t="n">
        <v>19</v>
      </c>
      <c r="E319" s="5" t="n">
        <v>45935.5622916667</v>
      </c>
      <c r="F319" s="0" t="n">
        <v>8.5</v>
      </c>
      <c r="G319" s="0" t="n">
        <v>17215</v>
      </c>
      <c r="H319" s="6" t="s">
        <v>68</v>
      </c>
      <c r="I319" s="6" t="n">
        <f aca="false">D319*F319</f>
        <v>161.5</v>
      </c>
      <c r="J319" s="6" t="n">
        <f aca="false">HOUR(E319)</f>
        <v>13</v>
      </c>
      <c r="K319" s="6" t="n">
        <f aca="false">IF(COUNTIF($A$2:$A319,A319)=1,1,0)</f>
        <v>0</v>
      </c>
    </row>
    <row r="320" customFormat="false" ht="15" hidden="false" customHeight="false" outlineLevel="0" collapsed="false">
      <c r="A320" s="0" t="s">
        <v>175</v>
      </c>
      <c r="B320" s="0" t="s">
        <v>83</v>
      </c>
      <c r="C320" s="0" t="s">
        <v>84</v>
      </c>
      <c r="D320" s="0" t="n">
        <v>16</v>
      </c>
      <c r="E320" s="5" t="n">
        <v>45935.5622916667</v>
      </c>
      <c r="F320" s="0" t="n">
        <v>2.95</v>
      </c>
      <c r="G320" s="0" t="n">
        <v>17215</v>
      </c>
      <c r="H320" s="6" t="s">
        <v>68</v>
      </c>
      <c r="I320" s="6" t="n">
        <f aca="false">D320*F320</f>
        <v>47.2</v>
      </c>
      <c r="J320" s="6" t="n">
        <f aca="false">HOUR(E320)</f>
        <v>13</v>
      </c>
      <c r="K320" s="6" t="n">
        <f aca="false">IF(COUNTIF($A$2:$A320,A320)=1,1,0)</f>
        <v>0</v>
      </c>
    </row>
    <row r="321" customFormat="false" ht="15" hidden="false" customHeight="false" outlineLevel="0" collapsed="false">
      <c r="A321" s="0" t="s">
        <v>175</v>
      </c>
      <c r="B321" s="0" t="s">
        <v>69</v>
      </c>
      <c r="C321" s="0" t="s">
        <v>70</v>
      </c>
      <c r="D321" s="0" t="n">
        <v>27</v>
      </c>
      <c r="E321" s="5" t="n">
        <v>45935.5622916667</v>
      </c>
      <c r="F321" s="0" t="n">
        <v>2.08</v>
      </c>
      <c r="G321" s="0" t="n">
        <v>17215</v>
      </c>
      <c r="H321" s="6" t="s">
        <v>68</v>
      </c>
      <c r="I321" s="6" t="n">
        <f aca="false">D321*F321</f>
        <v>56.16</v>
      </c>
      <c r="J321" s="6" t="n">
        <f aca="false">HOUR(E321)</f>
        <v>13</v>
      </c>
      <c r="K321" s="6" t="n">
        <f aca="false">IF(COUNTIF($A$2:$A321,A321)=1,1,0)</f>
        <v>0</v>
      </c>
    </row>
    <row r="322" customFormat="false" ht="15" hidden="false" customHeight="false" outlineLevel="0" collapsed="false">
      <c r="A322" s="0" t="s">
        <v>176</v>
      </c>
      <c r="B322" s="0" t="s">
        <v>145</v>
      </c>
      <c r="C322" s="0" t="s">
        <v>146</v>
      </c>
      <c r="D322" s="0" t="n">
        <v>17</v>
      </c>
      <c r="E322" s="5" t="n">
        <v>45935.5873726852</v>
      </c>
      <c r="F322" s="0" t="n">
        <v>1.85</v>
      </c>
      <c r="G322" s="0" t="n">
        <v>17034</v>
      </c>
      <c r="H322" s="6" t="s">
        <v>74</v>
      </c>
      <c r="I322" s="6" t="n">
        <f aca="false">D322*F322</f>
        <v>31.45</v>
      </c>
      <c r="J322" s="6" t="n">
        <f aca="false">HOUR(E322)</f>
        <v>14</v>
      </c>
      <c r="K322" s="6" t="n">
        <f aca="false">IF(COUNTIF($A$2:$A322,A322)=1,1,0)</f>
        <v>1</v>
      </c>
    </row>
    <row r="323" customFormat="false" ht="15" hidden="false" customHeight="false" outlineLevel="0" collapsed="false">
      <c r="A323" s="0" t="s">
        <v>176</v>
      </c>
      <c r="B323" s="0" t="s">
        <v>65</v>
      </c>
      <c r="C323" s="0" t="s">
        <v>66</v>
      </c>
      <c r="D323" s="0" t="n">
        <v>20</v>
      </c>
      <c r="E323" s="5" t="n">
        <v>45935.5873726852</v>
      </c>
      <c r="F323" s="0" t="n">
        <v>1.65</v>
      </c>
      <c r="G323" s="0" t="n">
        <v>17034</v>
      </c>
      <c r="H323" s="6" t="s">
        <v>74</v>
      </c>
      <c r="I323" s="6" t="n">
        <f aca="false">D323*F323</f>
        <v>33</v>
      </c>
      <c r="J323" s="6" t="n">
        <f aca="false">HOUR(E323)</f>
        <v>14</v>
      </c>
      <c r="K323" s="6" t="n">
        <f aca="false">IF(COUNTIF($A$2:$A323,A323)=1,1,0)</f>
        <v>0</v>
      </c>
    </row>
    <row r="324" customFormat="false" ht="15" hidden="false" customHeight="false" outlineLevel="0" collapsed="false">
      <c r="A324" s="0" t="s">
        <v>176</v>
      </c>
      <c r="B324" s="0" t="s">
        <v>81</v>
      </c>
      <c r="C324" s="0" t="s">
        <v>82</v>
      </c>
      <c r="D324" s="0" t="n">
        <v>14</v>
      </c>
      <c r="E324" s="5" t="n">
        <v>45935.5873726852</v>
      </c>
      <c r="F324" s="0" t="n">
        <v>1.65</v>
      </c>
      <c r="G324" s="0" t="n">
        <v>17034</v>
      </c>
      <c r="H324" s="6" t="s">
        <v>74</v>
      </c>
      <c r="I324" s="6" t="n">
        <f aca="false">D324*F324</f>
        <v>23.1</v>
      </c>
      <c r="J324" s="6" t="n">
        <f aca="false">HOUR(E324)</f>
        <v>14</v>
      </c>
      <c r="K324" s="6" t="n">
        <f aca="false">IF(COUNTIF($A$2:$A324,A324)=1,1,0)</f>
        <v>0</v>
      </c>
    </row>
    <row r="325" customFormat="false" ht="15" hidden="false" customHeight="false" outlineLevel="0" collapsed="false">
      <c r="A325" s="0" t="s">
        <v>176</v>
      </c>
      <c r="B325" s="0" t="s">
        <v>75</v>
      </c>
      <c r="C325" s="0" t="s">
        <v>76</v>
      </c>
      <c r="D325" s="0" t="n">
        <v>23</v>
      </c>
      <c r="E325" s="5" t="n">
        <v>45935.5873726852</v>
      </c>
      <c r="F325" s="0" t="n">
        <v>3.39</v>
      </c>
      <c r="G325" s="0" t="n">
        <v>17034</v>
      </c>
      <c r="H325" s="6" t="s">
        <v>74</v>
      </c>
      <c r="I325" s="6" t="n">
        <f aca="false">D325*F325</f>
        <v>77.97</v>
      </c>
      <c r="J325" s="6" t="n">
        <f aca="false">HOUR(E325)</f>
        <v>14</v>
      </c>
      <c r="K325" s="6" t="n">
        <f aca="false">IF(COUNTIF($A$2:$A325,A325)=1,1,0)</f>
        <v>0</v>
      </c>
    </row>
    <row r="326" customFormat="false" ht="15" hidden="false" customHeight="false" outlineLevel="0" collapsed="false">
      <c r="A326" s="0" t="s">
        <v>176</v>
      </c>
      <c r="B326" s="0" t="s">
        <v>63</v>
      </c>
      <c r="C326" s="0" t="s">
        <v>64</v>
      </c>
      <c r="D326" s="0" t="n">
        <v>16</v>
      </c>
      <c r="E326" s="5" t="n">
        <v>45935.5873726852</v>
      </c>
      <c r="F326" s="0" t="n">
        <v>1.85</v>
      </c>
      <c r="G326" s="0" t="n">
        <v>17034</v>
      </c>
      <c r="H326" s="6" t="s">
        <v>74</v>
      </c>
      <c r="I326" s="6" t="n">
        <f aca="false">D326*F326</f>
        <v>29.6</v>
      </c>
      <c r="J326" s="6" t="n">
        <f aca="false">HOUR(E326)</f>
        <v>14</v>
      </c>
      <c r="K326" s="6" t="n">
        <f aca="false">IF(COUNTIF($A$2:$A326,A326)=1,1,0)</f>
        <v>0</v>
      </c>
    </row>
    <row r="327" customFormat="false" ht="15" hidden="false" customHeight="false" outlineLevel="0" collapsed="false">
      <c r="A327" s="0" t="s">
        <v>176</v>
      </c>
      <c r="B327" s="0" t="s">
        <v>61</v>
      </c>
      <c r="C327" s="0" t="s">
        <v>62</v>
      </c>
      <c r="D327" s="0" t="n">
        <v>2</v>
      </c>
      <c r="E327" s="5" t="n">
        <v>45935.5873726852</v>
      </c>
      <c r="F327" s="0" t="n">
        <v>1.65</v>
      </c>
      <c r="G327" s="0" t="n">
        <v>17034</v>
      </c>
      <c r="H327" s="6" t="s">
        <v>74</v>
      </c>
      <c r="I327" s="6" t="n">
        <f aca="false">D327*F327</f>
        <v>3.3</v>
      </c>
      <c r="J327" s="6" t="n">
        <f aca="false">HOUR(E327)</f>
        <v>14</v>
      </c>
      <c r="K327" s="6" t="n">
        <f aca="false">IF(COUNTIF($A$2:$A327,A327)=1,1,0)</f>
        <v>0</v>
      </c>
    </row>
    <row r="328" customFormat="false" ht="15" hidden="false" customHeight="false" outlineLevel="0" collapsed="false">
      <c r="A328" s="0" t="s">
        <v>176</v>
      </c>
      <c r="B328" s="0" t="s">
        <v>83</v>
      </c>
      <c r="C328" s="0" t="s">
        <v>84</v>
      </c>
      <c r="D328" s="0" t="n">
        <v>24</v>
      </c>
      <c r="E328" s="5" t="n">
        <v>45935.5873726852</v>
      </c>
      <c r="F328" s="0" t="n">
        <v>2.95</v>
      </c>
      <c r="G328" s="0" t="n">
        <v>17034</v>
      </c>
      <c r="H328" s="6" t="s">
        <v>74</v>
      </c>
      <c r="I328" s="6" t="n">
        <f aca="false">D328*F328</f>
        <v>70.8</v>
      </c>
      <c r="J328" s="6" t="n">
        <f aca="false">HOUR(E328)</f>
        <v>14</v>
      </c>
      <c r="K328" s="6" t="n">
        <f aca="false">IF(COUNTIF($A$2:$A328,A328)=1,1,0)</f>
        <v>0</v>
      </c>
    </row>
    <row r="329" customFormat="false" ht="15" hidden="false" customHeight="false" outlineLevel="0" collapsed="false">
      <c r="A329" s="0" t="s">
        <v>177</v>
      </c>
      <c r="B329" s="0" t="s">
        <v>72</v>
      </c>
      <c r="C329" s="0" t="s">
        <v>73</v>
      </c>
      <c r="D329" s="0" t="n">
        <v>13</v>
      </c>
      <c r="E329" s="5" t="n">
        <v>45935.7139351852</v>
      </c>
      <c r="F329" s="0" t="n">
        <v>4.95</v>
      </c>
      <c r="G329" s="0" t="n">
        <v>17196</v>
      </c>
      <c r="H329" s="6" t="s">
        <v>98</v>
      </c>
      <c r="I329" s="6" t="n">
        <f aca="false">D329*F329</f>
        <v>64.35</v>
      </c>
      <c r="J329" s="6" t="n">
        <f aca="false">HOUR(E329)</f>
        <v>17</v>
      </c>
      <c r="K329" s="6" t="n">
        <f aca="false">IF(COUNTIF($A$2:$A329,A329)=1,1,0)</f>
        <v>1</v>
      </c>
    </row>
    <row r="330" customFormat="false" ht="15" hidden="false" customHeight="false" outlineLevel="0" collapsed="false">
      <c r="A330" s="0" t="s">
        <v>177</v>
      </c>
      <c r="B330" s="0" t="s">
        <v>81</v>
      </c>
      <c r="C330" s="0" t="s">
        <v>82</v>
      </c>
      <c r="D330" s="0" t="n">
        <v>9</v>
      </c>
      <c r="E330" s="5" t="n">
        <v>45935.7139351852</v>
      </c>
      <c r="F330" s="0" t="n">
        <v>1.65</v>
      </c>
      <c r="G330" s="0" t="n">
        <v>17196</v>
      </c>
      <c r="H330" s="6" t="s">
        <v>98</v>
      </c>
      <c r="I330" s="6" t="n">
        <f aca="false">D330*F330</f>
        <v>14.85</v>
      </c>
      <c r="J330" s="6" t="n">
        <f aca="false">HOUR(E330)</f>
        <v>17</v>
      </c>
      <c r="K330" s="6" t="n">
        <f aca="false">IF(COUNTIF($A$2:$A330,A330)=1,1,0)</f>
        <v>0</v>
      </c>
    </row>
    <row r="331" customFormat="false" ht="15" hidden="false" customHeight="false" outlineLevel="0" collapsed="false">
      <c r="A331" s="0" t="s">
        <v>177</v>
      </c>
      <c r="B331" s="0" t="s">
        <v>125</v>
      </c>
      <c r="C331" s="0" t="s">
        <v>126</v>
      </c>
      <c r="D331" s="0" t="n">
        <v>7</v>
      </c>
      <c r="E331" s="5" t="n">
        <v>45935.7139351852</v>
      </c>
      <c r="F331" s="0" t="n">
        <v>1.25</v>
      </c>
      <c r="G331" s="0" t="n">
        <v>17196</v>
      </c>
      <c r="H331" s="6" t="s">
        <v>98</v>
      </c>
      <c r="I331" s="6" t="n">
        <f aca="false">D331*F331</f>
        <v>8.75</v>
      </c>
      <c r="J331" s="6" t="n">
        <f aca="false">HOUR(E331)</f>
        <v>17</v>
      </c>
      <c r="K331" s="6" t="n">
        <f aca="false">IF(COUNTIF($A$2:$A331,A331)=1,1,0)</f>
        <v>0</v>
      </c>
    </row>
    <row r="332" customFormat="false" ht="15" hidden="false" customHeight="false" outlineLevel="0" collapsed="false">
      <c r="A332" s="0" t="s">
        <v>177</v>
      </c>
      <c r="B332" s="0" t="s">
        <v>75</v>
      </c>
      <c r="C332" s="0" t="s">
        <v>76</v>
      </c>
      <c r="D332" s="0" t="n">
        <v>10</v>
      </c>
      <c r="E332" s="5" t="n">
        <v>45935.7139351852</v>
      </c>
      <c r="F332" s="0" t="n">
        <v>3.39</v>
      </c>
      <c r="G332" s="0" t="n">
        <v>17196</v>
      </c>
      <c r="H332" s="6" t="s">
        <v>98</v>
      </c>
      <c r="I332" s="6" t="n">
        <f aca="false">D332*F332</f>
        <v>33.9</v>
      </c>
      <c r="J332" s="6" t="n">
        <f aca="false">HOUR(E332)</f>
        <v>17</v>
      </c>
      <c r="K332" s="6" t="n">
        <f aca="false">IF(COUNTIF($A$2:$A332,A332)=1,1,0)</f>
        <v>0</v>
      </c>
    </row>
    <row r="333" customFormat="false" ht="15" hidden="false" customHeight="false" outlineLevel="0" collapsed="false">
      <c r="A333" s="0" t="s">
        <v>177</v>
      </c>
      <c r="B333" s="0" t="s">
        <v>145</v>
      </c>
      <c r="C333" s="0" t="s">
        <v>146</v>
      </c>
      <c r="D333" s="0" t="n">
        <v>16</v>
      </c>
      <c r="E333" s="5" t="n">
        <v>45935.7139351852</v>
      </c>
      <c r="F333" s="0" t="n">
        <v>1.85</v>
      </c>
      <c r="G333" s="0" t="n">
        <v>17196</v>
      </c>
      <c r="H333" s="6" t="s">
        <v>98</v>
      </c>
      <c r="I333" s="6" t="n">
        <f aca="false">D333*F333</f>
        <v>29.6</v>
      </c>
      <c r="J333" s="6" t="n">
        <f aca="false">HOUR(E333)</f>
        <v>17</v>
      </c>
      <c r="K333" s="6" t="n">
        <f aca="false">IF(COUNTIF($A$2:$A333,A333)=1,1,0)</f>
        <v>0</v>
      </c>
    </row>
    <row r="334" customFormat="false" ht="15" hidden="false" customHeight="false" outlineLevel="0" collapsed="false">
      <c r="A334" s="0" t="s">
        <v>177</v>
      </c>
      <c r="B334" s="0" t="s">
        <v>55</v>
      </c>
      <c r="C334" s="0" t="s">
        <v>56</v>
      </c>
      <c r="D334" s="0" t="n">
        <v>5</v>
      </c>
      <c r="E334" s="5" t="n">
        <v>45935.7139351852</v>
      </c>
      <c r="F334" s="0" t="n">
        <v>1.65</v>
      </c>
      <c r="G334" s="0" t="n">
        <v>17196</v>
      </c>
      <c r="H334" s="6" t="s">
        <v>98</v>
      </c>
      <c r="I334" s="6" t="n">
        <f aca="false">D334*F334</f>
        <v>8.25</v>
      </c>
      <c r="J334" s="6" t="n">
        <f aca="false">HOUR(E334)</f>
        <v>17</v>
      </c>
      <c r="K334" s="6" t="n">
        <f aca="false">IF(COUNTIF($A$2:$A334,A334)=1,1,0)</f>
        <v>0</v>
      </c>
    </row>
    <row r="335" customFormat="false" ht="15" hidden="false" customHeight="false" outlineLevel="0" collapsed="false">
      <c r="A335" s="0" t="s">
        <v>177</v>
      </c>
      <c r="B335" s="0" t="s">
        <v>114</v>
      </c>
      <c r="C335" s="0" t="s">
        <v>115</v>
      </c>
      <c r="D335" s="0" t="n">
        <v>8</v>
      </c>
      <c r="E335" s="5" t="n">
        <v>45935.7139351852</v>
      </c>
      <c r="F335" s="0" t="n">
        <v>2.08</v>
      </c>
      <c r="G335" s="0" t="n">
        <v>17196</v>
      </c>
      <c r="H335" s="6" t="s">
        <v>98</v>
      </c>
      <c r="I335" s="6" t="n">
        <f aca="false">D335*F335</f>
        <v>16.64</v>
      </c>
      <c r="J335" s="6" t="n">
        <f aca="false">HOUR(E335)</f>
        <v>17</v>
      </c>
      <c r="K335" s="6" t="n">
        <f aca="false">IF(COUNTIF($A$2:$A335,A335)=1,1,0)</f>
        <v>0</v>
      </c>
    </row>
    <row r="336" customFormat="false" ht="15" hidden="false" customHeight="false" outlineLevel="0" collapsed="false">
      <c r="A336" s="0" t="s">
        <v>177</v>
      </c>
      <c r="B336" s="0" t="s">
        <v>134</v>
      </c>
      <c r="C336" s="0" t="s">
        <v>135</v>
      </c>
      <c r="D336" s="0" t="n">
        <v>16</v>
      </c>
      <c r="E336" s="5" t="n">
        <v>45935.7139351852</v>
      </c>
      <c r="F336" s="0" t="n">
        <v>5.95</v>
      </c>
      <c r="G336" s="0" t="n">
        <v>17196</v>
      </c>
      <c r="H336" s="6" t="s">
        <v>98</v>
      </c>
      <c r="I336" s="6" t="n">
        <f aca="false">D336*F336</f>
        <v>95.2</v>
      </c>
      <c r="J336" s="6" t="n">
        <f aca="false">HOUR(E336)</f>
        <v>17</v>
      </c>
      <c r="K336" s="6" t="n">
        <f aca="false">IF(COUNTIF($A$2:$A336,A336)=1,1,0)</f>
        <v>0</v>
      </c>
    </row>
    <row r="337" customFormat="false" ht="15" hidden="false" customHeight="false" outlineLevel="0" collapsed="false">
      <c r="A337" s="0" t="s">
        <v>177</v>
      </c>
      <c r="B337" s="0" t="s">
        <v>88</v>
      </c>
      <c r="C337" s="0" t="s">
        <v>89</v>
      </c>
      <c r="D337" s="0" t="n">
        <v>11</v>
      </c>
      <c r="E337" s="5" t="n">
        <v>45935.7139351852</v>
      </c>
      <c r="F337" s="0" t="n">
        <v>2.75</v>
      </c>
      <c r="G337" s="0" t="n">
        <v>17196</v>
      </c>
      <c r="H337" s="6" t="s">
        <v>98</v>
      </c>
      <c r="I337" s="6" t="n">
        <f aca="false">D337*F337</f>
        <v>30.25</v>
      </c>
      <c r="J337" s="6" t="n">
        <f aca="false">HOUR(E337)</f>
        <v>17</v>
      </c>
      <c r="K337" s="6" t="n">
        <f aca="false">IF(COUNTIF($A$2:$A337,A337)=1,1,0)</f>
        <v>0</v>
      </c>
    </row>
    <row r="338" customFormat="false" ht="15" hidden="false" customHeight="false" outlineLevel="0" collapsed="false">
      <c r="A338" s="0" t="s">
        <v>177</v>
      </c>
      <c r="B338" s="0" t="s">
        <v>93</v>
      </c>
      <c r="C338" s="0" t="s">
        <v>94</v>
      </c>
      <c r="D338" s="0" t="n">
        <v>1</v>
      </c>
      <c r="E338" s="5" t="n">
        <v>45935.7139351852</v>
      </c>
      <c r="F338" s="0" t="n">
        <v>1.69</v>
      </c>
      <c r="G338" s="0" t="n">
        <v>17196</v>
      </c>
      <c r="H338" s="6" t="s">
        <v>98</v>
      </c>
      <c r="I338" s="6" t="n">
        <f aca="false">D338*F338</f>
        <v>1.69</v>
      </c>
      <c r="J338" s="6" t="n">
        <f aca="false">HOUR(E338)</f>
        <v>17</v>
      </c>
      <c r="K338" s="6" t="n">
        <f aca="false">IF(COUNTIF($A$2:$A338,A338)=1,1,0)</f>
        <v>0</v>
      </c>
    </row>
    <row r="339" customFormat="false" ht="15" hidden="false" customHeight="false" outlineLevel="0" collapsed="false">
      <c r="A339" s="0" t="s">
        <v>178</v>
      </c>
      <c r="B339" s="0" t="s">
        <v>61</v>
      </c>
      <c r="C339" s="0" t="s">
        <v>62</v>
      </c>
      <c r="D339" s="0" t="n">
        <v>7</v>
      </c>
      <c r="E339" s="5" t="n">
        <v>45935.7535532407</v>
      </c>
      <c r="F339" s="0" t="n">
        <v>1.65</v>
      </c>
      <c r="G339" s="0" t="n">
        <v>17087</v>
      </c>
      <c r="H339" s="6" t="s">
        <v>74</v>
      </c>
      <c r="I339" s="6" t="n">
        <f aca="false">D339*F339</f>
        <v>11.55</v>
      </c>
      <c r="J339" s="6" t="n">
        <f aca="false">HOUR(E339)</f>
        <v>18</v>
      </c>
      <c r="K339" s="6" t="n">
        <f aca="false">IF(COUNTIF($A$2:$A339,A339)=1,1,0)</f>
        <v>1</v>
      </c>
    </row>
    <row r="340" customFormat="false" ht="15" hidden="false" customHeight="false" outlineLevel="0" collapsed="false">
      <c r="A340" s="0" t="s">
        <v>178</v>
      </c>
      <c r="B340" s="0" t="s">
        <v>88</v>
      </c>
      <c r="C340" s="0" t="s">
        <v>89</v>
      </c>
      <c r="D340" s="0" t="n">
        <v>4</v>
      </c>
      <c r="E340" s="5" t="n">
        <v>45935.7535532407</v>
      </c>
      <c r="F340" s="0" t="n">
        <v>2.75</v>
      </c>
      <c r="G340" s="0" t="n">
        <v>17087</v>
      </c>
      <c r="H340" s="6" t="s">
        <v>74</v>
      </c>
      <c r="I340" s="6" t="n">
        <f aca="false">D340*F340</f>
        <v>11</v>
      </c>
      <c r="J340" s="6" t="n">
        <f aca="false">HOUR(E340)</f>
        <v>18</v>
      </c>
      <c r="K340" s="6" t="n">
        <f aca="false">IF(COUNTIF($A$2:$A340,A340)=1,1,0)</f>
        <v>0</v>
      </c>
    </row>
    <row r="341" customFormat="false" ht="15" hidden="false" customHeight="false" outlineLevel="0" collapsed="false">
      <c r="A341" s="0" t="s">
        <v>178</v>
      </c>
      <c r="B341" s="0" t="s">
        <v>57</v>
      </c>
      <c r="C341" s="0" t="s">
        <v>58</v>
      </c>
      <c r="D341" s="0" t="n">
        <v>17</v>
      </c>
      <c r="E341" s="5" t="n">
        <v>45935.7535532407</v>
      </c>
      <c r="F341" s="0" t="n">
        <v>2.08</v>
      </c>
      <c r="G341" s="0" t="n">
        <v>17087</v>
      </c>
      <c r="H341" s="6" t="s">
        <v>74</v>
      </c>
      <c r="I341" s="6" t="n">
        <f aca="false">D341*F341</f>
        <v>35.36</v>
      </c>
      <c r="J341" s="6" t="n">
        <f aca="false">HOUR(E341)</f>
        <v>18</v>
      </c>
      <c r="K341" s="6" t="n">
        <f aca="false">IF(COUNTIF($A$2:$A341,A341)=1,1,0)</f>
        <v>0</v>
      </c>
    </row>
    <row r="342" customFormat="false" ht="15" hidden="false" customHeight="false" outlineLevel="0" collapsed="false">
      <c r="A342" s="0" t="s">
        <v>178</v>
      </c>
      <c r="B342" s="0" t="s">
        <v>104</v>
      </c>
      <c r="C342" s="0" t="s">
        <v>105</v>
      </c>
      <c r="D342" s="0" t="n">
        <v>12</v>
      </c>
      <c r="E342" s="5" t="n">
        <v>45935.7535532407</v>
      </c>
      <c r="F342" s="0" t="n">
        <v>1.65</v>
      </c>
      <c r="G342" s="0" t="n">
        <v>17087</v>
      </c>
      <c r="H342" s="6" t="s">
        <v>74</v>
      </c>
      <c r="I342" s="6" t="n">
        <f aca="false">D342*F342</f>
        <v>19.8</v>
      </c>
      <c r="J342" s="6" t="n">
        <f aca="false">HOUR(E342)</f>
        <v>18</v>
      </c>
      <c r="K342" s="6" t="n">
        <f aca="false">IF(COUNTIF($A$2:$A342,A342)=1,1,0)</f>
        <v>0</v>
      </c>
    </row>
    <row r="343" customFormat="false" ht="15" hidden="false" customHeight="false" outlineLevel="0" collapsed="false">
      <c r="A343" s="0" t="s">
        <v>178</v>
      </c>
      <c r="B343" s="0" t="s">
        <v>95</v>
      </c>
      <c r="C343" s="0" t="s">
        <v>96</v>
      </c>
      <c r="D343" s="0" t="n">
        <v>26</v>
      </c>
      <c r="E343" s="5" t="n">
        <v>45935.7535532407</v>
      </c>
      <c r="F343" s="0" t="n">
        <v>2.55</v>
      </c>
      <c r="G343" s="0" t="n">
        <v>17087</v>
      </c>
      <c r="H343" s="6" t="s">
        <v>74</v>
      </c>
      <c r="I343" s="6" t="n">
        <f aca="false">D343*F343</f>
        <v>66.3</v>
      </c>
      <c r="J343" s="6" t="n">
        <f aca="false">HOUR(E343)</f>
        <v>18</v>
      </c>
      <c r="K343" s="6" t="n">
        <f aca="false">IF(COUNTIF($A$2:$A343,A343)=1,1,0)</f>
        <v>0</v>
      </c>
    </row>
    <row r="344" customFormat="false" ht="15" hidden="false" customHeight="false" outlineLevel="0" collapsed="false">
      <c r="A344" s="0" t="s">
        <v>178</v>
      </c>
      <c r="B344" s="0" t="s">
        <v>134</v>
      </c>
      <c r="C344" s="0" t="s">
        <v>135</v>
      </c>
      <c r="D344" s="0" t="n">
        <v>7</v>
      </c>
      <c r="E344" s="5" t="n">
        <v>45935.7535532407</v>
      </c>
      <c r="F344" s="0" t="n">
        <v>5.95</v>
      </c>
      <c r="G344" s="0" t="n">
        <v>17087</v>
      </c>
      <c r="H344" s="6" t="s">
        <v>74</v>
      </c>
      <c r="I344" s="6" t="n">
        <f aca="false">D344*F344</f>
        <v>41.65</v>
      </c>
      <c r="J344" s="6" t="n">
        <f aca="false">HOUR(E344)</f>
        <v>18</v>
      </c>
      <c r="K344" s="6" t="n">
        <f aca="false">IF(COUNTIF($A$2:$A344,A344)=1,1,0)</f>
        <v>0</v>
      </c>
    </row>
    <row r="345" customFormat="false" ht="15" hidden="false" customHeight="false" outlineLevel="0" collapsed="false">
      <c r="A345" s="0" t="s">
        <v>178</v>
      </c>
      <c r="B345" s="0" t="s">
        <v>53</v>
      </c>
      <c r="C345" s="0" t="s">
        <v>54</v>
      </c>
      <c r="D345" s="0" t="n">
        <v>2</v>
      </c>
      <c r="E345" s="5" t="n">
        <v>45935.7535532407</v>
      </c>
      <c r="F345" s="0" t="n">
        <v>2.95</v>
      </c>
      <c r="G345" s="0" t="n">
        <v>17087</v>
      </c>
      <c r="H345" s="6" t="s">
        <v>74</v>
      </c>
      <c r="I345" s="6" t="n">
        <f aca="false">D345*F345</f>
        <v>5.9</v>
      </c>
      <c r="J345" s="6" t="n">
        <f aca="false">HOUR(E345)</f>
        <v>18</v>
      </c>
      <c r="K345" s="6" t="n">
        <f aca="false">IF(COUNTIF($A$2:$A345,A345)=1,1,0)</f>
        <v>0</v>
      </c>
    </row>
    <row r="346" customFormat="false" ht="15" hidden="false" customHeight="false" outlineLevel="0" collapsed="false">
      <c r="A346" s="0" t="s">
        <v>179</v>
      </c>
      <c r="B346" s="0" t="s">
        <v>83</v>
      </c>
      <c r="C346" s="0" t="s">
        <v>84</v>
      </c>
      <c r="D346" s="0" t="n">
        <v>14</v>
      </c>
      <c r="E346" s="5" t="n">
        <v>45935.7653240741</v>
      </c>
      <c r="F346" s="0" t="n">
        <v>2.95</v>
      </c>
      <c r="G346" s="0" t="n">
        <v>17041</v>
      </c>
      <c r="H346" s="6" t="s">
        <v>151</v>
      </c>
      <c r="I346" s="6" t="n">
        <f aca="false">D346*F346</f>
        <v>41.3</v>
      </c>
      <c r="J346" s="6" t="n">
        <f aca="false">HOUR(E346)</f>
        <v>18</v>
      </c>
      <c r="K346" s="6" t="n">
        <f aca="false">IF(COUNTIF($A$2:$A346,A346)=1,1,0)</f>
        <v>1</v>
      </c>
    </row>
    <row r="347" customFormat="false" ht="15" hidden="false" customHeight="false" outlineLevel="0" collapsed="false">
      <c r="A347" s="0" t="s">
        <v>179</v>
      </c>
      <c r="B347" s="0" t="s">
        <v>88</v>
      </c>
      <c r="C347" s="0" t="s">
        <v>89</v>
      </c>
      <c r="D347" s="0" t="n">
        <v>7</v>
      </c>
      <c r="E347" s="5" t="n">
        <v>45935.7653240741</v>
      </c>
      <c r="F347" s="0" t="n">
        <v>2.75</v>
      </c>
      <c r="G347" s="0" t="n">
        <v>17041</v>
      </c>
      <c r="H347" s="6" t="s">
        <v>151</v>
      </c>
      <c r="I347" s="6" t="n">
        <f aca="false">D347*F347</f>
        <v>19.25</v>
      </c>
      <c r="J347" s="6" t="n">
        <f aca="false">HOUR(E347)</f>
        <v>18</v>
      </c>
      <c r="K347" s="6" t="n">
        <f aca="false">IF(COUNTIF($A$2:$A347,A347)=1,1,0)</f>
        <v>0</v>
      </c>
    </row>
    <row r="348" customFormat="false" ht="15" hidden="false" customHeight="false" outlineLevel="0" collapsed="false">
      <c r="A348" s="0" t="s">
        <v>179</v>
      </c>
      <c r="B348" s="0" t="s">
        <v>86</v>
      </c>
      <c r="C348" s="0" t="s">
        <v>87</v>
      </c>
      <c r="D348" s="0" t="n">
        <v>13</v>
      </c>
      <c r="E348" s="5" t="n">
        <v>45935.7653240741</v>
      </c>
      <c r="F348" s="0" t="n">
        <v>4.25</v>
      </c>
      <c r="G348" s="0" t="n">
        <v>17041</v>
      </c>
      <c r="H348" s="6" t="s">
        <v>151</v>
      </c>
      <c r="I348" s="6" t="n">
        <f aca="false">D348*F348</f>
        <v>55.25</v>
      </c>
      <c r="J348" s="6" t="n">
        <f aca="false">HOUR(E348)</f>
        <v>18</v>
      </c>
      <c r="K348" s="6" t="n">
        <f aca="false">IF(COUNTIF($A$2:$A348,A348)=1,1,0)</f>
        <v>0</v>
      </c>
    </row>
    <row r="349" customFormat="false" ht="15" hidden="false" customHeight="false" outlineLevel="0" collapsed="false">
      <c r="A349" s="0" t="s">
        <v>179</v>
      </c>
      <c r="B349" s="0" t="s">
        <v>40</v>
      </c>
      <c r="C349" s="0" t="s">
        <v>41</v>
      </c>
      <c r="D349" s="0" t="n">
        <v>13</v>
      </c>
      <c r="E349" s="5" t="n">
        <v>45935.7653240741</v>
      </c>
      <c r="F349" s="0" t="n">
        <v>1.06</v>
      </c>
      <c r="G349" s="0" t="n">
        <v>17041</v>
      </c>
      <c r="H349" s="6" t="s">
        <v>151</v>
      </c>
      <c r="I349" s="6" t="n">
        <f aca="false">D349*F349</f>
        <v>13.78</v>
      </c>
      <c r="J349" s="6" t="n">
        <f aca="false">HOUR(E349)</f>
        <v>18</v>
      </c>
      <c r="K349" s="6" t="n">
        <f aca="false">IF(COUNTIF($A$2:$A349,A349)=1,1,0)</f>
        <v>0</v>
      </c>
    </row>
    <row r="350" customFormat="false" ht="15" hidden="false" customHeight="false" outlineLevel="0" collapsed="false">
      <c r="A350" s="0" t="s">
        <v>179</v>
      </c>
      <c r="B350" s="0" t="s">
        <v>65</v>
      </c>
      <c r="C350" s="0" t="s">
        <v>66</v>
      </c>
      <c r="D350" s="0" t="n">
        <v>2</v>
      </c>
      <c r="E350" s="5" t="n">
        <v>45935.7653240741</v>
      </c>
      <c r="F350" s="0" t="n">
        <v>1.65</v>
      </c>
      <c r="G350" s="0" t="n">
        <v>17041</v>
      </c>
      <c r="H350" s="6" t="s">
        <v>151</v>
      </c>
      <c r="I350" s="6" t="n">
        <f aca="false">D350*F350</f>
        <v>3.3</v>
      </c>
      <c r="J350" s="6" t="n">
        <f aca="false">HOUR(E350)</f>
        <v>18</v>
      </c>
      <c r="K350" s="6" t="n">
        <f aca="false">IF(COUNTIF($A$2:$A350,A350)=1,1,0)</f>
        <v>0</v>
      </c>
    </row>
    <row r="351" customFormat="false" ht="15" hidden="false" customHeight="false" outlineLevel="0" collapsed="false">
      <c r="A351" s="0" t="s">
        <v>179</v>
      </c>
      <c r="B351" s="0" t="s">
        <v>125</v>
      </c>
      <c r="C351" s="0" t="s">
        <v>126</v>
      </c>
      <c r="D351" s="0" t="n">
        <v>24</v>
      </c>
      <c r="E351" s="5" t="n">
        <v>45935.7653240741</v>
      </c>
      <c r="F351" s="0" t="n">
        <v>1.25</v>
      </c>
      <c r="G351" s="0" t="n">
        <v>17041</v>
      </c>
      <c r="H351" s="6" t="s">
        <v>151</v>
      </c>
      <c r="I351" s="6" t="n">
        <f aca="false">D351*F351</f>
        <v>30</v>
      </c>
      <c r="J351" s="6" t="n">
        <f aca="false">HOUR(E351)</f>
        <v>18</v>
      </c>
      <c r="K351" s="6" t="n">
        <f aca="false">IF(COUNTIF($A$2:$A351,A351)=1,1,0)</f>
        <v>0</v>
      </c>
    </row>
    <row r="352" customFormat="false" ht="15" hidden="false" customHeight="false" outlineLevel="0" collapsed="false">
      <c r="A352" s="0" t="s">
        <v>179</v>
      </c>
      <c r="B352" s="0" t="s">
        <v>109</v>
      </c>
      <c r="D352" s="0" t="n">
        <v>16</v>
      </c>
      <c r="E352" s="5" t="n">
        <v>45935.7653240741</v>
      </c>
      <c r="F352" s="0" t="n">
        <v>0.85</v>
      </c>
      <c r="G352" s="0" t="n">
        <v>17041</v>
      </c>
      <c r="H352" s="6" t="s">
        <v>151</v>
      </c>
      <c r="I352" s="6" t="n">
        <f aca="false">D352*F352</f>
        <v>13.6</v>
      </c>
      <c r="J352" s="6" t="n">
        <f aca="false">HOUR(E352)</f>
        <v>18</v>
      </c>
      <c r="K352" s="6" t="n">
        <f aca="false">IF(COUNTIF($A$2:$A352,A352)=1,1,0)</f>
        <v>0</v>
      </c>
    </row>
    <row r="353" customFormat="false" ht="15" hidden="false" customHeight="false" outlineLevel="0" collapsed="false">
      <c r="A353" s="0" t="s">
        <v>179</v>
      </c>
      <c r="B353" s="0" t="s">
        <v>145</v>
      </c>
      <c r="C353" s="0" t="s">
        <v>146</v>
      </c>
      <c r="D353" s="0" t="n">
        <v>8</v>
      </c>
      <c r="E353" s="5" t="n">
        <v>45935.7653240741</v>
      </c>
      <c r="F353" s="0" t="n">
        <v>1.85</v>
      </c>
      <c r="G353" s="0" t="n">
        <v>17041</v>
      </c>
      <c r="H353" s="6" t="s">
        <v>151</v>
      </c>
      <c r="I353" s="6" t="n">
        <f aca="false">D353*F353</f>
        <v>14.8</v>
      </c>
      <c r="J353" s="6" t="n">
        <f aca="false">HOUR(E353)</f>
        <v>18</v>
      </c>
      <c r="K353" s="6" t="n">
        <f aca="false">IF(COUNTIF($A$2:$A353,A353)=1,1,0)</f>
        <v>0</v>
      </c>
    </row>
    <row r="354" customFormat="false" ht="15" hidden="false" customHeight="false" outlineLevel="0" collapsed="false">
      <c r="A354" s="0" t="s">
        <v>179</v>
      </c>
      <c r="B354" s="0" t="s">
        <v>59</v>
      </c>
      <c r="C354" s="0" t="s">
        <v>60</v>
      </c>
      <c r="D354" s="0" t="n">
        <v>14</v>
      </c>
      <c r="E354" s="5" t="n">
        <v>45935.7653240741</v>
      </c>
      <c r="F354" s="0" t="n">
        <v>0.42</v>
      </c>
      <c r="G354" s="0" t="n">
        <v>17041</v>
      </c>
      <c r="H354" s="6" t="s">
        <v>151</v>
      </c>
      <c r="I354" s="6" t="n">
        <f aca="false">D354*F354</f>
        <v>5.88</v>
      </c>
      <c r="J354" s="6" t="n">
        <f aca="false">HOUR(E354)</f>
        <v>18</v>
      </c>
      <c r="K354" s="6" t="n">
        <f aca="false">IF(COUNTIF($A$2:$A354,A354)=1,1,0)</f>
        <v>0</v>
      </c>
    </row>
    <row r="355" customFormat="false" ht="15" hidden="false" customHeight="false" outlineLevel="0" collapsed="false">
      <c r="A355" s="0" t="s">
        <v>180</v>
      </c>
      <c r="B355" s="0" t="s">
        <v>114</v>
      </c>
      <c r="C355" s="0" t="s">
        <v>115</v>
      </c>
      <c r="D355" s="0" t="n">
        <v>3</v>
      </c>
      <c r="E355" s="5" t="n">
        <v>45935.7929050926</v>
      </c>
      <c r="F355" s="0" t="n">
        <v>2.08</v>
      </c>
      <c r="G355" s="0" t="n">
        <v>17034</v>
      </c>
      <c r="H355" s="6" t="s">
        <v>68</v>
      </c>
      <c r="I355" s="6" t="n">
        <f aca="false">D355*F355</f>
        <v>6.24</v>
      </c>
      <c r="J355" s="6" t="n">
        <f aca="false">HOUR(E355)</f>
        <v>19</v>
      </c>
      <c r="K355" s="6" t="n">
        <f aca="false">IF(COUNTIF($A$2:$A355,A355)=1,1,0)</f>
        <v>1</v>
      </c>
    </row>
    <row r="356" customFormat="false" ht="15" hidden="false" customHeight="false" outlineLevel="0" collapsed="false">
      <c r="A356" s="0" t="s">
        <v>180</v>
      </c>
      <c r="B356" s="0" t="s">
        <v>137</v>
      </c>
      <c r="C356" s="0" t="s">
        <v>138</v>
      </c>
      <c r="D356" s="0" t="n">
        <v>19</v>
      </c>
      <c r="E356" s="5" t="n">
        <v>45935.7929050926</v>
      </c>
      <c r="F356" s="0" t="n">
        <v>2.1</v>
      </c>
      <c r="G356" s="0" t="n">
        <v>17034</v>
      </c>
      <c r="H356" s="6" t="s">
        <v>68</v>
      </c>
      <c r="I356" s="6" t="n">
        <f aca="false">D356*F356</f>
        <v>39.9</v>
      </c>
      <c r="J356" s="6" t="n">
        <f aca="false">HOUR(E356)</f>
        <v>19</v>
      </c>
      <c r="K356" s="6" t="n">
        <f aca="false">IF(COUNTIF($A$2:$A356,A356)=1,1,0)</f>
        <v>0</v>
      </c>
    </row>
    <row r="357" customFormat="false" ht="15" hidden="false" customHeight="false" outlineLevel="0" collapsed="false">
      <c r="A357" s="0" t="s">
        <v>180</v>
      </c>
      <c r="B357" s="0" t="s">
        <v>65</v>
      </c>
      <c r="C357" s="0" t="s">
        <v>66</v>
      </c>
      <c r="D357" s="0" t="n">
        <v>17</v>
      </c>
      <c r="E357" s="5" t="n">
        <v>45935.7929050926</v>
      </c>
      <c r="F357" s="0" t="n">
        <v>1.65</v>
      </c>
      <c r="G357" s="0" t="n">
        <v>17034</v>
      </c>
      <c r="H357" s="6" t="s">
        <v>68</v>
      </c>
      <c r="I357" s="6" t="n">
        <f aca="false">D357*F357</f>
        <v>28.05</v>
      </c>
      <c r="J357" s="6" t="n">
        <f aca="false">HOUR(E357)</f>
        <v>19</v>
      </c>
      <c r="K357" s="6" t="n">
        <f aca="false">IF(COUNTIF($A$2:$A357,A357)=1,1,0)</f>
        <v>0</v>
      </c>
    </row>
    <row r="358" customFormat="false" ht="15" hidden="false" customHeight="false" outlineLevel="0" collapsed="false">
      <c r="A358" s="0" t="s">
        <v>180</v>
      </c>
      <c r="B358" s="0" t="s">
        <v>75</v>
      </c>
      <c r="C358" s="0" t="s">
        <v>76</v>
      </c>
      <c r="D358" s="0" t="n">
        <v>21</v>
      </c>
      <c r="E358" s="5" t="n">
        <v>45935.7929050926</v>
      </c>
      <c r="F358" s="0" t="n">
        <v>3.39</v>
      </c>
      <c r="G358" s="0" t="n">
        <v>17034</v>
      </c>
      <c r="H358" s="6" t="s">
        <v>68</v>
      </c>
      <c r="I358" s="6" t="n">
        <f aca="false">D358*F358</f>
        <v>71.19</v>
      </c>
      <c r="J358" s="6" t="n">
        <f aca="false">HOUR(E358)</f>
        <v>19</v>
      </c>
      <c r="K358" s="6" t="n">
        <f aca="false">IF(COUNTIF($A$2:$A358,A358)=1,1,0)</f>
        <v>0</v>
      </c>
    </row>
    <row r="359" customFormat="false" ht="15" hidden="false" customHeight="false" outlineLevel="0" collapsed="false">
      <c r="A359" s="0" t="s">
        <v>180</v>
      </c>
      <c r="B359" s="0" t="s">
        <v>104</v>
      </c>
      <c r="C359" s="0" t="s">
        <v>105</v>
      </c>
      <c r="D359" s="0" t="n">
        <v>17</v>
      </c>
      <c r="E359" s="5" t="n">
        <v>45935.7929050926</v>
      </c>
      <c r="F359" s="0" t="n">
        <v>1.65</v>
      </c>
      <c r="G359" s="0" t="n">
        <v>17034</v>
      </c>
      <c r="H359" s="6" t="s">
        <v>68</v>
      </c>
      <c r="I359" s="6" t="n">
        <f aca="false">D359*F359</f>
        <v>28.05</v>
      </c>
      <c r="J359" s="6" t="n">
        <f aca="false">HOUR(E359)</f>
        <v>19</v>
      </c>
      <c r="K359" s="6" t="n">
        <f aca="false">IF(COUNTIF($A$2:$A359,A359)=1,1,0)</f>
        <v>0</v>
      </c>
    </row>
    <row r="360" customFormat="false" ht="15" hidden="false" customHeight="false" outlineLevel="0" collapsed="false">
      <c r="A360" s="0" t="s">
        <v>180</v>
      </c>
      <c r="B360" s="0" t="s">
        <v>140</v>
      </c>
      <c r="C360" s="0" t="s">
        <v>141</v>
      </c>
      <c r="D360" s="0" t="n">
        <v>13</v>
      </c>
      <c r="E360" s="5" t="n">
        <v>45935.7929050926</v>
      </c>
      <c r="F360" s="0" t="n">
        <v>2.08</v>
      </c>
      <c r="G360" s="0" t="n">
        <v>17034</v>
      </c>
      <c r="H360" s="6" t="s">
        <v>68</v>
      </c>
      <c r="I360" s="6" t="n">
        <f aca="false">D360*F360</f>
        <v>27.04</v>
      </c>
      <c r="J360" s="6" t="n">
        <f aca="false">HOUR(E360)</f>
        <v>19</v>
      </c>
      <c r="K360" s="6" t="n">
        <f aca="false">IF(COUNTIF($A$2:$A360,A360)=1,1,0)</f>
        <v>0</v>
      </c>
    </row>
    <row r="361" customFormat="false" ht="15" hidden="false" customHeight="false" outlineLevel="0" collapsed="false">
      <c r="A361" s="0" t="s">
        <v>180</v>
      </c>
      <c r="B361" s="0" t="s">
        <v>88</v>
      </c>
      <c r="C361" s="0" t="s">
        <v>89</v>
      </c>
      <c r="D361" s="0" t="n">
        <v>4</v>
      </c>
      <c r="E361" s="5" t="n">
        <v>45935.7929050926</v>
      </c>
      <c r="F361" s="0" t="n">
        <v>2.75</v>
      </c>
      <c r="G361" s="0" t="n">
        <v>17034</v>
      </c>
      <c r="H361" s="6" t="s">
        <v>68</v>
      </c>
      <c r="I361" s="6" t="n">
        <f aca="false">D361*F361</f>
        <v>11</v>
      </c>
      <c r="J361" s="6" t="n">
        <f aca="false">HOUR(E361)</f>
        <v>19</v>
      </c>
      <c r="K361" s="6" t="n">
        <f aca="false">IF(COUNTIF($A$2:$A361,A361)=1,1,0)</f>
        <v>0</v>
      </c>
    </row>
    <row r="362" customFormat="false" ht="15" hidden="false" customHeight="false" outlineLevel="0" collapsed="false">
      <c r="A362" s="0" t="s">
        <v>180</v>
      </c>
      <c r="B362" s="0" t="s">
        <v>145</v>
      </c>
      <c r="C362" s="0" t="s">
        <v>146</v>
      </c>
      <c r="D362" s="0" t="n">
        <v>13</v>
      </c>
      <c r="E362" s="5" t="n">
        <v>45935.7929050926</v>
      </c>
      <c r="F362" s="0" t="n">
        <v>1.85</v>
      </c>
      <c r="G362" s="0" t="n">
        <v>17034</v>
      </c>
      <c r="H362" s="6" t="s">
        <v>68</v>
      </c>
      <c r="I362" s="6" t="n">
        <f aca="false">D362*F362</f>
        <v>24.05</v>
      </c>
      <c r="J362" s="6" t="n">
        <f aca="false">HOUR(E362)</f>
        <v>19</v>
      </c>
      <c r="K362" s="6" t="n">
        <f aca="false">IF(COUNTIF($A$2:$A362,A362)=1,1,0)</f>
        <v>0</v>
      </c>
    </row>
    <row r="363" customFormat="false" ht="15" hidden="false" customHeight="false" outlineLevel="0" collapsed="false">
      <c r="A363" s="0" t="s">
        <v>180</v>
      </c>
      <c r="B363" s="0" t="s">
        <v>95</v>
      </c>
      <c r="C363" s="0" t="s">
        <v>96</v>
      </c>
      <c r="D363" s="0" t="n">
        <v>37</v>
      </c>
      <c r="E363" s="5" t="n">
        <v>45935.7929050926</v>
      </c>
      <c r="F363" s="0" t="n">
        <v>2.55</v>
      </c>
      <c r="G363" s="0" t="n">
        <v>17034</v>
      </c>
      <c r="H363" s="6" t="s">
        <v>68</v>
      </c>
      <c r="I363" s="6" t="n">
        <f aca="false">D363*F363</f>
        <v>94.35</v>
      </c>
      <c r="J363" s="6" t="n">
        <f aca="false">HOUR(E363)</f>
        <v>19</v>
      </c>
      <c r="K363" s="6" t="n">
        <f aca="false">IF(COUNTIF($A$2:$A363,A363)=1,1,0)</f>
        <v>0</v>
      </c>
    </row>
    <row r="364" customFormat="false" ht="15" hidden="false" customHeight="false" outlineLevel="0" collapsed="false">
      <c r="A364" s="0" t="s">
        <v>180</v>
      </c>
      <c r="B364" s="0" t="s">
        <v>125</v>
      </c>
      <c r="C364" s="0" t="s">
        <v>126</v>
      </c>
      <c r="D364" s="0" t="n">
        <v>19</v>
      </c>
      <c r="E364" s="5" t="n">
        <v>45935.7929050926</v>
      </c>
      <c r="F364" s="0" t="n">
        <v>1.25</v>
      </c>
      <c r="G364" s="0" t="n">
        <v>17034</v>
      </c>
      <c r="H364" s="6" t="s">
        <v>68</v>
      </c>
      <c r="I364" s="6" t="n">
        <f aca="false">D364*F364</f>
        <v>23.75</v>
      </c>
      <c r="J364" s="6" t="n">
        <f aca="false">HOUR(E364)</f>
        <v>19</v>
      </c>
      <c r="K364" s="6" t="n">
        <f aca="false">IF(COUNTIF($A$2:$A364,A364)=1,1,0)</f>
        <v>0</v>
      </c>
    </row>
    <row r="365" customFormat="false" ht="15" hidden="false" customHeight="false" outlineLevel="0" collapsed="false">
      <c r="A365" s="0" t="s">
        <v>181</v>
      </c>
      <c r="B365" s="0" t="s">
        <v>88</v>
      </c>
      <c r="C365" s="0" t="s">
        <v>89</v>
      </c>
      <c r="D365" s="0" t="n">
        <v>17</v>
      </c>
      <c r="E365" s="5" t="n">
        <v>45936.3245717593</v>
      </c>
      <c r="F365" s="0" t="n">
        <v>2.75</v>
      </c>
      <c r="H365" s="6" t="s">
        <v>113</v>
      </c>
      <c r="I365" s="6" t="n">
        <f aca="false">D365*F365</f>
        <v>46.75</v>
      </c>
      <c r="J365" s="6" t="n">
        <f aca="false">HOUR(E365)</f>
        <v>7</v>
      </c>
      <c r="K365" s="6" t="n">
        <f aca="false">IF(COUNTIF($A$2:$A365,A365)=1,1,0)</f>
        <v>1</v>
      </c>
    </row>
    <row r="366" customFormat="false" ht="15" hidden="false" customHeight="false" outlineLevel="0" collapsed="false">
      <c r="A366" s="0" t="s">
        <v>181</v>
      </c>
      <c r="B366" s="0" t="s">
        <v>102</v>
      </c>
      <c r="C366" s="0" t="s">
        <v>103</v>
      </c>
      <c r="D366" s="0" t="n">
        <v>41</v>
      </c>
      <c r="E366" s="5" t="n">
        <v>45936.3245717593</v>
      </c>
      <c r="F366" s="0" t="n">
        <v>8.5</v>
      </c>
      <c r="H366" s="6" t="s">
        <v>113</v>
      </c>
      <c r="I366" s="6" t="n">
        <f aca="false">D366*F366</f>
        <v>348.5</v>
      </c>
      <c r="J366" s="6" t="n">
        <f aca="false">HOUR(E366)</f>
        <v>7</v>
      </c>
      <c r="K366" s="6" t="n">
        <f aca="false">IF(COUNTIF($A$2:$A366,A366)=1,1,0)</f>
        <v>0</v>
      </c>
    </row>
    <row r="367" customFormat="false" ht="15" hidden="false" customHeight="false" outlineLevel="0" collapsed="false">
      <c r="A367" s="0" t="s">
        <v>181</v>
      </c>
      <c r="B367" s="0" t="s">
        <v>75</v>
      </c>
      <c r="C367" s="0" t="s">
        <v>76</v>
      </c>
      <c r="D367" s="0" t="n">
        <v>21</v>
      </c>
      <c r="E367" s="5" t="n">
        <v>45936.3245717593</v>
      </c>
      <c r="F367" s="0" t="n">
        <v>3.39</v>
      </c>
      <c r="H367" s="6" t="s">
        <v>113</v>
      </c>
      <c r="I367" s="6" t="n">
        <f aca="false">D367*F367</f>
        <v>71.19</v>
      </c>
      <c r="J367" s="6" t="n">
        <f aca="false">HOUR(E367)</f>
        <v>7</v>
      </c>
      <c r="K367" s="6" t="n">
        <f aca="false">IF(COUNTIF($A$2:$A367,A367)=1,1,0)</f>
        <v>0</v>
      </c>
    </row>
    <row r="368" customFormat="false" ht="15" hidden="false" customHeight="false" outlineLevel="0" collapsed="false">
      <c r="A368" s="0" t="s">
        <v>181</v>
      </c>
      <c r="B368" s="0" t="s">
        <v>127</v>
      </c>
      <c r="C368" s="0" t="s">
        <v>128</v>
      </c>
      <c r="D368" s="0" t="n">
        <v>19</v>
      </c>
      <c r="E368" s="5" t="n">
        <v>45936.3245717593</v>
      </c>
      <c r="F368" s="0" t="n">
        <v>1.45</v>
      </c>
      <c r="H368" s="6" t="s">
        <v>113</v>
      </c>
      <c r="I368" s="6" t="n">
        <f aca="false">D368*F368</f>
        <v>27.55</v>
      </c>
      <c r="J368" s="6" t="n">
        <f aca="false">HOUR(E368)</f>
        <v>7</v>
      </c>
      <c r="K368" s="6" t="n">
        <f aca="false">IF(COUNTIF($A$2:$A368,A368)=1,1,0)</f>
        <v>0</v>
      </c>
    </row>
    <row r="369" customFormat="false" ht="15" hidden="false" customHeight="false" outlineLevel="0" collapsed="false">
      <c r="A369" s="0" t="s">
        <v>181</v>
      </c>
      <c r="B369" s="0" t="s">
        <v>95</v>
      </c>
      <c r="C369" s="0" t="s">
        <v>96</v>
      </c>
      <c r="D369" s="0" t="n">
        <v>19</v>
      </c>
      <c r="E369" s="5" t="n">
        <v>45936.3245717593</v>
      </c>
      <c r="F369" s="0" t="n">
        <v>2.55</v>
      </c>
      <c r="H369" s="6" t="s">
        <v>113</v>
      </c>
      <c r="I369" s="6" t="n">
        <f aca="false">D369*F369</f>
        <v>48.45</v>
      </c>
      <c r="J369" s="6" t="n">
        <f aca="false">HOUR(E369)</f>
        <v>7</v>
      </c>
      <c r="K369" s="6" t="n">
        <f aca="false">IF(COUNTIF($A$2:$A369,A369)=1,1,0)</f>
        <v>0</v>
      </c>
    </row>
    <row r="370" customFormat="false" ht="15" hidden="false" customHeight="false" outlineLevel="0" collapsed="false">
      <c r="A370" s="0" t="s">
        <v>181</v>
      </c>
      <c r="B370" s="0" t="s">
        <v>109</v>
      </c>
      <c r="C370" s="0" t="s">
        <v>110</v>
      </c>
      <c r="D370" s="0" t="n">
        <v>14</v>
      </c>
      <c r="E370" s="5" t="n">
        <v>45936.3245717593</v>
      </c>
      <c r="F370" s="0" t="n">
        <v>0.85</v>
      </c>
      <c r="H370" s="6" t="s">
        <v>113</v>
      </c>
      <c r="I370" s="6" t="n">
        <f aca="false">D370*F370</f>
        <v>11.9</v>
      </c>
      <c r="J370" s="6" t="n">
        <f aca="false">HOUR(E370)</f>
        <v>7</v>
      </c>
      <c r="K370" s="6" t="n">
        <f aca="false">IF(COUNTIF($A$2:$A370,A370)=1,1,0)</f>
        <v>0</v>
      </c>
    </row>
    <row r="371" customFormat="false" ht="15" hidden="false" customHeight="false" outlineLevel="0" collapsed="false">
      <c r="A371" s="0" t="s">
        <v>181</v>
      </c>
      <c r="B371" s="0" t="s">
        <v>107</v>
      </c>
      <c r="C371" s="0" t="s">
        <v>108</v>
      </c>
      <c r="D371" s="0" t="n">
        <v>21</v>
      </c>
      <c r="E371" s="5" t="n">
        <v>45936.3245717593</v>
      </c>
      <c r="F371" s="0" t="n">
        <v>3.75</v>
      </c>
      <c r="H371" s="6" t="s">
        <v>113</v>
      </c>
      <c r="I371" s="6" t="n">
        <f aca="false">D371*F371</f>
        <v>78.75</v>
      </c>
      <c r="J371" s="6" t="n">
        <f aca="false">HOUR(E371)</f>
        <v>7</v>
      </c>
      <c r="K371" s="6" t="n">
        <f aca="false">IF(COUNTIF($A$2:$A371,A371)=1,1,0)</f>
        <v>0</v>
      </c>
    </row>
    <row r="372" customFormat="false" ht="15" hidden="false" customHeight="false" outlineLevel="0" collapsed="false">
      <c r="A372" s="0" t="s">
        <v>181</v>
      </c>
      <c r="B372" s="0" t="s">
        <v>140</v>
      </c>
      <c r="C372" s="0" t="s">
        <v>141</v>
      </c>
      <c r="D372" s="0" t="n">
        <v>14</v>
      </c>
      <c r="E372" s="5" t="n">
        <v>45936.3245717593</v>
      </c>
      <c r="F372" s="0" t="n">
        <v>2.08</v>
      </c>
      <c r="H372" s="6" t="s">
        <v>113</v>
      </c>
      <c r="I372" s="6" t="n">
        <f aca="false">D372*F372</f>
        <v>29.12</v>
      </c>
      <c r="J372" s="6" t="n">
        <f aca="false">HOUR(E372)</f>
        <v>7</v>
      </c>
      <c r="K372" s="6" t="n">
        <f aca="false">IF(COUNTIF($A$2:$A372,A372)=1,1,0)</f>
        <v>0</v>
      </c>
    </row>
    <row r="373" customFormat="false" ht="15" hidden="false" customHeight="false" outlineLevel="0" collapsed="false">
      <c r="A373" s="0" t="s">
        <v>181</v>
      </c>
      <c r="B373" s="0" t="s">
        <v>145</v>
      </c>
      <c r="C373" s="0" t="s">
        <v>146</v>
      </c>
      <c r="D373" s="0" t="n">
        <v>9</v>
      </c>
      <c r="E373" s="5" t="n">
        <v>45936.3245717593</v>
      </c>
      <c r="F373" s="0" t="n">
        <v>1.85</v>
      </c>
      <c r="H373" s="6" t="s">
        <v>113</v>
      </c>
      <c r="I373" s="6" t="n">
        <f aca="false">D373*F373</f>
        <v>16.65</v>
      </c>
      <c r="J373" s="6" t="n">
        <f aca="false">HOUR(E373)</f>
        <v>7</v>
      </c>
      <c r="K373" s="6" t="n">
        <f aca="false">IF(COUNTIF($A$2:$A373,A373)=1,1,0)</f>
        <v>0</v>
      </c>
    </row>
    <row r="374" customFormat="false" ht="15" hidden="false" customHeight="false" outlineLevel="0" collapsed="false">
      <c r="A374" s="0" t="s">
        <v>181</v>
      </c>
      <c r="B374" s="0" t="s">
        <v>50</v>
      </c>
      <c r="C374" s="0" t="s">
        <v>51</v>
      </c>
      <c r="D374" s="0" t="n">
        <v>23</v>
      </c>
      <c r="E374" s="5" t="n">
        <v>45936.3245717593</v>
      </c>
      <c r="F374" s="0" t="n">
        <v>5.95</v>
      </c>
      <c r="H374" s="6" t="s">
        <v>113</v>
      </c>
      <c r="I374" s="6" t="n">
        <f aca="false">D374*F374</f>
        <v>136.85</v>
      </c>
      <c r="J374" s="6" t="n">
        <f aca="false">HOUR(E374)</f>
        <v>7</v>
      </c>
      <c r="K374" s="6" t="n">
        <f aca="false">IF(COUNTIF($A$2:$A374,A374)=1,1,0)</f>
        <v>0</v>
      </c>
    </row>
    <row r="375" customFormat="false" ht="15" hidden="false" customHeight="false" outlineLevel="0" collapsed="false">
      <c r="A375" s="0" t="s">
        <v>182</v>
      </c>
      <c r="B375" s="0" t="s">
        <v>134</v>
      </c>
      <c r="C375" s="0" t="s">
        <v>135</v>
      </c>
      <c r="D375" s="0" t="n">
        <v>17</v>
      </c>
      <c r="E375" s="5" t="n">
        <v>45936.3425231482</v>
      </c>
      <c r="F375" s="0" t="n">
        <v>5.95</v>
      </c>
      <c r="G375" s="0" t="n">
        <v>17027</v>
      </c>
      <c r="H375" s="6" t="s">
        <v>151</v>
      </c>
      <c r="I375" s="6" t="n">
        <f aca="false">D375*F375</f>
        <v>101.15</v>
      </c>
      <c r="J375" s="6" t="n">
        <f aca="false">HOUR(E375)</f>
        <v>8</v>
      </c>
      <c r="K375" s="6" t="n">
        <f aca="false">IF(COUNTIF($A$2:$A375,A375)=1,1,0)</f>
        <v>1</v>
      </c>
    </row>
    <row r="376" customFormat="false" ht="15" hidden="false" customHeight="false" outlineLevel="0" collapsed="false">
      <c r="A376" s="0" t="s">
        <v>182</v>
      </c>
      <c r="B376" s="0" t="s">
        <v>72</v>
      </c>
      <c r="C376" s="0" t="s">
        <v>73</v>
      </c>
      <c r="D376" s="0" t="n">
        <v>44</v>
      </c>
      <c r="E376" s="5" t="n">
        <v>45936.3425231482</v>
      </c>
      <c r="F376" s="0" t="n">
        <v>4.95</v>
      </c>
      <c r="G376" s="0" t="n">
        <v>17027</v>
      </c>
      <c r="H376" s="6" t="s">
        <v>151</v>
      </c>
      <c r="I376" s="6" t="n">
        <f aca="false">D376*F376</f>
        <v>217.8</v>
      </c>
      <c r="J376" s="6" t="n">
        <f aca="false">HOUR(E376)</f>
        <v>8</v>
      </c>
      <c r="K376" s="6" t="n">
        <f aca="false">IF(COUNTIF($A$2:$A376,A376)=1,1,0)</f>
        <v>0</v>
      </c>
    </row>
    <row r="377" customFormat="false" ht="15" hidden="false" customHeight="false" outlineLevel="0" collapsed="false">
      <c r="A377" s="0" t="s">
        <v>183</v>
      </c>
      <c r="B377" s="0" t="s">
        <v>40</v>
      </c>
      <c r="C377" s="0" t="s">
        <v>41</v>
      </c>
      <c r="D377" s="0" t="n">
        <v>21</v>
      </c>
      <c r="E377" s="5" t="n">
        <v>45936.3866666667</v>
      </c>
      <c r="F377" s="0" t="n">
        <v>1.06</v>
      </c>
      <c r="G377" s="0" t="n">
        <v>17238</v>
      </c>
      <c r="H377" s="6" t="s">
        <v>151</v>
      </c>
      <c r="I377" s="6" t="n">
        <f aca="false">D377*F377</f>
        <v>22.26</v>
      </c>
      <c r="J377" s="6" t="n">
        <f aca="false">HOUR(E377)</f>
        <v>9</v>
      </c>
      <c r="K377" s="6" t="n">
        <f aca="false">IF(COUNTIF($A$2:$A377,A377)=1,1,0)</f>
        <v>1</v>
      </c>
    </row>
    <row r="378" customFormat="false" ht="15" hidden="false" customHeight="false" outlineLevel="0" collapsed="false">
      <c r="A378" s="0" t="s">
        <v>183</v>
      </c>
      <c r="B378" s="0" t="s">
        <v>116</v>
      </c>
      <c r="C378" s="0" t="s">
        <v>117</v>
      </c>
      <c r="D378" s="0" t="n">
        <v>2</v>
      </c>
      <c r="E378" s="5" t="n">
        <v>45936.3866666667</v>
      </c>
      <c r="F378" s="0" t="n">
        <v>1.95</v>
      </c>
      <c r="G378" s="0" t="n">
        <v>17238</v>
      </c>
      <c r="H378" s="6" t="s">
        <v>151</v>
      </c>
      <c r="I378" s="6" t="n">
        <f aca="false">D378*F378</f>
        <v>3.9</v>
      </c>
      <c r="J378" s="6" t="n">
        <f aca="false">HOUR(E378)</f>
        <v>9</v>
      </c>
      <c r="K378" s="6" t="n">
        <f aca="false">IF(COUNTIF($A$2:$A378,A378)=1,1,0)</f>
        <v>0</v>
      </c>
    </row>
    <row r="379" customFormat="false" ht="15" hidden="false" customHeight="false" outlineLevel="0" collapsed="false">
      <c r="A379" s="0" t="s">
        <v>183</v>
      </c>
      <c r="B379" s="0" t="s">
        <v>125</v>
      </c>
      <c r="C379" s="0" t="s">
        <v>126</v>
      </c>
      <c r="D379" s="0" t="n">
        <v>2</v>
      </c>
      <c r="E379" s="5" t="n">
        <v>45936.3866666667</v>
      </c>
      <c r="F379" s="0" t="n">
        <v>1.25</v>
      </c>
      <c r="G379" s="0" t="n">
        <v>17238</v>
      </c>
      <c r="H379" s="6" t="s">
        <v>151</v>
      </c>
      <c r="I379" s="6" t="n">
        <f aca="false">D379*F379</f>
        <v>2.5</v>
      </c>
      <c r="J379" s="6" t="n">
        <f aca="false">HOUR(E379)</f>
        <v>9</v>
      </c>
      <c r="K379" s="6" t="n">
        <f aca="false">IF(COUNTIF($A$2:$A379,A379)=1,1,0)</f>
        <v>0</v>
      </c>
    </row>
    <row r="380" customFormat="false" ht="15" hidden="false" customHeight="false" outlineLevel="0" collapsed="false">
      <c r="A380" s="0" t="s">
        <v>183</v>
      </c>
      <c r="B380" s="0" t="s">
        <v>134</v>
      </c>
      <c r="C380" s="0" t="s">
        <v>135</v>
      </c>
      <c r="D380" s="0" t="n">
        <v>9</v>
      </c>
      <c r="E380" s="5" t="n">
        <v>45936.3866666667</v>
      </c>
      <c r="F380" s="0" t="n">
        <v>5.95</v>
      </c>
      <c r="G380" s="0" t="n">
        <v>17238</v>
      </c>
      <c r="H380" s="6" t="s">
        <v>151</v>
      </c>
      <c r="I380" s="6" t="n">
        <f aca="false">D380*F380</f>
        <v>53.55</v>
      </c>
      <c r="J380" s="6" t="n">
        <f aca="false">HOUR(E380)</f>
        <v>9</v>
      </c>
      <c r="K380" s="6" t="n">
        <f aca="false">IF(COUNTIF($A$2:$A380,A380)=1,1,0)</f>
        <v>0</v>
      </c>
    </row>
    <row r="381" customFormat="false" ht="15" hidden="false" customHeight="false" outlineLevel="0" collapsed="false">
      <c r="A381" s="0" t="s">
        <v>183</v>
      </c>
      <c r="B381" s="0" t="s">
        <v>47</v>
      </c>
      <c r="C381" s="0" t="s">
        <v>48</v>
      </c>
      <c r="D381" s="0" t="n">
        <v>30</v>
      </c>
      <c r="E381" s="5" t="n">
        <v>45936.3866666667</v>
      </c>
      <c r="F381" s="0" t="n">
        <v>12.75</v>
      </c>
      <c r="G381" s="0" t="n">
        <v>17238</v>
      </c>
      <c r="H381" s="6" t="s">
        <v>151</v>
      </c>
      <c r="I381" s="6" t="n">
        <f aca="false">D381*F381</f>
        <v>382.5</v>
      </c>
      <c r="J381" s="6" t="n">
        <f aca="false">HOUR(E381)</f>
        <v>9</v>
      </c>
      <c r="K381" s="6" t="n">
        <f aca="false">IF(COUNTIF($A$2:$A381,A381)=1,1,0)</f>
        <v>0</v>
      </c>
    </row>
    <row r="382" customFormat="false" ht="15" hidden="false" customHeight="false" outlineLevel="0" collapsed="false">
      <c r="A382" s="0" t="s">
        <v>183</v>
      </c>
      <c r="B382" s="0" t="s">
        <v>114</v>
      </c>
      <c r="C382" s="0" t="s">
        <v>115</v>
      </c>
      <c r="D382" s="0" t="n">
        <v>3</v>
      </c>
      <c r="E382" s="5" t="n">
        <v>45936.3866666667</v>
      </c>
      <c r="F382" s="0" t="n">
        <v>2.08</v>
      </c>
      <c r="G382" s="0" t="n">
        <v>17238</v>
      </c>
      <c r="H382" s="6" t="s">
        <v>151</v>
      </c>
      <c r="I382" s="6" t="n">
        <f aca="false">D382*F382</f>
        <v>6.24</v>
      </c>
      <c r="J382" s="6" t="n">
        <f aca="false">HOUR(E382)</f>
        <v>9</v>
      </c>
      <c r="K382" s="6" t="n">
        <f aca="false">IF(COUNTIF($A$2:$A382,A382)=1,1,0)</f>
        <v>0</v>
      </c>
    </row>
    <row r="383" customFormat="false" ht="15" hidden="false" customHeight="false" outlineLevel="0" collapsed="false">
      <c r="A383" s="0" t="s">
        <v>183</v>
      </c>
      <c r="B383" s="0" t="s">
        <v>81</v>
      </c>
      <c r="C383" s="0" t="s">
        <v>82</v>
      </c>
      <c r="D383" s="0" t="n">
        <v>6</v>
      </c>
      <c r="E383" s="5" t="n">
        <v>45936.3866666667</v>
      </c>
      <c r="F383" s="0" t="n">
        <v>1.65</v>
      </c>
      <c r="G383" s="0" t="n">
        <v>17238</v>
      </c>
      <c r="H383" s="6" t="s">
        <v>151</v>
      </c>
      <c r="I383" s="6" t="n">
        <f aca="false">D383*F383</f>
        <v>9.9</v>
      </c>
      <c r="J383" s="6" t="n">
        <f aca="false">HOUR(E383)</f>
        <v>9</v>
      </c>
      <c r="K383" s="6" t="n">
        <f aca="false">IF(COUNTIF($A$2:$A383,A383)=1,1,0)</f>
        <v>0</v>
      </c>
    </row>
    <row r="384" customFormat="false" ht="15" hidden="false" customHeight="false" outlineLevel="0" collapsed="false">
      <c r="A384" s="0" t="s">
        <v>183</v>
      </c>
      <c r="B384" s="0" t="s">
        <v>72</v>
      </c>
      <c r="C384" s="0" t="s">
        <v>73</v>
      </c>
      <c r="D384" s="0" t="n">
        <v>26</v>
      </c>
      <c r="E384" s="5" t="n">
        <v>45936.3866666667</v>
      </c>
      <c r="F384" s="0" t="n">
        <v>4.95</v>
      </c>
      <c r="G384" s="0" t="n">
        <v>17238</v>
      </c>
      <c r="H384" s="6" t="s">
        <v>151</v>
      </c>
      <c r="I384" s="6" t="n">
        <f aca="false">D384*F384</f>
        <v>128.7</v>
      </c>
      <c r="J384" s="6" t="n">
        <f aca="false">HOUR(E384)</f>
        <v>9</v>
      </c>
      <c r="K384" s="6" t="n">
        <f aca="false">IF(COUNTIF($A$2:$A384,A384)=1,1,0)</f>
        <v>0</v>
      </c>
    </row>
    <row r="385" customFormat="false" ht="15" hidden="false" customHeight="false" outlineLevel="0" collapsed="false">
      <c r="A385" s="0" t="s">
        <v>183</v>
      </c>
      <c r="B385" s="0" t="s">
        <v>45</v>
      </c>
      <c r="C385" s="0" t="s">
        <v>46</v>
      </c>
      <c r="D385" s="0" t="n">
        <v>19</v>
      </c>
      <c r="E385" s="5" t="n">
        <v>45936.3866666667</v>
      </c>
      <c r="F385" s="0" t="n">
        <v>2.1</v>
      </c>
      <c r="G385" s="0" t="n">
        <v>17238</v>
      </c>
      <c r="H385" s="6" t="s">
        <v>151</v>
      </c>
      <c r="I385" s="6" t="n">
        <f aca="false">D385*F385</f>
        <v>39.9</v>
      </c>
      <c r="J385" s="6" t="n">
        <f aca="false">HOUR(E385)</f>
        <v>9</v>
      </c>
      <c r="K385" s="6" t="n">
        <f aca="false">IF(COUNTIF($A$2:$A385,A385)=1,1,0)</f>
        <v>0</v>
      </c>
    </row>
    <row r="386" customFormat="false" ht="15" hidden="false" customHeight="false" outlineLevel="0" collapsed="false">
      <c r="A386" s="0" t="s">
        <v>184</v>
      </c>
      <c r="B386" s="0" t="s">
        <v>59</v>
      </c>
      <c r="C386" s="0" t="s">
        <v>60</v>
      </c>
      <c r="D386" s="0" t="n">
        <v>12</v>
      </c>
      <c r="E386" s="5" t="n">
        <v>45936.4203703704</v>
      </c>
      <c r="F386" s="0" t="n">
        <v>0.42</v>
      </c>
      <c r="G386" s="0" t="n">
        <v>17159</v>
      </c>
      <c r="H386" s="6" t="s">
        <v>74</v>
      </c>
      <c r="I386" s="6" t="n">
        <f aca="false">D386*F386</f>
        <v>5.04</v>
      </c>
      <c r="J386" s="6" t="n">
        <f aca="false">HOUR(E386)</f>
        <v>10</v>
      </c>
      <c r="K386" s="6" t="n">
        <f aca="false">IF(COUNTIF($A$2:$A386,A386)=1,1,0)</f>
        <v>1</v>
      </c>
    </row>
    <row r="387" customFormat="false" ht="15" hidden="false" customHeight="false" outlineLevel="0" collapsed="false">
      <c r="A387" s="0" t="s">
        <v>184</v>
      </c>
      <c r="B387" s="0" t="s">
        <v>81</v>
      </c>
      <c r="C387" s="0" t="s">
        <v>82</v>
      </c>
      <c r="D387" s="0" t="n">
        <v>22</v>
      </c>
      <c r="E387" s="5" t="n">
        <v>45936.4203703704</v>
      </c>
      <c r="F387" s="0" t="n">
        <v>1.65</v>
      </c>
      <c r="G387" s="0" t="n">
        <v>17159</v>
      </c>
      <c r="H387" s="6" t="s">
        <v>74</v>
      </c>
      <c r="I387" s="6" t="n">
        <f aca="false">D387*F387</f>
        <v>36.3</v>
      </c>
      <c r="J387" s="6" t="n">
        <f aca="false">HOUR(E387)</f>
        <v>10</v>
      </c>
      <c r="K387" s="6" t="n">
        <f aca="false">IF(COUNTIF($A$2:$A387,A387)=1,1,0)</f>
        <v>0</v>
      </c>
    </row>
    <row r="388" customFormat="false" ht="15" hidden="false" customHeight="false" outlineLevel="0" collapsed="false">
      <c r="A388" s="0" t="s">
        <v>184</v>
      </c>
      <c r="B388" s="0" t="s">
        <v>75</v>
      </c>
      <c r="C388" s="0" t="s">
        <v>76</v>
      </c>
      <c r="D388" s="0" t="n">
        <v>19</v>
      </c>
      <c r="E388" s="5" t="n">
        <v>45936.4203703704</v>
      </c>
      <c r="F388" s="0" t="n">
        <v>3.39</v>
      </c>
      <c r="G388" s="0" t="n">
        <v>17159</v>
      </c>
      <c r="H388" s="6" t="s">
        <v>74</v>
      </c>
      <c r="I388" s="6" t="n">
        <f aca="false">D388*F388</f>
        <v>64.41</v>
      </c>
      <c r="J388" s="6" t="n">
        <f aca="false">HOUR(E388)</f>
        <v>10</v>
      </c>
      <c r="K388" s="6" t="n">
        <f aca="false">IF(COUNTIF($A$2:$A388,A388)=1,1,0)</f>
        <v>0</v>
      </c>
    </row>
    <row r="389" customFormat="false" ht="15" hidden="false" customHeight="false" outlineLevel="0" collapsed="false">
      <c r="A389" s="0" t="s">
        <v>184</v>
      </c>
      <c r="B389" s="0" t="s">
        <v>43</v>
      </c>
      <c r="C389" s="0" t="s">
        <v>44</v>
      </c>
      <c r="D389" s="0" t="n">
        <v>4</v>
      </c>
      <c r="E389" s="5" t="n">
        <v>45936.4203703704</v>
      </c>
      <c r="F389" s="0" t="n">
        <v>4.25</v>
      </c>
      <c r="G389" s="0" t="n">
        <v>17159</v>
      </c>
      <c r="H389" s="6" t="s">
        <v>74</v>
      </c>
      <c r="I389" s="6" t="n">
        <f aca="false">D389*F389</f>
        <v>17</v>
      </c>
      <c r="J389" s="6" t="n">
        <f aca="false">HOUR(E389)</f>
        <v>10</v>
      </c>
      <c r="K389" s="6" t="n">
        <f aca="false">IF(COUNTIF($A$2:$A389,A389)=1,1,0)</f>
        <v>0</v>
      </c>
    </row>
    <row r="390" customFormat="false" ht="15" hidden="false" customHeight="false" outlineLevel="0" collapsed="false">
      <c r="A390" s="0" t="s">
        <v>184</v>
      </c>
      <c r="B390" s="0" t="s">
        <v>61</v>
      </c>
      <c r="C390" s="0" t="s">
        <v>62</v>
      </c>
      <c r="D390" s="0" t="n">
        <v>17</v>
      </c>
      <c r="E390" s="5" t="n">
        <v>45936.4203703704</v>
      </c>
      <c r="F390" s="0" t="n">
        <v>1.65</v>
      </c>
      <c r="G390" s="0" t="n">
        <v>17159</v>
      </c>
      <c r="H390" s="6" t="s">
        <v>74</v>
      </c>
      <c r="I390" s="6" t="n">
        <f aca="false">D390*F390</f>
        <v>28.05</v>
      </c>
      <c r="J390" s="6" t="n">
        <f aca="false">HOUR(E390)</f>
        <v>10</v>
      </c>
      <c r="K390" s="6" t="n">
        <f aca="false">IF(COUNTIF($A$2:$A390,A390)=1,1,0)</f>
        <v>0</v>
      </c>
    </row>
    <row r="391" customFormat="false" ht="15" hidden="false" customHeight="false" outlineLevel="0" collapsed="false">
      <c r="A391" s="0" t="s">
        <v>184</v>
      </c>
      <c r="B391" s="0" t="s">
        <v>127</v>
      </c>
      <c r="C391" s="0" t="s">
        <v>128</v>
      </c>
      <c r="D391" s="0" t="n">
        <v>3</v>
      </c>
      <c r="E391" s="5" t="n">
        <v>45936.4203703704</v>
      </c>
      <c r="F391" s="0" t="n">
        <v>1.45</v>
      </c>
      <c r="G391" s="0" t="n">
        <v>17159</v>
      </c>
      <c r="H391" s="6" t="s">
        <v>74</v>
      </c>
      <c r="I391" s="6" t="n">
        <f aca="false">D391*F391</f>
        <v>4.35</v>
      </c>
      <c r="J391" s="6" t="n">
        <f aca="false">HOUR(E391)</f>
        <v>10</v>
      </c>
      <c r="K391" s="6" t="n">
        <f aca="false">IF(COUNTIF($A$2:$A391,A391)=1,1,0)</f>
        <v>0</v>
      </c>
    </row>
    <row r="392" customFormat="false" ht="15" hidden="false" customHeight="false" outlineLevel="0" collapsed="false">
      <c r="A392" s="0" t="s">
        <v>184</v>
      </c>
      <c r="B392" s="0" t="s">
        <v>107</v>
      </c>
      <c r="C392" s="0" t="s">
        <v>108</v>
      </c>
      <c r="D392" s="0" t="n">
        <v>13</v>
      </c>
      <c r="E392" s="5" t="n">
        <v>45936.4203703704</v>
      </c>
      <c r="F392" s="0" t="n">
        <v>3.75</v>
      </c>
      <c r="G392" s="0" t="n">
        <v>17159</v>
      </c>
      <c r="H392" s="6" t="s">
        <v>74</v>
      </c>
      <c r="I392" s="6" t="n">
        <f aca="false">D392*F392</f>
        <v>48.75</v>
      </c>
      <c r="J392" s="6" t="n">
        <f aca="false">HOUR(E392)</f>
        <v>10</v>
      </c>
      <c r="K392" s="6" t="n">
        <f aca="false">IF(COUNTIF($A$2:$A392,A392)=1,1,0)</f>
        <v>0</v>
      </c>
    </row>
    <row r="393" customFormat="false" ht="15" hidden="false" customHeight="false" outlineLevel="0" collapsed="false">
      <c r="A393" s="0" t="s">
        <v>184</v>
      </c>
      <c r="B393" s="0" t="s">
        <v>83</v>
      </c>
      <c r="C393" s="0" t="s">
        <v>84</v>
      </c>
      <c r="D393" s="0" t="n">
        <v>24</v>
      </c>
      <c r="E393" s="5" t="n">
        <v>45936.4203703704</v>
      </c>
      <c r="F393" s="0" t="n">
        <v>2.95</v>
      </c>
      <c r="G393" s="0" t="n">
        <v>17159</v>
      </c>
      <c r="H393" s="6" t="s">
        <v>74</v>
      </c>
      <c r="I393" s="6" t="n">
        <f aca="false">D393*F393</f>
        <v>70.8</v>
      </c>
      <c r="J393" s="6" t="n">
        <f aca="false">HOUR(E393)</f>
        <v>10</v>
      </c>
      <c r="K393" s="6" t="n">
        <f aca="false">IF(COUNTIF($A$2:$A393,A393)=1,1,0)</f>
        <v>0</v>
      </c>
    </row>
    <row r="394" customFormat="false" ht="15" hidden="false" customHeight="false" outlineLevel="0" collapsed="false">
      <c r="A394" s="0" t="s">
        <v>185</v>
      </c>
      <c r="B394" s="0" t="s">
        <v>72</v>
      </c>
      <c r="C394" s="0" t="s">
        <v>73</v>
      </c>
      <c r="D394" s="0" t="n">
        <v>14</v>
      </c>
      <c r="E394" s="5" t="n">
        <v>45936.5142013889</v>
      </c>
      <c r="F394" s="0" t="n">
        <v>4.95</v>
      </c>
      <c r="H394" s="6" t="s">
        <v>74</v>
      </c>
      <c r="I394" s="6" t="n">
        <f aca="false">D394*F394</f>
        <v>69.3</v>
      </c>
      <c r="J394" s="6" t="n">
        <f aca="false">HOUR(E394)</f>
        <v>12</v>
      </c>
      <c r="K394" s="6" t="n">
        <f aca="false">IF(COUNTIF($A$2:$A394,A394)=1,1,0)</f>
        <v>1</v>
      </c>
    </row>
    <row r="395" customFormat="false" ht="15" hidden="false" customHeight="false" outlineLevel="0" collapsed="false">
      <c r="A395" s="0" t="s">
        <v>185</v>
      </c>
      <c r="B395" s="0" t="s">
        <v>118</v>
      </c>
      <c r="D395" s="0" t="n">
        <v>37</v>
      </c>
      <c r="E395" s="5" t="n">
        <v>45936.5142013889</v>
      </c>
      <c r="F395" s="0" t="n">
        <v>4.95</v>
      </c>
      <c r="H395" s="6" t="s">
        <v>74</v>
      </c>
      <c r="I395" s="6" t="n">
        <f aca="false">D395*F395</f>
        <v>183.15</v>
      </c>
      <c r="J395" s="6" t="n">
        <f aca="false">HOUR(E395)</f>
        <v>12</v>
      </c>
      <c r="K395" s="6" t="n">
        <f aca="false">IF(COUNTIF($A$2:$A395,A395)=1,1,0)</f>
        <v>0</v>
      </c>
    </row>
    <row r="396" customFormat="false" ht="15" hidden="false" customHeight="false" outlineLevel="0" collapsed="false">
      <c r="A396" s="0" t="s">
        <v>185</v>
      </c>
      <c r="B396" s="0" t="s">
        <v>75</v>
      </c>
      <c r="C396" s="0" t="s">
        <v>76</v>
      </c>
      <c r="D396" s="0" t="n">
        <v>9</v>
      </c>
      <c r="E396" s="5" t="n">
        <v>45936.5142013889</v>
      </c>
      <c r="F396" s="0" t="n">
        <v>3.39</v>
      </c>
      <c r="H396" s="6" t="s">
        <v>74</v>
      </c>
      <c r="I396" s="6" t="n">
        <f aca="false">D396*F396</f>
        <v>30.51</v>
      </c>
      <c r="J396" s="6" t="n">
        <f aca="false">HOUR(E396)</f>
        <v>12</v>
      </c>
      <c r="K396" s="6" t="n">
        <f aca="false">IF(COUNTIF($A$2:$A396,A396)=1,1,0)</f>
        <v>0</v>
      </c>
    </row>
    <row r="397" customFormat="false" ht="15" hidden="false" customHeight="false" outlineLevel="0" collapsed="false">
      <c r="A397" s="0" t="s">
        <v>185</v>
      </c>
      <c r="B397" s="0" t="s">
        <v>131</v>
      </c>
      <c r="C397" s="0" t="s">
        <v>132</v>
      </c>
      <c r="D397" s="0" t="n">
        <v>24</v>
      </c>
      <c r="E397" s="5" t="n">
        <v>45936.5142013889</v>
      </c>
      <c r="F397" s="0" t="n">
        <v>3.39</v>
      </c>
      <c r="H397" s="6" t="s">
        <v>74</v>
      </c>
      <c r="I397" s="6" t="n">
        <f aca="false">D397*F397</f>
        <v>81.36</v>
      </c>
      <c r="J397" s="6" t="n">
        <f aca="false">HOUR(E397)</f>
        <v>12</v>
      </c>
      <c r="K397" s="6" t="n">
        <f aca="false">IF(COUNTIF($A$2:$A397,A397)=1,1,0)</f>
        <v>0</v>
      </c>
    </row>
    <row r="398" customFormat="false" ht="15" hidden="false" customHeight="false" outlineLevel="0" collapsed="false">
      <c r="A398" s="0" t="s">
        <v>185</v>
      </c>
      <c r="B398" s="0" t="s">
        <v>63</v>
      </c>
      <c r="C398" s="0" t="s">
        <v>64</v>
      </c>
      <c r="D398" s="0" t="n">
        <v>17</v>
      </c>
      <c r="E398" s="5" t="n">
        <v>45936.5142013889</v>
      </c>
      <c r="F398" s="0" t="n">
        <v>1.85</v>
      </c>
      <c r="H398" s="6" t="s">
        <v>74</v>
      </c>
      <c r="I398" s="6" t="n">
        <f aca="false">D398*F398</f>
        <v>31.45</v>
      </c>
      <c r="J398" s="6" t="n">
        <f aca="false">HOUR(E398)</f>
        <v>12</v>
      </c>
      <c r="K398" s="6" t="n">
        <f aca="false">IF(COUNTIF($A$2:$A398,A398)=1,1,0)</f>
        <v>0</v>
      </c>
    </row>
    <row r="399" customFormat="false" ht="15" hidden="false" customHeight="false" outlineLevel="0" collapsed="false">
      <c r="A399" s="0" t="s">
        <v>185</v>
      </c>
      <c r="B399" s="0" t="s">
        <v>93</v>
      </c>
      <c r="C399" s="0" t="s">
        <v>94</v>
      </c>
      <c r="D399" s="0" t="n">
        <v>11</v>
      </c>
      <c r="E399" s="5" t="n">
        <v>45936.5142013889</v>
      </c>
      <c r="F399" s="0" t="n">
        <v>1.69</v>
      </c>
      <c r="H399" s="6" t="s">
        <v>74</v>
      </c>
      <c r="I399" s="6" t="n">
        <f aca="false">D399*F399</f>
        <v>18.59</v>
      </c>
      <c r="J399" s="6" t="n">
        <f aca="false">HOUR(E399)</f>
        <v>12</v>
      </c>
      <c r="K399" s="6" t="n">
        <f aca="false">IF(COUNTIF($A$2:$A399,A399)=1,1,0)</f>
        <v>0</v>
      </c>
    </row>
    <row r="400" customFormat="false" ht="15" hidden="false" customHeight="false" outlineLevel="0" collapsed="false">
      <c r="A400" s="0" t="s">
        <v>185</v>
      </c>
      <c r="B400" s="0" t="s">
        <v>109</v>
      </c>
      <c r="C400" s="0" t="s">
        <v>110</v>
      </c>
      <c r="D400" s="0" t="n">
        <v>16</v>
      </c>
      <c r="E400" s="5" t="n">
        <v>45936.5142013889</v>
      </c>
      <c r="F400" s="0" t="n">
        <v>0.85</v>
      </c>
      <c r="H400" s="6" t="s">
        <v>74</v>
      </c>
      <c r="I400" s="6" t="n">
        <f aca="false">D400*F400</f>
        <v>13.6</v>
      </c>
      <c r="J400" s="6" t="n">
        <f aca="false">HOUR(E400)</f>
        <v>12</v>
      </c>
      <c r="K400" s="6" t="n">
        <f aca="false">IF(COUNTIF($A$2:$A400,A400)=1,1,0)</f>
        <v>0</v>
      </c>
    </row>
    <row r="401" customFormat="false" ht="15" hidden="false" customHeight="false" outlineLevel="0" collapsed="false">
      <c r="A401" s="0" t="s">
        <v>185</v>
      </c>
      <c r="B401" s="0" t="s">
        <v>95</v>
      </c>
      <c r="C401" s="0" t="s">
        <v>96</v>
      </c>
      <c r="D401" s="0" t="n">
        <v>16</v>
      </c>
      <c r="E401" s="5" t="n">
        <v>45936.5142013889</v>
      </c>
      <c r="F401" s="0" t="n">
        <v>2.55</v>
      </c>
      <c r="H401" s="6" t="s">
        <v>74</v>
      </c>
      <c r="I401" s="6" t="n">
        <f aca="false">D401*F401</f>
        <v>40.8</v>
      </c>
      <c r="J401" s="6" t="n">
        <f aca="false">HOUR(E401)</f>
        <v>12</v>
      </c>
      <c r="K401" s="6" t="n">
        <f aca="false">IF(COUNTIF($A$2:$A401,A401)=1,1,0)</f>
        <v>0</v>
      </c>
    </row>
    <row r="402" customFormat="false" ht="15" hidden="false" customHeight="false" outlineLevel="0" collapsed="false">
      <c r="A402" s="0" t="s">
        <v>185</v>
      </c>
      <c r="B402" s="0" t="s">
        <v>79</v>
      </c>
      <c r="C402" s="0" t="s">
        <v>80</v>
      </c>
      <c r="D402" s="0" t="n">
        <v>20</v>
      </c>
      <c r="E402" s="5" t="n">
        <v>45936.5142013889</v>
      </c>
      <c r="F402" s="0" t="n">
        <v>3.39</v>
      </c>
      <c r="H402" s="6" t="s">
        <v>74</v>
      </c>
      <c r="I402" s="6" t="n">
        <f aca="false">D402*F402</f>
        <v>67.8</v>
      </c>
      <c r="J402" s="6" t="n">
        <f aca="false">HOUR(E402)</f>
        <v>12</v>
      </c>
      <c r="K402" s="6" t="n">
        <f aca="false">IF(COUNTIF($A$2:$A402,A402)=1,1,0)</f>
        <v>0</v>
      </c>
    </row>
    <row r="403" customFormat="false" ht="15" hidden="false" customHeight="false" outlineLevel="0" collapsed="false">
      <c r="A403" s="0" t="s">
        <v>185</v>
      </c>
      <c r="B403" s="0" t="s">
        <v>145</v>
      </c>
      <c r="C403" s="0" t="s">
        <v>146</v>
      </c>
      <c r="D403" s="0" t="n">
        <v>2</v>
      </c>
      <c r="E403" s="5" t="n">
        <v>45936.5142013889</v>
      </c>
      <c r="F403" s="0" t="n">
        <v>1.85</v>
      </c>
      <c r="H403" s="6" t="s">
        <v>74</v>
      </c>
      <c r="I403" s="6" t="n">
        <f aca="false">D403*F403</f>
        <v>3.7</v>
      </c>
      <c r="J403" s="6" t="n">
        <f aca="false">HOUR(E403)</f>
        <v>12</v>
      </c>
      <c r="K403" s="6" t="n">
        <f aca="false">IF(COUNTIF($A$2:$A403,A403)=1,1,0)</f>
        <v>0</v>
      </c>
    </row>
    <row r="404" customFormat="false" ht="15" hidden="false" customHeight="false" outlineLevel="0" collapsed="false">
      <c r="A404" s="0" t="s">
        <v>186</v>
      </c>
      <c r="B404" s="0" t="s">
        <v>83</v>
      </c>
      <c r="C404" s="0" t="s">
        <v>84</v>
      </c>
      <c r="D404" s="0" t="n">
        <v>20</v>
      </c>
      <c r="E404" s="5" t="n">
        <v>45936.725775463</v>
      </c>
      <c r="F404" s="0" t="n">
        <v>2.95</v>
      </c>
      <c r="G404" s="0" t="n">
        <v>17234</v>
      </c>
      <c r="H404" s="6" t="s">
        <v>98</v>
      </c>
      <c r="I404" s="6" t="n">
        <f aca="false">D404*F404</f>
        <v>59</v>
      </c>
      <c r="J404" s="6" t="n">
        <f aca="false">HOUR(E404)</f>
        <v>17</v>
      </c>
      <c r="K404" s="6" t="n">
        <f aca="false">IF(COUNTIF($A$2:$A404,A404)=1,1,0)</f>
        <v>1</v>
      </c>
    </row>
    <row r="405" customFormat="false" ht="15" hidden="false" customHeight="false" outlineLevel="0" collapsed="false">
      <c r="A405" s="0" t="s">
        <v>186</v>
      </c>
      <c r="B405" s="0" t="s">
        <v>75</v>
      </c>
      <c r="C405" s="0" t="s">
        <v>76</v>
      </c>
      <c r="D405" s="0" t="n">
        <v>10</v>
      </c>
      <c r="E405" s="5" t="n">
        <v>45936.725775463</v>
      </c>
      <c r="F405" s="0" t="n">
        <v>3.39</v>
      </c>
      <c r="G405" s="0" t="n">
        <v>17234</v>
      </c>
      <c r="H405" s="6" t="s">
        <v>98</v>
      </c>
      <c r="I405" s="6" t="n">
        <f aca="false">D405*F405</f>
        <v>33.9</v>
      </c>
      <c r="J405" s="6" t="n">
        <f aca="false">HOUR(E405)</f>
        <v>17</v>
      </c>
      <c r="K405" s="6" t="n">
        <f aca="false">IF(COUNTIF($A$2:$A405,A405)=1,1,0)</f>
        <v>0</v>
      </c>
    </row>
    <row r="406" customFormat="false" ht="15" hidden="false" customHeight="false" outlineLevel="0" collapsed="false">
      <c r="A406" s="0" t="s">
        <v>186</v>
      </c>
      <c r="B406" s="0" t="s">
        <v>93</v>
      </c>
      <c r="C406" s="0" t="s">
        <v>94</v>
      </c>
      <c r="D406" s="0" t="n">
        <v>20</v>
      </c>
      <c r="E406" s="5" t="n">
        <v>45936.725775463</v>
      </c>
      <c r="F406" s="0" t="n">
        <v>1.69</v>
      </c>
      <c r="G406" s="0" t="n">
        <v>17234</v>
      </c>
      <c r="H406" s="6" t="s">
        <v>98</v>
      </c>
      <c r="I406" s="6" t="n">
        <f aca="false">D406*F406</f>
        <v>33.8</v>
      </c>
      <c r="J406" s="6" t="n">
        <f aca="false">HOUR(E406)</f>
        <v>17</v>
      </c>
      <c r="K406" s="6" t="n">
        <f aca="false">IF(COUNTIF($A$2:$A406,A406)=1,1,0)</f>
        <v>0</v>
      </c>
    </row>
    <row r="407" customFormat="false" ht="15" hidden="false" customHeight="false" outlineLevel="0" collapsed="false">
      <c r="A407" s="0" t="s">
        <v>186</v>
      </c>
      <c r="B407" s="0" t="s">
        <v>59</v>
      </c>
      <c r="C407" s="0" t="s">
        <v>60</v>
      </c>
      <c r="D407" s="0" t="n">
        <v>6</v>
      </c>
      <c r="E407" s="5" t="n">
        <v>45936.725775463</v>
      </c>
      <c r="F407" s="0" t="n">
        <v>0.42</v>
      </c>
      <c r="G407" s="0" t="n">
        <v>17234</v>
      </c>
      <c r="H407" s="6" t="s">
        <v>98</v>
      </c>
      <c r="I407" s="6" t="n">
        <f aca="false">D407*F407</f>
        <v>2.52</v>
      </c>
      <c r="J407" s="6" t="n">
        <f aca="false">HOUR(E407)</f>
        <v>17</v>
      </c>
      <c r="K407" s="6" t="n">
        <f aca="false">IF(COUNTIF($A$2:$A407,A407)=1,1,0)</f>
        <v>0</v>
      </c>
    </row>
    <row r="408" customFormat="false" ht="15" hidden="false" customHeight="false" outlineLevel="0" collapsed="false">
      <c r="A408" s="0" t="s">
        <v>186</v>
      </c>
      <c r="B408" s="0" t="s">
        <v>79</v>
      </c>
      <c r="C408" s="0" t="s">
        <v>80</v>
      </c>
      <c r="D408" s="0" t="n">
        <v>4</v>
      </c>
      <c r="E408" s="5" t="n">
        <v>45936.725775463</v>
      </c>
      <c r="F408" s="0" t="n">
        <v>3.39</v>
      </c>
      <c r="G408" s="0" t="n">
        <v>17234</v>
      </c>
      <c r="H408" s="6" t="s">
        <v>98</v>
      </c>
      <c r="I408" s="6" t="n">
        <f aca="false">D408*F408</f>
        <v>13.56</v>
      </c>
      <c r="J408" s="6" t="n">
        <f aca="false">HOUR(E408)</f>
        <v>17</v>
      </c>
      <c r="K408" s="6" t="n">
        <f aca="false">IF(COUNTIF($A$2:$A408,A408)=1,1,0)</f>
        <v>0</v>
      </c>
    </row>
    <row r="409" customFormat="false" ht="15" hidden="false" customHeight="false" outlineLevel="0" collapsed="false">
      <c r="A409" s="0" t="s">
        <v>186</v>
      </c>
      <c r="B409" s="0" t="s">
        <v>109</v>
      </c>
      <c r="C409" s="0" t="s">
        <v>110</v>
      </c>
      <c r="D409" s="0" t="n">
        <v>3</v>
      </c>
      <c r="E409" s="5" t="n">
        <v>45936.725775463</v>
      </c>
      <c r="F409" s="0" t="n">
        <v>0.85</v>
      </c>
      <c r="G409" s="0" t="n">
        <v>17234</v>
      </c>
      <c r="H409" s="6" t="s">
        <v>98</v>
      </c>
      <c r="I409" s="6" t="n">
        <f aca="false">D409*F409</f>
        <v>2.55</v>
      </c>
      <c r="J409" s="6" t="n">
        <f aca="false">HOUR(E409)</f>
        <v>17</v>
      </c>
      <c r="K409" s="6" t="n">
        <f aca="false">IF(COUNTIF($A$2:$A409,A409)=1,1,0)</f>
        <v>0</v>
      </c>
    </row>
    <row r="410" customFormat="false" ht="15" hidden="false" customHeight="false" outlineLevel="0" collapsed="false">
      <c r="A410" s="0" t="s">
        <v>186</v>
      </c>
      <c r="B410" s="0" t="s">
        <v>116</v>
      </c>
      <c r="C410" s="0" t="s">
        <v>117</v>
      </c>
      <c r="D410" s="0" t="n">
        <v>6</v>
      </c>
      <c r="E410" s="5" t="n">
        <v>45936.725775463</v>
      </c>
      <c r="F410" s="0" t="n">
        <v>1.95</v>
      </c>
      <c r="G410" s="0" t="n">
        <v>17234</v>
      </c>
      <c r="H410" s="6" t="s">
        <v>98</v>
      </c>
      <c r="I410" s="6" t="n">
        <f aca="false">D410*F410</f>
        <v>11.7</v>
      </c>
      <c r="J410" s="6" t="n">
        <f aca="false">HOUR(E410)</f>
        <v>17</v>
      </c>
      <c r="K410" s="6" t="n">
        <f aca="false">IF(COUNTIF($A$2:$A410,A410)=1,1,0)</f>
        <v>0</v>
      </c>
    </row>
    <row r="411" customFormat="false" ht="15" hidden="false" customHeight="false" outlineLevel="0" collapsed="false">
      <c r="A411" s="0" t="s">
        <v>186</v>
      </c>
      <c r="B411" s="0" t="s">
        <v>88</v>
      </c>
      <c r="C411" s="0" t="s">
        <v>89</v>
      </c>
      <c r="D411" s="0" t="n">
        <v>4</v>
      </c>
      <c r="E411" s="5" t="n">
        <v>45936.725775463</v>
      </c>
      <c r="F411" s="0" t="n">
        <v>2.75</v>
      </c>
      <c r="G411" s="0" t="n">
        <v>17234</v>
      </c>
      <c r="H411" s="6" t="s">
        <v>98</v>
      </c>
      <c r="I411" s="6" t="n">
        <f aca="false">D411*F411</f>
        <v>11</v>
      </c>
      <c r="J411" s="6" t="n">
        <f aca="false">HOUR(E411)</f>
        <v>17</v>
      </c>
      <c r="K411" s="6" t="n">
        <f aca="false">IF(COUNTIF($A$2:$A411,A411)=1,1,0)</f>
        <v>0</v>
      </c>
    </row>
    <row r="412" customFormat="false" ht="15" hidden="false" customHeight="false" outlineLevel="0" collapsed="false">
      <c r="A412" s="0" t="s">
        <v>186</v>
      </c>
      <c r="B412" s="0" t="s">
        <v>102</v>
      </c>
      <c r="C412" s="0" t="s">
        <v>103</v>
      </c>
      <c r="D412" s="0" t="n">
        <v>47</v>
      </c>
      <c r="E412" s="5" t="n">
        <v>45936.725775463</v>
      </c>
      <c r="F412" s="0" t="n">
        <v>8.5</v>
      </c>
      <c r="G412" s="0" t="n">
        <v>17234</v>
      </c>
      <c r="H412" s="6" t="s">
        <v>98</v>
      </c>
      <c r="I412" s="6" t="n">
        <f aca="false">D412*F412</f>
        <v>399.5</v>
      </c>
      <c r="J412" s="6" t="n">
        <f aca="false">HOUR(E412)</f>
        <v>17</v>
      </c>
      <c r="K412" s="6" t="n">
        <f aca="false">IF(COUNTIF($A$2:$A412,A412)=1,1,0)</f>
        <v>0</v>
      </c>
    </row>
    <row r="413" customFormat="false" ht="15" hidden="false" customHeight="false" outlineLevel="0" collapsed="false">
      <c r="A413" s="0" t="s">
        <v>187</v>
      </c>
      <c r="B413" s="0" t="s">
        <v>109</v>
      </c>
      <c r="C413" s="0" t="s">
        <v>110</v>
      </c>
      <c r="D413" s="0" t="n">
        <v>16</v>
      </c>
      <c r="E413" s="5" t="n">
        <v>45936.7660532407</v>
      </c>
      <c r="F413" s="0" t="n">
        <v>0.85</v>
      </c>
      <c r="G413" s="0" t="n">
        <v>17000</v>
      </c>
      <c r="H413" s="6" t="s">
        <v>188</v>
      </c>
      <c r="I413" s="6" t="n">
        <f aca="false">D413*F413</f>
        <v>13.6</v>
      </c>
      <c r="J413" s="6" t="n">
        <f aca="false">HOUR(E413)</f>
        <v>18</v>
      </c>
      <c r="K413" s="6" t="n">
        <f aca="false">IF(COUNTIF($A$2:$A413,A413)=1,1,0)</f>
        <v>1</v>
      </c>
    </row>
    <row r="414" customFormat="false" ht="15" hidden="false" customHeight="false" outlineLevel="0" collapsed="false">
      <c r="A414" s="0" t="s">
        <v>187</v>
      </c>
      <c r="B414" s="0" t="s">
        <v>45</v>
      </c>
      <c r="C414" s="0" t="s">
        <v>46</v>
      </c>
      <c r="D414" s="0" t="n">
        <v>14</v>
      </c>
      <c r="E414" s="5" t="n">
        <v>45936.7660532407</v>
      </c>
      <c r="F414" s="0" t="n">
        <v>2.1</v>
      </c>
      <c r="G414" s="0" t="n">
        <v>17000</v>
      </c>
      <c r="H414" s="6" t="s">
        <v>188</v>
      </c>
      <c r="I414" s="6" t="n">
        <f aca="false">D414*F414</f>
        <v>29.4</v>
      </c>
      <c r="J414" s="6" t="n">
        <f aca="false">HOUR(E414)</f>
        <v>18</v>
      </c>
      <c r="K414" s="6" t="n">
        <f aca="false">IF(COUNTIF($A$2:$A414,A414)=1,1,0)</f>
        <v>0</v>
      </c>
    </row>
    <row r="415" customFormat="false" ht="15" hidden="false" customHeight="false" outlineLevel="0" collapsed="false">
      <c r="A415" s="0" t="s">
        <v>187</v>
      </c>
      <c r="B415" s="0" t="s">
        <v>95</v>
      </c>
      <c r="C415" s="0" t="s">
        <v>96</v>
      </c>
      <c r="D415" s="0" t="n">
        <v>12</v>
      </c>
      <c r="E415" s="5" t="n">
        <v>45936.7660532407</v>
      </c>
      <c r="F415" s="0" t="n">
        <v>2.55</v>
      </c>
      <c r="G415" s="0" t="n">
        <v>17000</v>
      </c>
      <c r="H415" s="6" t="s">
        <v>188</v>
      </c>
      <c r="I415" s="6" t="n">
        <f aca="false">D415*F415</f>
        <v>30.6</v>
      </c>
      <c r="J415" s="6" t="n">
        <f aca="false">HOUR(E415)</f>
        <v>18</v>
      </c>
      <c r="K415" s="6" t="n">
        <f aca="false">IF(COUNTIF($A$2:$A415,A415)=1,1,0)</f>
        <v>0</v>
      </c>
    </row>
    <row r="416" customFormat="false" ht="15" hidden="false" customHeight="false" outlineLevel="0" collapsed="false">
      <c r="A416" s="0" t="s">
        <v>189</v>
      </c>
      <c r="B416" s="0" t="s">
        <v>57</v>
      </c>
      <c r="C416" s="0" t="s">
        <v>58</v>
      </c>
      <c r="D416" s="0" t="n">
        <v>6</v>
      </c>
      <c r="E416" s="5" t="n">
        <v>45936.8158217593</v>
      </c>
      <c r="F416" s="0" t="n">
        <v>2.08</v>
      </c>
      <c r="G416" s="0" t="n">
        <v>17050</v>
      </c>
      <c r="H416" s="6" t="s">
        <v>151</v>
      </c>
      <c r="I416" s="6" t="n">
        <f aca="false">D416*F416</f>
        <v>12.48</v>
      </c>
      <c r="J416" s="6" t="n">
        <f aca="false">HOUR(E416)</f>
        <v>19</v>
      </c>
      <c r="K416" s="6" t="n">
        <f aca="false">IF(COUNTIF($A$2:$A416,A416)=1,1,0)</f>
        <v>1</v>
      </c>
    </row>
    <row r="417" customFormat="false" ht="15" hidden="false" customHeight="false" outlineLevel="0" collapsed="false">
      <c r="A417" s="0" t="s">
        <v>189</v>
      </c>
      <c r="B417" s="0" t="s">
        <v>43</v>
      </c>
      <c r="C417" s="0" t="s">
        <v>44</v>
      </c>
      <c r="D417" s="0" t="n">
        <v>8</v>
      </c>
      <c r="E417" s="5" t="n">
        <v>45936.8158217593</v>
      </c>
      <c r="F417" s="0" t="n">
        <v>4.25</v>
      </c>
      <c r="G417" s="0" t="n">
        <v>17050</v>
      </c>
      <c r="H417" s="6" t="s">
        <v>151</v>
      </c>
      <c r="I417" s="6" t="n">
        <f aca="false">D417*F417</f>
        <v>34</v>
      </c>
      <c r="J417" s="6" t="n">
        <f aca="false">HOUR(E417)</f>
        <v>19</v>
      </c>
      <c r="K417" s="6" t="n">
        <f aca="false">IF(COUNTIF($A$2:$A417,A417)=1,1,0)</f>
        <v>0</v>
      </c>
    </row>
    <row r="418" customFormat="false" ht="15" hidden="false" customHeight="false" outlineLevel="0" collapsed="false">
      <c r="A418" s="0" t="s">
        <v>189</v>
      </c>
      <c r="B418" s="0" t="s">
        <v>93</v>
      </c>
      <c r="C418" s="0" t="s">
        <v>94</v>
      </c>
      <c r="D418" s="0" t="n">
        <v>24</v>
      </c>
      <c r="E418" s="5" t="n">
        <v>45936.8158217593</v>
      </c>
      <c r="F418" s="0" t="n">
        <v>1.69</v>
      </c>
      <c r="G418" s="0" t="n">
        <v>17050</v>
      </c>
      <c r="H418" s="6" t="s">
        <v>151</v>
      </c>
      <c r="I418" s="6" t="n">
        <f aca="false">D418*F418</f>
        <v>40.56</v>
      </c>
      <c r="J418" s="6" t="n">
        <f aca="false">HOUR(E418)</f>
        <v>19</v>
      </c>
      <c r="K418" s="6" t="n">
        <f aca="false">IF(COUNTIF($A$2:$A418,A418)=1,1,0)</f>
        <v>0</v>
      </c>
    </row>
    <row r="419" customFormat="false" ht="15" hidden="false" customHeight="false" outlineLevel="0" collapsed="false">
      <c r="A419" s="0" t="s">
        <v>189</v>
      </c>
      <c r="B419" s="0" t="s">
        <v>91</v>
      </c>
      <c r="C419" s="0" t="s">
        <v>92</v>
      </c>
      <c r="D419" s="0" t="n">
        <v>22</v>
      </c>
      <c r="E419" s="5" t="n">
        <v>45936.8158217593</v>
      </c>
      <c r="F419" s="0" t="n">
        <v>7.65</v>
      </c>
      <c r="G419" s="0" t="n">
        <v>17050</v>
      </c>
      <c r="H419" s="6" t="s">
        <v>151</v>
      </c>
      <c r="I419" s="6" t="n">
        <f aca="false">D419*F419</f>
        <v>168.3</v>
      </c>
      <c r="J419" s="6" t="n">
        <f aca="false">HOUR(E419)</f>
        <v>19</v>
      </c>
      <c r="K419" s="6" t="n">
        <f aca="false">IF(COUNTIF($A$2:$A419,A419)=1,1,0)</f>
        <v>0</v>
      </c>
    </row>
    <row r="420" customFormat="false" ht="15" hidden="false" customHeight="false" outlineLevel="0" collapsed="false">
      <c r="A420" s="0" t="s">
        <v>189</v>
      </c>
      <c r="B420" s="0" t="s">
        <v>104</v>
      </c>
      <c r="C420" s="0" t="s">
        <v>105</v>
      </c>
      <c r="D420" s="0" t="n">
        <v>10</v>
      </c>
      <c r="E420" s="5" t="n">
        <v>45936.8158217593</v>
      </c>
      <c r="F420" s="0" t="n">
        <v>1.65</v>
      </c>
      <c r="G420" s="0" t="n">
        <v>17050</v>
      </c>
      <c r="H420" s="6" t="s">
        <v>151</v>
      </c>
      <c r="I420" s="6" t="n">
        <f aca="false">D420*F420</f>
        <v>16.5</v>
      </c>
      <c r="J420" s="6" t="n">
        <f aca="false">HOUR(E420)</f>
        <v>19</v>
      </c>
      <c r="K420" s="6" t="n">
        <f aca="false">IF(COUNTIF($A$2:$A420,A420)=1,1,0)</f>
        <v>0</v>
      </c>
    </row>
    <row r="421" customFormat="false" ht="15" hidden="false" customHeight="false" outlineLevel="0" collapsed="false">
      <c r="A421" s="0" t="s">
        <v>189</v>
      </c>
      <c r="B421" s="0" t="s">
        <v>59</v>
      </c>
      <c r="C421" s="0" t="s">
        <v>60</v>
      </c>
      <c r="D421" s="0" t="n">
        <v>2</v>
      </c>
      <c r="E421" s="5" t="n">
        <v>45936.8158217593</v>
      </c>
      <c r="F421" s="0" t="n">
        <v>0.42</v>
      </c>
      <c r="G421" s="0" t="n">
        <v>17050</v>
      </c>
      <c r="H421" s="6" t="s">
        <v>151</v>
      </c>
      <c r="I421" s="6" t="n">
        <f aca="false">D421*F421</f>
        <v>0.84</v>
      </c>
      <c r="J421" s="6" t="n">
        <f aca="false">HOUR(E421)</f>
        <v>19</v>
      </c>
      <c r="K421" s="6" t="n">
        <f aca="false">IF(COUNTIF($A$2:$A421,A421)=1,1,0)</f>
        <v>0</v>
      </c>
    </row>
    <row r="422" customFormat="false" ht="15" hidden="false" customHeight="false" outlineLevel="0" collapsed="false">
      <c r="A422" s="0" t="s">
        <v>189</v>
      </c>
      <c r="B422" s="0" t="s">
        <v>55</v>
      </c>
      <c r="C422" s="0" t="s">
        <v>56</v>
      </c>
      <c r="D422" s="0" t="n">
        <v>9</v>
      </c>
      <c r="E422" s="5" t="n">
        <v>45936.8158217593</v>
      </c>
      <c r="F422" s="0" t="n">
        <v>1.65</v>
      </c>
      <c r="G422" s="0" t="n">
        <v>17050</v>
      </c>
      <c r="H422" s="6" t="s">
        <v>151</v>
      </c>
      <c r="I422" s="6" t="n">
        <f aca="false">D422*F422</f>
        <v>14.85</v>
      </c>
      <c r="J422" s="6" t="n">
        <f aca="false">HOUR(E422)</f>
        <v>19</v>
      </c>
      <c r="K422" s="6" t="n">
        <f aca="false">IF(COUNTIF($A$2:$A422,A422)=1,1,0)</f>
        <v>0</v>
      </c>
    </row>
    <row r="423" customFormat="false" ht="15" hidden="false" customHeight="false" outlineLevel="0" collapsed="false">
      <c r="A423" s="0" t="s">
        <v>189</v>
      </c>
      <c r="B423" s="0" t="s">
        <v>107</v>
      </c>
      <c r="C423" s="0" t="s">
        <v>108</v>
      </c>
      <c r="D423" s="0" t="n">
        <v>8</v>
      </c>
      <c r="E423" s="5" t="n">
        <v>45936.8158217593</v>
      </c>
      <c r="F423" s="0" t="n">
        <v>3.75</v>
      </c>
      <c r="G423" s="0" t="n">
        <v>17050</v>
      </c>
      <c r="H423" s="6" t="s">
        <v>151</v>
      </c>
      <c r="I423" s="6" t="n">
        <f aca="false">D423*F423</f>
        <v>30</v>
      </c>
      <c r="J423" s="6" t="n">
        <f aca="false">HOUR(E423)</f>
        <v>19</v>
      </c>
      <c r="K423" s="6" t="n">
        <f aca="false">IF(COUNTIF($A$2:$A423,A423)=1,1,0)</f>
        <v>0</v>
      </c>
    </row>
    <row r="424" customFormat="false" ht="15" hidden="false" customHeight="false" outlineLevel="0" collapsed="false">
      <c r="A424" s="0" t="s">
        <v>189</v>
      </c>
      <c r="B424" s="0" t="s">
        <v>69</v>
      </c>
      <c r="C424" s="0" t="s">
        <v>70</v>
      </c>
      <c r="D424" s="0" t="n">
        <v>21</v>
      </c>
      <c r="E424" s="5" t="n">
        <v>45936.8158217593</v>
      </c>
      <c r="F424" s="0" t="n">
        <v>2.08</v>
      </c>
      <c r="G424" s="0" t="n">
        <v>17050</v>
      </c>
      <c r="H424" s="6" t="s">
        <v>151</v>
      </c>
      <c r="I424" s="6" t="n">
        <f aca="false">D424*F424</f>
        <v>43.68</v>
      </c>
      <c r="J424" s="6" t="n">
        <f aca="false">HOUR(E424)</f>
        <v>19</v>
      </c>
      <c r="K424" s="6" t="n">
        <f aca="false">IF(COUNTIF($A$2:$A424,A424)=1,1,0)</f>
        <v>0</v>
      </c>
    </row>
    <row r="425" customFormat="false" ht="15" hidden="false" customHeight="false" outlineLevel="0" collapsed="false">
      <c r="A425" s="0" t="s">
        <v>189</v>
      </c>
      <c r="B425" s="0" t="s">
        <v>65</v>
      </c>
      <c r="C425" s="0" t="s">
        <v>66</v>
      </c>
      <c r="D425" s="0" t="n">
        <v>23</v>
      </c>
      <c r="E425" s="5" t="n">
        <v>45936.8158217593</v>
      </c>
      <c r="F425" s="0" t="n">
        <v>1.65</v>
      </c>
      <c r="G425" s="0" t="n">
        <v>17050</v>
      </c>
      <c r="H425" s="6" t="s">
        <v>151</v>
      </c>
      <c r="I425" s="6" t="n">
        <f aca="false">D425*F425</f>
        <v>37.95</v>
      </c>
      <c r="J425" s="6" t="n">
        <f aca="false">HOUR(E425)</f>
        <v>19</v>
      </c>
      <c r="K425" s="6" t="n">
        <f aca="false">IF(COUNTIF($A$2:$A425,A425)=1,1,0)</f>
        <v>0</v>
      </c>
    </row>
    <row r="426" customFormat="false" ht="15" hidden="false" customHeight="false" outlineLevel="0" collapsed="false">
      <c r="A426" s="0" t="s">
        <v>190</v>
      </c>
      <c r="B426" s="0" t="s">
        <v>109</v>
      </c>
      <c r="C426" s="0" t="s">
        <v>110</v>
      </c>
      <c r="D426" s="0" t="n">
        <v>1</v>
      </c>
      <c r="E426" s="5" t="n">
        <v>45936.8389583333</v>
      </c>
      <c r="F426" s="0" t="n">
        <v>0.85</v>
      </c>
      <c r="G426" s="0" t="n">
        <v>17080</v>
      </c>
      <c r="H426" s="6" t="s">
        <v>151</v>
      </c>
      <c r="I426" s="6" t="n">
        <f aca="false">D426*F426</f>
        <v>0.85</v>
      </c>
      <c r="J426" s="6" t="n">
        <f aca="false">HOUR(E426)</f>
        <v>20</v>
      </c>
      <c r="K426" s="6" t="n">
        <f aca="false">IF(COUNTIF($A$2:$A426,A426)=1,1,0)</f>
        <v>1</v>
      </c>
    </row>
    <row r="427" customFormat="false" ht="15" hidden="false" customHeight="false" outlineLevel="0" collapsed="false">
      <c r="A427" s="0" t="s">
        <v>191</v>
      </c>
      <c r="B427" s="0" t="s">
        <v>134</v>
      </c>
      <c r="C427" s="0" t="s">
        <v>135</v>
      </c>
      <c r="D427" s="0" t="n">
        <v>24</v>
      </c>
      <c r="E427" s="5" t="n">
        <v>45937.2496990741</v>
      </c>
      <c r="F427" s="0" t="n">
        <v>5.95</v>
      </c>
      <c r="G427" s="0" t="n">
        <v>17059</v>
      </c>
      <c r="H427" s="6" t="s">
        <v>74</v>
      </c>
      <c r="I427" s="6" t="n">
        <f aca="false">D427*F427</f>
        <v>142.8</v>
      </c>
      <c r="J427" s="6" t="n">
        <f aca="false">HOUR(E427)</f>
        <v>5</v>
      </c>
      <c r="K427" s="6" t="n">
        <f aca="false">IF(COUNTIF($A$2:$A427,A427)=1,1,0)</f>
        <v>1</v>
      </c>
    </row>
    <row r="428" customFormat="false" ht="15" hidden="false" customHeight="false" outlineLevel="0" collapsed="false">
      <c r="A428" s="0" t="s">
        <v>191</v>
      </c>
      <c r="B428" s="0" t="s">
        <v>104</v>
      </c>
      <c r="C428" s="0" t="s">
        <v>105</v>
      </c>
      <c r="D428" s="0" t="n">
        <v>11</v>
      </c>
      <c r="E428" s="5" t="n">
        <v>45937.2496990741</v>
      </c>
      <c r="F428" s="0" t="n">
        <v>1.65</v>
      </c>
      <c r="G428" s="0" t="n">
        <v>17059</v>
      </c>
      <c r="H428" s="6" t="s">
        <v>74</v>
      </c>
      <c r="I428" s="6" t="n">
        <f aca="false">D428*F428</f>
        <v>18.15</v>
      </c>
      <c r="J428" s="6" t="n">
        <f aca="false">HOUR(E428)</f>
        <v>5</v>
      </c>
      <c r="K428" s="6" t="n">
        <f aca="false">IF(COUNTIF($A$2:$A428,A428)=1,1,0)</f>
        <v>0</v>
      </c>
    </row>
    <row r="429" customFormat="false" ht="15" hidden="false" customHeight="false" outlineLevel="0" collapsed="false">
      <c r="A429" s="0" t="s">
        <v>192</v>
      </c>
      <c r="B429" s="0" t="s">
        <v>40</v>
      </c>
      <c r="C429" s="0" t="s">
        <v>41</v>
      </c>
      <c r="D429" s="0" t="n">
        <v>21</v>
      </c>
      <c r="E429" s="5" t="n">
        <v>45937.3747453704</v>
      </c>
      <c r="F429" s="0" t="n">
        <v>1.06</v>
      </c>
      <c r="G429" s="0" t="n">
        <v>17021</v>
      </c>
      <c r="H429" s="6" t="s">
        <v>74</v>
      </c>
      <c r="I429" s="6" t="n">
        <f aca="false">D429*F429</f>
        <v>22.26</v>
      </c>
      <c r="J429" s="6" t="n">
        <f aca="false">HOUR(E429)</f>
        <v>8</v>
      </c>
      <c r="K429" s="6" t="n">
        <f aca="false">IF(COUNTIF($A$2:$A429,A429)=1,1,0)</f>
        <v>1</v>
      </c>
    </row>
    <row r="430" customFormat="false" ht="15" hidden="false" customHeight="false" outlineLevel="0" collapsed="false">
      <c r="A430" s="0" t="s">
        <v>192</v>
      </c>
      <c r="B430" s="0" t="s">
        <v>131</v>
      </c>
      <c r="C430" s="0" t="s">
        <v>132</v>
      </c>
      <c r="D430" s="0" t="n">
        <v>13</v>
      </c>
      <c r="E430" s="5" t="n">
        <v>45937.3747453704</v>
      </c>
      <c r="F430" s="0" t="n">
        <v>3.39</v>
      </c>
      <c r="G430" s="0" t="n">
        <v>17021</v>
      </c>
      <c r="H430" s="6" t="s">
        <v>74</v>
      </c>
      <c r="I430" s="6" t="n">
        <f aca="false">D430*F430</f>
        <v>44.07</v>
      </c>
      <c r="J430" s="6" t="n">
        <f aca="false">HOUR(E430)</f>
        <v>8</v>
      </c>
      <c r="K430" s="6" t="n">
        <f aca="false">IF(COUNTIF($A$2:$A430,A430)=1,1,0)</f>
        <v>0</v>
      </c>
    </row>
    <row r="431" customFormat="false" ht="15" hidden="false" customHeight="false" outlineLevel="0" collapsed="false">
      <c r="A431" s="0" t="s">
        <v>192</v>
      </c>
      <c r="B431" s="0" t="s">
        <v>45</v>
      </c>
      <c r="C431" s="0" t="s">
        <v>46</v>
      </c>
      <c r="D431" s="0" t="n">
        <v>6</v>
      </c>
      <c r="E431" s="5" t="n">
        <v>45937.3747453704</v>
      </c>
      <c r="F431" s="0" t="n">
        <v>2.1</v>
      </c>
      <c r="G431" s="0" t="n">
        <v>17021</v>
      </c>
      <c r="H431" s="6" t="s">
        <v>74</v>
      </c>
      <c r="I431" s="6" t="n">
        <f aca="false">D431*F431</f>
        <v>12.6</v>
      </c>
      <c r="J431" s="6" t="n">
        <f aca="false">HOUR(E431)</f>
        <v>8</v>
      </c>
      <c r="K431" s="6" t="n">
        <f aca="false">IF(COUNTIF($A$2:$A431,A431)=1,1,0)</f>
        <v>0</v>
      </c>
    </row>
    <row r="432" customFormat="false" ht="15" hidden="false" customHeight="false" outlineLevel="0" collapsed="false">
      <c r="A432" s="0" t="s">
        <v>192</v>
      </c>
      <c r="B432" s="0" t="s">
        <v>88</v>
      </c>
      <c r="C432" s="0" t="s">
        <v>89</v>
      </c>
      <c r="D432" s="0" t="n">
        <v>17</v>
      </c>
      <c r="E432" s="5" t="n">
        <v>45937.3747453704</v>
      </c>
      <c r="F432" s="0" t="n">
        <v>2.75</v>
      </c>
      <c r="G432" s="0" t="n">
        <v>17021</v>
      </c>
      <c r="H432" s="6" t="s">
        <v>74</v>
      </c>
      <c r="I432" s="6" t="n">
        <f aca="false">D432*F432</f>
        <v>46.75</v>
      </c>
      <c r="J432" s="6" t="n">
        <f aca="false">HOUR(E432)</f>
        <v>8</v>
      </c>
      <c r="K432" s="6" t="n">
        <f aca="false">IF(COUNTIF($A$2:$A432,A432)=1,1,0)</f>
        <v>0</v>
      </c>
    </row>
    <row r="433" customFormat="false" ht="15" hidden="false" customHeight="false" outlineLevel="0" collapsed="false">
      <c r="A433" s="0" t="s">
        <v>192</v>
      </c>
      <c r="B433" s="0" t="s">
        <v>79</v>
      </c>
      <c r="C433" s="0" t="s">
        <v>80</v>
      </c>
      <c r="D433" s="0" t="n">
        <v>14</v>
      </c>
      <c r="E433" s="5" t="n">
        <v>45937.3747453704</v>
      </c>
      <c r="F433" s="0" t="n">
        <v>3.39</v>
      </c>
      <c r="G433" s="0" t="n">
        <v>17021</v>
      </c>
      <c r="H433" s="6" t="s">
        <v>74</v>
      </c>
      <c r="I433" s="6" t="n">
        <f aca="false">D433*F433</f>
        <v>47.46</v>
      </c>
      <c r="J433" s="6" t="n">
        <f aca="false">HOUR(E433)</f>
        <v>8</v>
      </c>
      <c r="K433" s="6" t="n">
        <f aca="false">IF(COUNTIF($A$2:$A433,A433)=1,1,0)</f>
        <v>0</v>
      </c>
    </row>
    <row r="434" customFormat="false" ht="15" hidden="false" customHeight="false" outlineLevel="0" collapsed="false">
      <c r="A434" s="0" t="s">
        <v>192</v>
      </c>
      <c r="B434" s="0" t="s">
        <v>75</v>
      </c>
      <c r="C434" s="0" t="s">
        <v>76</v>
      </c>
      <c r="D434" s="0" t="n">
        <v>1</v>
      </c>
      <c r="E434" s="5" t="n">
        <v>45937.3747453704</v>
      </c>
      <c r="F434" s="0" t="n">
        <v>3.39</v>
      </c>
      <c r="G434" s="0" t="n">
        <v>17021</v>
      </c>
      <c r="H434" s="6" t="s">
        <v>74</v>
      </c>
      <c r="I434" s="6" t="n">
        <f aca="false">D434*F434</f>
        <v>3.39</v>
      </c>
      <c r="J434" s="6" t="n">
        <f aca="false">HOUR(E434)</f>
        <v>8</v>
      </c>
      <c r="K434" s="6" t="n">
        <f aca="false">IF(COUNTIF($A$2:$A434,A434)=1,1,0)</f>
        <v>0</v>
      </c>
    </row>
    <row r="435" customFormat="false" ht="15" hidden="false" customHeight="false" outlineLevel="0" collapsed="false">
      <c r="A435" s="0" t="s">
        <v>192</v>
      </c>
      <c r="B435" s="0" t="s">
        <v>77</v>
      </c>
      <c r="C435" s="0" t="s">
        <v>78</v>
      </c>
      <c r="D435" s="0" t="n">
        <v>10</v>
      </c>
      <c r="E435" s="5" t="n">
        <v>45937.3747453704</v>
      </c>
      <c r="F435" s="0" t="n">
        <v>1.65</v>
      </c>
      <c r="G435" s="0" t="n">
        <v>17021</v>
      </c>
      <c r="H435" s="6" t="s">
        <v>74</v>
      </c>
      <c r="I435" s="6" t="n">
        <f aca="false">D435*F435</f>
        <v>16.5</v>
      </c>
      <c r="J435" s="6" t="n">
        <f aca="false">HOUR(E435)</f>
        <v>8</v>
      </c>
      <c r="K435" s="6" t="n">
        <f aca="false">IF(COUNTIF($A$2:$A435,A435)=1,1,0)</f>
        <v>0</v>
      </c>
    </row>
    <row r="436" customFormat="false" ht="15" hidden="false" customHeight="false" outlineLevel="0" collapsed="false">
      <c r="A436" s="0" t="s">
        <v>192</v>
      </c>
      <c r="B436" s="0" t="s">
        <v>53</v>
      </c>
      <c r="C436" s="0" t="s">
        <v>54</v>
      </c>
      <c r="D436" s="0" t="n">
        <v>1</v>
      </c>
      <c r="E436" s="5" t="n">
        <v>45937.3747453704</v>
      </c>
      <c r="F436" s="0" t="n">
        <v>2.95</v>
      </c>
      <c r="G436" s="0" t="n">
        <v>17021</v>
      </c>
      <c r="H436" s="6" t="s">
        <v>74</v>
      </c>
      <c r="I436" s="6" t="n">
        <f aca="false">D436*F436</f>
        <v>2.95</v>
      </c>
      <c r="J436" s="6" t="n">
        <f aca="false">HOUR(E436)</f>
        <v>8</v>
      </c>
      <c r="K436" s="6" t="n">
        <f aca="false">IF(COUNTIF($A$2:$A436,A436)=1,1,0)</f>
        <v>0</v>
      </c>
    </row>
    <row r="437" customFormat="false" ht="15" hidden="false" customHeight="false" outlineLevel="0" collapsed="false">
      <c r="A437" s="0" t="s">
        <v>193</v>
      </c>
      <c r="B437" s="0" t="s">
        <v>83</v>
      </c>
      <c r="C437" s="0" t="s">
        <v>84</v>
      </c>
      <c r="D437" s="0" t="n">
        <v>21</v>
      </c>
      <c r="E437" s="5" t="n">
        <v>45937.474525463</v>
      </c>
      <c r="F437" s="0" t="n">
        <v>2.95</v>
      </c>
      <c r="G437" s="0" t="n">
        <v>17021</v>
      </c>
      <c r="H437" s="6" t="s">
        <v>68</v>
      </c>
      <c r="I437" s="6" t="n">
        <f aca="false">D437*F437</f>
        <v>61.95</v>
      </c>
      <c r="J437" s="6" t="n">
        <f aca="false">HOUR(E437)</f>
        <v>11</v>
      </c>
      <c r="K437" s="6" t="n">
        <f aca="false">IF(COUNTIF($A$2:$A437,A437)=1,1,0)</f>
        <v>1</v>
      </c>
    </row>
    <row r="438" customFormat="false" ht="15" hidden="false" customHeight="false" outlineLevel="0" collapsed="false">
      <c r="A438" s="0" t="s">
        <v>193</v>
      </c>
      <c r="B438" s="0" t="s">
        <v>88</v>
      </c>
      <c r="C438" s="0" t="s">
        <v>89</v>
      </c>
      <c r="D438" s="0" t="n">
        <v>1</v>
      </c>
      <c r="E438" s="5" t="n">
        <v>45937.474525463</v>
      </c>
      <c r="F438" s="0" t="n">
        <v>2.75</v>
      </c>
      <c r="G438" s="0" t="n">
        <v>17021</v>
      </c>
      <c r="H438" s="6" t="s">
        <v>68</v>
      </c>
      <c r="I438" s="6" t="n">
        <f aca="false">D438*F438</f>
        <v>2.75</v>
      </c>
      <c r="J438" s="6" t="n">
        <f aca="false">HOUR(E438)</f>
        <v>11</v>
      </c>
      <c r="K438" s="6" t="n">
        <f aca="false">IF(COUNTIF($A$2:$A438,A438)=1,1,0)</f>
        <v>0</v>
      </c>
    </row>
    <row r="439" customFormat="false" ht="15" hidden="false" customHeight="false" outlineLevel="0" collapsed="false">
      <c r="A439" s="0" t="s">
        <v>193</v>
      </c>
      <c r="B439" s="0" t="s">
        <v>125</v>
      </c>
      <c r="C439" s="0" t="s">
        <v>126</v>
      </c>
      <c r="D439" s="0" t="n">
        <v>17</v>
      </c>
      <c r="E439" s="5" t="n">
        <v>45937.474525463</v>
      </c>
      <c r="F439" s="0" t="n">
        <v>1.25</v>
      </c>
      <c r="G439" s="0" t="n">
        <v>17021</v>
      </c>
      <c r="H439" s="6" t="s">
        <v>68</v>
      </c>
      <c r="I439" s="6" t="n">
        <f aca="false">D439*F439</f>
        <v>21.25</v>
      </c>
      <c r="J439" s="6" t="n">
        <f aca="false">HOUR(E439)</f>
        <v>11</v>
      </c>
      <c r="K439" s="6" t="n">
        <f aca="false">IF(COUNTIF($A$2:$A439,A439)=1,1,0)</f>
        <v>0</v>
      </c>
    </row>
    <row r="440" customFormat="false" ht="15" hidden="false" customHeight="false" outlineLevel="0" collapsed="false">
      <c r="A440" s="0" t="s">
        <v>193</v>
      </c>
      <c r="B440" s="0" t="s">
        <v>50</v>
      </c>
      <c r="C440" s="0" t="s">
        <v>51</v>
      </c>
      <c r="D440" s="0" t="n">
        <v>18</v>
      </c>
      <c r="E440" s="5" t="n">
        <v>45937.474525463</v>
      </c>
      <c r="F440" s="0" t="n">
        <v>5.95</v>
      </c>
      <c r="G440" s="0" t="n">
        <v>17021</v>
      </c>
      <c r="H440" s="6" t="s">
        <v>68</v>
      </c>
      <c r="I440" s="6" t="n">
        <f aca="false">D440*F440</f>
        <v>107.1</v>
      </c>
      <c r="J440" s="6" t="n">
        <f aca="false">HOUR(E440)</f>
        <v>11</v>
      </c>
      <c r="K440" s="6" t="n">
        <f aca="false">IF(COUNTIF($A$2:$A440,A440)=1,1,0)</f>
        <v>0</v>
      </c>
    </row>
    <row r="441" customFormat="false" ht="15" hidden="false" customHeight="false" outlineLevel="0" collapsed="false">
      <c r="A441" s="0" t="s">
        <v>193</v>
      </c>
      <c r="B441" s="0" t="s">
        <v>104</v>
      </c>
      <c r="C441" s="0" t="s">
        <v>105</v>
      </c>
      <c r="D441" s="0" t="n">
        <v>13</v>
      </c>
      <c r="E441" s="5" t="n">
        <v>45937.474525463</v>
      </c>
      <c r="F441" s="0" t="n">
        <v>1.65</v>
      </c>
      <c r="G441" s="0" t="n">
        <v>17021</v>
      </c>
      <c r="H441" s="6" t="s">
        <v>68</v>
      </c>
      <c r="I441" s="6" t="n">
        <f aca="false">D441*F441</f>
        <v>21.45</v>
      </c>
      <c r="J441" s="6" t="n">
        <f aca="false">HOUR(E441)</f>
        <v>11</v>
      </c>
      <c r="K441" s="6" t="n">
        <f aca="false">IF(COUNTIF($A$2:$A441,A441)=1,1,0)</f>
        <v>0</v>
      </c>
    </row>
    <row r="442" customFormat="false" ht="15" hidden="false" customHeight="false" outlineLevel="0" collapsed="false">
      <c r="A442" s="0" t="s">
        <v>193</v>
      </c>
      <c r="B442" s="0" t="s">
        <v>131</v>
      </c>
      <c r="C442" s="0" t="s">
        <v>132</v>
      </c>
      <c r="D442" s="0" t="n">
        <v>17</v>
      </c>
      <c r="E442" s="5" t="n">
        <v>45937.474525463</v>
      </c>
      <c r="F442" s="0" t="n">
        <v>3.39</v>
      </c>
      <c r="G442" s="0" t="n">
        <v>17021</v>
      </c>
      <c r="H442" s="6" t="s">
        <v>68</v>
      </c>
      <c r="I442" s="6" t="n">
        <f aca="false">D442*F442</f>
        <v>57.63</v>
      </c>
      <c r="J442" s="6" t="n">
        <f aca="false">HOUR(E442)</f>
        <v>11</v>
      </c>
      <c r="K442" s="6" t="n">
        <f aca="false">IF(COUNTIF($A$2:$A442,A442)=1,1,0)</f>
        <v>0</v>
      </c>
    </row>
    <row r="443" customFormat="false" ht="15" hidden="false" customHeight="false" outlineLevel="0" collapsed="false">
      <c r="A443" s="0" t="s">
        <v>193</v>
      </c>
      <c r="B443" s="0" t="s">
        <v>45</v>
      </c>
      <c r="C443" s="0" t="s">
        <v>46</v>
      </c>
      <c r="D443" s="0" t="n">
        <v>2</v>
      </c>
      <c r="E443" s="5" t="n">
        <v>45937.474525463</v>
      </c>
      <c r="F443" s="0" t="n">
        <v>2.1</v>
      </c>
      <c r="G443" s="0" t="n">
        <v>17021</v>
      </c>
      <c r="H443" s="6" t="s">
        <v>68</v>
      </c>
      <c r="I443" s="6" t="n">
        <f aca="false">D443*F443</f>
        <v>4.2</v>
      </c>
      <c r="J443" s="6" t="n">
        <f aca="false">HOUR(E443)</f>
        <v>11</v>
      </c>
      <c r="K443" s="6" t="n">
        <f aca="false">IF(COUNTIF($A$2:$A443,A443)=1,1,0)</f>
        <v>0</v>
      </c>
    </row>
    <row r="444" customFormat="false" ht="15" hidden="false" customHeight="false" outlineLevel="0" collapsed="false">
      <c r="A444" s="0" t="s">
        <v>193</v>
      </c>
      <c r="B444" s="0" t="s">
        <v>43</v>
      </c>
      <c r="C444" s="0" t="s">
        <v>44</v>
      </c>
      <c r="D444" s="0" t="n">
        <v>3</v>
      </c>
      <c r="E444" s="5" t="n">
        <v>45937.474525463</v>
      </c>
      <c r="F444" s="0" t="n">
        <v>4.25</v>
      </c>
      <c r="G444" s="0" t="n">
        <v>17021</v>
      </c>
      <c r="H444" s="6" t="s">
        <v>68</v>
      </c>
      <c r="I444" s="6" t="n">
        <f aca="false">D444*F444</f>
        <v>12.75</v>
      </c>
      <c r="J444" s="6" t="n">
        <f aca="false">HOUR(E444)</f>
        <v>11</v>
      </c>
      <c r="K444" s="6" t="n">
        <f aca="false">IF(COUNTIF($A$2:$A444,A444)=1,1,0)</f>
        <v>0</v>
      </c>
    </row>
    <row r="445" customFormat="false" ht="15" hidden="false" customHeight="false" outlineLevel="0" collapsed="false">
      <c r="A445" s="0" t="s">
        <v>193</v>
      </c>
      <c r="B445" s="0" t="s">
        <v>47</v>
      </c>
      <c r="C445" s="0" t="s">
        <v>48</v>
      </c>
      <c r="D445" s="0" t="n">
        <v>6</v>
      </c>
      <c r="E445" s="5" t="n">
        <v>45937.474525463</v>
      </c>
      <c r="F445" s="0" t="n">
        <v>12.75</v>
      </c>
      <c r="G445" s="0" t="n">
        <v>17021</v>
      </c>
      <c r="H445" s="6" t="s">
        <v>68</v>
      </c>
      <c r="I445" s="6" t="n">
        <f aca="false">D445*F445</f>
        <v>76.5</v>
      </c>
      <c r="J445" s="6" t="n">
        <f aca="false">HOUR(E445)</f>
        <v>11</v>
      </c>
      <c r="K445" s="6" t="n">
        <f aca="false">IF(COUNTIF($A$2:$A445,A445)=1,1,0)</f>
        <v>0</v>
      </c>
    </row>
    <row r="446" customFormat="false" ht="15" hidden="false" customHeight="false" outlineLevel="0" collapsed="false">
      <c r="A446" s="0" t="s">
        <v>194</v>
      </c>
      <c r="B446" s="0" t="s">
        <v>125</v>
      </c>
      <c r="C446" s="0" t="s">
        <v>126</v>
      </c>
      <c r="D446" s="0" t="n">
        <v>20</v>
      </c>
      <c r="E446" s="5" t="n">
        <v>45937.4765740741</v>
      </c>
      <c r="F446" s="0" t="n">
        <v>1.25</v>
      </c>
      <c r="G446" s="0" t="n">
        <v>17029</v>
      </c>
      <c r="H446" s="6" t="s">
        <v>74</v>
      </c>
      <c r="I446" s="6" t="n">
        <f aca="false">D446*F446</f>
        <v>25</v>
      </c>
      <c r="J446" s="6" t="n">
        <f aca="false">HOUR(E446)</f>
        <v>11</v>
      </c>
      <c r="K446" s="6" t="n">
        <f aca="false">IF(COUNTIF($A$2:$A446,A446)=1,1,0)</f>
        <v>1</v>
      </c>
    </row>
    <row r="447" customFormat="false" ht="15" hidden="false" customHeight="false" outlineLevel="0" collapsed="false">
      <c r="A447" s="0" t="s">
        <v>194</v>
      </c>
      <c r="B447" s="0" t="s">
        <v>50</v>
      </c>
      <c r="C447" s="0" t="s">
        <v>51</v>
      </c>
      <c r="D447" s="0" t="n">
        <v>21</v>
      </c>
      <c r="E447" s="5" t="n">
        <v>45937.4765740741</v>
      </c>
      <c r="F447" s="0" t="n">
        <v>5.95</v>
      </c>
      <c r="G447" s="0" t="n">
        <v>17029</v>
      </c>
      <c r="H447" s="6" t="s">
        <v>74</v>
      </c>
      <c r="I447" s="6" t="n">
        <f aca="false">D447*F447</f>
        <v>124.95</v>
      </c>
      <c r="J447" s="6" t="n">
        <f aca="false">HOUR(E447)</f>
        <v>11</v>
      </c>
      <c r="K447" s="6" t="n">
        <f aca="false">IF(COUNTIF($A$2:$A447,A447)=1,1,0)</f>
        <v>0</v>
      </c>
    </row>
    <row r="448" customFormat="false" ht="15" hidden="false" customHeight="false" outlineLevel="0" collapsed="false">
      <c r="A448" s="0" t="s">
        <v>194</v>
      </c>
      <c r="B448" s="0" t="s">
        <v>134</v>
      </c>
      <c r="C448" s="0" t="s">
        <v>135</v>
      </c>
      <c r="D448" s="0" t="n">
        <v>3</v>
      </c>
      <c r="E448" s="5" t="n">
        <v>45937.4765740741</v>
      </c>
      <c r="F448" s="0" t="n">
        <v>5.95</v>
      </c>
      <c r="G448" s="0" t="n">
        <v>17029</v>
      </c>
      <c r="H448" s="6" t="s">
        <v>74</v>
      </c>
      <c r="I448" s="6" t="n">
        <f aca="false">D448*F448</f>
        <v>17.85</v>
      </c>
      <c r="J448" s="6" t="n">
        <f aca="false">HOUR(E448)</f>
        <v>11</v>
      </c>
      <c r="K448" s="6" t="n">
        <f aca="false">IF(COUNTIF($A$2:$A448,A448)=1,1,0)</f>
        <v>0</v>
      </c>
    </row>
    <row r="449" customFormat="false" ht="15" hidden="false" customHeight="false" outlineLevel="0" collapsed="false">
      <c r="A449" s="0" t="s">
        <v>194</v>
      </c>
      <c r="B449" s="0" t="s">
        <v>59</v>
      </c>
      <c r="C449" s="0" t="s">
        <v>60</v>
      </c>
      <c r="D449" s="0" t="n">
        <v>18</v>
      </c>
      <c r="E449" s="5" t="n">
        <v>45937.4765740741</v>
      </c>
      <c r="F449" s="0" t="n">
        <v>0.42</v>
      </c>
      <c r="G449" s="0" t="n">
        <v>17029</v>
      </c>
      <c r="H449" s="6" t="s">
        <v>74</v>
      </c>
      <c r="I449" s="6" t="n">
        <f aca="false">D449*F449</f>
        <v>7.56</v>
      </c>
      <c r="J449" s="6" t="n">
        <f aca="false">HOUR(E449)</f>
        <v>11</v>
      </c>
      <c r="K449" s="6" t="n">
        <f aca="false">IF(COUNTIF($A$2:$A449,A449)=1,1,0)</f>
        <v>0</v>
      </c>
    </row>
    <row r="450" customFormat="false" ht="15" hidden="false" customHeight="false" outlineLevel="0" collapsed="false">
      <c r="A450" s="0" t="s">
        <v>194</v>
      </c>
      <c r="B450" s="0" t="s">
        <v>114</v>
      </c>
      <c r="C450" s="0" t="s">
        <v>115</v>
      </c>
      <c r="D450" s="0" t="n">
        <v>19</v>
      </c>
      <c r="E450" s="5" t="n">
        <v>45937.4765740741</v>
      </c>
      <c r="F450" s="0" t="n">
        <v>2.08</v>
      </c>
      <c r="G450" s="0" t="n">
        <v>17029</v>
      </c>
      <c r="H450" s="6" t="s">
        <v>74</v>
      </c>
      <c r="I450" s="6" t="n">
        <f aca="false">D450*F450</f>
        <v>39.52</v>
      </c>
      <c r="J450" s="6" t="n">
        <f aca="false">HOUR(E450)</f>
        <v>11</v>
      </c>
      <c r="K450" s="6" t="n">
        <f aca="false">IF(COUNTIF($A$2:$A450,A450)=1,1,0)</f>
        <v>0</v>
      </c>
    </row>
    <row r="451" customFormat="false" ht="15" hidden="false" customHeight="false" outlineLevel="0" collapsed="false">
      <c r="A451" s="0" t="s">
        <v>194</v>
      </c>
      <c r="B451" s="0" t="s">
        <v>47</v>
      </c>
      <c r="C451" s="0" t="s">
        <v>48</v>
      </c>
      <c r="D451" s="0" t="n">
        <v>10</v>
      </c>
      <c r="E451" s="5" t="n">
        <v>45937.4765740741</v>
      </c>
      <c r="F451" s="0" t="n">
        <v>12.75</v>
      </c>
      <c r="G451" s="0" t="n">
        <v>17029</v>
      </c>
      <c r="H451" s="6" t="s">
        <v>74</v>
      </c>
      <c r="I451" s="6" t="n">
        <f aca="false">D451*F451</f>
        <v>127.5</v>
      </c>
      <c r="J451" s="6" t="n">
        <f aca="false">HOUR(E451)</f>
        <v>11</v>
      </c>
      <c r="K451" s="6" t="n">
        <f aca="false">IF(COUNTIF($A$2:$A451,A451)=1,1,0)</f>
        <v>0</v>
      </c>
    </row>
    <row r="452" customFormat="false" ht="15" hidden="false" customHeight="false" outlineLevel="0" collapsed="false">
      <c r="A452" s="0" t="s">
        <v>195</v>
      </c>
      <c r="B452" s="0" t="s">
        <v>59</v>
      </c>
      <c r="C452" s="0" t="s">
        <v>60</v>
      </c>
      <c r="D452" s="0" t="n">
        <v>10</v>
      </c>
      <c r="E452" s="5" t="n">
        <v>45937.5823842593</v>
      </c>
      <c r="F452" s="0" t="n">
        <v>0.42</v>
      </c>
      <c r="G452" s="0" t="n">
        <v>17117</v>
      </c>
      <c r="H452" s="6" t="s">
        <v>74</v>
      </c>
      <c r="I452" s="6" t="n">
        <f aca="false">D452*F452</f>
        <v>4.2</v>
      </c>
      <c r="J452" s="6" t="n">
        <f aca="false">HOUR(E452)</f>
        <v>13</v>
      </c>
      <c r="K452" s="6" t="n">
        <f aca="false">IF(COUNTIF($A$2:$A452,A452)=1,1,0)</f>
        <v>1</v>
      </c>
    </row>
    <row r="453" customFormat="false" ht="15" hidden="false" customHeight="false" outlineLevel="0" collapsed="false">
      <c r="A453" s="0" t="s">
        <v>195</v>
      </c>
      <c r="B453" s="0" t="s">
        <v>47</v>
      </c>
      <c r="C453" s="0" t="s">
        <v>48</v>
      </c>
      <c r="D453" s="0" t="n">
        <v>14</v>
      </c>
      <c r="E453" s="5" t="n">
        <v>45937.5823842593</v>
      </c>
      <c r="F453" s="0" t="n">
        <v>12.75</v>
      </c>
      <c r="G453" s="0" t="n">
        <v>17117</v>
      </c>
      <c r="H453" s="6" t="s">
        <v>74</v>
      </c>
      <c r="I453" s="6" t="n">
        <f aca="false">D453*F453</f>
        <v>178.5</v>
      </c>
      <c r="J453" s="6" t="n">
        <f aca="false">HOUR(E453)</f>
        <v>13</v>
      </c>
      <c r="K453" s="6" t="n">
        <f aca="false">IF(COUNTIF($A$2:$A453,A453)=1,1,0)</f>
        <v>0</v>
      </c>
    </row>
    <row r="454" customFormat="false" ht="15" hidden="false" customHeight="false" outlineLevel="0" collapsed="false">
      <c r="A454" s="0" t="s">
        <v>195</v>
      </c>
      <c r="B454" s="0" t="s">
        <v>145</v>
      </c>
      <c r="C454" s="0" t="s">
        <v>146</v>
      </c>
      <c r="D454" s="0" t="n">
        <v>12</v>
      </c>
      <c r="E454" s="5" t="n">
        <v>45937.5823842593</v>
      </c>
      <c r="F454" s="0" t="n">
        <v>1.85</v>
      </c>
      <c r="G454" s="0" t="n">
        <v>17117</v>
      </c>
      <c r="H454" s="6" t="s">
        <v>74</v>
      </c>
      <c r="I454" s="6" t="n">
        <f aca="false">D454*F454</f>
        <v>22.2</v>
      </c>
      <c r="J454" s="6" t="n">
        <f aca="false">HOUR(E454)</f>
        <v>13</v>
      </c>
      <c r="K454" s="6" t="n">
        <f aca="false">IF(COUNTIF($A$2:$A454,A454)=1,1,0)</f>
        <v>0</v>
      </c>
    </row>
    <row r="455" customFormat="false" ht="15" hidden="false" customHeight="false" outlineLevel="0" collapsed="false">
      <c r="A455" s="0" t="s">
        <v>195</v>
      </c>
      <c r="B455" s="0" t="s">
        <v>86</v>
      </c>
      <c r="C455" s="0" t="s">
        <v>87</v>
      </c>
      <c r="D455" s="0" t="n">
        <v>9</v>
      </c>
      <c r="E455" s="5" t="n">
        <v>45937.5823842593</v>
      </c>
      <c r="F455" s="0" t="n">
        <v>4.25</v>
      </c>
      <c r="G455" s="0" t="n">
        <v>17117</v>
      </c>
      <c r="H455" s="6" t="s">
        <v>74</v>
      </c>
      <c r="I455" s="6" t="n">
        <f aca="false">D455*F455</f>
        <v>38.25</v>
      </c>
      <c r="J455" s="6" t="n">
        <f aca="false">HOUR(E455)</f>
        <v>13</v>
      </c>
      <c r="K455" s="6" t="n">
        <f aca="false">IF(COUNTIF($A$2:$A455,A455)=1,1,0)</f>
        <v>0</v>
      </c>
    </row>
    <row r="456" customFormat="false" ht="15" hidden="false" customHeight="false" outlineLevel="0" collapsed="false">
      <c r="A456" s="0" t="s">
        <v>195</v>
      </c>
      <c r="B456" s="0" t="s">
        <v>88</v>
      </c>
      <c r="C456" s="0" t="s">
        <v>89</v>
      </c>
      <c r="D456" s="0" t="n">
        <v>9</v>
      </c>
      <c r="E456" s="5" t="n">
        <v>45937.5823842593</v>
      </c>
      <c r="F456" s="0" t="n">
        <v>2.75</v>
      </c>
      <c r="G456" s="0" t="n">
        <v>17117</v>
      </c>
      <c r="H456" s="6" t="s">
        <v>74</v>
      </c>
      <c r="I456" s="6" t="n">
        <f aca="false">D456*F456</f>
        <v>24.75</v>
      </c>
      <c r="J456" s="6" t="n">
        <f aca="false">HOUR(E456)</f>
        <v>13</v>
      </c>
      <c r="K456" s="6" t="n">
        <f aca="false">IF(COUNTIF($A$2:$A456,A456)=1,1,0)</f>
        <v>0</v>
      </c>
    </row>
    <row r="457" customFormat="false" ht="15" hidden="false" customHeight="false" outlineLevel="0" collapsed="false">
      <c r="A457" s="0" t="s">
        <v>195</v>
      </c>
      <c r="B457" s="0" t="s">
        <v>57</v>
      </c>
      <c r="C457" s="0" t="s">
        <v>58</v>
      </c>
      <c r="D457" s="0" t="n">
        <v>16</v>
      </c>
      <c r="E457" s="5" t="n">
        <v>45937.5823842593</v>
      </c>
      <c r="F457" s="0" t="n">
        <v>2.08</v>
      </c>
      <c r="G457" s="0" t="n">
        <v>17117</v>
      </c>
      <c r="H457" s="6" t="s">
        <v>74</v>
      </c>
      <c r="I457" s="6" t="n">
        <f aca="false">D457*F457</f>
        <v>33.28</v>
      </c>
      <c r="J457" s="6" t="n">
        <f aca="false">HOUR(E457)</f>
        <v>13</v>
      </c>
      <c r="K457" s="6" t="n">
        <f aca="false">IF(COUNTIF($A$2:$A457,A457)=1,1,0)</f>
        <v>0</v>
      </c>
    </row>
    <row r="458" customFormat="false" ht="15" hidden="false" customHeight="false" outlineLevel="0" collapsed="false">
      <c r="A458" s="0" t="s">
        <v>195</v>
      </c>
      <c r="B458" s="0" t="s">
        <v>134</v>
      </c>
      <c r="C458" s="0" t="s">
        <v>135</v>
      </c>
      <c r="D458" s="0" t="n">
        <v>10</v>
      </c>
      <c r="E458" s="5" t="n">
        <v>45937.5823842593</v>
      </c>
      <c r="F458" s="0" t="n">
        <v>5.95</v>
      </c>
      <c r="G458" s="0" t="n">
        <v>17117</v>
      </c>
      <c r="H458" s="6" t="s">
        <v>74</v>
      </c>
      <c r="I458" s="6" t="n">
        <f aca="false">D458*F458</f>
        <v>59.5</v>
      </c>
      <c r="J458" s="6" t="n">
        <f aca="false">HOUR(E458)</f>
        <v>13</v>
      </c>
      <c r="K458" s="6" t="n">
        <f aca="false">IF(COUNTIF($A$2:$A458,A458)=1,1,0)</f>
        <v>0</v>
      </c>
    </row>
    <row r="459" customFormat="false" ht="15" hidden="false" customHeight="false" outlineLevel="0" collapsed="false">
      <c r="A459" s="0" t="s">
        <v>195</v>
      </c>
      <c r="B459" s="0" t="s">
        <v>79</v>
      </c>
      <c r="C459" s="0" t="s">
        <v>80</v>
      </c>
      <c r="D459" s="0" t="n">
        <v>11</v>
      </c>
      <c r="E459" s="5" t="n">
        <v>45937.5823842593</v>
      </c>
      <c r="F459" s="0" t="n">
        <v>3.39</v>
      </c>
      <c r="G459" s="0" t="n">
        <v>17117</v>
      </c>
      <c r="H459" s="6" t="s">
        <v>74</v>
      </c>
      <c r="I459" s="6" t="n">
        <f aca="false">D459*F459</f>
        <v>37.29</v>
      </c>
      <c r="J459" s="6" t="n">
        <f aca="false">HOUR(E459)</f>
        <v>13</v>
      </c>
      <c r="K459" s="6" t="n">
        <f aca="false">IF(COUNTIF($A$2:$A459,A459)=1,1,0)</f>
        <v>0</v>
      </c>
    </row>
    <row r="460" customFormat="false" ht="15" hidden="false" customHeight="false" outlineLevel="0" collapsed="false">
      <c r="A460" s="0" t="s">
        <v>195</v>
      </c>
      <c r="B460" s="0" t="s">
        <v>107</v>
      </c>
      <c r="C460" s="0" t="s">
        <v>108</v>
      </c>
      <c r="D460" s="0" t="n">
        <v>14</v>
      </c>
      <c r="E460" s="5" t="n">
        <v>45937.5823842593</v>
      </c>
      <c r="F460" s="0" t="n">
        <v>3.75</v>
      </c>
      <c r="G460" s="0" t="n">
        <v>17117</v>
      </c>
      <c r="H460" s="6" t="s">
        <v>74</v>
      </c>
      <c r="I460" s="6" t="n">
        <f aca="false">D460*F460</f>
        <v>52.5</v>
      </c>
      <c r="J460" s="6" t="n">
        <f aca="false">HOUR(E460)</f>
        <v>13</v>
      </c>
      <c r="K460" s="6" t="n">
        <f aca="false">IF(COUNTIF($A$2:$A460,A460)=1,1,0)</f>
        <v>0</v>
      </c>
    </row>
    <row r="461" customFormat="false" ht="15" hidden="false" customHeight="false" outlineLevel="0" collapsed="false">
      <c r="A461" s="0" t="s">
        <v>195</v>
      </c>
      <c r="B461" s="0" t="s">
        <v>55</v>
      </c>
      <c r="C461" s="0" t="s">
        <v>56</v>
      </c>
      <c r="D461" s="0" t="n">
        <v>5</v>
      </c>
      <c r="E461" s="5" t="n">
        <v>45937.5823842593</v>
      </c>
      <c r="F461" s="0" t="n">
        <v>1.65</v>
      </c>
      <c r="G461" s="0" t="n">
        <v>17117</v>
      </c>
      <c r="H461" s="6" t="s">
        <v>74</v>
      </c>
      <c r="I461" s="6" t="n">
        <f aca="false">D461*F461</f>
        <v>8.25</v>
      </c>
      <c r="J461" s="6" t="n">
        <f aca="false">HOUR(E461)</f>
        <v>13</v>
      </c>
      <c r="K461" s="6" t="n">
        <f aca="false">IF(COUNTIF($A$2:$A461,A461)=1,1,0)</f>
        <v>0</v>
      </c>
    </row>
    <row r="462" customFormat="false" ht="15" hidden="false" customHeight="false" outlineLevel="0" collapsed="false">
      <c r="A462" s="0" t="s">
        <v>196</v>
      </c>
      <c r="B462" s="0" t="s">
        <v>116</v>
      </c>
      <c r="C462" s="0" t="s">
        <v>117</v>
      </c>
      <c r="D462" s="0" t="n">
        <v>19</v>
      </c>
      <c r="E462" s="5" t="n">
        <v>45937.6155439815</v>
      </c>
      <c r="F462" s="0" t="n">
        <v>1.95</v>
      </c>
      <c r="G462" s="0" t="n">
        <v>17253</v>
      </c>
      <c r="H462" s="6" t="s">
        <v>74</v>
      </c>
      <c r="I462" s="6" t="n">
        <f aca="false">D462*F462</f>
        <v>37.05</v>
      </c>
      <c r="J462" s="6" t="n">
        <f aca="false">HOUR(E462)</f>
        <v>14</v>
      </c>
      <c r="K462" s="6" t="n">
        <f aca="false">IF(COUNTIF($A$2:$A462,A462)=1,1,0)</f>
        <v>1</v>
      </c>
    </row>
    <row r="463" customFormat="false" ht="15" hidden="false" customHeight="false" outlineLevel="0" collapsed="false">
      <c r="A463" s="0" t="s">
        <v>196</v>
      </c>
      <c r="B463" s="0" t="s">
        <v>145</v>
      </c>
      <c r="C463" s="0" t="s">
        <v>146</v>
      </c>
      <c r="D463" s="0" t="n">
        <v>20</v>
      </c>
      <c r="E463" s="5" t="n">
        <v>45937.6155439815</v>
      </c>
      <c r="F463" s="0" t="n">
        <v>1.85</v>
      </c>
      <c r="G463" s="0" t="n">
        <v>17253</v>
      </c>
      <c r="H463" s="6" t="s">
        <v>74</v>
      </c>
      <c r="I463" s="6" t="n">
        <f aca="false">D463*F463</f>
        <v>37</v>
      </c>
      <c r="J463" s="6" t="n">
        <f aca="false">HOUR(E463)</f>
        <v>14</v>
      </c>
      <c r="K463" s="6" t="n">
        <f aca="false">IF(COUNTIF($A$2:$A463,A463)=1,1,0)</f>
        <v>0</v>
      </c>
    </row>
    <row r="464" customFormat="false" ht="15" hidden="false" customHeight="false" outlineLevel="0" collapsed="false">
      <c r="A464" s="0" t="s">
        <v>196</v>
      </c>
      <c r="B464" s="0" t="s">
        <v>131</v>
      </c>
      <c r="C464" s="0" t="s">
        <v>132</v>
      </c>
      <c r="D464" s="0" t="n">
        <v>2</v>
      </c>
      <c r="E464" s="5" t="n">
        <v>45937.6155439815</v>
      </c>
      <c r="F464" s="0" t="n">
        <v>3.39</v>
      </c>
      <c r="G464" s="0" t="n">
        <v>17253</v>
      </c>
      <c r="H464" s="6" t="s">
        <v>74</v>
      </c>
      <c r="I464" s="6" t="n">
        <f aca="false">D464*F464</f>
        <v>6.78</v>
      </c>
      <c r="J464" s="6" t="n">
        <f aca="false">HOUR(E464)</f>
        <v>14</v>
      </c>
      <c r="K464" s="6" t="n">
        <f aca="false">IF(COUNTIF($A$2:$A464,A464)=1,1,0)</f>
        <v>0</v>
      </c>
    </row>
    <row r="465" customFormat="false" ht="15" hidden="false" customHeight="false" outlineLevel="0" collapsed="false">
      <c r="A465" s="0" t="s">
        <v>196</v>
      </c>
      <c r="B465" s="0" t="s">
        <v>121</v>
      </c>
      <c r="C465" s="0" t="s">
        <v>122</v>
      </c>
      <c r="D465" s="0" t="n">
        <v>16</v>
      </c>
      <c r="E465" s="5" t="n">
        <v>45937.6155439815</v>
      </c>
      <c r="F465" s="0" t="n">
        <v>2.1</v>
      </c>
      <c r="G465" s="0" t="n">
        <v>17253</v>
      </c>
      <c r="H465" s="6" t="s">
        <v>74</v>
      </c>
      <c r="I465" s="6" t="n">
        <f aca="false">D465*F465</f>
        <v>33.6</v>
      </c>
      <c r="J465" s="6" t="n">
        <f aca="false">HOUR(E465)</f>
        <v>14</v>
      </c>
      <c r="K465" s="6" t="n">
        <f aca="false">IF(COUNTIF($A$2:$A465,A465)=1,1,0)</f>
        <v>0</v>
      </c>
    </row>
    <row r="466" customFormat="false" ht="15" hidden="false" customHeight="false" outlineLevel="0" collapsed="false">
      <c r="A466" s="0" t="s">
        <v>196</v>
      </c>
      <c r="B466" s="0" t="s">
        <v>118</v>
      </c>
      <c r="C466" s="0" t="s">
        <v>119</v>
      </c>
      <c r="D466" s="0" t="n">
        <v>37</v>
      </c>
      <c r="E466" s="5" t="n">
        <v>45937.6155439815</v>
      </c>
      <c r="F466" s="0" t="n">
        <v>4.95</v>
      </c>
      <c r="G466" s="0" t="n">
        <v>17253</v>
      </c>
      <c r="H466" s="6" t="s">
        <v>74</v>
      </c>
      <c r="I466" s="6" t="n">
        <f aca="false">D466*F466</f>
        <v>183.15</v>
      </c>
      <c r="J466" s="6" t="n">
        <f aca="false">HOUR(E466)</f>
        <v>14</v>
      </c>
      <c r="K466" s="6" t="n">
        <f aca="false">IF(COUNTIF($A$2:$A466,A466)=1,1,0)</f>
        <v>0</v>
      </c>
    </row>
    <row r="467" customFormat="false" ht="15" hidden="false" customHeight="false" outlineLevel="0" collapsed="false">
      <c r="A467" s="0" t="s">
        <v>196</v>
      </c>
      <c r="B467" s="0" t="s">
        <v>61</v>
      </c>
      <c r="C467" s="0" t="s">
        <v>62</v>
      </c>
      <c r="D467" s="0" t="n">
        <v>1</v>
      </c>
      <c r="E467" s="5" t="n">
        <v>45937.6155439815</v>
      </c>
      <c r="F467" s="0" t="n">
        <v>1.65</v>
      </c>
      <c r="G467" s="0" t="n">
        <v>17253</v>
      </c>
      <c r="H467" s="6" t="s">
        <v>74</v>
      </c>
      <c r="I467" s="6" t="n">
        <f aca="false">D467*F467</f>
        <v>1.65</v>
      </c>
      <c r="J467" s="6" t="n">
        <f aca="false">HOUR(E467)</f>
        <v>14</v>
      </c>
      <c r="K467" s="6" t="n">
        <f aca="false">IF(COUNTIF($A$2:$A467,A467)=1,1,0)</f>
        <v>0</v>
      </c>
    </row>
    <row r="468" customFormat="false" ht="15" hidden="false" customHeight="false" outlineLevel="0" collapsed="false">
      <c r="A468" s="0" t="s">
        <v>196</v>
      </c>
      <c r="B468" s="0" t="s">
        <v>114</v>
      </c>
      <c r="C468" s="0" t="s">
        <v>115</v>
      </c>
      <c r="D468" s="0" t="n">
        <v>20</v>
      </c>
      <c r="E468" s="5" t="n">
        <v>45937.6155439815</v>
      </c>
      <c r="F468" s="0" t="n">
        <v>2.08</v>
      </c>
      <c r="G468" s="0" t="n">
        <v>17253</v>
      </c>
      <c r="H468" s="6" t="s">
        <v>74</v>
      </c>
      <c r="I468" s="6" t="n">
        <f aca="false">D468*F468</f>
        <v>41.6</v>
      </c>
      <c r="J468" s="6" t="n">
        <f aca="false">HOUR(E468)</f>
        <v>14</v>
      </c>
      <c r="K468" s="6" t="n">
        <f aca="false">IF(COUNTIF($A$2:$A468,A468)=1,1,0)</f>
        <v>0</v>
      </c>
    </row>
    <row r="469" customFormat="false" ht="15" hidden="false" customHeight="false" outlineLevel="0" collapsed="false">
      <c r="A469" s="0" t="s">
        <v>196</v>
      </c>
      <c r="B469" s="0" t="s">
        <v>134</v>
      </c>
      <c r="C469" s="0" t="s">
        <v>135</v>
      </c>
      <c r="D469" s="0" t="n">
        <v>14</v>
      </c>
      <c r="E469" s="5" t="n">
        <v>45937.6155439815</v>
      </c>
      <c r="F469" s="0" t="n">
        <v>5.95</v>
      </c>
      <c r="G469" s="0" t="n">
        <v>17253</v>
      </c>
      <c r="H469" s="6" t="s">
        <v>74</v>
      </c>
      <c r="I469" s="6" t="n">
        <f aca="false">D469*F469</f>
        <v>83.3</v>
      </c>
      <c r="J469" s="6" t="n">
        <f aca="false">HOUR(E469)</f>
        <v>14</v>
      </c>
      <c r="K469" s="6" t="n">
        <f aca="false">IF(COUNTIF($A$2:$A469,A469)=1,1,0)</f>
        <v>0</v>
      </c>
    </row>
    <row r="470" customFormat="false" ht="15" hidden="false" customHeight="false" outlineLevel="0" collapsed="false">
      <c r="A470" s="0" t="s">
        <v>197</v>
      </c>
      <c r="B470" s="0" t="s">
        <v>102</v>
      </c>
      <c r="C470" s="0" t="s">
        <v>103</v>
      </c>
      <c r="D470" s="0" t="n">
        <v>12</v>
      </c>
      <c r="E470" s="5" t="n">
        <v>45937.6703703704</v>
      </c>
      <c r="F470" s="0" t="n">
        <v>8.5</v>
      </c>
      <c r="G470" s="0" t="n">
        <v>17093</v>
      </c>
      <c r="H470" s="6" t="s">
        <v>74</v>
      </c>
      <c r="I470" s="6" t="n">
        <f aca="false">D470*F470</f>
        <v>102</v>
      </c>
      <c r="J470" s="6" t="n">
        <f aca="false">HOUR(E470)</f>
        <v>16</v>
      </c>
      <c r="K470" s="6" t="n">
        <f aca="false">IF(COUNTIF($A$2:$A470,A470)=1,1,0)</f>
        <v>1</v>
      </c>
    </row>
    <row r="471" customFormat="false" ht="15" hidden="false" customHeight="false" outlineLevel="0" collapsed="false">
      <c r="A471" s="0" t="s">
        <v>197</v>
      </c>
      <c r="B471" s="0" t="s">
        <v>55</v>
      </c>
      <c r="C471" s="0" t="s">
        <v>56</v>
      </c>
      <c r="D471" s="0" t="n">
        <v>23</v>
      </c>
      <c r="E471" s="5" t="n">
        <v>45937.6703703704</v>
      </c>
      <c r="F471" s="0" t="n">
        <v>1.65</v>
      </c>
      <c r="G471" s="0" t="n">
        <v>17093</v>
      </c>
      <c r="H471" s="6" t="s">
        <v>74</v>
      </c>
      <c r="I471" s="6" t="n">
        <f aca="false">D471*F471</f>
        <v>37.95</v>
      </c>
      <c r="J471" s="6" t="n">
        <f aca="false">HOUR(E471)</f>
        <v>16</v>
      </c>
      <c r="K471" s="6" t="n">
        <f aca="false">IF(COUNTIF($A$2:$A471,A471)=1,1,0)</f>
        <v>0</v>
      </c>
    </row>
    <row r="472" customFormat="false" ht="15" hidden="false" customHeight="false" outlineLevel="0" collapsed="false">
      <c r="A472" s="0" t="s">
        <v>197</v>
      </c>
      <c r="B472" s="0" t="s">
        <v>134</v>
      </c>
      <c r="C472" s="0" t="s">
        <v>135</v>
      </c>
      <c r="D472" s="0" t="n">
        <v>5</v>
      </c>
      <c r="E472" s="5" t="n">
        <v>45937.6703703704</v>
      </c>
      <c r="F472" s="0" t="n">
        <v>5.95</v>
      </c>
      <c r="G472" s="0" t="n">
        <v>17093</v>
      </c>
      <c r="H472" s="6" t="s">
        <v>74</v>
      </c>
      <c r="I472" s="6" t="n">
        <f aca="false">D472*F472</f>
        <v>29.75</v>
      </c>
      <c r="J472" s="6" t="n">
        <f aca="false">HOUR(E472)</f>
        <v>16</v>
      </c>
      <c r="K472" s="6" t="n">
        <f aca="false">IF(COUNTIF($A$2:$A472,A472)=1,1,0)</f>
        <v>0</v>
      </c>
    </row>
    <row r="473" customFormat="false" ht="15" hidden="false" customHeight="false" outlineLevel="0" collapsed="false">
      <c r="A473" s="0" t="s">
        <v>197</v>
      </c>
      <c r="B473" s="0" t="s">
        <v>116</v>
      </c>
      <c r="C473" s="0" t="s">
        <v>117</v>
      </c>
      <c r="D473" s="0" t="n">
        <v>19</v>
      </c>
      <c r="E473" s="5" t="n">
        <v>45937.6703703704</v>
      </c>
      <c r="F473" s="0" t="n">
        <v>1.95</v>
      </c>
      <c r="G473" s="0" t="n">
        <v>17093</v>
      </c>
      <c r="H473" s="6" t="s">
        <v>74</v>
      </c>
      <c r="I473" s="6" t="n">
        <f aca="false">D473*F473</f>
        <v>37.05</v>
      </c>
      <c r="J473" s="6" t="n">
        <f aca="false">HOUR(E473)</f>
        <v>16</v>
      </c>
      <c r="K473" s="6" t="n">
        <f aca="false">IF(COUNTIF($A$2:$A473,A473)=1,1,0)</f>
        <v>0</v>
      </c>
    </row>
    <row r="474" customFormat="false" ht="15" hidden="false" customHeight="false" outlineLevel="0" collapsed="false">
      <c r="A474" s="0" t="s">
        <v>197</v>
      </c>
      <c r="B474" s="0" t="s">
        <v>88</v>
      </c>
      <c r="C474" s="0" t="s">
        <v>89</v>
      </c>
      <c r="D474" s="0" t="n">
        <v>12</v>
      </c>
      <c r="E474" s="5" t="n">
        <v>45937.6703703704</v>
      </c>
      <c r="F474" s="0" t="n">
        <v>2.75</v>
      </c>
      <c r="G474" s="0" t="n">
        <v>17093</v>
      </c>
      <c r="H474" s="6" t="s">
        <v>74</v>
      </c>
      <c r="I474" s="6" t="n">
        <f aca="false">D474*F474</f>
        <v>33</v>
      </c>
      <c r="J474" s="6" t="n">
        <f aca="false">HOUR(E474)</f>
        <v>16</v>
      </c>
      <c r="K474" s="6" t="n">
        <f aca="false">IF(COUNTIF($A$2:$A474,A474)=1,1,0)</f>
        <v>0</v>
      </c>
    </row>
    <row r="475" customFormat="false" ht="15" hidden="false" customHeight="false" outlineLevel="0" collapsed="false">
      <c r="A475" s="0" t="s">
        <v>197</v>
      </c>
      <c r="B475" s="0" t="s">
        <v>99</v>
      </c>
      <c r="C475" s="0" t="s">
        <v>100</v>
      </c>
      <c r="D475" s="0" t="n">
        <v>18</v>
      </c>
      <c r="E475" s="5" t="n">
        <v>45937.6703703704</v>
      </c>
      <c r="F475" s="0" t="n">
        <v>2.08</v>
      </c>
      <c r="G475" s="0" t="n">
        <v>17093</v>
      </c>
      <c r="H475" s="6" t="s">
        <v>74</v>
      </c>
      <c r="I475" s="6" t="n">
        <f aca="false">D475*F475</f>
        <v>37.44</v>
      </c>
      <c r="J475" s="6" t="n">
        <f aca="false">HOUR(E475)</f>
        <v>16</v>
      </c>
      <c r="K475" s="6" t="n">
        <f aca="false">IF(COUNTIF($A$2:$A475,A475)=1,1,0)</f>
        <v>0</v>
      </c>
    </row>
    <row r="476" customFormat="false" ht="15" hidden="false" customHeight="false" outlineLevel="0" collapsed="false">
      <c r="A476" s="0" t="s">
        <v>198</v>
      </c>
      <c r="B476" s="0" t="s">
        <v>95</v>
      </c>
      <c r="C476" s="0" t="s">
        <v>96</v>
      </c>
      <c r="D476" s="0" t="n">
        <v>13</v>
      </c>
      <c r="E476" s="5" t="n">
        <v>45937.7881828704</v>
      </c>
      <c r="F476" s="0" t="n">
        <v>2.55</v>
      </c>
      <c r="G476" s="0" t="n">
        <v>17070</v>
      </c>
      <c r="H476" s="6" t="s">
        <v>113</v>
      </c>
      <c r="I476" s="6" t="n">
        <f aca="false">D476*F476</f>
        <v>33.15</v>
      </c>
      <c r="J476" s="6" t="n">
        <f aca="false">HOUR(E476)</f>
        <v>18</v>
      </c>
      <c r="K476" s="6" t="n">
        <f aca="false">IF(COUNTIF($A$2:$A476,A476)=1,1,0)</f>
        <v>1</v>
      </c>
    </row>
    <row r="477" customFormat="false" ht="15" hidden="false" customHeight="false" outlineLevel="0" collapsed="false">
      <c r="A477" s="0" t="s">
        <v>198</v>
      </c>
      <c r="B477" s="0" t="s">
        <v>125</v>
      </c>
      <c r="C477" s="0" t="s">
        <v>126</v>
      </c>
      <c r="D477" s="0" t="n">
        <v>4</v>
      </c>
      <c r="E477" s="5" t="n">
        <v>45937.7881828704</v>
      </c>
      <c r="F477" s="0" t="n">
        <v>1.25</v>
      </c>
      <c r="G477" s="0" t="n">
        <v>17070</v>
      </c>
      <c r="H477" s="6" t="s">
        <v>113</v>
      </c>
      <c r="I477" s="6" t="n">
        <f aca="false">D477*F477</f>
        <v>5</v>
      </c>
      <c r="J477" s="6" t="n">
        <f aca="false">HOUR(E477)</f>
        <v>18</v>
      </c>
      <c r="K477" s="6" t="n">
        <f aca="false">IF(COUNTIF($A$2:$A477,A477)=1,1,0)</f>
        <v>0</v>
      </c>
    </row>
    <row r="478" customFormat="false" ht="15" hidden="false" customHeight="false" outlineLevel="0" collapsed="false">
      <c r="A478" s="0" t="s">
        <v>198</v>
      </c>
      <c r="B478" s="0" t="s">
        <v>107</v>
      </c>
      <c r="C478" s="0" t="s">
        <v>108</v>
      </c>
      <c r="D478" s="0" t="n">
        <v>16</v>
      </c>
      <c r="E478" s="5" t="n">
        <v>45937.7881828704</v>
      </c>
      <c r="F478" s="0" t="n">
        <v>3.75</v>
      </c>
      <c r="G478" s="0" t="n">
        <v>17070</v>
      </c>
      <c r="H478" s="6" t="s">
        <v>113</v>
      </c>
      <c r="I478" s="6" t="n">
        <f aca="false">D478*F478</f>
        <v>60</v>
      </c>
      <c r="J478" s="6" t="n">
        <f aca="false">HOUR(E478)</f>
        <v>18</v>
      </c>
      <c r="K478" s="6" t="n">
        <f aca="false">IF(COUNTIF($A$2:$A478,A478)=1,1,0)</f>
        <v>0</v>
      </c>
    </row>
    <row r="479" customFormat="false" ht="15" hidden="false" customHeight="false" outlineLevel="0" collapsed="false">
      <c r="A479" s="0" t="s">
        <v>198</v>
      </c>
      <c r="B479" s="0" t="s">
        <v>72</v>
      </c>
      <c r="C479" s="0" t="s">
        <v>73</v>
      </c>
      <c r="D479" s="0" t="n">
        <v>27</v>
      </c>
      <c r="E479" s="5" t="n">
        <v>45937.7881828704</v>
      </c>
      <c r="F479" s="0" t="n">
        <v>4.95</v>
      </c>
      <c r="G479" s="0" t="n">
        <v>17070</v>
      </c>
      <c r="H479" s="6" t="s">
        <v>113</v>
      </c>
      <c r="I479" s="6" t="n">
        <f aca="false">D479*F479</f>
        <v>133.65</v>
      </c>
      <c r="J479" s="6" t="n">
        <f aca="false">HOUR(E479)</f>
        <v>18</v>
      </c>
      <c r="K479" s="6" t="n">
        <f aca="false">IF(COUNTIF($A$2:$A479,A479)=1,1,0)</f>
        <v>0</v>
      </c>
    </row>
    <row r="480" customFormat="false" ht="15" hidden="false" customHeight="false" outlineLevel="0" collapsed="false">
      <c r="A480" s="0" t="s">
        <v>198</v>
      </c>
      <c r="B480" s="0" t="s">
        <v>83</v>
      </c>
      <c r="C480" s="0" t="s">
        <v>84</v>
      </c>
      <c r="D480" s="0" t="n">
        <v>19</v>
      </c>
      <c r="E480" s="5" t="n">
        <v>45937.7881828704</v>
      </c>
      <c r="F480" s="0" t="n">
        <v>2.95</v>
      </c>
      <c r="G480" s="0" t="n">
        <v>17070</v>
      </c>
      <c r="H480" s="6" t="s">
        <v>113</v>
      </c>
      <c r="I480" s="6" t="n">
        <f aca="false">D480*F480</f>
        <v>56.05</v>
      </c>
      <c r="J480" s="6" t="n">
        <f aca="false">HOUR(E480)</f>
        <v>18</v>
      </c>
      <c r="K480" s="6" t="n">
        <f aca="false">IF(COUNTIF($A$2:$A480,A480)=1,1,0)</f>
        <v>0</v>
      </c>
    </row>
    <row r="481" customFormat="false" ht="15" hidden="false" customHeight="false" outlineLevel="0" collapsed="false">
      <c r="A481" s="0" t="s">
        <v>198</v>
      </c>
      <c r="B481" s="0" t="s">
        <v>61</v>
      </c>
      <c r="C481" s="0" t="s">
        <v>62</v>
      </c>
      <c r="D481" s="0" t="n">
        <v>5</v>
      </c>
      <c r="E481" s="5" t="n">
        <v>45937.7881828704</v>
      </c>
      <c r="F481" s="0" t="n">
        <v>1.65</v>
      </c>
      <c r="G481" s="0" t="n">
        <v>17070</v>
      </c>
      <c r="H481" s="6" t="s">
        <v>113</v>
      </c>
      <c r="I481" s="6" t="n">
        <f aca="false">D481*F481</f>
        <v>8.25</v>
      </c>
      <c r="J481" s="6" t="n">
        <f aca="false">HOUR(E481)</f>
        <v>18</v>
      </c>
      <c r="K481" s="6" t="n">
        <f aca="false">IF(COUNTIF($A$2:$A481,A481)=1,1,0)</f>
        <v>0</v>
      </c>
    </row>
    <row r="482" customFormat="false" ht="15" hidden="false" customHeight="false" outlineLevel="0" collapsed="false">
      <c r="A482" s="0" t="s">
        <v>198</v>
      </c>
      <c r="B482" s="0" t="s">
        <v>45</v>
      </c>
      <c r="C482" s="0" t="s">
        <v>46</v>
      </c>
      <c r="D482" s="0" t="n">
        <v>6</v>
      </c>
      <c r="E482" s="5" t="n">
        <v>45937.7881828704</v>
      </c>
      <c r="F482" s="0" t="n">
        <v>2.1</v>
      </c>
      <c r="G482" s="0" t="n">
        <v>17070</v>
      </c>
      <c r="H482" s="6" t="s">
        <v>113</v>
      </c>
      <c r="I482" s="6" t="n">
        <f aca="false">D482*F482</f>
        <v>12.6</v>
      </c>
      <c r="J482" s="6" t="n">
        <f aca="false">HOUR(E482)</f>
        <v>18</v>
      </c>
      <c r="K482" s="6" t="n">
        <f aca="false">IF(COUNTIF($A$2:$A482,A482)=1,1,0)</f>
        <v>0</v>
      </c>
    </row>
    <row r="483" customFormat="false" ht="15" hidden="false" customHeight="false" outlineLevel="0" collapsed="false">
      <c r="A483" s="0" t="s">
        <v>198</v>
      </c>
      <c r="B483" s="0" t="s">
        <v>93</v>
      </c>
      <c r="C483" s="0" t="s">
        <v>94</v>
      </c>
      <c r="D483" s="0" t="n">
        <v>14</v>
      </c>
      <c r="E483" s="5" t="n">
        <v>45937.7881828704</v>
      </c>
      <c r="F483" s="0" t="n">
        <v>1.69</v>
      </c>
      <c r="G483" s="0" t="n">
        <v>17070</v>
      </c>
      <c r="H483" s="6" t="s">
        <v>113</v>
      </c>
      <c r="I483" s="6" t="n">
        <f aca="false">D483*F483</f>
        <v>23.66</v>
      </c>
      <c r="J483" s="6" t="n">
        <f aca="false">HOUR(E483)</f>
        <v>18</v>
      </c>
      <c r="K483" s="6" t="n">
        <f aca="false">IF(COUNTIF($A$2:$A483,A483)=1,1,0)</f>
        <v>0</v>
      </c>
    </row>
    <row r="484" customFormat="false" ht="15" hidden="false" customHeight="false" outlineLevel="0" collapsed="false">
      <c r="A484" s="0" t="s">
        <v>199</v>
      </c>
      <c r="B484" s="0" t="s">
        <v>131</v>
      </c>
      <c r="C484" s="0" t="s">
        <v>132</v>
      </c>
      <c r="D484" s="0" t="n">
        <v>4</v>
      </c>
      <c r="E484" s="5" t="n">
        <v>45938.3884722222</v>
      </c>
      <c r="F484" s="0" t="n">
        <v>3.39</v>
      </c>
      <c r="G484" s="0" t="n">
        <v>17165</v>
      </c>
      <c r="H484" s="6" t="s">
        <v>74</v>
      </c>
      <c r="I484" s="6" t="n">
        <f aca="false">D484*F484</f>
        <v>13.56</v>
      </c>
      <c r="J484" s="6" t="n">
        <f aca="false">HOUR(E484)</f>
        <v>9</v>
      </c>
      <c r="K484" s="6" t="n">
        <f aca="false">IF(COUNTIF($A$2:$A484,A484)=1,1,0)</f>
        <v>1</v>
      </c>
    </row>
    <row r="485" customFormat="false" ht="15" hidden="false" customHeight="false" outlineLevel="0" collapsed="false">
      <c r="A485" s="0" t="s">
        <v>199</v>
      </c>
      <c r="B485" s="0" t="s">
        <v>104</v>
      </c>
      <c r="C485" s="0" t="s">
        <v>105</v>
      </c>
      <c r="D485" s="0" t="n">
        <v>14</v>
      </c>
      <c r="E485" s="5" t="n">
        <v>45938.3884722222</v>
      </c>
      <c r="F485" s="0" t="n">
        <v>1.65</v>
      </c>
      <c r="G485" s="0" t="n">
        <v>17165</v>
      </c>
      <c r="H485" s="6" t="s">
        <v>74</v>
      </c>
      <c r="I485" s="6" t="n">
        <f aca="false">D485*F485</f>
        <v>23.1</v>
      </c>
      <c r="J485" s="6" t="n">
        <f aca="false">HOUR(E485)</f>
        <v>9</v>
      </c>
      <c r="K485" s="6" t="n">
        <f aca="false">IF(COUNTIF($A$2:$A485,A485)=1,1,0)</f>
        <v>0</v>
      </c>
    </row>
    <row r="486" customFormat="false" ht="15" hidden="false" customHeight="false" outlineLevel="0" collapsed="false">
      <c r="A486" s="0" t="s">
        <v>199</v>
      </c>
      <c r="B486" s="0" t="s">
        <v>63</v>
      </c>
      <c r="C486" s="0" t="s">
        <v>64</v>
      </c>
      <c r="D486" s="0" t="n">
        <v>17</v>
      </c>
      <c r="E486" s="5" t="n">
        <v>45938.3884722222</v>
      </c>
      <c r="F486" s="0" t="n">
        <v>1.85</v>
      </c>
      <c r="G486" s="0" t="n">
        <v>17165</v>
      </c>
      <c r="H486" s="6" t="s">
        <v>74</v>
      </c>
      <c r="I486" s="6" t="n">
        <f aca="false">D486*F486</f>
        <v>31.45</v>
      </c>
      <c r="J486" s="6" t="n">
        <f aca="false">HOUR(E486)</f>
        <v>9</v>
      </c>
      <c r="K486" s="6" t="n">
        <f aca="false">IF(COUNTIF($A$2:$A486,A486)=1,1,0)</f>
        <v>0</v>
      </c>
    </row>
    <row r="487" customFormat="false" ht="15" hidden="false" customHeight="false" outlineLevel="0" collapsed="false">
      <c r="A487" s="0" t="s">
        <v>199</v>
      </c>
      <c r="B487" s="0" t="s">
        <v>69</v>
      </c>
      <c r="C487" s="0" t="s">
        <v>70</v>
      </c>
      <c r="D487" s="0" t="n">
        <v>21</v>
      </c>
      <c r="E487" s="5" t="n">
        <v>45938.3884722222</v>
      </c>
      <c r="F487" s="0" t="n">
        <v>2.08</v>
      </c>
      <c r="G487" s="0" t="n">
        <v>17165</v>
      </c>
      <c r="H487" s="6" t="s">
        <v>74</v>
      </c>
      <c r="I487" s="6" t="n">
        <f aca="false">D487*F487</f>
        <v>43.68</v>
      </c>
      <c r="J487" s="6" t="n">
        <f aca="false">HOUR(E487)</f>
        <v>9</v>
      </c>
      <c r="K487" s="6" t="n">
        <f aca="false">IF(COUNTIF($A$2:$A487,A487)=1,1,0)</f>
        <v>0</v>
      </c>
    </row>
    <row r="488" customFormat="false" ht="15" hidden="false" customHeight="false" outlineLevel="0" collapsed="false">
      <c r="A488" s="0" t="s">
        <v>199</v>
      </c>
      <c r="B488" s="0" t="s">
        <v>107</v>
      </c>
      <c r="C488" s="0" t="s">
        <v>108</v>
      </c>
      <c r="D488" s="0" t="n">
        <v>11</v>
      </c>
      <c r="E488" s="5" t="n">
        <v>45938.3884722222</v>
      </c>
      <c r="F488" s="0" t="n">
        <v>3.75</v>
      </c>
      <c r="G488" s="0" t="n">
        <v>17165</v>
      </c>
      <c r="H488" s="6" t="s">
        <v>74</v>
      </c>
      <c r="I488" s="6" t="n">
        <f aca="false">D488*F488</f>
        <v>41.25</v>
      </c>
      <c r="J488" s="6" t="n">
        <f aca="false">HOUR(E488)</f>
        <v>9</v>
      </c>
      <c r="K488" s="6" t="n">
        <f aca="false">IF(COUNTIF($A$2:$A488,A488)=1,1,0)</f>
        <v>0</v>
      </c>
    </row>
    <row r="489" customFormat="false" ht="15" hidden="false" customHeight="false" outlineLevel="0" collapsed="false">
      <c r="A489" s="0" t="s">
        <v>200</v>
      </c>
      <c r="B489" s="0" t="s">
        <v>69</v>
      </c>
      <c r="C489" s="0" t="s">
        <v>70</v>
      </c>
      <c r="D489" s="0" t="n">
        <v>42</v>
      </c>
      <c r="E489" s="5" t="n">
        <v>45938.3978009259</v>
      </c>
      <c r="F489" s="0" t="n">
        <v>2.08</v>
      </c>
      <c r="G489" s="0" t="n">
        <v>17242</v>
      </c>
      <c r="H489" s="6" t="s">
        <v>74</v>
      </c>
      <c r="I489" s="6" t="n">
        <f aca="false">D489*F489</f>
        <v>87.36</v>
      </c>
      <c r="J489" s="6" t="n">
        <f aca="false">HOUR(E489)</f>
        <v>9</v>
      </c>
      <c r="K489" s="6" t="n">
        <f aca="false">IF(COUNTIF($A$2:$A489,A489)=1,1,0)</f>
        <v>1</v>
      </c>
    </row>
    <row r="490" customFormat="false" ht="15" hidden="false" customHeight="false" outlineLevel="0" collapsed="false">
      <c r="A490" s="0" t="s">
        <v>200</v>
      </c>
      <c r="B490" s="0" t="s">
        <v>75</v>
      </c>
      <c r="C490" s="0" t="s">
        <v>76</v>
      </c>
      <c r="D490" s="0" t="n">
        <v>6</v>
      </c>
      <c r="E490" s="5" t="n">
        <v>45938.3978009259</v>
      </c>
      <c r="F490" s="0" t="n">
        <v>3.39</v>
      </c>
      <c r="G490" s="0" t="n">
        <v>17242</v>
      </c>
      <c r="H490" s="6" t="s">
        <v>74</v>
      </c>
      <c r="I490" s="6" t="n">
        <f aca="false">D490*F490</f>
        <v>20.34</v>
      </c>
      <c r="J490" s="6" t="n">
        <f aca="false">HOUR(E490)</f>
        <v>9</v>
      </c>
      <c r="K490" s="6" t="n">
        <f aca="false">IF(COUNTIF($A$2:$A490,A490)=1,1,0)</f>
        <v>0</v>
      </c>
    </row>
    <row r="491" customFormat="false" ht="15" hidden="false" customHeight="false" outlineLevel="0" collapsed="false">
      <c r="A491" s="0" t="s">
        <v>200</v>
      </c>
      <c r="B491" s="0" t="s">
        <v>140</v>
      </c>
      <c r="C491" s="0" t="s">
        <v>141</v>
      </c>
      <c r="D491" s="0" t="n">
        <v>22</v>
      </c>
      <c r="E491" s="5" t="n">
        <v>45938.3978009259</v>
      </c>
      <c r="F491" s="0" t="n">
        <v>2.08</v>
      </c>
      <c r="G491" s="0" t="n">
        <v>17242</v>
      </c>
      <c r="H491" s="6" t="s">
        <v>74</v>
      </c>
      <c r="I491" s="6" t="n">
        <f aca="false">D491*F491</f>
        <v>45.76</v>
      </c>
      <c r="J491" s="6" t="n">
        <f aca="false">HOUR(E491)</f>
        <v>9</v>
      </c>
      <c r="K491" s="6" t="n">
        <f aca="false">IF(COUNTIF($A$2:$A491,A491)=1,1,0)</f>
        <v>0</v>
      </c>
    </row>
    <row r="492" customFormat="false" ht="15" hidden="false" customHeight="false" outlineLevel="0" collapsed="false">
      <c r="A492" s="0" t="s">
        <v>200</v>
      </c>
      <c r="B492" s="0" t="s">
        <v>65</v>
      </c>
      <c r="C492" s="0" t="s">
        <v>66</v>
      </c>
      <c r="D492" s="0" t="n">
        <v>3</v>
      </c>
      <c r="E492" s="5" t="n">
        <v>45938.3978009259</v>
      </c>
      <c r="F492" s="0" t="n">
        <v>1.65</v>
      </c>
      <c r="G492" s="0" t="n">
        <v>17242</v>
      </c>
      <c r="H492" s="6" t="s">
        <v>74</v>
      </c>
      <c r="I492" s="6" t="n">
        <f aca="false">D492*F492</f>
        <v>4.95</v>
      </c>
      <c r="J492" s="6" t="n">
        <f aca="false">HOUR(E492)</f>
        <v>9</v>
      </c>
      <c r="K492" s="6" t="n">
        <f aca="false">IF(COUNTIF($A$2:$A492,A492)=1,1,0)</f>
        <v>0</v>
      </c>
    </row>
    <row r="493" customFormat="false" ht="15" hidden="false" customHeight="false" outlineLevel="0" collapsed="false">
      <c r="A493" s="0" t="s">
        <v>200</v>
      </c>
      <c r="B493" s="0" t="s">
        <v>88</v>
      </c>
      <c r="C493" s="0" t="s">
        <v>89</v>
      </c>
      <c r="D493" s="0" t="n">
        <v>3</v>
      </c>
      <c r="E493" s="5" t="n">
        <v>45938.3978009259</v>
      </c>
      <c r="F493" s="0" t="n">
        <v>2.75</v>
      </c>
      <c r="G493" s="0" t="n">
        <v>17242</v>
      </c>
      <c r="H493" s="6" t="s">
        <v>74</v>
      </c>
      <c r="I493" s="6" t="n">
        <f aca="false">D493*F493</f>
        <v>8.25</v>
      </c>
      <c r="J493" s="6" t="n">
        <f aca="false">HOUR(E493)</f>
        <v>9</v>
      </c>
      <c r="K493" s="6" t="n">
        <f aca="false">IF(COUNTIF($A$2:$A493,A493)=1,1,0)</f>
        <v>0</v>
      </c>
    </row>
    <row r="494" customFormat="false" ht="15" hidden="false" customHeight="false" outlineLevel="0" collapsed="false">
      <c r="A494" s="0" t="s">
        <v>200</v>
      </c>
      <c r="B494" s="0" t="s">
        <v>83</v>
      </c>
      <c r="C494" s="0" t="s">
        <v>84</v>
      </c>
      <c r="D494" s="0" t="n">
        <v>24</v>
      </c>
      <c r="E494" s="5" t="n">
        <v>45938.3978009259</v>
      </c>
      <c r="F494" s="0" t="n">
        <v>2.95</v>
      </c>
      <c r="G494" s="0" t="n">
        <v>17242</v>
      </c>
      <c r="H494" s="6" t="s">
        <v>74</v>
      </c>
      <c r="I494" s="6" t="n">
        <f aca="false">D494*F494</f>
        <v>70.8</v>
      </c>
      <c r="J494" s="6" t="n">
        <f aca="false">HOUR(E494)</f>
        <v>9</v>
      </c>
      <c r="K494" s="6" t="n">
        <f aca="false">IF(COUNTIF($A$2:$A494,A494)=1,1,0)</f>
        <v>0</v>
      </c>
    </row>
    <row r="495" customFormat="false" ht="15" hidden="false" customHeight="false" outlineLevel="0" collapsed="false">
      <c r="A495" s="0" t="s">
        <v>201</v>
      </c>
      <c r="B495" s="0" t="s">
        <v>104</v>
      </c>
      <c r="C495" s="0" t="s">
        <v>105</v>
      </c>
      <c r="D495" s="0" t="n">
        <v>6</v>
      </c>
      <c r="E495" s="5" t="n">
        <v>45938.4120833333</v>
      </c>
      <c r="F495" s="0" t="n">
        <v>1.65</v>
      </c>
      <c r="G495" s="0" t="n">
        <v>17243</v>
      </c>
      <c r="H495" s="6" t="s">
        <v>74</v>
      </c>
      <c r="I495" s="6" t="n">
        <f aca="false">D495*F495</f>
        <v>9.9</v>
      </c>
      <c r="J495" s="6" t="n">
        <f aca="false">HOUR(E495)</f>
        <v>9</v>
      </c>
      <c r="K495" s="6" t="n">
        <f aca="false">IF(COUNTIF($A$2:$A495,A495)=1,1,0)</f>
        <v>1</v>
      </c>
    </row>
    <row r="496" customFormat="false" ht="15" hidden="false" customHeight="false" outlineLevel="0" collapsed="false">
      <c r="A496" s="0" t="s">
        <v>201</v>
      </c>
      <c r="B496" s="0" t="s">
        <v>63</v>
      </c>
      <c r="C496" s="0" t="s">
        <v>64</v>
      </c>
      <c r="D496" s="0" t="n">
        <v>3</v>
      </c>
      <c r="E496" s="5" t="n">
        <v>45938.4120833333</v>
      </c>
      <c r="F496" s="0" t="n">
        <v>1.85</v>
      </c>
      <c r="G496" s="0" t="n">
        <v>17243</v>
      </c>
      <c r="H496" s="6" t="s">
        <v>74</v>
      </c>
      <c r="I496" s="6" t="n">
        <f aca="false">D496*F496</f>
        <v>5.55</v>
      </c>
      <c r="J496" s="6" t="n">
        <f aca="false">HOUR(E496)</f>
        <v>9</v>
      </c>
      <c r="K496" s="6" t="n">
        <f aca="false">IF(COUNTIF($A$2:$A496,A496)=1,1,0)</f>
        <v>0</v>
      </c>
    </row>
    <row r="497" customFormat="false" ht="15" hidden="false" customHeight="false" outlineLevel="0" collapsed="false">
      <c r="A497" s="0" t="s">
        <v>201</v>
      </c>
      <c r="B497" s="0" t="s">
        <v>57</v>
      </c>
      <c r="C497" s="0" t="s">
        <v>58</v>
      </c>
      <c r="D497" s="0" t="n">
        <v>7</v>
      </c>
      <c r="E497" s="5" t="n">
        <v>45938.4120833333</v>
      </c>
      <c r="F497" s="0" t="n">
        <v>2.08</v>
      </c>
      <c r="G497" s="0" t="n">
        <v>17243</v>
      </c>
      <c r="H497" s="6" t="s">
        <v>74</v>
      </c>
      <c r="I497" s="6" t="n">
        <f aca="false">D497*F497</f>
        <v>14.56</v>
      </c>
      <c r="J497" s="6" t="n">
        <f aca="false">HOUR(E497)</f>
        <v>9</v>
      </c>
      <c r="K497" s="6" t="n">
        <f aca="false">IF(COUNTIF($A$2:$A497,A497)=1,1,0)</f>
        <v>0</v>
      </c>
    </row>
    <row r="498" customFormat="false" ht="15" hidden="false" customHeight="false" outlineLevel="0" collapsed="false">
      <c r="A498" s="0" t="s">
        <v>201</v>
      </c>
      <c r="B498" s="0" t="s">
        <v>91</v>
      </c>
      <c r="C498" s="0" t="s">
        <v>92</v>
      </c>
      <c r="D498" s="0" t="n">
        <v>14</v>
      </c>
      <c r="E498" s="5" t="n">
        <v>45938.4120833333</v>
      </c>
      <c r="F498" s="0" t="n">
        <v>7.65</v>
      </c>
      <c r="G498" s="0" t="n">
        <v>17243</v>
      </c>
      <c r="H498" s="6" t="s">
        <v>74</v>
      </c>
      <c r="I498" s="6" t="n">
        <f aca="false">D498*F498</f>
        <v>107.1</v>
      </c>
      <c r="J498" s="6" t="n">
        <f aca="false">HOUR(E498)</f>
        <v>9</v>
      </c>
      <c r="K498" s="6" t="n">
        <f aca="false">IF(COUNTIF($A$2:$A498,A498)=1,1,0)</f>
        <v>0</v>
      </c>
    </row>
    <row r="499" customFormat="false" ht="15" hidden="false" customHeight="false" outlineLevel="0" collapsed="false">
      <c r="A499" s="0" t="s">
        <v>201</v>
      </c>
      <c r="B499" s="0" t="s">
        <v>114</v>
      </c>
      <c r="C499" s="0" t="s">
        <v>115</v>
      </c>
      <c r="D499" s="0" t="n">
        <v>18</v>
      </c>
      <c r="E499" s="5" t="n">
        <v>45938.4120833333</v>
      </c>
      <c r="F499" s="0" t="n">
        <v>2.08</v>
      </c>
      <c r="G499" s="0" t="n">
        <v>17243</v>
      </c>
      <c r="H499" s="6" t="s">
        <v>74</v>
      </c>
      <c r="I499" s="6" t="n">
        <f aca="false">D499*F499</f>
        <v>37.44</v>
      </c>
      <c r="J499" s="6" t="n">
        <f aca="false">HOUR(E499)</f>
        <v>9</v>
      </c>
      <c r="K499" s="6" t="n">
        <f aca="false">IF(COUNTIF($A$2:$A499,A499)=1,1,0)</f>
        <v>0</v>
      </c>
    </row>
    <row r="500" customFormat="false" ht="15" hidden="false" customHeight="false" outlineLevel="0" collapsed="false">
      <c r="A500" s="0" t="s">
        <v>201</v>
      </c>
      <c r="B500" s="0" t="s">
        <v>118</v>
      </c>
      <c r="C500" s="0" t="s">
        <v>119</v>
      </c>
      <c r="D500" s="0" t="n">
        <v>33</v>
      </c>
      <c r="E500" s="5" t="n">
        <v>45938.4120833333</v>
      </c>
      <c r="F500" s="0" t="n">
        <v>4.95</v>
      </c>
      <c r="G500" s="0" t="n">
        <v>17243</v>
      </c>
      <c r="H500" s="6" t="s">
        <v>74</v>
      </c>
      <c r="I500" s="6" t="n">
        <f aca="false">D500*F500</f>
        <v>163.35</v>
      </c>
      <c r="J500" s="6" t="n">
        <f aca="false">HOUR(E500)</f>
        <v>9</v>
      </c>
      <c r="K500" s="6" t="n">
        <f aca="false">IF(COUNTIF($A$2:$A500,A500)=1,1,0)</f>
        <v>0</v>
      </c>
    </row>
    <row r="501" customFormat="false" ht="15" hidden="false" customHeight="false" outlineLevel="0" collapsed="false">
      <c r="A501" s="0" t="s">
        <v>201</v>
      </c>
      <c r="B501" s="0" t="s">
        <v>83</v>
      </c>
      <c r="C501" s="0" t="s">
        <v>84</v>
      </c>
      <c r="D501" s="0" t="n">
        <v>6</v>
      </c>
      <c r="E501" s="5" t="n">
        <v>45938.4120833333</v>
      </c>
      <c r="F501" s="0" t="n">
        <v>2.95</v>
      </c>
      <c r="G501" s="0" t="n">
        <v>17243</v>
      </c>
      <c r="H501" s="6" t="s">
        <v>74</v>
      </c>
      <c r="I501" s="6" t="n">
        <f aca="false">D501*F501</f>
        <v>17.7</v>
      </c>
      <c r="J501" s="6" t="n">
        <f aca="false">HOUR(E501)</f>
        <v>9</v>
      </c>
      <c r="K501" s="6" t="n">
        <f aca="false">IF(COUNTIF($A$2:$A501,A501)=1,1,0)</f>
        <v>0</v>
      </c>
    </row>
    <row r="502" customFormat="false" ht="15" hidden="false" customHeight="false" outlineLevel="0" collapsed="false">
      <c r="A502" s="0" t="s">
        <v>201</v>
      </c>
      <c r="B502" s="0" t="s">
        <v>40</v>
      </c>
      <c r="C502" s="0" t="s">
        <v>41</v>
      </c>
      <c r="D502" s="0" t="n">
        <v>20</v>
      </c>
      <c r="E502" s="5" t="n">
        <v>45938.4120833333</v>
      </c>
      <c r="F502" s="0" t="n">
        <v>1.06</v>
      </c>
      <c r="G502" s="0" t="n">
        <v>17243</v>
      </c>
      <c r="H502" s="6" t="s">
        <v>74</v>
      </c>
      <c r="I502" s="6" t="n">
        <f aca="false">D502*F502</f>
        <v>21.2</v>
      </c>
      <c r="J502" s="6" t="n">
        <f aca="false">HOUR(E502)</f>
        <v>9</v>
      </c>
      <c r="K502" s="6" t="n">
        <f aca="false">IF(COUNTIF($A$2:$A502,A502)=1,1,0)</f>
        <v>0</v>
      </c>
    </row>
    <row r="503" customFormat="false" ht="15" hidden="false" customHeight="false" outlineLevel="0" collapsed="false">
      <c r="A503" s="0" t="s">
        <v>201</v>
      </c>
      <c r="B503" s="0" t="s">
        <v>93</v>
      </c>
      <c r="C503" s="0" t="s">
        <v>94</v>
      </c>
      <c r="D503" s="0" t="n">
        <v>24</v>
      </c>
      <c r="E503" s="5" t="n">
        <v>45938.4120833333</v>
      </c>
      <c r="F503" s="0" t="n">
        <v>1.69</v>
      </c>
      <c r="G503" s="0" t="n">
        <v>17243</v>
      </c>
      <c r="H503" s="6" t="s">
        <v>74</v>
      </c>
      <c r="I503" s="6" t="n">
        <f aca="false">D503*F503</f>
        <v>40.56</v>
      </c>
      <c r="J503" s="6" t="n">
        <f aca="false">HOUR(E503)</f>
        <v>9</v>
      </c>
      <c r="K503" s="6" t="n">
        <f aca="false">IF(COUNTIF($A$2:$A503,A503)=1,1,0)</f>
        <v>0</v>
      </c>
    </row>
    <row r="504" customFormat="false" ht="15" hidden="false" customHeight="false" outlineLevel="0" collapsed="false">
      <c r="A504" s="0" t="s">
        <v>201</v>
      </c>
      <c r="B504" s="0" t="s">
        <v>88</v>
      </c>
      <c r="C504" s="0" t="s">
        <v>89</v>
      </c>
      <c r="D504" s="0" t="n">
        <v>21</v>
      </c>
      <c r="E504" s="5" t="n">
        <v>45938.4120833333</v>
      </c>
      <c r="F504" s="0" t="n">
        <v>2.75</v>
      </c>
      <c r="G504" s="0" t="n">
        <v>17243</v>
      </c>
      <c r="H504" s="6" t="s">
        <v>74</v>
      </c>
      <c r="I504" s="6" t="n">
        <f aca="false">D504*F504</f>
        <v>57.75</v>
      </c>
      <c r="J504" s="6" t="n">
        <f aca="false">HOUR(E504)</f>
        <v>9</v>
      </c>
      <c r="K504" s="6" t="n">
        <f aca="false">IF(COUNTIF($A$2:$A504,A504)=1,1,0)</f>
        <v>0</v>
      </c>
    </row>
    <row r="505" customFormat="false" ht="15" hidden="false" customHeight="false" outlineLevel="0" collapsed="false">
      <c r="A505" s="0" t="s">
        <v>202</v>
      </c>
      <c r="B505" s="0" t="s">
        <v>93</v>
      </c>
      <c r="C505" s="0" t="s">
        <v>94</v>
      </c>
      <c r="D505" s="0" t="n">
        <v>22</v>
      </c>
      <c r="E505" s="5" t="n">
        <v>45938.4199305556</v>
      </c>
      <c r="F505" s="0" t="n">
        <v>1.69</v>
      </c>
      <c r="G505" s="0" t="n">
        <v>17081</v>
      </c>
      <c r="H505" s="6" t="s">
        <v>74</v>
      </c>
      <c r="I505" s="6" t="n">
        <f aca="false">D505*F505</f>
        <v>37.18</v>
      </c>
      <c r="J505" s="6" t="n">
        <f aca="false">HOUR(E505)</f>
        <v>10</v>
      </c>
      <c r="K505" s="6" t="n">
        <f aca="false">IF(COUNTIF($A$2:$A505,A505)=1,1,0)</f>
        <v>1</v>
      </c>
    </row>
    <row r="506" customFormat="false" ht="15" hidden="false" customHeight="false" outlineLevel="0" collapsed="false">
      <c r="A506" s="0" t="s">
        <v>203</v>
      </c>
      <c r="B506" s="0" t="s">
        <v>77</v>
      </c>
      <c r="C506" s="0" t="s">
        <v>78</v>
      </c>
      <c r="D506" s="0" t="n">
        <v>24</v>
      </c>
      <c r="E506" s="5" t="n">
        <v>45938.4624652778</v>
      </c>
      <c r="F506" s="0" t="n">
        <v>1.65</v>
      </c>
      <c r="G506" s="0" t="n">
        <v>17132</v>
      </c>
      <c r="H506" s="6" t="s">
        <v>74</v>
      </c>
      <c r="I506" s="6" t="n">
        <f aca="false">D506*F506</f>
        <v>39.6</v>
      </c>
      <c r="J506" s="6" t="n">
        <f aca="false">HOUR(E506)</f>
        <v>11</v>
      </c>
      <c r="K506" s="6" t="n">
        <f aca="false">IF(COUNTIF($A$2:$A506,A506)=1,1,0)</f>
        <v>1</v>
      </c>
    </row>
    <row r="507" customFormat="false" ht="15" hidden="false" customHeight="false" outlineLevel="0" collapsed="false">
      <c r="A507" s="0" t="s">
        <v>203</v>
      </c>
      <c r="B507" s="0" t="s">
        <v>88</v>
      </c>
      <c r="C507" s="0" t="s">
        <v>89</v>
      </c>
      <c r="D507" s="0" t="n">
        <v>12</v>
      </c>
      <c r="E507" s="5" t="n">
        <v>45938.4624652778</v>
      </c>
      <c r="F507" s="0" t="n">
        <v>2.75</v>
      </c>
      <c r="G507" s="0" t="n">
        <v>17132</v>
      </c>
      <c r="H507" s="6" t="s">
        <v>74</v>
      </c>
      <c r="I507" s="6" t="n">
        <f aca="false">D507*F507</f>
        <v>33</v>
      </c>
      <c r="J507" s="6" t="n">
        <f aca="false">HOUR(E507)</f>
        <v>11</v>
      </c>
      <c r="K507" s="6" t="n">
        <f aca="false">IF(COUNTIF($A$2:$A507,A507)=1,1,0)</f>
        <v>0</v>
      </c>
    </row>
    <row r="508" customFormat="false" ht="15" hidden="false" customHeight="false" outlineLevel="0" collapsed="false">
      <c r="A508" s="0" t="s">
        <v>203</v>
      </c>
      <c r="B508" s="0" t="s">
        <v>79</v>
      </c>
      <c r="C508" s="0" t="s">
        <v>80</v>
      </c>
      <c r="D508" s="0" t="n">
        <v>1</v>
      </c>
      <c r="E508" s="5" t="n">
        <v>45938.4624652778</v>
      </c>
      <c r="F508" s="0" t="n">
        <v>3.39</v>
      </c>
      <c r="G508" s="0" t="n">
        <v>17132</v>
      </c>
      <c r="H508" s="6" t="s">
        <v>74</v>
      </c>
      <c r="I508" s="6" t="n">
        <f aca="false">D508*F508</f>
        <v>3.39</v>
      </c>
      <c r="J508" s="6" t="n">
        <f aca="false">HOUR(E508)</f>
        <v>11</v>
      </c>
      <c r="K508" s="6" t="n">
        <f aca="false">IF(COUNTIF($A$2:$A508,A508)=1,1,0)</f>
        <v>0</v>
      </c>
    </row>
    <row r="509" customFormat="false" ht="15" hidden="false" customHeight="false" outlineLevel="0" collapsed="false">
      <c r="A509" s="0" t="s">
        <v>203</v>
      </c>
      <c r="B509" s="0" t="s">
        <v>121</v>
      </c>
      <c r="C509" s="0" t="s">
        <v>122</v>
      </c>
      <c r="D509" s="0" t="n">
        <v>15</v>
      </c>
      <c r="E509" s="5" t="n">
        <v>45938.4624652778</v>
      </c>
      <c r="F509" s="0" t="n">
        <v>2.1</v>
      </c>
      <c r="G509" s="0" t="n">
        <v>17132</v>
      </c>
      <c r="H509" s="6" t="s">
        <v>74</v>
      </c>
      <c r="I509" s="6" t="n">
        <f aca="false">D509*F509</f>
        <v>31.5</v>
      </c>
      <c r="J509" s="6" t="n">
        <f aca="false">HOUR(E509)</f>
        <v>11</v>
      </c>
      <c r="K509" s="6" t="n">
        <f aca="false">IF(COUNTIF($A$2:$A509,A509)=1,1,0)</f>
        <v>0</v>
      </c>
    </row>
    <row r="510" customFormat="false" ht="15" hidden="false" customHeight="false" outlineLevel="0" collapsed="false">
      <c r="A510" s="0" t="s">
        <v>203</v>
      </c>
      <c r="B510" s="0" t="s">
        <v>104</v>
      </c>
      <c r="C510" s="0" t="s">
        <v>105</v>
      </c>
      <c r="D510" s="0" t="n">
        <v>19</v>
      </c>
      <c r="E510" s="5" t="n">
        <v>45938.4624652778</v>
      </c>
      <c r="F510" s="0" t="n">
        <v>1.65</v>
      </c>
      <c r="G510" s="0" t="n">
        <v>17132</v>
      </c>
      <c r="H510" s="6" t="s">
        <v>74</v>
      </c>
      <c r="I510" s="6" t="n">
        <f aca="false">D510*F510</f>
        <v>31.35</v>
      </c>
      <c r="J510" s="6" t="n">
        <f aca="false">HOUR(E510)</f>
        <v>11</v>
      </c>
      <c r="K510" s="6" t="n">
        <f aca="false">IF(COUNTIF($A$2:$A510,A510)=1,1,0)</f>
        <v>0</v>
      </c>
    </row>
    <row r="511" customFormat="false" ht="15" hidden="false" customHeight="false" outlineLevel="0" collapsed="false">
      <c r="A511" s="0" t="s">
        <v>203</v>
      </c>
      <c r="B511" s="0" t="s">
        <v>65</v>
      </c>
      <c r="C511" s="0" t="s">
        <v>66</v>
      </c>
      <c r="D511" s="0" t="n">
        <v>6</v>
      </c>
      <c r="E511" s="5" t="n">
        <v>45938.4624652778</v>
      </c>
      <c r="F511" s="0" t="n">
        <v>1.65</v>
      </c>
      <c r="G511" s="0" t="n">
        <v>17132</v>
      </c>
      <c r="H511" s="6" t="s">
        <v>74</v>
      </c>
      <c r="I511" s="6" t="n">
        <f aca="false">D511*F511</f>
        <v>9.9</v>
      </c>
      <c r="J511" s="6" t="n">
        <f aca="false">HOUR(E511)</f>
        <v>11</v>
      </c>
      <c r="K511" s="6" t="n">
        <f aca="false">IF(COUNTIF($A$2:$A511,A511)=1,1,0)</f>
        <v>0</v>
      </c>
    </row>
    <row r="512" customFormat="false" ht="15" hidden="false" customHeight="false" outlineLevel="0" collapsed="false">
      <c r="A512" s="0" t="s">
        <v>203</v>
      </c>
      <c r="B512" s="0" t="s">
        <v>45</v>
      </c>
      <c r="C512" s="0" t="s">
        <v>46</v>
      </c>
      <c r="D512" s="0" t="n">
        <v>23</v>
      </c>
      <c r="E512" s="5" t="n">
        <v>45938.4624652778</v>
      </c>
      <c r="F512" s="0" t="n">
        <v>2.1</v>
      </c>
      <c r="G512" s="0" t="n">
        <v>17132</v>
      </c>
      <c r="H512" s="6" t="s">
        <v>74</v>
      </c>
      <c r="I512" s="6" t="n">
        <f aca="false">D512*F512</f>
        <v>48.3</v>
      </c>
      <c r="J512" s="6" t="n">
        <f aca="false">HOUR(E512)</f>
        <v>11</v>
      </c>
      <c r="K512" s="6" t="n">
        <f aca="false">IF(COUNTIF($A$2:$A512,A512)=1,1,0)</f>
        <v>0</v>
      </c>
    </row>
    <row r="513" customFormat="false" ht="15" hidden="false" customHeight="false" outlineLevel="0" collapsed="false">
      <c r="A513" s="0" t="s">
        <v>203</v>
      </c>
      <c r="B513" s="0" t="s">
        <v>145</v>
      </c>
      <c r="C513" s="0" t="s">
        <v>146</v>
      </c>
      <c r="D513" s="0" t="n">
        <v>5</v>
      </c>
      <c r="E513" s="5" t="n">
        <v>45938.4624652778</v>
      </c>
      <c r="F513" s="0" t="n">
        <v>1.85</v>
      </c>
      <c r="G513" s="0" t="n">
        <v>17132</v>
      </c>
      <c r="H513" s="6" t="s">
        <v>74</v>
      </c>
      <c r="I513" s="6" t="n">
        <f aca="false">D513*F513</f>
        <v>9.25</v>
      </c>
      <c r="J513" s="6" t="n">
        <f aca="false">HOUR(E513)</f>
        <v>11</v>
      </c>
      <c r="K513" s="6" t="n">
        <f aca="false">IF(COUNTIF($A$2:$A513,A513)=1,1,0)</f>
        <v>0</v>
      </c>
    </row>
    <row r="514" customFormat="false" ht="15" hidden="false" customHeight="false" outlineLevel="0" collapsed="false">
      <c r="A514" s="0" t="s">
        <v>204</v>
      </c>
      <c r="B514" s="0" t="s">
        <v>75</v>
      </c>
      <c r="C514" s="0" t="s">
        <v>76</v>
      </c>
      <c r="D514" s="0" t="n">
        <v>14</v>
      </c>
      <c r="E514" s="5" t="n">
        <v>45938.5246412037</v>
      </c>
      <c r="F514" s="0" t="n">
        <v>3.39</v>
      </c>
      <c r="G514" s="0" t="n">
        <v>17202</v>
      </c>
      <c r="H514" s="6" t="s">
        <v>74</v>
      </c>
      <c r="I514" s="6" t="n">
        <f aca="false">D514*F514</f>
        <v>47.46</v>
      </c>
      <c r="J514" s="6" t="n">
        <f aca="false">HOUR(E514)</f>
        <v>12</v>
      </c>
      <c r="K514" s="6" t="n">
        <f aca="false">IF(COUNTIF($A$2:$A514,A514)=1,1,0)</f>
        <v>1</v>
      </c>
    </row>
    <row r="515" customFormat="false" ht="15" hidden="false" customHeight="false" outlineLevel="0" collapsed="false">
      <c r="A515" s="0" t="s">
        <v>204</v>
      </c>
      <c r="B515" s="0" t="s">
        <v>88</v>
      </c>
      <c r="C515" s="0" t="s">
        <v>89</v>
      </c>
      <c r="D515" s="0" t="n">
        <v>5</v>
      </c>
      <c r="E515" s="5" t="n">
        <v>45938.5246412037</v>
      </c>
      <c r="F515" s="0" t="n">
        <v>2.75</v>
      </c>
      <c r="G515" s="0" t="n">
        <v>17202</v>
      </c>
      <c r="H515" s="6" t="s">
        <v>74</v>
      </c>
      <c r="I515" s="6" t="n">
        <f aca="false">D515*F515</f>
        <v>13.75</v>
      </c>
      <c r="J515" s="6" t="n">
        <f aca="false">HOUR(E515)</f>
        <v>12</v>
      </c>
      <c r="K515" s="6" t="n">
        <f aca="false">IF(COUNTIF($A$2:$A515,A515)=1,1,0)</f>
        <v>0</v>
      </c>
    </row>
    <row r="516" customFormat="false" ht="15" hidden="false" customHeight="false" outlineLevel="0" collapsed="false">
      <c r="A516" s="0" t="s">
        <v>204</v>
      </c>
      <c r="B516" s="0" t="s">
        <v>102</v>
      </c>
      <c r="C516" s="0" t="s">
        <v>103</v>
      </c>
      <c r="D516" s="0" t="n">
        <v>36</v>
      </c>
      <c r="E516" s="5" t="n">
        <v>45938.5246412037</v>
      </c>
      <c r="F516" s="0" t="n">
        <v>8.5</v>
      </c>
      <c r="G516" s="0" t="n">
        <v>17202</v>
      </c>
      <c r="H516" s="6" t="s">
        <v>74</v>
      </c>
      <c r="I516" s="6" t="n">
        <f aca="false">D516*F516</f>
        <v>306</v>
      </c>
      <c r="J516" s="6" t="n">
        <f aca="false">HOUR(E516)</f>
        <v>12</v>
      </c>
      <c r="K516" s="6" t="n">
        <f aca="false">IF(COUNTIF($A$2:$A516,A516)=1,1,0)</f>
        <v>0</v>
      </c>
    </row>
    <row r="517" customFormat="false" ht="15" hidden="false" customHeight="false" outlineLevel="0" collapsed="false">
      <c r="A517" s="0" t="s">
        <v>204</v>
      </c>
      <c r="B517" s="0" t="s">
        <v>45</v>
      </c>
      <c r="C517" s="0" t="s">
        <v>46</v>
      </c>
      <c r="D517" s="0" t="n">
        <v>2</v>
      </c>
      <c r="E517" s="5" t="n">
        <v>45938.5246412037</v>
      </c>
      <c r="F517" s="0" t="n">
        <v>2.1</v>
      </c>
      <c r="G517" s="0" t="n">
        <v>17202</v>
      </c>
      <c r="H517" s="6" t="s">
        <v>74</v>
      </c>
      <c r="I517" s="6" t="n">
        <f aca="false">D517*F517</f>
        <v>4.2</v>
      </c>
      <c r="J517" s="6" t="n">
        <f aca="false">HOUR(E517)</f>
        <v>12</v>
      </c>
      <c r="K517" s="6" t="n">
        <f aca="false">IF(COUNTIF($A$2:$A517,A517)=1,1,0)</f>
        <v>0</v>
      </c>
    </row>
    <row r="518" customFormat="false" ht="15" hidden="false" customHeight="false" outlineLevel="0" collapsed="false">
      <c r="A518" s="0" t="s">
        <v>204</v>
      </c>
      <c r="B518" s="0" t="s">
        <v>95</v>
      </c>
      <c r="C518" s="0" t="s">
        <v>96</v>
      </c>
      <c r="D518" s="0" t="n">
        <v>10</v>
      </c>
      <c r="E518" s="5" t="n">
        <v>45938.5246412037</v>
      </c>
      <c r="F518" s="0" t="n">
        <v>2.55</v>
      </c>
      <c r="G518" s="0" t="n">
        <v>17202</v>
      </c>
      <c r="H518" s="6" t="s">
        <v>74</v>
      </c>
      <c r="I518" s="6" t="n">
        <f aca="false">D518*F518</f>
        <v>25.5</v>
      </c>
      <c r="J518" s="6" t="n">
        <f aca="false">HOUR(E518)</f>
        <v>12</v>
      </c>
      <c r="K518" s="6" t="n">
        <f aca="false">IF(COUNTIF($A$2:$A518,A518)=1,1,0)</f>
        <v>0</v>
      </c>
    </row>
    <row r="519" customFormat="false" ht="15" hidden="false" customHeight="false" outlineLevel="0" collapsed="false">
      <c r="A519" s="0" t="s">
        <v>205</v>
      </c>
      <c r="B519" s="0" t="s">
        <v>53</v>
      </c>
      <c r="C519" s="0" t="s">
        <v>54</v>
      </c>
      <c r="D519" s="0" t="n">
        <v>5</v>
      </c>
      <c r="E519" s="5" t="n">
        <v>45938.5306828704</v>
      </c>
      <c r="F519" s="0" t="n">
        <v>2.95</v>
      </c>
      <c r="G519" s="0" t="n">
        <v>17245</v>
      </c>
      <c r="H519" s="6" t="s">
        <v>113</v>
      </c>
      <c r="I519" s="6" t="n">
        <f aca="false">D519*F519</f>
        <v>14.75</v>
      </c>
      <c r="J519" s="6" t="n">
        <f aca="false">HOUR(E519)</f>
        <v>12</v>
      </c>
      <c r="K519" s="6" t="n">
        <f aca="false">IF(COUNTIF($A$2:$A519,A519)=1,1,0)</f>
        <v>1</v>
      </c>
    </row>
    <row r="520" customFormat="false" ht="15" hidden="false" customHeight="false" outlineLevel="0" collapsed="false">
      <c r="A520" s="0" t="s">
        <v>205</v>
      </c>
      <c r="B520" s="0" t="s">
        <v>47</v>
      </c>
      <c r="C520" s="0" t="s">
        <v>48</v>
      </c>
      <c r="D520" s="0" t="n">
        <v>8</v>
      </c>
      <c r="E520" s="5" t="n">
        <v>45938.5306828704</v>
      </c>
      <c r="F520" s="0" t="n">
        <v>12.75</v>
      </c>
      <c r="G520" s="0" t="n">
        <v>17245</v>
      </c>
      <c r="H520" s="6" t="s">
        <v>113</v>
      </c>
      <c r="I520" s="6" t="n">
        <f aca="false">D520*F520</f>
        <v>102</v>
      </c>
      <c r="J520" s="6" t="n">
        <f aca="false">HOUR(E520)</f>
        <v>12</v>
      </c>
      <c r="K520" s="6" t="n">
        <f aca="false">IF(COUNTIF($A$2:$A520,A520)=1,1,0)</f>
        <v>0</v>
      </c>
    </row>
    <row r="521" customFormat="false" ht="15" hidden="false" customHeight="false" outlineLevel="0" collapsed="false">
      <c r="A521" s="0" t="s">
        <v>205</v>
      </c>
      <c r="B521" s="0" t="s">
        <v>107</v>
      </c>
      <c r="C521" s="0" t="s">
        <v>108</v>
      </c>
      <c r="D521" s="0" t="n">
        <v>2</v>
      </c>
      <c r="E521" s="5" t="n">
        <v>45938.5306828704</v>
      </c>
      <c r="F521" s="0" t="n">
        <v>3.75</v>
      </c>
      <c r="G521" s="0" t="n">
        <v>17245</v>
      </c>
      <c r="H521" s="6" t="s">
        <v>113</v>
      </c>
      <c r="I521" s="6" t="n">
        <f aca="false">D521*F521</f>
        <v>7.5</v>
      </c>
      <c r="J521" s="6" t="n">
        <f aca="false">HOUR(E521)</f>
        <v>12</v>
      </c>
      <c r="K521" s="6" t="n">
        <f aca="false">IF(COUNTIF($A$2:$A521,A521)=1,1,0)</f>
        <v>0</v>
      </c>
    </row>
    <row r="522" customFormat="false" ht="15" hidden="false" customHeight="false" outlineLevel="0" collapsed="false">
      <c r="A522" s="0" t="s">
        <v>205</v>
      </c>
      <c r="B522" s="0" t="s">
        <v>61</v>
      </c>
      <c r="C522" s="0" t="s">
        <v>62</v>
      </c>
      <c r="D522" s="0" t="n">
        <v>19</v>
      </c>
      <c r="E522" s="5" t="n">
        <v>45938.5306828704</v>
      </c>
      <c r="F522" s="0" t="n">
        <v>1.65</v>
      </c>
      <c r="G522" s="0" t="n">
        <v>17245</v>
      </c>
      <c r="H522" s="6" t="s">
        <v>113</v>
      </c>
      <c r="I522" s="6" t="n">
        <f aca="false">D522*F522</f>
        <v>31.35</v>
      </c>
      <c r="J522" s="6" t="n">
        <f aca="false">HOUR(E522)</f>
        <v>12</v>
      </c>
      <c r="K522" s="6" t="n">
        <f aca="false">IF(COUNTIF($A$2:$A522,A522)=1,1,0)</f>
        <v>0</v>
      </c>
    </row>
    <row r="523" customFormat="false" ht="15" hidden="false" customHeight="false" outlineLevel="0" collapsed="false">
      <c r="A523" s="0" t="s">
        <v>205</v>
      </c>
      <c r="B523" s="0" t="s">
        <v>43</v>
      </c>
      <c r="C523" s="0" t="s">
        <v>44</v>
      </c>
      <c r="D523" s="0" t="n">
        <v>10</v>
      </c>
      <c r="E523" s="5" t="n">
        <v>45938.5306828704</v>
      </c>
      <c r="F523" s="0" t="n">
        <v>4.25</v>
      </c>
      <c r="G523" s="0" t="n">
        <v>17245</v>
      </c>
      <c r="H523" s="6" t="s">
        <v>113</v>
      </c>
      <c r="I523" s="6" t="n">
        <f aca="false">D523*F523</f>
        <v>42.5</v>
      </c>
      <c r="J523" s="6" t="n">
        <f aca="false">HOUR(E523)</f>
        <v>12</v>
      </c>
      <c r="K523" s="6" t="n">
        <f aca="false">IF(COUNTIF($A$2:$A523,A523)=1,1,0)</f>
        <v>0</v>
      </c>
    </row>
    <row r="524" customFormat="false" ht="15" hidden="false" customHeight="false" outlineLevel="0" collapsed="false">
      <c r="A524" s="0" t="s">
        <v>205</v>
      </c>
      <c r="B524" s="0" t="s">
        <v>57</v>
      </c>
      <c r="C524" s="0" t="s">
        <v>58</v>
      </c>
      <c r="D524" s="0" t="n">
        <v>16</v>
      </c>
      <c r="E524" s="5" t="n">
        <v>45938.5306828704</v>
      </c>
      <c r="F524" s="0" t="n">
        <v>2.08</v>
      </c>
      <c r="G524" s="0" t="n">
        <v>17245</v>
      </c>
      <c r="H524" s="6" t="s">
        <v>113</v>
      </c>
      <c r="I524" s="6" t="n">
        <f aca="false">D524*F524</f>
        <v>33.28</v>
      </c>
      <c r="J524" s="6" t="n">
        <f aca="false">HOUR(E524)</f>
        <v>12</v>
      </c>
      <c r="K524" s="6" t="n">
        <f aca="false">IF(COUNTIF($A$2:$A524,A524)=1,1,0)</f>
        <v>0</v>
      </c>
    </row>
    <row r="525" customFormat="false" ht="15" hidden="false" customHeight="false" outlineLevel="0" collapsed="false">
      <c r="A525" s="0" t="s">
        <v>206</v>
      </c>
      <c r="B525" s="0" t="s">
        <v>145</v>
      </c>
      <c r="C525" s="0" t="s">
        <v>146</v>
      </c>
      <c r="D525" s="0" t="n">
        <v>8</v>
      </c>
      <c r="E525" s="5" t="n">
        <v>45938.5475925926</v>
      </c>
      <c r="F525" s="0" t="n">
        <v>1.85</v>
      </c>
      <c r="G525" s="0" t="n">
        <v>17163</v>
      </c>
      <c r="H525" s="6" t="s">
        <v>74</v>
      </c>
      <c r="I525" s="6" t="n">
        <f aca="false">D525*F525</f>
        <v>14.8</v>
      </c>
      <c r="J525" s="6" t="n">
        <f aca="false">HOUR(E525)</f>
        <v>13</v>
      </c>
      <c r="K525" s="6" t="n">
        <f aca="false">IF(COUNTIF($A$2:$A525,A525)=1,1,0)</f>
        <v>1</v>
      </c>
    </row>
    <row r="526" customFormat="false" ht="15" hidden="false" customHeight="false" outlineLevel="0" collapsed="false">
      <c r="A526" s="0" t="s">
        <v>206</v>
      </c>
      <c r="B526" s="0" t="s">
        <v>125</v>
      </c>
      <c r="C526" s="0" t="s">
        <v>126</v>
      </c>
      <c r="D526" s="0" t="n">
        <v>18</v>
      </c>
      <c r="E526" s="5" t="n">
        <v>45938.5475925926</v>
      </c>
      <c r="F526" s="0" t="n">
        <v>1.25</v>
      </c>
      <c r="G526" s="0" t="n">
        <v>17163</v>
      </c>
      <c r="H526" s="6" t="s">
        <v>74</v>
      </c>
      <c r="I526" s="6" t="n">
        <f aca="false">D526*F526</f>
        <v>22.5</v>
      </c>
      <c r="J526" s="6" t="n">
        <f aca="false">HOUR(E526)</f>
        <v>13</v>
      </c>
      <c r="K526" s="6" t="n">
        <f aca="false">IF(COUNTIF($A$2:$A526,A526)=1,1,0)</f>
        <v>0</v>
      </c>
    </row>
    <row r="527" customFormat="false" ht="15" hidden="false" customHeight="false" outlineLevel="0" collapsed="false">
      <c r="A527" s="0" t="s">
        <v>206</v>
      </c>
      <c r="B527" s="0" t="s">
        <v>43</v>
      </c>
      <c r="C527" s="0" t="s">
        <v>44</v>
      </c>
      <c r="D527" s="0" t="n">
        <v>10</v>
      </c>
      <c r="E527" s="5" t="n">
        <v>45938.5475925926</v>
      </c>
      <c r="F527" s="0" t="n">
        <v>4.25</v>
      </c>
      <c r="G527" s="0" t="n">
        <v>17163</v>
      </c>
      <c r="H527" s="6" t="s">
        <v>74</v>
      </c>
      <c r="I527" s="6" t="n">
        <f aca="false">D527*F527</f>
        <v>42.5</v>
      </c>
      <c r="J527" s="6" t="n">
        <f aca="false">HOUR(E527)</f>
        <v>13</v>
      </c>
      <c r="K527" s="6" t="n">
        <f aca="false">IF(COUNTIF($A$2:$A527,A527)=1,1,0)</f>
        <v>0</v>
      </c>
    </row>
    <row r="528" customFormat="false" ht="15" hidden="false" customHeight="false" outlineLevel="0" collapsed="false">
      <c r="A528" s="0" t="s">
        <v>206</v>
      </c>
      <c r="B528" s="0" t="s">
        <v>59</v>
      </c>
      <c r="C528" s="0" t="s">
        <v>60</v>
      </c>
      <c r="D528" s="0" t="n">
        <v>14</v>
      </c>
      <c r="E528" s="5" t="n">
        <v>45938.5475925926</v>
      </c>
      <c r="F528" s="0" t="n">
        <v>0.42</v>
      </c>
      <c r="G528" s="0" t="n">
        <v>17163</v>
      </c>
      <c r="H528" s="6" t="s">
        <v>74</v>
      </c>
      <c r="I528" s="6" t="n">
        <f aca="false">D528*F528</f>
        <v>5.88</v>
      </c>
      <c r="J528" s="6" t="n">
        <f aca="false">HOUR(E528)</f>
        <v>13</v>
      </c>
      <c r="K528" s="6" t="n">
        <f aca="false">IF(COUNTIF($A$2:$A528,A528)=1,1,0)</f>
        <v>0</v>
      </c>
    </row>
    <row r="529" customFormat="false" ht="15" hidden="false" customHeight="false" outlineLevel="0" collapsed="false">
      <c r="A529" s="0" t="s">
        <v>206</v>
      </c>
      <c r="B529" s="0" t="s">
        <v>53</v>
      </c>
      <c r="C529" s="0" t="s">
        <v>54</v>
      </c>
      <c r="D529" s="0" t="n">
        <v>17</v>
      </c>
      <c r="E529" s="5" t="n">
        <v>45938.5475925926</v>
      </c>
      <c r="F529" s="0" t="n">
        <v>2.95</v>
      </c>
      <c r="G529" s="0" t="n">
        <v>17163</v>
      </c>
      <c r="H529" s="6" t="s">
        <v>74</v>
      </c>
      <c r="I529" s="6" t="n">
        <f aca="false">D529*F529</f>
        <v>50.15</v>
      </c>
      <c r="J529" s="6" t="n">
        <f aca="false">HOUR(E529)</f>
        <v>13</v>
      </c>
      <c r="K529" s="6" t="n">
        <f aca="false">IF(COUNTIF($A$2:$A529,A529)=1,1,0)</f>
        <v>0</v>
      </c>
    </row>
    <row r="530" customFormat="false" ht="15" hidden="false" customHeight="false" outlineLevel="0" collapsed="false">
      <c r="A530" s="0" t="s">
        <v>206</v>
      </c>
      <c r="B530" s="0" t="s">
        <v>104</v>
      </c>
      <c r="C530" s="0" t="s">
        <v>105</v>
      </c>
      <c r="D530" s="0" t="n">
        <v>14</v>
      </c>
      <c r="E530" s="5" t="n">
        <v>45938.5475925926</v>
      </c>
      <c r="F530" s="0" t="n">
        <v>1.65</v>
      </c>
      <c r="G530" s="0" t="n">
        <v>17163</v>
      </c>
      <c r="H530" s="6" t="s">
        <v>74</v>
      </c>
      <c r="I530" s="6" t="n">
        <f aca="false">D530*F530</f>
        <v>23.1</v>
      </c>
      <c r="J530" s="6" t="n">
        <f aca="false">HOUR(E530)</f>
        <v>13</v>
      </c>
      <c r="K530" s="6" t="n">
        <f aca="false">IF(COUNTIF($A$2:$A530,A530)=1,1,0)</f>
        <v>0</v>
      </c>
    </row>
    <row r="531" customFormat="false" ht="15" hidden="false" customHeight="false" outlineLevel="0" collapsed="false">
      <c r="A531" s="0" t="s">
        <v>206</v>
      </c>
      <c r="B531" s="0" t="s">
        <v>57</v>
      </c>
      <c r="C531" s="0" t="s">
        <v>58</v>
      </c>
      <c r="D531" s="0" t="n">
        <v>2</v>
      </c>
      <c r="E531" s="5" t="n">
        <v>45938.5475925926</v>
      </c>
      <c r="F531" s="0" t="n">
        <v>2.08</v>
      </c>
      <c r="G531" s="0" t="n">
        <v>17163</v>
      </c>
      <c r="H531" s="6" t="s">
        <v>74</v>
      </c>
      <c r="I531" s="6" t="n">
        <f aca="false">D531*F531</f>
        <v>4.16</v>
      </c>
      <c r="J531" s="6" t="n">
        <f aca="false">HOUR(E531)</f>
        <v>13</v>
      </c>
      <c r="K531" s="6" t="n">
        <f aca="false">IF(COUNTIF($A$2:$A531,A531)=1,1,0)</f>
        <v>0</v>
      </c>
    </row>
    <row r="532" customFormat="false" ht="15" hidden="false" customHeight="false" outlineLevel="0" collapsed="false">
      <c r="A532" s="0" t="s">
        <v>206</v>
      </c>
      <c r="B532" s="0" t="s">
        <v>140</v>
      </c>
      <c r="C532" s="0" t="s">
        <v>141</v>
      </c>
      <c r="D532" s="0" t="n">
        <v>6</v>
      </c>
      <c r="E532" s="5" t="n">
        <v>45938.5475925926</v>
      </c>
      <c r="F532" s="0" t="n">
        <v>2.08</v>
      </c>
      <c r="G532" s="0" t="n">
        <v>17163</v>
      </c>
      <c r="H532" s="6" t="s">
        <v>74</v>
      </c>
      <c r="I532" s="6" t="n">
        <f aca="false">D532*F532</f>
        <v>12.48</v>
      </c>
      <c r="J532" s="6" t="n">
        <f aca="false">HOUR(E532)</f>
        <v>13</v>
      </c>
      <c r="K532" s="6" t="n">
        <f aca="false">IF(COUNTIF($A$2:$A532,A532)=1,1,0)</f>
        <v>0</v>
      </c>
    </row>
    <row r="533" customFormat="false" ht="15" hidden="false" customHeight="false" outlineLevel="0" collapsed="false">
      <c r="A533" s="0" t="s">
        <v>206</v>
      </c>
      <c r="B533" s="0" t="s">
        <v>114</v>
      </c>
      <c r="C533" s="0" t="s">
        <v>115</v>
      </c>
      <c r="D533" s="0" t="n">
        <v>19</v>
      </c>
      <c r="E533" s="5" t="n">
        <v>45938.5475925926</v>
      </c>
      <c r="F533" s="0" t="n">
        <v>2.08</v>
      </c>
      <c r="G533" s="0" t="n">
        <v>17163</v>
      </c>
      <c r="H533" s="6" t="s">
        <v>74</v>
      </c>
      <c r="I533" s="6" t="n">
        <f aca="false">D533*F533</f>
        <v>39.52</v>
      </c>
      <c r="J533" s="6" t="n">
        <f aca="false">HOUR(E533)</f>
        <v>13</v>
      </c>
      <c r="K533" s="6" t="n">
        <f aca="false">IF(COUNTIF($A$2:$A533,A533)=1,1,0)</f>
        <v>0</v>
      </c>
    </row>
    <row r="534" customFormat="false" ht="15" hidden="false" customHeight="false" outlineLevel="0" collapsed="false">
      <c r="A534" s="0" t="s">
        <v>206</v>
      </c>
      <c r="B534" s="0" t="s">
        <v>93</v>
      </c>
      <c r="C534" s="0" t="s">
        <v>94</v>
      </c>
      <c r="D534" s="0" t="n">
        <v>21</v>
      </c>
      <c r="E534" s="5" t="n">
        <v>45938.5475925926</v>
      </c>
      <c r="F534" s="0" t="n">
        <v>1.69</v>
      </c>
      <c r="G534" s="0" t="n">
        <v>17163</v>
      </c>
      <c r="H534" s="6" t="s">
        <v>74</v>
      </c>
      <c r="I534" s="6" t="n">
        <f aca="false">D534*F534</f>
        <v>35.49</v>
      </c>
      <c r="J534" s="6" t="n">
        <f aca="false">HOUR(E534)</f>
        <v>13</v>
      </c>
      <c r="K534" s="6" t="n">
        <f aca="false">IF(COUNTIF($A$2:$A534,A534)=1,1,0)</f>
        <v>0</v>
      </c>
    </row>
    <row r="535" customFormat="false" ht="15" hidden="false" customHeight="false" outlineLevel="0" collapsed="false">
      <c r="A535" s="0" t="s">
        <v>207</v>
      </c>
      <c r="B535" s="0" t="s">
        <v>131</v>
      </c>
      <c r="C535" s="0" t="s">
        <v>132</v>
      </c>
      <c r="D535" s="0" t="n">
        <v>16</v>
      </c>
      <c r="E535" s="5" t="n">
        <v>45938.5508564815</v>
      </c>
      <c r="F535" s="0" t="n">
        <v>3.39</v>
      </c>
      <c r="G535" s="0" t="n">
        <v>17237</v>
      </c>
      <c r="H535" s="6" t="s">
        <v>208</v>
      </c>
      <c r="I535" s="6" t="n">
        <f aca="false">D535*F535</f>
        <v>54.24</v>
      </c>
      <c r="J535" s="6" t="n">
        <f aca="false">HOUR(E535)</f>
        <v>13</v>
      </c>
      <c r="K535" s="6" t="n">
        <f aca="false">IF(COUNTIF($A$2:$A535,A535)=1,1,0)</f>
        <v>1</v>
      </c>
    </row>
    <row r="536" customFormat="false" ht="15" hidden="false" customHeight="false" outlineLevel="0" collapsed="false">
      <c r="A536" s="0" t="s">
        <v>207</v>
      </c>
      <c r="B536" s="0" t="s">
        <v>77</v>
      </c>
      <c r="C536" s="0" t="s">
        <v>78</v>
      </c>
      <c r="D536" s="0" t="n">
        <v>21</v>
      </c>
      <c r="E536" s="5" t="n">
        <v>45938.5508564815</v>
      </c>
      <c r="F536" s="0" t="n">
        <v>1.65</v>
      </c>
      <c r="G536" s="0" t="n">
        <v>17237</v>
      </c>
      <c r="H536" s="6" t="s">
        <v>208</v>
      </c>
      <c r="I536" s="6" t="n">
        <f aca="false">D536*F536</f>
        <v>34.65</v>
      </c>
      <c r="J536" s="6" t="n">
        <f aca="false">HOUR(E536)</f>
        <v>13</v>
      </c>
      <c r="K536" s="6" t="n">
        <f aca="false">IF(COUNTIF($A$2:$A536,A536)=1,1,0)</f>
        <v>0</v>
      </c>
    </row>
    <row r="537" customFormat="false" ht="15" hidden="false" customHeight="false" outlineLevel="0" collapsed="false">
      <c r="A537" s="0" t="s">
        <v>209</v>
      </c>
      <c r="B537" s="0" t="s">
        <v>109</v>
      </c>
      <c r="C537" s="0" t="s">
        <v>110</v>
      </c>
      <c r="D537" s="0" t="n">
        <v>-18</v>
      </c>
      <c r="E537" s="5" t="n">
        <v>45938.6005439815</v>
      </c>
      <c r="F537" s="0" t="n">
        <v>0.85</v>
      </c>
      <c r="G537" s="0" t="n">
        <v>17212</v>
      </c>
      <c r="H537" s="6" t="s">
        <v>74</v>
      </c>
      <c r="I537" s="6" t="n">
        <f aca="false">D537*F537</f>
        <v>-15.3</v>
      </c>
      <c r="J537" s="6" t="n">
        <f aca="false">HOUR(E537)</f>
        <v>14</v>
      </c>
      <c r="K537" s="6" t="n">
        <f aca="false">IF(COUNTIF($A$2:$A537,A537)=1,1,0)</f>
        <v>1</v>
      </c>
    </row>
    <row r="538" customFormat="false" ht="15" hidden="false" customHeight="false" outlineLevel="0" collapsed="false">
      <c r="A538" s="0" t="s">
        <v>209</v>
      </c>
      <c r="B538" s="0" t="s">
        <v>81</v>
      </c>
      <c r="C538" s="0" t="s">
        <v>82</v>
      </c>
      <c r="D538" s="0" t="n">
        <v>-15</v>
      </c>
      <c r="E538" s="5" t="n">
        <v>45938.6005439815</v>
      </c>
      <c r="F538" s="0" t="n">
        <v>1.65</v>
      </c>
      <c r="G538" s="0" t="n">
        <v>17212</v>
      </c>
      <c r="H538" s="6" t="s">
        <v>74</v>
      </c>
      <c r="I538" s="6" t="n">
        <f aca="false">D538*F538</f>
        <v>-24.75</v>
      </c>
      <c r="J538" s="6" t="n">
        <f aca="false">HOUR(E538)</f>
        <v>14</v>
      </c>
      <c r="K538" s="6" t="n">
        <f aca="false">IF(COUNTIF($A$2:$A538,A538)=1,1,0)</f>
        <v>0</v>
      </c>
    </row>
    <row r="539" customFormat="false" ht="15" hidden="false" customHeight="false" outlineLevel="0" collapsed="false">
      <c r="A539" s="0" t="s">
        <v>209</v>
      </c>
      <c r="B539" s="0" t="s">
        <v>45</v>
      </c>
      <c r="C539" s="0" t="s">
        <v>46</v>
      </c>
      <c r="D539" s="0" t="n">
        <v>-23</v>
      </c>
      <c r="E539" s="5" t="n">
        <v>45938.6005439815</v>
      </c>
      <c r="F539" s="0" t="n">
        <v>2.1</v>
      </c>
      <c r="G539" s="0" t="n">
        <v>17212</v>
      </c>
      <c r="H539" s="6" t="s">
        <v>74</v>
      </c>
      <c r="I539" s="6" t="n">
        <f aca="false">D539*F539</f>
        <v>-48.3</v>
      </c>
      <c r="J539" s="6" t="n">
        <f aca="false">HOUR(E539)</f>
        <v>14</v>
      </c>
      <c r="K539" s="6" t="n">
        <f aca="false">IF(COUNTIF($A$2:$A539,A539)=1,1,0)</f>
        <v>0</v>
      </c>
    </row>
    <row r="540" customFormat="false" ht="15" hidden="false" customHeight="false" outlineLevel="0" collapsed="false">
      <c r="A540" s="0" t="s">
        <v>209</v>
      </c>
      <c r="B540" s="0" t="s">
        <v>121</v>
      </c>
      <c r="C540" s="0" t="s">
        <v>122</v>
      </c>
      <c r="D540" s="0" t="n">
        <v>-16</v>
      </c>
      <c r="E540" s="5" t="n">
        <v>45938.6005439815</v>
      </c>
      <c r="F540" s="0" t="n">
        <v>2.1</v>
      </c>
      <c r="G540" s="0" t="n">
        <v>17212</v>
      </c>
      <c r="H540" s="6" t="s">
        <v>74</v>
      </c>
      <c r="I540" s="6" t="n">
        <f aca="false">D540*F540</f>
        <v>-33.6</v>
      </c>
      <c r="J540" s="6" t="n">
        <f aca="false">HOUR(E540)</f>
        <v>14</v>
      </c>
      <c r="K540" s="6" t="n">
        <f aca="false">IF(COUNTIF($A$2:$A540,A540)=1,1,0)</f>
        <v>0</v>
      </c>
    </row>
    <row r="541" customFormat="false" ht="15" hidden="false" customHeight="false" outlineLevel="0" collapsed="false">
      <c r="A541" s="0" t="s">
        <v>209</v>
      </c>
      <c r="B541" s="0" t="s">
        <v>50</v>
      </c>
      <c r="C541" s="0" t="s">
        <v>51</v>
      </c>
      <c r="D541" s="0" t="n">
        <v>-6</v>
      </c>
      <c r="E541" s="5" t="n">
        <v>45938.6005439815</v>
      </c>
      <c r="F541" s="0" t="n">
        <v>5.95</v>
      </c>
      <c r="G541" s="0" t="n">
        <v>17212</v>
      </c>
      <c r="H541" s="6" t="s">
        <v>74</v>
      </c>
      <c r="I541" s="6" t="n">
        <f aca="false">D541*F541</f>
        <v>-35.7</v>
      </c>
      <c r="J541" s="6" t="n">
        <f aca="false">HOUR(E541)</f>
        <v>14</v>
      </c>
      <c r="K541" s="6" t="n">
        <f aca="false">IF(COUNTIF($A$2:$A541,A541)=1,1,0)</f>
        <v>0</v>
      </c>
    </row>
    <row r="542" customFormat="false" ht="15" hidden="false" customHeight="false" outlineLevel="0" collapsed="false">
      <c r="A542" s="0" t="s">
        <v>210</v>
      </c>
      <c r="B542" s="0" t="s">
        <v>102</v>
      </c>
      <c r="C542" s="0" t="s">
        <v>103</v>
      </c>
      <c r="D542" s="0" t="n">
        <v>29</v>
      </c>
      <c r="E542" s="5" t="n">
        <v>45938.7141087963</v>
      </c>
      <c r="F542" s="0" t="n">
        <v>8.5</v>
      </c>
      <c r="G542" s="0" t="n">
        <v>17183</v>
      </c>
      <c r="H542" s="6" t="s">
        <v>42</v>
      </c>
      <c r="I542" s="6" t="n">
        <f aca="false">D542*F542</f>
        <v>246.5</v>
      </c>
      <c r="J542" s="6" t="n">
        <f aca="false">HOUR(E542)</f>
        <v>17</v>
      </c>
      <c r="K542" s="6" t="n">
        <f aca="false">IF(COUNTIF($A$2:$A542,A542)=1,1,0)</f>
        <v>1</v>
      </c>
    </row>
    <row r="543" customFormat="false" ht="15" hidden="false" customHeight="false" outlineLevel="0" collapsed="false">
      <c r="A543" s="0" t="s">
        <v>210</v>
      </c>
      <c r="B543" s="0" t="s">
        <v>93</v>
      </c>
      <c r="C543" s="0" t="s">
        <v>94</v>
      </c>
      <c r="D543" s="0" t="n">
        <v>22</v>
      </c>
      <c r="E543" s="5" t="n">
        <v>45938.7141087963</v>
      </c>
      <c r="F543" s="0" t="n">
        <v>1.69</v>
      </c>
      <c r="G543" s="0" t="n">
        <v>17183</v>
      </c>
      <c r="H543" s="6" t="s">
        <v>42</v>
      </c>
      <c r="I543" s="6" t="n">
        <f aca="false">D543*F543</f>
        <v>37.18</v>
      </c>
      <c r="J543" s="6" t="n">
        <f aca="false">HOUR(E543)</f>
        <v>17</v>
      </c>
      <c r="K543" s="6" t="n">
        <f aca="false">IF(COUNTIF($A$2:$A543,A543)=1,1,0)</f>
        <v>0</v>
      </c>
    </row>
    <row r="544" customFormat="false" ht="15" hidden="false" customHeight="false" outlineLevel="0" collapsed="false">
      <c r="A544" s="0" t="s">
        <v>210</v>
      </c>
      <c r="B544" s="0" t="s">
        <v>77</v>
      </c>
      <c r="C544" s="0" t="s">
        <v>78</v>
      </c>
      <c r="D544" s="0" t="n">
        <v>17</v>
      </c>
      <c r="E544" s="5" t="n">
        <v>45938.7141087963</v>
      </c>
      <c r="F544" s="0" t="n">
        <v>1.65</v>
      </c>
      <c r="G544" s="0" t="n">
        <v>17183</v>
      </c>
      <c r="H544" s="6" t="s">
        <v>42</v>
      </c>
      <c r="I544" s="6" t="n">
        <f aca="false">D544*F544</f>
        <v>28.05</v>
      </c>
      <c r="J544" s="6" t="n">
        <f aca="false">HOUR(E544)</f>
        <v>17</v>
      </c>
      <c r="K544" s="6" t="n">
        <f aca="false">IF(COUNTIF($A$2:$A544,A544)=1,1,0)</f>
        <v>0</v>
      </c>
    </row>
    <row r="545" customFormat="false" ht="15" hidden="false" customHeight="false" outlineLevel="0" collapsed="false">
      <c r="A545" s="0" t="s">
        <v>210</v>
      </c>
      <c r="B545" s="0" t="s">
        <v>83</v>
      </c>
      <c r="C545" s="0" t="s">
        <v>84</v>
      </c>
      <c r="D545" s="0" t="n">
        <v>8</v>
      </c>
      <c r="E545" s="5" t="n">
        <v>45938.7141087963</v>
      </c>
      <c r="F545" s="0" t="n">
        <v>2.95</v>
      </c>
      <c r="G545" s="0" t="n">
        <v>17183</v>
      </c>
      <c r="H545" s="6" t="s">
        <v>42</v>
      </c>
      <c r="I545" s="6" t="n">
        <f aca="false">D545*F545</f>
        <v>23.6</v>
      </c>
      <c r="J545" s="6" t="n">
        <f aca="false">HOUR(E545)</f>
        <v>17</v>
      </c>
      <c r="K545" s="6" t="n">
        <f aca="false">IF(COUNTIF($A$2:$A545,A545)=1,1,0)</f>
        <v>0</v>
      </c>
    </row>
    <row r="546" customFormat="false" ht="15" hidden="false" customHeight="false" outlineLevel="0" collapsed="false">
      <c r="A546" s="0" t="s">
        <v>210</v>
      </c>
      <c r="B546" s="0" t="s">
        <v>57</v>
      </c>
      <c r="C546" s="0" t="s">
        <v>58</v>
      </c>
      <c r="D546" s="0" t="n">
        <v>18</v>
      </c>
      <c r="E546" s="5" t="n">
        <v>45938.7141087963</v>
      </c>
      <c r="F546" s="0" t="n">
        <v>2.08</v>
      </c>
      <c r="G546" s="0" t="n">
        <v>17183</v>
      </c>
      <c r="H546" s="6" t="s">
        <v>42</v>
      </c>
      <c r="I546" s="6" t="n">
        <f aca="false">D546*F546</f>
        <v>37.44</v>
      </c>
      <c r="J546" s="6" t="n">
        <f aca="false">HOUR(E546)</f>
        <v>17</v>
      </c>
      <c r="K546" s="6" t="n">
        <f aca="false">IF(COUNTIF($A$2:$A546,A546)=1,1,0)</f>
        <v>0</v>
      </c>
    </row>
    <row r="547" customFormat="false" ht="15" hidden="false" customHeight="false" outlineLevel="0" collapsed="false">
      <c r="A547" s="0" t="s">
        <v>211</v>
      </c>
      <c r="B547" s="0" t="s">
        <v>61</v>
      </c>
      <c r="C547" s="0" t="s">
        <v>62</v>
      </c>
      <c r="D547" s="0" t="n">
        <v>1</v>
      </c>
      <c r="E547" s="5" t="n">
        <v>45938.7413078704</v>
      </c>
      <c r="F547" s="0" t="n">
        <v>1.65</v>
      </c>
      <c r="G547" s="0" t="n">
        <v>17147</v>
      </c>
      <c r="H547" s="6" t="s">
        <v>74</v>
      </c>
      <c r="I547" s="6" t="n">
        <f aca="false">D547*F547</f>
        <v>1.65</v>
      </c>
      <c r="J547" s="6" t="n">
        <f aca="false">HOUR(E547)</f>
        <v>17</v>
      </c>
      <c r="K547" s="6" t="n">
        <f aca="false">IF(COUNTIF($A$2:$A547,A547)=1,1,0)</f>
        <v>1</v>
      </c>
    </row>
    <row r="548" customFormat="false" ht="15" hidden="false" customHeight="false" outlineLevel="0" collapsed="false">
      <c r="A548" s="0" t="s">
        <v>211</v>
      </c>
      <c r="B548" s="0" t="s">
        <v>65</v>
      </c>
      <c r="C548" s="0" t="s">
        <v>66</v>
      </c>
      <c r="D548" s="0" t="n">
        <v>17</v>
      </c>
      <c r="E548" s="5" t="n">
        <v>45938.7413078704</v>
      </c>
      <c r="F548" s="0" t="n">
        <v>1.65</v>
      </c>
      <c r="G548" s="0" t="n">
        <v>17147</v>
      </c>
      <c r="H548" s="6" t="s">
        <v>74</v>
      </c>
      <c r="I548" s="6" t="n">
        <f aca="false">D548*F548</f>
        <v>28.05</v>
      </c>
      <c r="J548" s="6" t="n">
        <f aca="false">HOUR(E548)</f>
        <v>17</v>
      </c>
      <c r="K548" s="6" t="n">
        <f aca="false">IF(COUNTIF($A$2:$A548,A548)=1,1,0)</f>
        <v>0</v>
      </c>
    </row>
    <row r="549" customFormat="false" ht="15" hidden="false" customHeight="false" outlineLevel="0" collapsed="false">
      <c r="A549" s="0" t="s">
        <v>211</v>
      </c>
      <c r="B549" s="0" t="s">
        <v>137</v>
      </c>
      <c r="C549" s="0" t="s">
        <v>138</v>
      </c>
      <c r="D549" s="0" t="n">
        <v>15</v>
      </c>
      <c r="E549" s="5" t="n">
        <v>45938.7413078704</v>
      </c>
      <c r="F549" s="0" t="n">
        <v>2.1</v>
      </c>
      <c r="G549" s="0" t="n">
        <v>17147</v>
      </c>
      <c r="H549" s="6" t="s">
        <v>74</v>
      </c>
      <c r="I549" s="6" t="n">
        <f aca="false">D549*F549</f>
        <v>31.5</v>
      </c>
      <c r="J549" s="6" t="n">
        <f aca="false">HOUR(E549)</f>
        <v>17</v>
      </c>
      <c r="K549" s="6" t="n">
        <f aca="false">IF(COUNTIF($A$2:$A549,A549)=1,1,0)</f>
        <v>0</v>
      </c>
    </row>
    <row r="550" customFormat="false" ht="15" hidden="false" customHeight="false" outlineLevel="0" collapsed="false">
      <c r="A550" s="0" t="s">
        <v>212</v>
      </c>
      <c r="B550" s="0" t="s">
        <v>72</v>
      </c>
      <c r="C550" s="0" t="s">
        <v>73</v>
      </c>
      <c r="D550" s="0" t="n">
        <v>48</v>
      </c>
      <c r="E550" s="5" t="n">
        <v>45938.7471875</v>
      </c>
      <c r="F550" s="0" t="n">
        <v>4.95</v>
      </c>
      <c r="G550" s="0" t="n">
        <v>17032</v>
      </c>
      <c r="H550" s="6" t="s">
        <v>151</v>
      </c>
      <c r="I550" s="6" t="n">
        <f aca="false">D550*F550</f>
        <v>237.6</v>
      </c>
      <c r="J550" s="6" t="n">
        <f aca="false">HOUR(E550)</f>
        <v>17</v>
      </c>
      <c r="K550" s="6" t="n">
        <f aca="false">IF(COUNTIF($A$2:$A550,A550)=1,1,0)</f>
        <v>1</v>
      </c>
    </row>
    <row r="551" customFormat="false" ht="15" hidden="false" customHeight="false" outlineLevel="0" collapsed="false">
      <c r="A551" s="0" t="s">
        <v>212</v>
      </c>
      <c r="B551" s="0" t="s">
        <v>91</v>
      </c>
      <c r="C551" s="0" t="s">
        <v>92</v>
      </c>
      <c r="D551" s="0" t="n">
        <v>17</v>
      </c>
      <c r="E551" s="5" t="n">
        <v>45938.7471875</v>
      </c>
      <c r="F551" s="0" t="n">
        <v>7.65</v>
      </c>
      <c r="G551" s="0" t="n">
        <v>17032</v>
      </c>
      <c r="H551" s="6" t="s">
        <v>151</v>
      </c>
      <c r="I551" s="6" t="n">
        <f aca="false">D551*F551</f>
        <v>130.05</v>
      </c>
      <c r="J551" s="6" t="n">
        <f aca="false">HOUR(E551)</f>
        <v>17</v>
      </c>
      <c r="K551" s="6" t="n">
        <f aca="false">IF(COUNTIF($A$2:$A551,A551)=1,1,0)</f>
        <v>0</v>
      </c>
    </row>
    <row r="552" customFormat="false" ht="15" hidden="false" customHeight="false" outlineLevel="0" collapsed="false">
      <c r="A552" s="0" t="s">
        <v>212</v>
      </c>
      <c r="B552" s="0" t="s">
        <v>118</v>
      </c>
      <c r="C552" s="0" t="s">
        <v>119</v>
      </c>
      <c r="D552" s="0" t="n">
        <v>21</v>
      </c>
      <c r="E552" s="5" t="n">
        <v>45938.7471875</v>
      </c>
      <c r="F552" s="0" t="n">
        <v>4.95</v>
      </c>
      <c r="G552" s="0" t="n">
        <v>17032</v>
      </c>
      <c r="H552" s="6" t="s">
        <v>151</v>
      </c>
      <c r="I552" s="6" t="n">
        <f aca="false">D552*F552</f>
        <v>103.95</v>
      </c>
      <c r="J552" s="6" t="n">
        <f aca="false">HOUR(E552)</f>
        <v>17</v>
      </c>
      <c r="K552" s="6" t="n">
        <f aca="false">IF(COUNTIF($A$2:$A552,A552)=1,1,0)</f>
        <v>0</v>
      </c>
    </row>
    <row r="553" customFormat="false" ht="15" hidden="false" customHeight="false" outlineLevel="0" collapsed="false">
      <c r="A553" s="0" t="s">
        <v>212</v>
      </c>
      <c r="B553" s="0" t="s">
        <v>104</v>
      </c>
      <c r="C553" s="0" t="s">
        <v>105</v>
      </c>
      <c r="D553" s="0" t="n">
        <v>19</v>
      </c>
      <c r="E553" s="5" t="n">
        <v>45938.7471875</v>
      </c>
      <c r="F553" s="0" t="n">
        <v>1.65</v>
      </c>
      <c r="G553" s="0" t="n">
        <v>17032</v>
      </c>
      <c r="H553" s="6" t="s">
        <v>151</v>
      </c>
      <c r="I553" s="6" t="n">
        <f aca="false">D553*F553</f>
        <v>31.35</v>
      </c>
      <c r="J553" s="6" t="n">
        <f aca="false">HOUR(E553)</f>
        <v>17</v>
      </c>
      <c r="K553" s="6" t="n">
        <f aca="false">IF(COUNTIF($A$2:$A553,A553)=1,1,0)</f>
        <v>0</v>
      </c>
    </row>
    <row r="554" customFormat="false" ht="15" hidden="false" customHeight="false" outlineLevel="0" collapsed="false">
      <c r="A554" s="0" t="s">
        <v>212</v>
      </c>
      <c r="B554" s="0" t="s">
        <v>40</v>
      </c>
      <c r="C554" s="0" t="s">
        <v>41</v>
      </c>
      <c r="D554" s="0" t="n">
        <v>14</v>
      </c>
      <c r="E554" s="5" t="n">
        <v>45938.7471875</v>
      </c>
      <c r="F554" s="0" t="n">
        <v>1.06</v>
      </c>
      <c r="G554" s="0" t="n">
        <v>17032</v>
      </c>
      <c r="H554" s="6" t="s">
        <v>151</v>
      </c>
      <c r="I554" s="6" t="n">
        <f aca="false">D554*F554</f>
        <v>14.84</v>
      </c>
      <c r="J554" s="6" t="n">
        <f aca="false">HOUR(E554)</f>
        <v>17</v>
      </c>
      <c r="K554" s="6" t="n">
        <f aca="false">IF(COUNTIF($A$2:$A554,A554)=1,1,0)</f>
        <v>0</v>
      </c>
    </row>
    <row r="555" customFormat="false" ht="15" hidden="false" customHeight="false" outlineLevel="0" collapsed="false">
      <c r="A555" s="0" t="s">
        <v>212</v>
      </c>
      <c r="B555" s="0" t="s">
        <v>63</v>
      </c>
      <c r="C555" s="0" t="s">
        <v>64</v>
      </c>
      <c r="D555" s="0" t="n">
        <v>24</v>
      </c>
      <c r="E555" s="5" t="n">
        <v>45938.7471875</v>
      </c>
      <c r="F555" s="0" t="n">
        <v>1.85</v>
      </c>
      <c r="G555" s="0" t="n">
        <v>17032</v>
      </c>
      <c r="H555" s="6" t="s">
        <v>151</v>
      </c>
      <c r="I555" s="6" t="n">
        <f aca="false">D555*F555</f>
        <v>44.4</v>
      </c>
      <c r="J555" s="6" t="n">
        <f aca="false">HOUR(E555)</f>
        <v>17</v>
      </c>
      <c r="K555" s="6" t="n">
        <f aca="false">IF(COUNTIF($A$2:$A555,A555)=1,1,0)</f>
        <v>0</v>
      </c>
    </row>
    <row r="556" customFormat="false" ht="15" hidden="false" customHeight="false" outlineLevel="0" collapsed="false">
      <c r="A556" s="0" t="s">
        <v>212</v>
      </c>
      <c r="B556" s="0" t="s">
        <v>145</v>
      </c>
      <c r="C556" s="0" t="s">
        <v>146</v>
      </c>
      <c r="D556" s="0" t="n">
        <v>11</v>
      </c>
      <c r="E556" s="5" t="n">
        <v>45938.7471875</v>
      </c>
      <c r="F556" s="0" t="n">
        <v>1.85</v>
      </c>
      <c r="G556" s="0" t="n">
        <v>17032</v>
      </c>
      <c r="H556" s="6" t="s">
        <v>151</v>
      </c>
      <c r="I556" s="6" t="n">
        <f aca="false">D556*F556</f>
        <v>20.35</v>
      </c>
      <c r="J556" s="6" t="n">
        <f aca="false">HOUR(E556)</f>
        <v>17</v>
      </c>
      <c r="K556" s="6" t="n">
        <f aca="false">IF(COUNTIF($A$2:$A556,A556)=1,1,0)</f>
        <v>0</v>
      </c>
    </row>
    <row r="557" customFormat="false" ht="15" hidden="false" customHeight="false" outlineLevel="0" collapsed="false">
      <c r="A557" s="0" t="s">
        <v>213</v>
      </c>
      <c r="B557" s="0" t="s">
        <v>109</v>
      </c>
      <c r="C557" s="0" t="s">
        <v>110</v>
      </c>
      <c r="D557" s="0" t="n">
        <v>9</v>
      </c>
      <c r="E557" s="5" t="n">
        <v>45938.7603240741</v>
      </c>
      <c r="F557" s="0" t="n">
        <v>0.85</v>
      </c>
      <c r="G557" s="0" t="n">
        <v>17033</v>
      </c>
      <c r="H557" s="6" t="s">
        <v>74</v>
      </c>
      <c r="I557" s="6" t="n">
        <f aca="false">D557*F557</f>
        <v>7.65</v>
      </c>
      <c r="J557" s="6" t="n">
        <f aca="false">HOUR(E557)</f>
        <v>18</v>
      </c>
      <c r="K557" s="6" t="n">
        <f aca="false">IF(COUNTIF($A$2:$A557,A557)=1,1,0)</f>
        <v>1</v>
      </c>
    </row>
    <row r="558" customFormat="false" ht="15" hidden="false" customHeight="false" outlineLevel="0" collapsed="false">
      <c r="A558" s="0" t="s">
        <v>213</v>
      </c>
      <c r="B558" s="0" t="s">
        <v>125</v>
      </c>
      <c r="C558" s="0" t="s">
        <v>126</v>
      </c>
      <c r="D558" s="0" t="n">
        <v>21</v>
      </c>
      <c r="E558" s="5" t="n">
        <v>45938.7603240741</v>
      </c>
      <c r="F558" s="0" t="n">
        <v>1.25</v>
      </c>
      <c r="G558" s="0" t="n">
        <v>17033</v>
      </c>
      <c r="H558" s="6" t="s">
        <v>74</v>
      </c>
      <c r="I558" s="6" t="n">
        <f aca="false">D558*F558</f>
        <v>26.25</v>
      </c>
      <c r="J558" s="6" t="n">
        <f aca="false">HOUR(E558)</f>
        <v>18</v>
      </c>
      <c r="K558" s="6" t="n">
        <f aca="false">IF(COUNTIF($A$2:$A558,A558)=1,1,0)</f>
        <v>0</v>
      </c>
    </row>
    <row r="559" customFormat="false" ht="15" hidden="false" customHeight="false" outlineLevel="0" collapsed="false">
      <c r="A559" s="0" t="s">
        <v>213</v>
      </c>
      <c r="B559" s="0" t="s">
        <v>140</v>
      </c>
      <c r="C559" s="0" t="s">
        <v>141</v>
      </c>
      <c r="D559" s="0" t="n">
        <v>9</v>
      </c>
      <c r="E559" s="5" t="n">
        <v>45938.7603240741</v>
      </c>
      <c r="F559" s="0" t="n">
        <v>2.08</v>
      </c>
      <c r="G559" s="0" t="n">
        <v>17033</v>
      </c>
      <c r="H559" s="6" t="s">
        <v>74</v>
      </c>
      <c r="I559" s="6" t="n">
        <f aca="false">D559*F559</f>
        <v>18.72</v>
      </c>
      <c r="J559" s="6" t="n">
        <f aca="false">HOUR(E559)</f>
        <v>18</v>
      </c>
      <c r="K559" s="6" t="n">
        <f aca="false">IF(COUNTIF($A$2:$A559,A559)=1,1,0)</f>
        <v>0</v>
      </c>
    </row>
    <row r="560" customFormat="false" ht="15" hidden="false" customHeight="false" outlineLevel="0" collapsed="false">
      <c r="A560" s="0" t="s">
        <v>213</v>
      </c>
      <c r="B560" s="0" t="s">
        <v>45</v>
      </c>
      <c r="C560" s="0" t="s">
        <v>46</v>
      </c>
      <c r="D560" s="0" t="n">
        <v>24</v>
      </c>
      <c r="E560" s="5" t="n">
        <v>45938.7603240741</v>
      </c>
      <c r="F560" s="0" t="n">
        <v>2.1</v>
      </c>
      <c r="G560" s="0" t="n">
        <v>17033</v>
      </c>
      <c r="H560" s="6" t="s">
        <v>74</v>
      </c>
      <c r="I560" s="6" t="n">
        <f aca="false">D560*F560</f>
        <v>50.4</v>
      </c>
      <c r="J560" s="6" t="n">
        <f aca="false">HOUR(E560)</f>
        <v>18</v>
      </c>
      <c r="K560" s="6" t="n">
        <f aca="false">IF(COUNTIF($A$2:$A560,A560)=1,1,0)</f>
        <v>0</v>
      </c>
    </row>
    <row r="561" customFormat="false" ht="15" hidden="false" customHeight="false" outlineLevel="0" collapsed="false">
      <c r="A561" s="0" t="s">
        <v>214</v>
      </c>
      <c r="B561" s="0" t="s">
        <v>50</v>
      </c>
      <c r="C561" s="0" t="s">
        <v>51</v>
      </c>
      <c r="D561" s="0" t="n">
        <v>1</v>
      </c>
      <c r="E561" s="5" t="n">
        <v>45938.8935069444</v>
      </c>
      <c r="F561" s="0" t="n">
        <v>5.95</v>
      </c>
      <c r="G561" s="0" t="n">
        <v>17203</v>
      </c>
      <c r="H561" s="6" t="s">
        <v>68</v>
      </c>
      <c r="I561" s="6" t="n">
        <f aca="false">D561*F561</f>
        <v>5.95</v>
      </c>
      <c r="J561" s="6" t="n">
        <f aca="false">HOUR(E561)</f>
        <v>21</v>
      </c>
      <c r="K561" s="6" t="n">
        <f aca="false">IF(COUNTIF($A$2:$A561,A561)=1,1,0)</f>
        <v>1</v>
      </c>
    </row>
    <row r="562" customFormat="false" ht="15" hidden="false" customHeight="false" outlineLevel="0" collapsed="false">
      <c r="A562" s="0" t="s">
        <v>214</v>
      </c>
      <c r="B562" s="0" t="s">
        <v>43</v>
      </c>
      <c r="C562" s="0" t="s">
        <v>44</v>
      </c>
      <c r="D562" s="0" t="n">
        <v>6</v>
      </c>
      <c r="E562" s="5" t="n">
        <v>45938.8935069444</v>
      </c>
      <c r="F562" s="0" t="n">
        <v>4.25</v>
      </c>
      <c r="G562" s="0" t="n">
        <v>17203</v>
      </c>
      <c r="H562" s="6" t="s">
        <v>68</v>
      </c>
      <c r="I562" s="6" t="n">
        <f aca="false">D562*F562</f>
        <v>25.5</v>
      </c>
      <c r="J562" s="6" t="n">
        <f aca="false">HOUR(E562)</f>
        <v>21</v>
      </c>
      <c r="K562" s="6" t="n">
        <f aca="false">IF(COUNTIF($A$2:$A562,A562)=1,1,0)</f>
        <v>0</v>
      </c>
    </row>
    <row r="563" customFormat="false" ht="15" hidden="false" customHeight="false" outlineLevel="0" collapsed="false">
      <c r="A563" s="0" t="s">
        <v>215</v>
      </c>
      <c r="B563" s="0" t="s">
        <v>140</v>
      </c>
      <c r="C563" s="0" t="s">
        <v>141</v>
      </c>
      <c r="D563" s="0" t="n">
        <v>1</v>
      </c>
      <c r="E563" s="5" t="n">
        <v>45938.9467939815</v>
      </c>
      <c r="F563" s="0" t="n">
        <v>2.08</v>
      </c>
      <c r="G563" s="0" t="n">
        <v>17006</v>
      </c>
      <c r="H563" s="6" t="s">
        <v>74</v>
      </c>
      <c r="I563" s="6" t="n">
        <f aca="false">D563*F563</f>
        <v>2.08</v>
      </c>
      <c r="J563" s="6" t="n">
        <f aca="false">HOUR(E563)</f>
        <v>22</v>
      </c>
      <c r="K563" s="6" t="n">
        <f aca="false">IF(COUNTIF($A$2:$A563,A563)=1,1,0)</f>
        <v>1</v>
      </c>
    </row>
    <row r="564" customFormat="false" ht="15" hidden="false" customHeight="false" outlineLevel="0" collapsed="false">
      <c r="A564" s="0" t="s">
        <v>216</v>
      </c>
      <c r="B564" s="0" t="s">
        <v>63</v>
      </c>
      <c r="C564" s="0" t="s">
        <v>64</v>
      </c>
      <c r="D564" s="0" t="n">
        <v>5</v>
      </c>
      <c r="E564" s="5" t="n">
        <v>45939.1785416667</v>
      </c>
      <c r="F564" s="0" t="n">
        <v>1.85</v>
      </c>
      <c r="G564" s="0" t="n">
        <v>17049</v>
      </c>
      <c r="H564" s="6" t="s">
        <v>74</v>
      </c>
      <c r="I564" s="6" t="n">
        <f aca="false">D564*F564</f>
        <v>9.25</v>
      </c>
      <c r="J564" s="6" t="n">
        <f aca="false">HOUR(E564)</f>
        <v>4</v>
      </c>
      <c r="K564" s="6" t="n">
        <f aca="false">IF(COUNTIF($A$2:$A564,A564)=1,1,0)</f>
        <v>1</v>
      </c>
    </row>
    <row r="565" customFormat="false" ht="15" hidden="false" customHeight="false" outlineLevel="0" collapsed="false">
      <c r="A565" s="0" t="s">
        <v>216</v>
      </c>
      <c r="B565" s="0" t="s">
        <v>88</v>
      </c>
      <c r="C565" s="0" t="s">
        <v>89</v>
      </c>
      <c r="D565" s="0" t="n">
        <v>14</v>
      </c>
      <c r="E565" s="5" t="n">
        <v>45939.1785416667</v>
      </c>
      <c r="F565" s="0" t="n">
        <v>2.75</v>
      </c>
      <c r="G565" s="0" t="n">
        <v>17049</v>
      </c>
      <c r="H565" s="6" t="s">
        <v>74</v>
      </c>
      <c r="I565" s="6" t="n">
        <f aca="false">D565*F565</f>
        <v>38.5</v>
      </c>
      <c r="J565" s="6" t="n">
        <f aca="false">HOUR(E565)</f>
        <v>4</v>
      </c>
      <c r="K565" s="6" t="n">
        <f aca="false">IF(COUNTIF($A$2:$A565,A565)=1,1,0)</f>
        <v>0</v>
      </c>
    </row>
    <row r="566" customFormat="false" ht="15" hidden="false" customHeight="false" outlineLevel="0" collapsed="false">
      <c r="A566" s="0" t="s">
        <v>216</v>
      </c>
      <c r="B566" s="0" t="s">
        <v>125</v>
      </c>
      <c r="C566" s="0" t="s">
        <v>126</v>
      </c>
      <c r="D566" s="0" t="n">
        <v>8</v>
      </c>
      <c r="E566" s="5" t="n">
        <v>45939.1785416667</v>
      </c>
      <c r="F566" s="0" t="n">
        <v>1.25</v>
      </c>
      <c r="G566" s="0" t="n">
        <v>17049</v>
      </c>
      <c r="H566" s="6" t="s">
        <v>74</v>
      </c>
      <c r="I566" s="6" t="n">
        <f aca="false">D566*F566</f>
        <v>10</v>
      </c>
      <c r="J566" s="6" t="n">
        <f aca="false">HOUR(E566)</f>
        <v>4</v>
      </c>
      <c r="K566" s="6" t="n">
        <f aca="false">IF(COUNTIF($A$2:$A566,A566)=1,1,0)</f>
        <v>0</v>
      </c>
    </row>
    <row r="567" customFormat="false" ht="15" hidden="false" customHeight="false" outlineLevel="0" collapsed="false">
      <c r="A567" s="0" t="s">
        <v>216</v>
      </c>
      <c r="B567" s="0" t="s">
        <v>131</v>
      </c>
      <c r="C567" s="0" t="s">
        <v>132</v>
      </c>
      <c r="D567" s="0" t="n">
        <v>19</v>
      </c>
      <c r="E567" s="5" t="n">
        <v>45939.1785416667</v>
      </c>
      <c r="F567" s="0" t="n">
        <v>3.39</v>
      </c>
      <c r="G567" s="0" t="n">
        <v>17049</v>
      </c>
      <c r="H567" s="6" t="s">
        <v>74</v>
      </c>
      <c r="I567" s="6" t="n">
        <f aca="false">D567*F567</f>
        <v>64.41</v>
      </c>
      <c r="J567" s="6" t="n">
        <f aca="false">HOUR(E567)</f>
        <v>4</v>
      </c>
      <c r="K567" s="6" t="n">
        <f aca="false">IF(COUNTIF($A$2:$A567,A567)=1,1,0)</f>
        <v>0</v>
      </c>
    </row>
    <row r="568" customFormat="false" ht="15" hidden="false" customHeight="false" outlineLevel="0" collapsed="false">
      <c r="A568" s="0" t="s">
        <v>216</v>
      </c>
      <c r="B568" s="0" t="s">
        <v>95</v>
      </c>
      <c r="C568" s="0" t="s">
        <v>96</v>
      </c>
      <c r="D568" s="0" t="n">
        <v>28</v>
      </c>
      <c r="E568" s="5" t="n">
        <v>45939.1785416667</v>
      </c>
      <c r="F568" s="0" t="n">
        <v>2.55</v>
      </c>
      <c r="G568" s="0" t="n">
        <v>17049</v>
      </c>
      <c r="H568" s="6" t="s">
        <v>74</v>
      </c>
      <c r="I568" s="6" t="n">
        <f aca="false">D568*F568</f>
        <v>71.4</v>
      </c>
      <c r="J568" s="6" t="n">
        <f aca="false">HOUR(E568)</f>
        <v>4</v>
      </c>
      <c r="K568" s="6" t="n">
        <f aca="false">IF(COUNTIF($A$2:$A568,A568)=1,1,0)</f>
        <v>0</v>
      </c>
    </row>
    <row r="569" customFormat="false" ht="15" hidden="false" customHeight="false" outlineLevel="0" collapsed="false">
      <c r="A569" s="0" t="s">
        <v>216</v>
      </c>
      <c r="B569" s="0" t="s">
        <v>99</v>
      </c>
      <c r="C569" s="0" t="s">
        <v>100</v>
      </c>
      <c r="D569" s="0" t="n">
        <v>19</v>
      </c>
      <c r="E569" s="5" t="n">
        <v>45939.1785416667</v>
      </c>
      <c r="F569" s="0" t="n">
        <v>2.08</v>
      </c>
      <c r="G569" s="0" t="n">
        <v>17049</v>
      </c>
      <c r="H569" s="6" t="s">
        <v>74</v>
      </c>
      <c r="I569" s="6" t="n">
        <f aca="false">D569*F569</f>
        <v>39.52</v>
      </c>
      <c r="J569" s="6" t="n">
        <f aca="false">HOUR(E569)</f>
        <v>4</v>
      </c>
      <c r="K569" s="6" t="n">
        <f aca="false">IF(COUNTIF($A$2:$A569,A569)=1,1,0)</f>
        <v>0</v>
      </c>
    </row>
    <row r="570" customFormat="false" ht="15" hidden="false" customHeight="false" outlineLevel="0" collapsed="false">
      <c r="A570" s="0" t="s">
        <v>216</v>
      </c>
      <c r="B570" s="0" t="s">
        <v>45</v>
      </c>
      <c r="C570" s="0" t="s">
        <v>46</v>
      </c>
      <c r="D570" s="0" t="n">
        <v>24</v>
      </c>
      <c r="E570" s="5" t="n">
        <v>45939.1785416667</v>
      </c>
      <c r="F570" s="0" t="n">
        <v>2.1</v>
      </c>
      <c r="G570" s="0" t="n">
        <v>17049</v>
      </c>
      <c r="H570" s="6" t="s">
        <v>74</v>
      </c>
      <c r="I570" s="6" t="n">
        <f aca="false">D570*F570</f>
        <v>50.4</v>
      </c>
      <c r="J570" s="6" t="n">
        <f aca="false">HOUR(E570)</f>
        <v>4</v>
      </c>
      <c r="K570" s="6" t="n">
        <f aca="false">IF(COUNTIF($A$2:$A570,A570)=1,1,0)</f>
        <v>0</v>
      </c>
    </row>
    <row r="571" customFormat="false" ht="15" hidden="false" customHeight="false" outlineLevel="0" collapsed="false">
      <c r="A571" s="0" t="s">
        <v>217</v>
      </c>
      <c r="B571" s="0" t="s">
        <v>93</v>
      </c>
      <c r="C571" s="0" t="s">
        <v>94</v>
      </c>
      <c r="D571" s="0" t="n">
        <v>7</v>
      </c>
      <c r="E571" s="5" t="n">
        <v>45939.3972106482</v>
      </c>
      <c r="F571" s="0" t="n">
        <v>1.69</v>
      </c>
      <c r="G571" s="0" t="n">
        <v>17251</v>
      </c>
      <c r="H571" s="6" t="s">
        <v>74</v>
      </c>
      <c r="I571" s="6" t="n">
        <f aca="false">D571*F571</f>
        <v>11.83</v>
      </c>
      <c r="J571" s="6" t="n">
        <f aca="false">HOUR(E571)</f>
        <v>9</v>
      </c>
      <c r="K571" s="6" t="n">
        <f aca="false">IF(COUNTIF($A$2:$A571,A571)=1,1,0)</f>
        <v>1</v>
      </c>
    </row>
    <row r="572" customFormat="false" ht="15" hidden="false" customHeight="false" outlineLevel="0" collapsed="false">
      <c r="A572" s="0" t="s">
        <v>217</v>
      </c>
      <c r="B572" s="0" t="s">
        <v>77</v>
      </c>
      <c r="C572" s="0" t="s">
        <v>78</v>
      </c>
      <c r="D572" s="0" t="n">
        <v>4</v>
      </c>
      <c r="E572" s="5" t="n">
        <v>45939.3972106482</v>
      </c>
      <c r="F572" s="0" t="n">
        <v>1.65</v>
      </c>
      <c r="G572" s="0" t="n">
        <v>17251</v>
      </c>
      <c r="H572" s="6" t="s">
        <v>74</v>
      </c>
      <c r="I572" s="6" t="n">
        <f aca="false">D572*F572</f>
        <v>6.6</v>
      </c>
      <c r="J572" s="6" t="n">
        <f aca="false">HOUR(E572)</f>
        <v>9</v>
      </c>
      <c r="K572" s="6" t="n">
        <f aca="false">IF(COUNTIF($A$2:$A572,A572)=1,1,0)</f>
        <v>0</v>
      </c>
    </row>
    <row r="573" customFormat="false" ht="15" hidden="false" customHeight="false" outlineLevel="0" collapsed="false">
      <c r="A573" s="0" t="s">
        <v>218</v>
      </c>
      <c r="B573" s="0" t="s">
        <v>75</v>
      </c>
      <c r="C573" s="0" t="s">
        <v>76</v>
      </c>
      <c r="D573" s="0" t="n">
        <v>24</v>
      </c>
      <c r="E573" s="5" t="n">
        <v>45939.4172106482</v>
      </c>
      <c r="F573" s="0" t="n">
        <v>3.39</v>
      </c>
      <c r="G573" s="0" t="n">
        <v>17240</v>
      </c>
      <c r="H573" s="6" t="s">
        <v>188</v>
      </c>
      <c r="I573" s="6" t="n">
        <f aca="false">D573*F573</f>
        <v>81.36</v>
      </c>
      <c r="J573" s="6" t="n">
        <f aca="false">HOUR(E573)</f>
        <v>10</v>
      </c>
      <c r="K573" s="6" t="n">
        <f aca="false">IF(COUNTIF($A$2:$A573,A573)=1,1,0)</f>
        <v>1</v>
      </c>
    </row>
    <row r="574" customFormat="false" ht="15" hidden="false" customHeight="false" outlineLevel="0" collapsed="false">
      <c r="A574" s="0" t="s">
        <v>218</v>
      </c>
      <c r="B574" s="0" t="s">
        <v>43</v>
      </c>
      <c r="C574" s="0" t="s">
        <v>44</v>
      </c>
      <c r="D574" s="0" t="n">
        <v>13</v>
      </c>
      <c r="E574" s="5" t="n">
        <v>45939.4172106482</v>
      </c>
      <c r="F574" s="0" t="n">
        <v>4.25</v>
      </c>
      <c r="G574" s="0" t="n">
        <v>17240</v>
      </c>
      <c r="H574" s="6" t="s">
        <v>188</v>
      </c>
      <c r="I574" s="6" t="n">
        <f aca="false">D574*F574</f>
        <v>55.25</v>
      </c>
      <c r="J574" s="6" t="n">
        <f aca="false">HOUR(E574)</f>
        <v>10</v>
      </c>
      <c r="K574" s="6" t="n">
        <f aca="false">IF(COUNTIF($A$2:$A574,A574)=1,1,0)</f>
        <v>0</v>
      </c>
    </row>
    <row r="575" customFormat="false" ht="15" hidden="false" customHeight="false" outlineLevel="0" collapsed="false">
      <c r="A575" s="0" t="s">
        <v>218</v>
      </c>
      <c r="B575" s="0" t="s">
        <v>55</v>
      </c>
      <c r="C575" s="0" t="s">
        <v>56</v>
      </c>
      <c r="D575" s="0" t="n">
        <v>24</v>
      </c>
      <c r="E575" s="5" t="n">
        <v>45939.4172106482</v>
      </c>
      <c r="F575" s="0" t="n">
        <v>1.65</v>
      </c>
      <c r="G575" s="0" t="n">
        <v>17240</v>
      </c>
      <c r="H575" s="6" t="s">
        <v>188</v>
      </c>
      <c r="I575" s="6" t="n">
        <f aca="false">D575*F575</f>
        <v>39.6</v>
      </c>
      <c r="J575" s="6" t="n">
        <f aca="false">HOUR(E575)</f>
        <v>10</v>
      </c>
      <c r="K575" s="6" t="n">
        <f aca="false">IF(COUNTIF($A$2:$A575,A575)=1,1,0)</f>
        <v>0</v>
      </c>
    </row>
    <row r="576" customFormat="false" ht="15" hidden="false" customHeight="false" outlineLevel="0" collapsed="false">
      <c r="A576" s="0" t="s">
        <v>218</v>
      </c>
      <c r="B576" s="0" t="s">
        <v>77</v>
      </c>
      <c r="C576" s="0" t="s">
        <v>78</v>
      </c>
      <c r="D576" s="0" t="n">
        <v>12</v>
      </c>
      <c r="E576" s="5" t="n">
        <v>45939.4172106482</v>
      </c>
      <c r="F576" s="0" t="n">
        <v>1.65</v>
      </c>
      <c r="G576" s="0" t="n">
        <v>17240</v>
      </c>
      <c r="H576" s="6" t="s">
        <v>188</v>
      </c>
      <c r="I576" s="6" t="n">
        <f aca="false">D576*F576</f>
        <v>19.8</v>
      </c>
      <c r="J576" s="6" t="n">
        <f aca="false">HOUR(E576)</f>
        <v>10</v>
      </c>
      <c r="K576" s="6" t="n">
        <f aca="false">IF(COUNTIF($A$2:$A576,A576)=1,1,0)</f>
        <v>0</v>
      </c>
    </row>
    <row r="577" customFormat="false" ht="15" hidden="false" customHeight="false" outlineLevel="0" collapsed="false">
      <c r="A577" s="0" t="s">
        <v>218</v>
      </c>
      <c r="B577" s="0" t="s">
        <v>63</v>
      </c>
      <c r="C577" s="0" t="s">
        <v>64</v>
      </c>
      <c r="D577" s="0" t="n">
        <v>17</v>
      </c>
      <c r="E577" s="5" t="n">
        <v>45939.4172106482</v>
      </c>
      <c r="F577" s="0" t="n">
        <v>1.85</v>
      </c>
      <c r="G577" s="0" t="n">
        <v>17240</v>
      </c>
      <c r="H577" s="6" t="s">
        <v>188</v>
      </c>
      <c r="I577" s="6" t="n">
        <f aca="false">D577*F577</f>
        <v>31.45</v>
      </c>
      <c r="J577" s="6" t="n">
        <f aca="false">HOUR(E577)</f>
        <v>10</v>
      </c>
      <c r="K577" s="6" t="n">
        <f aca="false">IF(COUNTIF($A$2:$A577,A577)=1,1,0)</f>
        <v>0</v>
      </c>
    </row>
    <row r="578" customFormat="false" ht="15" hidden="false" customHeight="false" outlineLevel="0" collapsed="false">
      <c r="A578" s="0" t="s">
        <v>218</v>
      </c>
      <c r="B578" s="0" t="s">
        <v>125</v>
      </c>
      <c r="C578" s="0" t="s">
        <v>126</v>
      </c>
      <c r="D578" s="0" t="n">
        <v>15</v>
      </c>
      <c r="E578" s="5" t="n">
        <v>45939.4172106482</v>
      </c>
      <c r="F578" s="0" t="n">
        <v>1.25</v>
      </c>
      <c r="G578" s="0" t="n">
        <v>17240</v>
      </c>
      <c r="H578" s="6" t="s">
        <v>188</v>
      </c>
      <c r="I578" s="6" t="n">
        <f aca="false">D578*F578</f>
        <v>18.75</v>
      </c>
      <c r="J578" s="6" t="n">
        <f aca="false">HOUR(E578)</f>
        <v>10</v>
      </c>
      <c r="K578" s="6" t="n">
        <f aca="false">IF(COUNTIF($A$2:$A578,A578)=1,1,0)</f>
        <v>0</v>
      </c>
    </row>
    <row r="579" customFormat="false" ht="15" hidden="false" customHeight="false" outlineLevel="0" collapsed="false">
      <c r="A579" s="0" t="s">
        <v>218</v>
      </c>
      <c r="B579" s="0" t="s">
        <v>79</v>
      </c>
      <c r="C579" s="0" t="s">
        <v>80</v>
      </c>
      <c r="D579" s="0" t="n">
        <v>4</v>
      </c>
      <c r="E579" s="5" t="n">
        <v>45939.4172106482</v>
      </c>
      <c r="F579" s="0" t="n">
        <v>3.39</v>
      </c>
      <c r="G579" s="0" t="n">
        <v>17240</v>
      </c>
      <c r="H579" s="6" t="s">
        <v>188</v>
      </c>
      <c r="I579" s="6" t="n">
        <f aca="false">D579*F579</f>
        <v>13.56</v>
      </c>
      <c r="J579" s="6" t="n">
        <f aca="false">HOUR(E579)</f>
        <v>10</v>
      </c>
      <c r="K579" s="6" t="n">
        <f aca="false">IF(COUNTIF($A$2:$A579,A579)=1,1,0)</f>
        <v>0</v>
      </c>
    </row>
    <row r="580" customFormat="false" ht="15" hidden="false" customHeight="false" outlineLevel="0" collapsed="false">
      <c r="A580" s="0" t="s">
        <v>219</v>
      </c>
      <c r="B580" s="0" t="s">
        <v>131</v>
      </c>
      <c r="C580" s="0" t="s">
        <v>132</v>
      </c>
      <c r="D580" s="0" t="n">
        <v>6</v>
      </c>
      <c r="E580" s="5" t="n">
        <v>45939.4322453704</v>
      </c>
      <c r="F580" s="0" t="n">
        <v>3.39</v>
      </c>
      <c r="G580" s="0" t="n">
        <v>17232</v>
      </c>
      <c r="H580" s="6" t="s">
        <v>42</v>
      </c>
      <c r="I580" s="6" t="n">
        <f aca="false">D580*F580</f>
        <v>20.34</v>
      </c>
      <c r="J580" s="6" t="n">
        <f aca="false">HOUR(E580)</f>
        <v>10</v>
      </c>
      <c r="K580" s="6" t="n">
        <f aca="false">IF(COUNTIF($A$2:$A580,A580)=1,1,0)</f>
        <v>1</v>
      </c>
    </row>
    <row r="581" customFormat="false" ht="15" hidden="false" customHeight="false" outlineLevel="0" collapsed="false">
      <c r="A581" s="0" t="s">
        <v>220</v>
      </c>
      <c r="B581" s="0" t="s">
        <v>93</v>
      </c>
      <c r="C581" s="0" t="s">
        <v>94</v>
      </c>
      <c r="D581" s="0" t="n">
        <v>12</v>
      </c>
      <c r="E581" s="5" t="n">
        <v>45939.4651157407</v>
      </c>
      <c r="F581" s="0" t="n">
        <v>1.69</v>
      </c>
      <c r="H581" s="6" t="s">
        <v>68</v>
      </c>
      <c r="I581" s="6" t="n">
        <f aca="false">D581*F581</f>
        <v>20.28</v>
      </c>
      <c r="J581" s="6" t="n">
        <f aca="false">HOUR(E581)</f>
        <v>11</v>
      </c>
      <c r="K581" s="6" t="n">
        <f aca="false">IF(COUNTIF($A$2:$A581,A581)=1,1,0)</f>
        <v>1</v>
      </c>
    </row>
    <row r="582" customFormat="false" ht="15" hidden="false" customHeight="false" outlineLevel="0" collapsed="false">
      <c r="A582" s="0" t="s">
        <v>221</v>
      </c>
      <c r="B582" s="0" t="s">
        <v>83</v>
      </c>
      <c r="C582" s="0" t="s">
        <v>84</v>
      </c>
      <c r="D582" s="0" t="n">
        <v>9</v>
      </c>
      <c r="E582" s="5" t="n">
        <v>45939.485625</v>
      </c>
      <c r="F582" s="0" t="n">
        <v>2.95</v>
      </c>
      <c r="G582" s="0" t="n">
        <v>17215</v>
      </c>
      <c r="H582" s="6" t="s">
        <v>151</v>
      </c>
      <c r="I582" s="6" t="n">
        <f aca="false">D582*F582</f>
        <v>26.55</v>
      </c>
      <c r="J582" s="6" t="n">
        <f aca="false">HOUR(E582)</f>
        <v>11</v>
      </c>
      <c r="K582" s="6" t="n">
        <f aca="false">IF(COUNTIF($A$2:$A582,A582)=1,1,0)</f>
        <v>1</v>
      </c>
    </row>
    <row r="583" customFormat="false" ht="15" hidden="false" customHeight="false" outlineLevel="0" collapsed="false">
      <c r="A583" s="0" t="s">
        <v>221</v>
      </c>
      <c r="B583" s="0" t="s">
        <v>140</v>
      </c>
      <c r="C583" s="0" t="s">
        <v>141</v>
      </c>
      <c r="D583" s="0" t="n">
        <v>12</v>
      </c>
      <c r="E583" s="5" t="n">
        <v>45939.485625</v>
      </c>
      <c r="F583" s="0" t="n">
        <v>2.08</v>
      </c>
      <c r="G583" s="0" t="n">
        <v>17215</v>
      </c>
      <c r="H583" s="6" t="s">
        <v>151</v>
      </c>
      <c r="I583" s="6" t="n">
        <f aca="false">D583*F583</f>
        <v>24.96</v>
      </c>
      <c r="J583" s="6" t="n">
        <f aca="false">HOUR(E583)</f>
        <v>11</v>
      </c>
      <c r="K583" s="6" t="n">
        <f aca="false">IF(COUNTIF($A$2:$A583,A583)=1,1,0)</f>
        <v>0</v>
      </c>
    </row>
    <row r="584" customFormat="false" ht="15" hidden="false" customHeight="false" outlineLevel="0" collapsed="false">
      <c r="A584" s="0" t="s">
        <v>221</v>
      </c>
      <c r="B584" s="0" t="s">
        <v>99</v>
      </c>
      <c r="C584" s="0" t="s">
        <v>100</v>
      </c>
      <c r="D584" s="0" t="n">
        <v>5</v>
      </c>
      <c r="E584" s="5" t="n">
        <v>45939.485625</v>
      </c>
      <c r="F584" s="0" t="n">
        <v>2.08</v>
      </c>
      <c r="G584" s="0" t="n">
        <v>17215</v>
      </c>
      <c r="H584" s="6" t="s">
        <v>151</v>
      </c>
      <c r="I584" s="6" t="n">
        <f aca="false">D584*F584</f>
        <v>10.4</v>
      </c>
      <c r="J584" s="6" t="n">
        <f aca="false">HOUR(E584)</f>
        <v>11</v>
      </c>
      <c r="K584" s="6" t="n">
        <f aca="false">IF(COUNTIF($A$2:$A584,A584)=1,1,0)</f>
        <v>0</v>
      </c>
    </row>
    <row r="585" customFormat="false" ht="15" hidden="false" customHeight="false" outlineLevel="0" collapsed="false">
      <c r="A585" s="0" t="s">
        <v>221</v>
      </c>
      <c r="B585" s="0" t="s">
        <v>77</v>
      </c>
      <c r="C585" s="0" t="s">
        <v>78</v>
      </c>
      <c r="D585" s="0" t="n">
        <v>24</v>
      </c>
      <c r="E585" s="5" t="n">
        <v>45939.485625</v>
      </c>
      <c r="F585" s="0" t="n">
        <v>1.65</v>
      </c>
      <c r="G585" s="0" t="n">
        <v>17215</v>
      </c>
      <c r="H585" s="6" t="s">
        <v>151</v>
      </c>
      <c r="I585" s="6" t="n">
        <f aca="false">D585*F585</f>
        <v>39.6</v>
      </c>
      <c r="J585" s="6" t="n">
        <f aca="false">HOUR(E585)</f>
        <v>11</v>
      </c>
      <c r="K585" s="6" t="n">
        <f aca="false">IF(COUNTIF($A$2:$A585,A585)=1,1,0)</f>
        <v>0</v>
      </c>
    </row>
    <row r="586" customFormat="false" ht="15" hidden="false" customHeight="false" outlineLevel="0" collapsed="false">
      <c r="A586" s="0" t="s">
        <v>221</v>
      </c>
      <c r="B586" s="0" t="s">
        <v>53</v>
      </c>
      <c r="C586" s="0" t="s">
        <v>54</v>
      </c>
      <c r="D586" s="0" t="n">
        <v>24</v>
      </c>
      <c r="E586" s="5" t="n">
        <v>45939.485625</v>
      </c>
      <c r="F586" s="0" t="n">
        <v>2.95</v>
      </c>
      <c r="G586" s="0" t="n">
        <v>17215</v>
      </c>
      <c r="H586" s="6" t="s">
        <v>151</v>
      </c>
      <c r="I586" s="6" t="n">
        <f aca="false">D586*F586</f>
        <v>70.8</v>
      </c>
      <c r="J586" s="6" t="n">
        <f aca="false">HOUR(E586)</f>
        <v>11</v>
      </c>
      <c r="K586" s="6" t="n">
        <f aca="false">IF(COUNTIF($A$2:$A586,A586)=1,1,0)</f>
        <v>0</v>
      </c>
    </row>
    <row r="587" customFormat="false" ht="15" hidden="false" customHeight="false" outlineLevel="0" collapsed="false">
      <c r="A587" s="0" t="s">
        <v>221</v>
      </c>
      <c r="B587" s="0" t="s">
        <v>116</v>
      </c>
      <c r="C587" s="0" t="s">
        <v>117</v>
      </c>
      <c r="D587" s="0" t="n">
        <v>12</v>
      </c>
      <c r="E587" s="5" t="n">
        <v>45939.485625</v>
      </c>
      <c r="F587" s="0" t="n">
        <v>1.95</v>
      </c>
      <c r="G587" s="0" t="n">
        <v>17215</v>
      </c>
      <c r="H587" s="6" t="s">
        <v>151</v>
      </c>
      <c r="I587" s="6" t="n">
        <f aca="false">D587*F587</f>
        <v>23.4</v>
      </c>
      <c r="J587" s="6" t="n">
        <f aca="false">HOUR(E587)</f>
        <v>11</v>
      </c>
      <c r="K587" s="6" t="n">
        <f aca="false">IF(COUNTIF($A$2:$A587,A587)=1,1,0)</f>
        <v>0</v>
      </c>
    </row>
    <row r="588" customFormat="false" ht="15" hidden="false" customHeight="false" outlineLevel="0" collapsed="false">
      <c r="A588" s="0" t="s">
        <v>221</v>
      </c>
      <c r="B588" s="0" t="s">
        <v>81</v>
      </c>
      <c r="C588" s="0" t="s">
        <v>82</v>
      </c>
      <c r="D588" s="0" t="n">
        <v>22</v>
      </c>
      <c r="E588" s="5" t="n">
        <v>45939.485625</v>
      </c>
      <c r="F588" s="0" t="n">
        <v>1.65</v>
      </c>
      <c r="G588" s="0" t="n">
        <v>17215</v>
      </c>
      <c r="H588" s="6" t="s">
        <v>151</v>
      </c>
      <c r="I588" s="6" t="n">
        <f aca="false">D588*F588</f>
        <v>36.3</v>
      </c>
      <c r="J588" s="6" t="n">
        <f aca="false">HOUR(E588)</f>
        <v>11</v>
      </c>
      <c r="K588" s="6" t="n">
        <f aca="false">IF(COUNTIF($A$2:$A588,A588)=1,1,0)</f>
        <v>0</v>
      </c>
    </row>
    <row r="589" customFormat="false" ht="15" hidden="false" customHeight="false" outlineLevel="0" collapsed="false">
      <c r="A589" s="0" t="s">
        <v>221</v>
      </c>
      <c r="B589" s="0" t="s">
        <v>69</v>
      </c>
      <c r="C589" s="0" t="s">
        <v>70</v>
      </c>
      <c r="D589" s="0" t="n">
        <v>16</v>
      </c>
      <c r="E589" s="5" t="n">
        <v>45939.485625</v>
      </c>
      <c r="F589" s="0" t="n">
        <v>2.08</v>
      </c>
      <c r="G589" s="0" t="n">
        <v>17215</v>
      </c>
      <c r="H589" s="6" t="s">
        <v>151</v>
      </c>
      <c r="I589" s="6" t="n">
        <f aca="false">D589*F589</f>
        <v>33.28</v>
      </c>
      <c r="J589" s="6" t="n">
        <f aca="false">HOUR(E589)</f>
        <v>11</v>
      </c>
      <c r="K589" s="6" t="n">
        <f aca="false">IF(COUNTIF($A$2:$A589,A589)=1,1,0)</f>
        <v>0</v>
      </c>
    </row>
    <row r="590" customFormat="false" ht="15" hidden="false" customHeight="false" outlineLevel="0" collapsed="false">
      <c r="A590" s="0" t="s">
        <v>221</v>
      </c>
      <c r="B590" s="0" t="s">
        <v>137</v>
      </c>
      <c r="C590" s="0" t="s">
        <v>138</v>
      </c>
      <c r="D590" s="0" t="n">
        <v>11</v>
      </c>
      <c r="E590" s="5" t="n">
        <v>45939.485625</v>
      </c>
      <c r="F590" s="0" t="n">
        <v>2.1</v>
      </c>
      <c r="G590" s="0" t="n">
        <v>17215</v>
      </c>
      <c r="H590" s="6" t="s">
        <v>151</v>
      </c>
      <c r="I590" s="6" t="n">
        <f aca="false">D590*F590</f>
        <v>23.1</v>
      </c>
      <c r="J590" s="6" t="n">
        <f aca="false">HOUR(E590)</f>
        <v>11</v>
      </c>
      <c r="K590" s="6" t="n">
        <f aca="false">IF(COUNTIF($A$2:$A590,A590)=1,1,0)</f>
        <v>0</v>
      </c>
    </row>
    <row r="591" customFormat="false" ht="15" hidden="false" customHeight="false" outlineLevel="0" collapsed="false">
      <c r="A591" s="0" t="s">
        <v>221</v>
      </c>
      <c r="B591" s="0" t="s">
        <v>95</v>
      </c>
      <c r="C591" s="0" t="s">
        <v>96</v>
      </c>
      <c r="D591" s="0" t="n">
        <v>46</v>
      </c>
      <c r="E591" s="5" t="n">
        <v>45939.485625</v>
      </c>
      <c r="F591" s="0" t="n">
        <v>2.55</v>
      </c>
      <c r="G591" s="0" t="n">
        <v>17215</v>
      </c>
      <c r="H591" s="6" t="s">
        <v>151</v>
      </c>
      <c r="I591" s="6" t="n">
        <f aca="false">D591*F591</f>
        <v>117.3</v>
      </c>
      <c r="J591" s="6" t="n">
        <f aca="false">HOUR(E591)</f>
        <v>11</v>
      </c>
      <c r="K591" s="6" t="n">
        <f aca="false">IF(COUNTIF($A$2:$A591,A591)=1,1,0)</f>
        <v>0</v>
      </c>
    </row>
    <row r="592" customFormat="false" ht="15" hidden="false" customHeight="false" outlineLevel="0" collapsed="false">
      <c r="A592" s="0" t="s">
        <v>222</v>
      </c>
      <c r="B592" s="0" t="s">
        <v>104</v>
      </c>
      <c r="C592" s="0" t="s">
        <v>105</v>
      </c>
      <c r="D592" s="0" t="n">
        <v>18</v>
      </c>
      <c r="E592" s="5" t="n">
        <v>45939.5036574074</v>
      </c>
      <c r="F592" s="0" t="n">
        <v>1.65</v>
      </c>
      <c r="G592" s="0" t="n">
        <v>17205</v>
      </c>
      <c r="H592" s="6" t="s">
        <v>188</v>
      </c>
      <c r="I592" s="6" t="n">
        <f aca="false">D592*F592</f>
        <v>29.7</v>
      </c>
      <c r="J592" s="6" t="n">
        <f aca="false">HOUR(E592)</f>
        <v>12</v>
      </c>
      <c r="K592" s="6" t="n">
        <f aca="false">IF(COUNTIF($A$2:$A592,A592)=1,1,0)</f>
        <v>1</v>
      </c>
    </row>
    <row r="593" customFormat="false" ht="15" hidden="false" customHeight="false" outlineLevel="0" collapsed="false">
      <c r="A593" s="0" t="s">
        <v>222</v>
      </c>
      <c r="B593" s="0" t="s">
        <v>134</v>
      </c>
      <c r="C593" s="0" t="s">
        <v>135</v>
      </c>
      <c r="D593" s="0" t="n">
        <v>17</v>
      </c>
      <c r="E593" s="5" t="n">
        <v>45939.5036574074</v>
      </c>
      <c r="F593" s="0" t="n">
        <v>5.95</v>
      </c>
      <c r="G593" s="0" t="n">
        <v>17205</v>
      </c>
      <c r="H593" s="6" t="s">
        <v>188</v>
      </c>
      <c r="I593" s="6" t="n">
        <f aca="false">D593*F593</f>
        <v>101.15</v>
      </c>
      <c r="J593" s="6" t="n">
        <f aca="false">HOUR(E593)</f>
        <v>12</v>
      </c>
      <c r="K593" s="6" t="n">
        <f aca="false">IF(COUNTIF($A$2:$A593,A593)=1,1,0)</f>
        <v>0</v>
      </c>
    </row>
    <row r="594" customFormat="false" ht="15" hidden="false" customHeight="false" outlineLevel="0" collapsed="false">
      <c r="A594" s="0" t="s">
        <v>222</v>
      </c>
      <c r="B594" s="0" t="s">
        <v>91</v>
      </c>
      <c r="C594" s="0" t="s">
        <v>92</v>
      </c>
      <c r="D594" s="0" t="n">
        <v>5</v>
      </c>
      <c r="E594" s="5" t="n">
        <v>45939.5036574074</v>
      </c>
      <c r="F594" s="0" t="n">
        <v>7.65</v>
      </c>
      <c r="G594" s="0" t="n">
        <v>17205</v>
      </c>
      <c r="H594" s="6" t="s">
        <v>188</v>
      </c>
      <c r="I594" s="6" t="n">
        <f aca="false">D594*F594</f>
        <v>38.25</v>
      </c>
      <c r="J594" s="6" t="n">
        <f aca="false">HOUR(E594)</f>
        <v>12</v>
      </c>
      <c r="K594" s="6" t="n">
        <f aca="false">IF(COUNTIF($A$2:$A594,A594)=1,1,0)</f>
        <v>0</v>
      </c>
    </row>
    <row r="595" customFormat="false" ht="15" hidden="false" customHeight="false" outlineLevel="0" collapsed="false">
      <c r="A595" s="0" t="s">
        <v>222</v>
      </c>
      <c r="B595" s="0" t="s">
        <v>137</v>
      </c>
      <c r="C595" s="0" t="s">
        <v>138</v>
      </c>
      <c r="D595" s="0" t="n">
        <v>24</v>
      </c>
      <c r="E595" s="5" t="n">
        <v>45939.5036574074</v>
      </c>
      <c r="F595" s="0" t="n">
        <v>2.1</v>
      </c>
      <c r="G595" s="0" t="n">
        <v>17205</v>
      </c>
      <c r="H595" s="6" t="s">
        <v>188</v>
      </c>
      <c r="I595" s="6" t="n">
        <f aca="false">D595*F595</f>
        <v>50.4</v>
      </c>
      <c r="J595" s="6" t="n">
        <f aca="false">HOUR(E595)</f>
        <v>12</v>
      </c>
      <c r="K595" s="6" t="n">
        <f aca="false">IF(COUNTIF($A$2:$A595,A595)=1,1,0)</f>
        <v>0</v>
      </c>
    </row>
    <row r="596" customFormat="false" ht="15" hidden="false" customHeight="false" outlineLevel="0" collapsed="false">
      <c r="A596" s="0" t="s">
        <v>222</v>
      </c>
      <c r="B596" s="0" t="s">
        <v>107</v>
      </c>
      <c r="C596" s="0" t="s">
        <v>108</v>
      </c>
      <c r="D596" s="0" t="n">
        <v>1</v>
      </c>
      <c r="E596" s="5" t="n">
        <v>45939.5036574074</v>
      </c>
      <c r="F596" s="0" t="n">
        <v>3.75</v>
      </c>
      <c r="G596" s="0" t="n">
        <v>17205</v>
      </c>
      <c r="H596" s="6" t="s">
        <v>188</v>
      </c>
      <c r="I596" s="6" t="n">
        <f aca="false">D596*F596</f>
        <v>3.75</v>
      </c>
      <c r="J596" s="6" t="n">
        <f aca="false">HOUR(E596)</f>
        <v>12</v>
      </c>
      <c r="K596" s="6" t="n">
        <f aca="false">IF(COUNTIF($A$2:$A596,A596)=1,1,0)</f>
        <v>0</v>
      </c>
    </row>
    <row r="597" customFormat="false" ht="15" hidden="false" customHeight="false" outlineLevel="0" collapsed="false">
      <c r="A597" s="0" t="s">
        <v>222</v>
      </c>
      <c r="B597" s="0" t="s">
        <v>145</v>
      </c>
      <c r="C597" s="0" t="s">
        <v>146</v>
      </c>
      <c r="D597" s="0" t="n">
        <v>9</v>
      </c>
      <c r="E597" s="5" t="n">
        <v>45939.5036574074</v>
      </c>
      <c r="F597" s="0" t="n">
        <v>1.85</v>
      </c>
      <c r="G597" s="0" t="n">
        <v>17205</v>
      </c>
      <c r="H597" s="6" t="s">
        <v>188</v>
      </c>
      <c r="I597" s="6" t="n">
        <f aca="false">D597*F597</f>
        <v>16.65</v>
      </c>
      <c r="J597" s="6" t="n">
        <f aca="false">HOUR(E597)</f>
        <v>12</v>
      </c>
      <c r="K597" s="6" t="n">
        <f aca="false">IF(COUNTIF($A$2:$A597,A597)=1,1,0)</f>
        <v>0</v>
      </c>
    </row>
    <row r="598" customFormat="false" ht="15" hidden="false" customHeight="false" outlineLevel="0" collapsed="false">
      <c r="A598" s="0" t="s">
        <v>222</v>
      </c>
      <c r="B598" s="0" t="s">
        <v>63</v>
      </c>
      <c r="C598" s="0" t="s">
        <v>64</v>
      </c>
      <c r="D598" s="0" t="n">
        <v>22</v>
      </c>
      <c r="E598" s="5" t="n">
        <v>45939.5036574074</v>
      </c>
      <c r="F598" s="0" t="n">
        <v>1.85</v>
      </c>
      <c r="G598" s="0" t="n">
        <v>17205</v>
      </c>
      <c r="H598" s="6" t="s">
        <v>188</v>
      </c>
      <c r="I598" s="6" t="n">
        <f aca="false">D598*F598</f>
        <v>40.7</v>
      </c>
      <c r="J598" s="6" t="n">
        <f aca="false">HOUR(E598)</f>
        <v>12</v>
      </c>
      <c r="K598" s="6" t="n">
        <f aca="false">IF(COUNTIF($A$2:$A598,A598)=1,1,0)</f>
        <v>0</v>
      </c>
    </row>
    <row r="599" customFormat="false" ht="15" hidden="false" customHeight="false" outlineLevel="0" collapsed="false">
      <c r="A599" s="0" t="s">
        <v>222</v>
      </c>
      <c r="B599" s="0" t="s">
        <v>79</v>
      </c>
      <c r="C599" s="0" t="s">
        <v>80</v>
      </c>
      <c r="D599" s="0" t="n">
        <v>14</v>
      </c>
      <c r="E599" s="5" t="n">
        <v>45939.5036574074</v>
      </c>
      <c r="F599" s="0" t="n">
        <v>3.39</v>
      </c>
      <c r="G599" s="0" t="n">
        <v>17205</v>
      </c>
      <c r="H599" s="6" t="s">
        <v>188</v>
      </c>
      <c r="I599" s="6" t="n">
        <f aca="false">D599*F599</f>
        <v>47.46</v>
      </c>
      <c r="J599" s="6" t="n">
        <f aca="false">HOUR(E599)</f>
        <v>12</v>
      </c>
      <c r="K599" s="6" t="n">
        <f aca="false">IF(COUNTIF($A$2:$A599,A599)=1,1,0)</f>
        <v>0</v>
      </c>
    </row>
    <row r="600" customFormat="false" ht="15" hidden="false" customHeight="false" outlineLevel="0" collapsed="false">
      <c r="A600" s="0" t="s">
        <v>222</v>
      </c>
      <c r="B600" s="0" t="s">
        <v>121</v>
      </c>
      <c r="C600" s="0" t="s">
        <v>122</v>
      </c>
      <c r="D600" s="0" t="n">
        <v>2</v>
      </c>
      <c r="E600" s="5" t="n">
        <v>45939.5036574074</v>
      </c>
      <c r="F600" s="0" t="n">
        <v>2.1</v>
      </c>
      <c r="G600" s="0" t="n">
        <v>17205</v>
      </c>
      <c r="H600" s="6" t="s">
        <v>188</v>
      </c>
      <c r="I600" s="6" t="n">
        <f aca="false">D600*F600</f>
        <v>4.2</v>
      </c>
      <c r="J600" s="6" t="n">
        <f aca="false">HOUR(E600)</f>
        <v>12</v>
      </c>
      <c r="K600" s="6" t="n">
        <f aca="false">IF(COUNTIF($A$2:$A600,A600)=1,1,0)</f>
        <v>0</v>
      </c>
    </row>
    <row r="601" customFormat="false" ht="15" hidden="false" customHeight="false" outlineLevel="0" collapsed="false">
      <c r="A601" s="0" t="s">
        <v>223</v>
      </c>
      <c r="B601" s="0" t="s">
        <v>65</v>
      </c>
      <c r="C601" s="0" t="s">
        <v>66</v>
      </c>
      <c r="D601" s="0" t="n">
        <v>5</v>
      </c>
      <c r="E601" s="5" t="n">
        <v>45939.5141319444</v>
      </c>
      <c r="F601" s="0" t="n">
        <v>1.65</v>
      </c>
      <c r="G601" s="0" t="n">
        <v>17243</v>
      </c>
      <c r="H601" s="6" t="s">
        <v>113</v>
      </c>
      <c r="I601" s="6" t="n">
        <f aca="false">D601*F601</f>
        <v>8.25</v>
      </c>
      <c r="J601" s="6" t="n">
        <f aca="false">HOUR(E601)</f>
        <v>12</v>
      </c>
      <c r="K601" s="6" t="n">
        <f aca="false">IF(COUNTIF($A$2:$A601,A601)=1,1,0)</f>
        <v>1</v>
      </c>
    </row>
    <row r="602" customFormat="false" ht="15" hidden="false" customHeight="false" outlineLevel="0" collapsed="false">
      <c r="A602" s="0" t="s">
        <v>223</v>
      </c>
      <c r="B602" s="0" t="s">
        <v>50</v>
      </c>
      <c r="C602" s="0" t="s">
        <v>51</v>
      </c>
      <c r="D602" s="0" t="n">
        <v>5</v>
      </c>
      <c r="E602" s="5" t="n">
        <v>45939.5141319444</v>
      </c>
      <c r="F602" s="0" t="n">
        <v>5.95</v>
      </c>
      <c r="G602" s="0" t="n">
        <v>17243</v>
      </c>
      <c r="H602" s="6" t="s">
        <v>113</v>
      </c>
      <c r="I602" s="6" t="n">
        <f aca="false">D602*F602</f>
        <v>29.75</v>
      </c>
      <c r="J602" s="6" t="n">
        <f aca="false">HOUR(E602)</f>
        <v>12</v>
      </c>
      <c r="K602" s="6" t="n">
        <f aca="false">IF(COUNTIF($A$2:$A602,A602)=1,1,0)</f>
        <v>0</v>
      </c>
    </row>
    <row r="603" customFormat="false" ht="15" hidden="false" customHeight="false" outlineLevel="0" collapsed="false">
      <c r="A603" s="0" t="s">
        <v>224</v>
      </c>
      <c r="B603" s="0" t="s">
        <v>55</v>
      </c>
      <c r="C603" s="0" t="s">
        <v>56</v>
      </c>
      <c r="D603" s="0" t="n">
        <v>15</v>
      </c>
      <c r="E603" s="5" t="n">
        <v>45939.6047800926</v>
      </c>
      <c r="F603" s="0" t="n">
        <v>1.65</v>
      </c>
      <c r="G603" s="0" t="n">
        <v>17118</v>
      </c>
      <c r="H603" s="6" t="s">
        <v>113</v>
      </c>
      <c r="I603" s="6" t="n">
        <f aca="false">D603*F603</f>
        <v>24.75</v>
      </c>
      <c r="J603" s="6" t="n">
        <f aca="false">HOUR(E603)</f>
        <v>14</v>
      </c>
      <c r="K603" s="6" t="n">
        <f aca="false">IF(COUNTIF($A$2:$A603,A603)=1,1,0)</f>
        <v>1</v>
      </c>
    </row>
    <row r="604" customFormat="false" ht="15" hidden="false" customHeight="false" outlineLevel="0" collapsed="false">
      <c r="A604" s="0" t="s">
        <v>224</v>
      </c>
      <c r="B604" s="0" t="s">
        <v>134</v>
      </c>
      <c r="D604" s="0" t="n">
        <v>8</v>
      </c>
      <c r="E604" s="5" t="n">
        <v>45939.6047800926</v>
      </c>
      <c r="F604" s="0" t="n">
        <v>5.95</v>
      </c>
      <c r="G604" s="0" t="n">
        <v>17118</v>
      </c>
      <c r="H604" s="6" t="s">
        <v>113</v>
      </c>
      <c r="I604" s="6" t="n">
        <f aca="false">D604*F604</f>
        <v>47.6</v>
      </c>
      <c r="J604" s="6" t="n">
        <f aca="false">HOUR(E604)</f>
        <v>14</v>
      </c>
      <c r="K604" s="6" t="n">
        <f aca="false">IF(COUNTIF($A$2:$A604,A604)=1,1,0)</f>
        <v>0</v>
      </c>
    </row>
    <row r="605" customFormat="false" ht="15" hidden="false" customHeight="false" outlineLevel="0" collapsed="false">
      <c r="A605" s="0" t="s">
        <v>224</v>
      </c>
      <c r="B605" s="0" t="s">
        <v>59</v>
      </c>
      <c r="C605" s="0" t="s">
        <v>60</v>
      </c>
      <c r="D605" s="0" t="n">
        <v>9</v>
      </c>
      <c r="E605" s="5" t="n">
        <v>45939.6047800926</v>
      </c>
      <c r="F605" s="0" t="n">
        <v>0.42</v>
      </c>
      <c r="G605" s="0" t="n">
        <v>17118</v>
      </c>
      <c r="H605" s="6" t="s">
        <v>113</v>
      </c>
      <c r="I605" s="6" t="n">
        <f aca="false">D605*F605</f>
        <v>3.78</v>
      </c>
      <c r="J605" s="6" t="n">
        <f aca="false">HOUR(E605)</f>
        <v>14</v>
      </c>
      <c r="K605" s="6" t="n">
        <f aca="false">IF(COUNTIF($A$2:$A605,A605)=1,1,0)</f>
        <v>0</v>
      </c>
    </row>
    <row r="606" customFormat="false" ht="15" hidden="false" customHeight="false" outlineLevel="0" collapsed="false">
      <c r="A606" s="0" t="s">
        <v>224</v>
      </c>
      <c r="B606" s="0" t="s">
        <v>102</v>
      </c>
      <c r="C606" s="0" t="s">
        <v>103</v>
      </c>
      <c r="D606" s="0" t="n">
        <v>43</v>
      </c>
      <c r="E606" s="5" t="n">
        <v>45939.6047800926</v>
      </c>
      <c r="F606" s="0" t="n">
        <v>8.5</v>
      </c>
      <c r="G606" s="0" t="n">
        <v>17118</v>
      </c>
      <c r="H606" s="6" t="s">
        <v>113</v>
      </c>
      <c r="I606" s="6" t="n">
        <f aca="false">D606*F606</f>
        <v>365.5</v>
      </c>
      <c r="J606" s="6" t="n">
        <f aca="false">HOUR(E606)</f>
        <v>14</v>
      </c>
      <c r="K606" s="6" t="n">
        <f aca="false">IF(COUNTIF($A$2:$A606,A606)=1,1,0)</f>
        <v>0</v>
      </c>
    </row>
    <row r="607" customFormat="false" ht="15" hidden="false" customHeight="false" outlineLevel="0" collapsed="false">
      <c r="A607" s="0" t="s">
        <v>224</v>
      </c>
      <c r="B607" s="0" t="s">
        <v>57</v>
      </c>
      <c r="C607" s="0" t="s">
        <v>58</v>
      </c>
      <c r="D607" s="0" t="n">
        <v>1</v>
      </c>
      <c r="E607" s="5" t="n">
        <v>45939.6047800926</v>
      </c>
      <c r="F607" s="0" t="n">
        <v>2.08</v>
      </c>
      <c r="G607" s="0" t="n">
        <v>17118</v>
      </c>
      <c r="H607" s="6" t="s">
        <v>113</v>
      </c>
      <c r="I607" s="6" t="n">
        <f aca="false">D607*F607</f>
        <v>2.08</v>
      </c>
      <c r="J607" s="6" t="n">
        <f aca="false">HOUR(E607)</f>
        <v>14</v>
      </c>
      <c r="K607" s="6" t="n">
        <f aca="false">IF(COUNTIF($A$2:$A607,A607)=1,1,0)</f>
        <v>0</v>
      </c>
    </row>
    <row r="608" customFormat="false" ht="15" hidden="false" customHeight="false" outlineLevel="0" collapsed="false">
      <c r="A608" s="0" t="s">
        <v>224</v>
      </c>
      <c r="B608" s="0" t="s">
        <v>88</v>
      </c>
      <c r="C608" s="0" t="s">
        <v>89</v>
      </c>
      <c r="D608" s="0" t="n">
        <v>3</v>
      </c>
      <c r="E608" s="5" t="n">
        <v>45939.6047800926</v>
      </c>
      <c r="F608" s="0" t="n">
        <v>2.75</v>
      </c>
      <c r="G608" s="0" t="n">
        <v>17118</v>
      </c>
      <c r="H608" s="6" t="s">
        <v>113</v>
      </c>
      <c r="I608" s="6" t="n">
        <f aca="false">D608*F608</f>
        <v>8.25</v>
      </c>
      <c r="J608" s="6" t="n">
        <f aca="false">HOUR(E608)</f>
        <v>14</v>
      </c>
      <c r="K608" s="6" t="n">
        <f aca="false">IF(COUNTIF($A$2:$A608,A608)=1,1,0)</f>
        <v>0</v>
      </c>
    </row>
    <row r="609" customFormat="false" ht="15" hidden="false" customHeight="false" outlineLevel="0" collapsed="false">
      <c r="A609" s="0" t="s">
        <v>225</v>
      </c>
      <c r="B609" s="0" t="s">
        <v>61</v>
      </c>
      <c r="C609" s="0" t="s">
        <v>62</v>
      </c>
      <c r="D609" s="0" t="n">
        <v>4</v>
      </c>
      <c r="E609" s="5" t="n">
        <v>45939.7173263889</v>
      </c>
      <c r="F609" s="0" t="n">
        <v>1.65</v>
      </c>
      <c r="H609" s="6" t="s">
        <v>74</v>
      </c>
      <c r="I609" s="6" t="n">
        <f aca="false">D609*F609</f>
        <v>6.6</v>
      </c>
      <c r="J609" s="6" t="n">
        <f aca="false">HOUR(E609)</f>
        <v>17</v>
      </c>
      <c r="K609" s="6" t="n">
        <f aca="false">IF(COUNTIF($A$2:$A609,A609)=1,1,0)</f>
        <v>1</v>
      </c>
    </row>
    <row r="610" customFormat="false" ht="15" hidden="false" customHeight="false" outlineLevel="0" collapsed="false">
      <c r="A610" s="0" t="s">
        <v>225</v>
      </c>
      <c r="B610" s="0" t="s">
        <v>86</v>
      </c>
      <c r="C610" s="0" t="s">
        <v>87</v>
      </c>
      <c r="D610" s="0" t="n">
        <v>7</v>
      </c>
      <c r="E610" s="5" t="n">
        <v>45939.7173263889</v>
      </c>
      <c r="F610" s="0" t="n">
        <v>4.25</v>
      </c>
      <c r="H610" s="6" t="s">
        <v>74</v>
      </c>
      <c r="I610" s="6" t="n">
        <f aca="false">D610*F610</f>
        <v>29.75</v>
      </c>
      <c r="J610" s="6" t="n">
        <f aca="false">HOUR(E610)</f>
        <v>17</v>
      </c>
      <c r="K610" s="6" t="n">
        <f aca="false">IF(COUNTIF($A$2:$A610,A610)=1,1,0)</f>
        <v>0</v>
      </c>
    </row>
    <row r="611" customFormat="false" ht="15" hidden="false" customHeight="false" outlineLevel="0" collapsed="false">
      <c r="A611" s="0" t="s">
        <v>225</v>
      </c>
      <c r="B611" s="0" t="s">
        <v>75</v>
      </c>
      <c r="C611" s="0" t="s">
        <v>76</v>
      </c>
      <c r="D611" s="0" t="n">
        <v>16</v>
      </c>
      <c r="E611" s="5" t="n">
        <v>45939.7173263889</v>
      </c>
      <c r="F611" s="0" t="n">
        <v>3.39</v>
      </c>
      <c r="H611" s="6" t="s">
        <v>74</v>
      </c>
      <c r="I611" s="6" t="n">
        <f aca="false">D611*F611</f>
        <v>54.24</v>
      </c>
      <c r="J611" s="6" t="n">
        <f aca="false">HOUR(E611)</f>
        <v>17</v>
      </c>
      <c r="K611" s="6" t="n">
        <f aca="false">IF(COUNTIF($A$2:$A611,A611)=1,1,0)</f>
        <v>0</v>
      </c>
    </row>
    <row r="612" customFormat="false" ht="15" hidden="false" customHeight="false" outlineLevel="0" collapsed="false">
      <c r="A612" s="0" t="s">
        <v>226</v>
      </c>
      <c r="B612" s="0" t="s">
        <v>125</v>
      </c>
      <c r="C612" s="0" t="s">
        <v>126</v>
      </c>
      <c r="D612" s="0" t="n">
        <v>13</v>
      </c>
      <c r="E612" s="5" t="n">
        <v>45939.7316319444</v>
      </c>
      <c r="F612" s="0" t="n">
        <v>1.25</v>
      </c>
      <c r="G612" s="0" t="n">
        <v>17207</v>
      </c>
      <c r="H612" s="6" t="s">
        <v>74</v>
      </c>
      <c r="I612" s="6" t="n">
        <f aca="false">D612*F612</f>
        <v>16.25</v>
      </c>
      <c r="J612" s="6" t="n">
        <f aca="false">HOUR(E612)</f>
        <v>17</v>
      </c>
      <c r="K612" s="6" t="n">
        <f aca="false">IF(COUNTIF($A$2:$A612,A612)=1,1,0)</f>
        <v>1</v>
      </c>
    </row>
    <row r="613" customFormat="false" ht="15" hidden="false" customHeight="false" outlineLevel="0" collapsed="false">
      <c r="A613" s="0" t="s">
        <v>226</v>
      </c>
      <c r="B613" s="0" t="s">
        <v>88</v>
      </c>
      <c r="C613" s="0" t="s">
        <v>89</v>
      </c>
      <c r="D613" s="0" t="n">
        <v>20</v>
      </c>
      <c r="E613" s="5" t="n">
        <v>45939.7316319444</v>
      </c>
      <c r="F613" s="0" t="n">
        <v>2.75</v>
      </c>
      <c r="G613" s="0" t="n">
        <v>17207</v>
      </c>
      <c r="H613" s="6" t="s">
        <v>74</v>
      </c>
      <c r="I613" s="6" t="n">
        <f aca="false">D613*F613</f>
        <v>55</v>
      </c>
      <c r="J613" s="6" t="n">
        <f aca="false">HOUR(E613)</f>
        <v>17</v>
      </c>
      <c r="K613" s="6" t="n">
        <f aca="false">IF(COUNTIF($A$2:$A613,A613)=1,1,0)</f>
        <v>0</v>
      </c>
    </row>
    <row r="614" customFormat="false" ht="15" hidden="false" customHeight="false" outlineLevel="0" collapsed="false">
      <c r="A614" s="0" t="s">
        <v>226</v>
      </c>
      <c r="B614" s="0" t="s">
        <v>86</v>
      </c>
      <c r="C614" s="0" t="s">
        <v>87</v>
      </c>
      <c r="D614" s="0" t="n">
        <v>1</v>
      </c>
      <c r="E614" s="5" t="n">
        <v>45939.7316319444</v>
      </c>
      <c r="F614" s="0" t="n">
        <v>4.25</v>
      </c>
      <c r="G614" s="0" t="n">
        <v>17207</v>
      </c>
      <c r="H614" s="6" t="s">
        <v>74</v>
      </c>
      <c r="I614" s="6" t="n">
        <f aca="false">D614*F614</f>
        <v>4.25</v>
      </c>
      <c r="J614" s="6" t="n">
        <f aca="false">HOUR(E614)</f>
        <v>17</v>
      </c>
      <c r="K614" s="6" t="n">
        <f aca="false">IF(COUNTIF($A$2:$A614,A614)=1,1,0)</f>
        <v>0</v>
      </c>
    </row>
    <row r="615" customFormat="false" ht="15" hidden="false" customHeight="false" outlineLevel="0" collapsed="false">
      <c r="A615" s="0" t="s">
        <v>226</v>
      </c>
      <c r="B615" s="0" t="s">
        <v>55</v>
      </c>
      <c r="C615" s="0" t="s">
        <v>56</v>
      </c>
      <c r="D615" s="0" t="n">
        <v>12</v>
      </c>
      <c r="E615" s="5" t="n">
        <v>45939.7316319444</v>
      </c>
      <c r="F615" s="0" t="n">
        <v>1.65</v>
      </c>
      <c r="G615" s="0" t="n">
        <v>17207</v>
      </c>
      <c r="H615" s="6" t="s">
        <v>74</v>
      </c>
      <c r="I615" s="6" t="n">
        <f aca="false">D615*F615</f>
        <v>19.8</v>
      </c>
      <c r="J615" s="6" t="n">
        <f aca="false">HOUR(E615)</f>
        <v>17</v>
      </c>
      <c r="K615" s="6" t="n">
        <f aca="false">IF(COUNTIF($A$2:$A615,A615)=1,1,0)</f>
        <v>0</v>
      </c>
    </row>
    <row r="616" customFormat="false" ht="15" hidden="false" customHeight="false" outlineLevel="0" collapsed="false">
      <c r="A616" s="0" t="s">
        <v>226</v>
      </c>
      <c r="B616" s="0" t="s">
        <v>79</v>
      </c>
      <c r="C616" s="0" t="s">
        <v>80</v>
      </c>
      <c r="D616" s="0" t="n">
        <v>22</v>
      </c>
      <c r="E616" s="5" t="n">
        <v>45939.7316319444</v>
      </c>
      <c r="F616" s="0" t="n">
        <v>3.39</v>
      </c>
      <c r="G616" s="0" t="n">
        <v>17207</v>
      </c>
      <c r="H616" s="6" t="s">
        <v>74</v>
      </c>
      <c r="I616" s="6" t="n">
        <f aca="false">D616*F616</f>
        <v>74.58</v>
      </c>
      <c r="J616" s="6" t="n">
        <f aca="false">HOUR(E616)</f>
        <v>17</v>
      </c>
      <c r="K616" s="6" t="n">
        <f aca="false">IF(COUNTIF($A$2:$A616,A616)=1,1,0)</f>
        <v>0</v>
      </c>
    </row>
    <row r="617" customFormat="false" ht="15" hidden="false" customHeight="false" outlineLevel="0" collapsed="false">
      <c r="A617" s="0" t="s">
        <v>226</v>
      </c>
      <c r="B617" s="0" t="s">
        <v>137</v>
      </c>
      <c r="C617" s="0" t="s">
        <v>138</v>
      </c>
      <c r="D617" s="0" t="n">
        <v>17</v>
      </c>
      <c r="E617" s="5" t="n">
        <v>45939.7316319444</v>
      </c>
      <c r="F617" s="0" t="n">
        <v>2.1</v>
      </c>
      <c r="G617" s="0" t="n">
        <v>17207</v>
      </c>
      <c r="H617" s="6" t="s">
        <v>74</v>
      </c>
      <c r="I617" s="6" t="n">
        <f aca="false">D617*F617</f>
        <v>35.7</v>
      </c>
      <c r="J617" s="6" t="n">
        <f aca="false">HOUR(E617)</f>
        <v>17</v>
      </c>
      <c r="K617" s="6" t="n">
        <f aca="false">IF(COUNTIF($A$2:$A617,A617)=1,1,0)</f>
        <v>0</v>
      </c>
    </row>
    <row r="618" customFormat="false" ht="15" hidden="false" customHeight="false" outlineLevel="0" collapsed="false">
      <c r="A618" s="0" t="s">
        <v>226</v>
      </c>
      <c r="B618" s="0" t="s">
        <v>47</v>
      </c>
      <c r="C618" s="0" t="s">
        <v>48</v>
      </c>
      <c r="D618" s="0" t="n">
        <v>17</v>
      </c>
      <c r="E618" s="5" t="n">
        <v>45939.7316319444</v>
      </c>
      <c r="F618" s="0" t="n">
        <v>12.75</v>
      </c>
      <c r="G618" s="0" t="n">
        <v>17207</v>
      </c>
      <c r="H618" s="6" t="s">
        <v>74</v>
      </c>
      <c r="I618" s="6" t="n">
        <f aca="false">D618*F618</f>
        <v>216.75</v>
      </c>
      <c r="J618" s="6" t="n">
        <f aca="false">HOUR(E618)</f>
        <v>17</v>
      </c>
      <c r="K618" s="6" t="n">
        <f aca="false">IF(COUNTIF($A$2:$A618,A618)=1,1,0)</f>
        <v>0</v>
      </c>
    </row>
    <row r="619" customFormat="false" ht="15" hidden="false" customHeight="false" outlineLevel="0" collapsed="false">
      <c r="A619" s="0" t="s">
        <v>227</v>
      </c>
      <c r="B619" s="0" t="s">
        <v>140</v>
      </c>
      <c r="C619" s="0" t="s">
        <v>141</v>
      </c>
      <c r="D619" s="0" t="n">
        <v>20</v>
      </c>
      <c r="E619" s="5" t="n">
        <v>45939.8129398148</v>
      </c>
      <c r="F619" s="0" t="n">
        <v>2.08</v>
      </c>
      <c r="G619" s="0" t="n">
        <v>17054</v>
      </c>
      <c r="H619" s="6" t="s">
        <v>113</v>
      </c>
      <c r="I619" s="6" t="n">
        <f aca="false">D619*F619</f>
        <v>41.6</v>
      </c>
      <c r="J619" s="6" t="n">
        <f aca="false">HOUR(E619)</f>
        <v>19</v>
      </c>
      <c r="K619" s="6" t="n">
        <f aca="false">IF(COUNTIF($A$2:$A619,A619)=1,1,0)</f>
        <v>1</v>
      </c>
    </row>
    <row r="620" customFormat="false" ht="15" hidden="false" customHeight="false" outlineLevel="0" collapsed="false">
      <c r="A620" s="0" t="s">
        <v>228</v>
      </c>
      <c r="B620" s="0" t="s">
        <v>99</v>
      </c>
      <c r="C620" s="0" t="s">
        <v>100</v>
      </c>
      <c r="D620" s="0" t="n">
        <v>13</v>
      </c>
      <c r="E620" s="5" t="n">
        <v>45939.893900463</v>
      </c>
      <c r="F620" s="0" t="n">
        <v>2.08</v>
      </c>
      <c r="H620" s="6" t="s">
        <v>74</v>
      </c>
      <c r="I620" s="6" t="n">
        <f aca="false">D620*F620</f>
        <v>27.04</v>
      </c>
      <c r="J620" s="6" t="n">
        <f aca="false">HOUR(E620)</f>
        <v>21</v>
      </c>
      <c r="K620" s="6" t="n">
        <f aca="false">IF(COUNTIF($A$2:$A620,A620)=1,1,0)</f>
        <v>1</v>
      </c>
    </row>
    <row r="621" customFormat="false" ht="15" hidden="false" customHeight="false" outlineLevel="0" collapsed="false">
      <c r="A621" s="0" t="s">
        <v>228</v>
      </c>
      <c r="B621" s="0" t="s">
        <v>72</v>
      </c>
      <c r="C621" s="0" t="s">
        <v>73</v>
      </c>
      <c r="D621" s="0" t="n">
        <v>38</v>
      </c>
      <c r="E621" s="5" t="n">
        <v>45939.893900463</v>
      </c>
      <c r="F621" s="0" t="n">
        <v>4.95</v>
      </c>
      <c r="H621" s="6" t="s">
        <v>74</v>
      </c>
      <c r="I621" s="6" t="n">
        <f aca="false">D621*F621</f>
        <v>188.1</v>
      </c>
      <c r="J621" s="6" t="n">
        <f aca="false">HOUR(E621)</f>
        <v>21</v>
      </c>
      <c r="K621" s="6" t="n">
        <f aca="false">IF(COUNTIF($A$2:$A621,A621)=1,1,0)</f>
        <v>0</v>
      </c>
    </row>
    <row r="622" customFormat="false" ht="15" hidden="false" customHeight="false" outlineLevel="0" collapsed="false">
      <c r="A622" s="0" t="s">
        <v>228</v>
      </c>
      <c r="B622" s="0" t="s">
        <v>95</v>
      </c>
      <c r="C622" s="0" t="s">
        <v>96</v>
      </c>
      <c r="D622" s="0" t="n">
        <v>29</v>
      </c>
      <c r="E622" s="5" t="n">
        <v>45939.893900463</v>
      </c>
      <c r="F622" s="0" t="n">
        <v>2.55</v>
      </c>
      <c r="H622" s="6" t="s">
        <v>74</v>
      </c>
      <c r="I622" s="6" t="n">
        <f aca="false">D622*F622</f>
        <v>73.95</v>
      </c>
      <c r="J622" s="6" t="n">
        <f aca="false">HOUR(E622)</f>
        <v>21</v>
      </c>
      <c r="K622" s="6" t="n">
        <f aca="false">IF(COUNTIF($A$2:$A622,A622)=1,1,0)</f>
        <v>0</v>
      </c>
    </row>
    <row r="623" customFormat="false" ht="15" hidden="false" customHeight="false" outlineLevel="0" collapsed="false">
      <c r="A623" s="0" t="s">
        <v>228</v>
      </c>
      <c r="B623" s="0" t="s">
        <v>77</v>
      </c>
      <c r="C623" s="0" t="s">
        <v>78</v>
      </c>
      <c r="D623" s="0" t="n">
        <v>13</v>
      </c>
      <c r="E623" s="5" t="n">
        <v>45939.893900463</v>
      </c>
      <c r="F623" s="0" t="n">
        <v>1.65</v>
      </c>
      <c r="H623" s="6" t="s">
        <v>74</v>
      </c>
      <c r="I623" s="6" t="n">
        <f aca="false">D623*F623</f>
        <v>21.45</v>
      </c>
      <c r="J623" s="6" t="n">
        <f aca="false">HOUR(E623)</f>
        <v>21</v>
      </c>
      <c r="K623" s="6" t="n">
        <f aca="false">IF(COUNTIF($A$2:$A623,A623)=1,1,0)</f>
        <v>0</v>
      </c>
    </row>
    <row r="624" customFormat="false" ht="15" hidden="false" customHeight="false" outlineLevel="0" collapsed="false">
      <c r="A624" s="0" t="s">
        <v>228</v>
      </c>
      <c r="B624" s="0" t="s">
        <v>79</v>
      </c>
      <c r="C624" s="0" t="s">
        <v>80</v>
      </c>
      <c r="D624" s="0" t="n">
        <v>11</v>
      </c>
      <c r="E624" s="5" t="n">
        <v>45939.893900463</v>
      </c>
      <c r="F624" s="0" t="n">
        <v>3.39</v>
      </c>
      <c r="H624" s="6" t="s">
        <v>74</v>
      </c>
      <c r="I624" s="6" t="n">
        <f aca="false">D624*F624</f>
        <v>37.29</v>
      </c>
      <c r="J624" s="6" t="n">
        <f aca="false">HOUR(E624)</f>
        <v>21</v>
      </c>
      <c r="K624" s="6" t="n">
        <f aca="false">IF(COUNTIF($A$2:$A624,A624)=1,1,0)</f>
        <v>0</v>
      </c>
    </row>
    <row r="625" customFormat="false" ht="15" hidden="false" customHeight="false" outlineLevel="0" collapsed="false">
      <c r="A625" s="0" t="s">
        <v>228</v>
      </c>
      <c r="B625" s="0" t="s">
        <v>61</v>
      </c>
      <c r="C625" s="0" t="s">
        <v>62</v>
      </c>
      <c r="D625" s="0" t="n">
        <v>20</v>
      </c>
      <c r="E625" s="5" t="n">
        <v>45939.893900463</v>
      </c>
      <c r="F625" s="0" t="n">
        <v>1.65</v>
      </c>
      <c r="H625" s="6" t="s">
        <v>74</v>
      </c>
      <c r="I625" s="6" t="n">
        <f aca="false">D625*F625</f>
        <v>33</v>
      </c>
      <c r="J625" s="6" t="n">
        <f aca="false">HOUR(E625)</f>
        <v>21</v>
      </c>
      <c r="K625" s="6" t="n">
        <f aca="false">IF(COUNTIF($A$2:$A625,A625)=1,1,0)</f>
        <v>0</v>
      </c>
    </row>
    <row r="626" customFormat="false" ht="15" hidden="false" customHeight="false" outlineLevel="0" collapsed="false">
      <c r="A626" s="0" t="s">
        <v>229</v>
      </c>
      <c r="B626" s="0" t="s">
        <v>118</v>
      </c>
      <c r="C626" s="0" t="s">
        <v>119</v>
      </c>
      <c r="D626" s="0" t="n">
        <v>6</v>
      </c>
      <c r="E626" s="5" t="n">
        <v>45940.1447800926</v>
      </c>
      <c r="F626" s="0" t="n">
        <v>4.95</v>
      </c>
      <c r="H626" s="6" t="s">
        <v>208</v>
      </c>
      <c r="I626" s="6" t="n">
        <f aca="false">D626*F626</f>
        <v>29.7</v>
      </c>
      <c r="J626" s="6" t="n">
        <f aca="false">HOUR(E626)</f>
        <v>3</v>
      </c>
      <c r="K626" s="6" t="n">
        <f aca="false">IF(COUNTIF($A$2:$A626,A626)=1,1,0)</f>
        <v>1</v>
      </c>
    </row>
    <row r="627" customFormat="false" ht="15" hidden="false" customHeight="false" outlineLevel="0" collapsed="false">
      <c r="A627" s="0" t="s">
        <v>229</v>
      </c>
      <c r="B627" s="0" t="s">
        <v>107</v>
      </c>
      <c r="C627" s="0" t="s">
        <v>108</v>
      </c>
      <c r="D627" s="0" t="n">
        <v>10</v>
      </c>
      <c r="E627" s="5" t="n">
        <v>45940.1447800926</v>
      </c>
      <c r="F627" s="0" t="n">
        <v>3.75</v>
      </c>
      <c r="H627" s="6" t="s">
        <v>208</v>
      </c>
      <c r="I627" s="6" t="n">
        <f aca="false">D627*F627</f>
        <v>37.5</v>
      </c>
      <c r="J627" s="6" t="n">
        <f aca="false">HOUR(E627)</f>
        <v>3</v>
      </c>
      <c r="K627" s="6" t="n">
        <f aca="false">IF(COUNTIF($A$2:$A627,A627)=1,1,0)</f>
        <v>0</v>
      </c>
    </row>
    <row r="628" customFormat="false" ht="15" hidden="false" customHeight="false" outlineLevel="0" collapsed="false">
      <c r="A628" s="0" t="s">
        <v>229</v>
      </c>
      <c r="B628" s="0" t="s">
        <v>134</v>
      </c>
      <c r="C628" s="0" t="s">
        <v>135</v>
      </c>
      <c r="D628" s="0" t="n">
        <v>7</v>
      </c>
      <c r="E628" s="5" t="n">
        <v>45940.1447800926</v>
      </c>
      <c r="F628" s="0" t="n">
        <v>5.95</v>
      </c>
      <c r="H628" s="6" t="s">
        <v>208</v>
      </c>
      <c r="I628" s="6" t="n">
        <f aca="false">D628*F628</f>
        <v>41.65</v>
      </c>
      <c r="J628" s="6" t="n">
        <f aca="false">HOUR(E628)</f>
        <v>3</v>
      </c>
      <c r="K628" s="6" t="n">
        <f aca="false">IF(COUNTIF($A$2:$A628,A628)=1,1,0)</f>
        <v>0</v>
      </c>
    </row>
    <row r="629" customFormat="false" ht="15" hidden="false" customHeight="false" outlineLevel="0" collapsed="false">
      <c r="A629" s="0" t="s">
        <v>229</v>
      </c>
      <c r="B629" s="0" t="s">
        <v>91</v>
      </c>
      <c r="C629" s="0" t="s">
        <v>92</v>
      </c>
      <c r="D629" s="0" t="n">
        <v>2</v>
      </c>
      <c r="E629" s="5" t="n">
        <v>45940.1447800926</v>
      </c>
      <c r="F629" s="0" t="n">
        <v>7.65</v>
      </c>
      <c r="H629" s="6" t="s">
        <v>208</v>
      </c>
      <c r="I629" s="6" t="n">
        <f aca="false">D629*F629</f>
        <v>15.3</v>
      </c>
      <c r="J629" s="6" t="n">
        <f aca="false">HOUR(E629)</f>
        <v>3</v>
      </c>
      <c r="K629" s="6" t="n">
        <f aca="false">IF(COUNTIF($A$2:$A629,A629)=1,1,0)</f>
        <v>0</v>
      </c>
    </row>
    <row r="630" customFormat="false" ht="15" hidden="false" customHeight="false" outlineLevel="0" collapsed="false">
      <c r="A630" s="0" t="s">
        <v>230</v>
      </c>
      <c r="B630" s="0" t="s">
        <v>63</v>
      </c>
      <c r="C630" s="0" t="s">
        <v>64</v>
      </c>
      <c r="D630" s="0" t="n">
        <v>5</v>
      </c>
      <c r="E630" s="5" t="n">
        <v>45940.3859837963</v>
      </c>
      <c r="F630" s="0" t="n">
        <v>1.85</v>
      </c>
      <c r="G630" s="0" t="n">
        <v>17013</v>
      </c>
      <c r="H630" s="6" t="s">
        <v>74</v>
      </c>
      <c r="I630" s="6" t="n">
        <f aca="false">D630*F630</f>
        <v>9.25</v>
      </c>
      <c r="J630" s="6" t="n">
        <f aca="false">HOUR(E630)</f>
        <v>9</v>
      </c>
      <c r="K630" s="6" t="n">
        <f aca="false">IF(COUNTIF($A$2:$A630,A630)=1,1,0)</f>
        <v>1</v>
      </c>
    </row>
    <row r="631" customFormat="false" ht="15" hidden="false" customHeight="false" outlineLevel="0" collapsed="false">
      <c r="A631" s="0" t="s">
        <v>230</v>
      </c>
      <c r="B631" s="0" t="s">
        <v>118</v>
      </c>
      <c r="C631" s="0" t="s">
        <v>119</v>
      </c>
      <c r="D631" s="0" t="n">
        <v>48</v>
      </c>
      <c r="E631" s="5" t="n">
        <v>45940.3859837963</v>
      </c>
      <c r="F631" s="0" t="n">
        <v>4.95</v>
      </c>
      <c r="G631" s="0" t="n">
        <v>17013</v>
      </c>
      <c r="H631" s="6" t="s">
        <v>74</v>
      </c>
      <c r="I631" s="6" t="n">
        <f aca="false">D631*F631</f>
        <v>237.6</v>
      </c>
      <c r="J631" s="6" t="n">
        <f aca="false">HOUR(E631)</f>
        <v>9</v>
      </c>
      <c r="K631" s="6" t="n">
        <f aca="false">IF(COUNTIF($A$2:$A631,A631)=1,1,0)</f>
        <v>0</v>
      </c>
    </row>
    <row r="632" customFormat="false" ht="15" hidden="false" customHeight="false" outlineLevel="0" collapsed="false">
      <c r="A632" s="0" t="s">
        <v>230</v>
      </c>
      <c r="B632" s="0" t="s">
        <v>86</v>
      </c>
      <c r="C632" s="0" t="s">
        <v>87</v>
      </c>
      <c r="D632" s="0" t="n">
        <v>21</v>
      </c>
      <c r="E632" s="5" t="n">
        <v>45940.3859837963</v>
      </c>
      <c r="F632" s="0" t="n">
        <v>4.25</v>
      </c>
      <c r="G632" s="0" t="n">
        <v>17013</v>
      </c>
      <c r="H632" s="6" t="s">
        <v>74</v>
      </c>
      <c r="I632" s="6" t="n">
        <f aca="false">D632*F632</f>
        <v>89.25</v>
      </c>
      <c r="J632" s="6" t="n">
        <f aca="false">HOUR(E632)</f>
        <v>9</v>
      </c>
      <c r="K632" s="6" t="n">
        <f aca="false">IF(COUNTIF($A$2:$A632,A632)=1,1,0)</f>
        <v>0</v>
      </c>
    </row>
    <row r="633" customFormat="false" ht="15" hidden="false" customHeight="false" outlineLevel="0" collapsed="false">
      <c r="A633" s="0" t="s">
        <v>230</v>
      </c>
      <c r="B633" s="0" t="s">
        <v>102</v>
      </c>
      <c r="C633" s="0" t="s">
        <v>103</v>
      </c>
      <c r="D633" s="0" t="n">
        <v>27</v>
      </c>
      <c r="E633" s="5" t="n">
        <v>45940.3859837963</v>
      </c>
      <c r="F633" s="0" t="n">
        <v>8.5</v>
      </c>
      <c r="G633" s="0" t="n">
        <v>17013</v>
      </c>
      <c r="H633" s="6" t="s">
        <v>74</v>
      </c>
      <c r="I633" s="6" t="n">
        <f aca="false">D633*F633</f>
        <v>229.5</v>
      </c>
      <c r="J633" s="6" t="n">
        <f aca="false">HOUR(E633)</f>
        <v>9</v>
      </c>
      <c r="K633" s="6" t="n">
        <f aca="false">IF(COUNTIF($A$2:$A633,A633)=1,1,0)</f>
        <v>0</v>
      </c>
    </row>
    <row r="634" customFormat="false" ht="15" hidden="false" customHeight="false" outlineLevel="0" collapsed="false">
      <c r="A634" s="0" t="s">
        <v>230</v>
      </c>
      <c r="B634" s="0" t="s">
        <v>72</v>
      </c>
      <c r="C634" s="0" t="s">
        <v>73</v>
      </c>
      <c r="D634" s="0" t="n">
        <v>23</v>
      </c>
      <c r="E634" s="5" t="n">
        <v>45940.3859837963</v>
      </c>
      <c r="F634" s="0" t="n">
        <v>4.95</v>
      </c>
      <c r="G634" s="0" t="n">
        <v>17013</v>
      </c>
      <c r="H634" s="6" t="s">
        <v>74</v>
      </c>
      <c r="I634" s="6" t="n">
        <f aca="false">D634*F634</f>
        <v>113.85</v>
      </c>
      <c r="J634" s="6" t="n">
        <f aca="false">HOUR(E634)</f>
        <v>9</v>
      </c>
      <c r="K634" s="6" t="n">
        <f aca="false">IF(COUNTIF($A$2:$A634,A634)=1,1,0)</f>
        <v>0</v>
      </c>
    </row>
    <row r="635" customFormat="false" ht="15" hidden="false" customHeight="false" outlineLevel="0" collapsed="false">
      <c r="A635" s="0" t="s">
        <v>231</v>
      </c>
      <c r="B635" s="0" t="s">
        <v>140</v>
      </c>
      <c r="C635" s="0" t="s">
        <v>141</v>
      </c>
      <c r="D635" s="0" t="n">
        <v>15</v>
      </c>
      <c r="E635" s="5" t="n">
        <v>45940.4250925926</v>
      </c>
      <c r="F635" s="0" t="n">
        <v>2.08</v>
      </c>
      <c r="G635" s="0" t="n">
        <v>17054</v>
      </c>
      <c r="H635" s="6" t="s">
        <v>68</v>
      </c>
      <c r="I635" s="6" t="n">
        <f aca="false">D635*F635</f>
        <v>31.2</v>
      </c>
      <c r="J635" s="6" t="n">
        <f aca="false">HOUR(E635)</f>
        <v>10</v>
      </c>
      <c r="K635" s="6" t="n">
        <f aca="false">IF(COUNTIF($A$2:$A635,A635)=1,1,0)</f>
        <v>1</v>
      </c>
    </row>
    <row r="636" customFormat="false" ht="15" hidden="false" customHeight="false" outlineLevel="0" collapsed="false">
      <c r="A636" s="0" t="s">
        <v>231</v>
      </c>
      <c r="B636" s="0" t="s">
        <v>134</v>
      </c>
      <c r="C636" s="0" t="s">
        <v>135</v>
      </c>
      <c r="D636" s="0" t="n">
        <v>18</v>
      </c>
      <c r="E636" s="5" t="n">
        <v>45940.4250925926</v>
      </c>
      <c r="F636" s="0" t="n">
        <v>5.95</v>
      </c>
      <c r="G636" s="0" t="n">
        <v>17054</v>
      </c>
      <c r="H636" s="6" t="s">
        <v>68</v>
      </c>
      <c r="I636" s="6" t="n">
        <f aca="false">D636*F636</f>
        <v>107.1</v>
      </c>
      <c r="J636" s="6" t="n">
        <f aca="false">HOUR(E636)</f>
        <v>10</v>
      </c>
      <c r="K636" s="6" t="n">
        <f aca="false">IF(COUNTIF($A$2:$A636,A636)=1,1,0)</f>
        <v>0</v>
      </c>
    </row>
    <row r="637" customFormat="false" ht="15" hidden="false" customHeight="false" outlineLevel="0" collapsed="false">
      <c r="A637" s="0" t="s">
        <v>231</v>
      </c>
      <c r="B637" s="0" t="s">
        <v>50</v>
      </c>
      <c r="C637" s="0" t="s">
        <v>51</v>
      </c>
      <c r="D637" s="0" t="n">
        <v>7</v>
      </c>
      <c r="E637" s="5" t="n">
        <v>45940.4250925926</v>
      </c>
      <c r="F637" s="0" t="n">
        <v>5.95</v>
      </c>
      <c r="G637" s="0" t="n">
        <v>17054</v>
      </c>
      <c r="H637" s="6" t="s">
        <v>68</v>
      </c>
      <c r="I637" s="6" t="n">
        <f aca="false">D637*F637</f>
        <v>41.65</v>
      </c>
      <c r="J637" s="6" t="n">
        <f aca="false">HOUR(E637)</f>
        <v>10</v>
      </c>
      <c r="K637" s="6" t="n">
        <f aca="false">IF(COUNTIF($A$2:$A637,A637)=1,1,0)</f>
        <v>0</v>
      </c>
    </row>
    <row r="638" customFormat="false" ht="15" hidden="false" customHeight="false" outlineLevel="0" collapsed="false">
      <c r="A638" s="0" t="s">
        <v>232</v>
      </c>
      <c r="B638" s="0" t="s">
        <v>69</v>
      </c>
      <c r="C638" s="0" t="s">
        <v>70</v>
      </c>
      <c r="D638" s="0" t="n">
        <v>35</v>
      </c>
      <c r="E638" s="5" t="n">
        <v>45940.448125</v>
      </c>
      <c r="F638" s="0" t="n">
        <v>2.08</v>
      </c>
      <c r="G638" s="0" t="n">
        <v>17041</v>
      </c>
      <c r="H638" s="6" t="s">
        <v>74</v>
      </c>
      <c r="I638" s="6" t="n">
        <f aca="false">D638*F638</f>
        <v>72.8</v>
      </c>
      <c r="J638" s="6" t="n">
        <f aca="false">HOUR(E638)</f>
        <v>10</v>
      </c>
      <c r="K638" s="6" t="n">
        <f aca="false">IF(COUNTIF($A$2:$A638,A638)=1,1,0)</f>
        <v>1</v>
      </c>
    </row>
    <row r="639" customFormat="false" ht="15" hidden="false" customHeight="false" outlineLevel="0" collapsed="false">
      <c r="A639" s="0" t="s">
        <v>232</v>
      </c>
      <c r="B639" s="0" t="s">
        <v>59</v>
      </c>
      <c r="C639" s="0" t="s">
        <v>60</v>
      </c>
      <c r="D639" s="0" t="n">
        <v>14</v>
      </c>
      <c r="E639" s="5" t="n">
        <v>45940.448125</v>
      </c>
      <c r="F639" s="0" t="n">
        <v>0.42</v>
      </c>
      <c r="G639" s="0" t="n">
        <v>17041</v>
      </c>
      <c r="H639" s="6" t="s">
        <v>74</v>
      </c>
      <c r="I639" s="6" t="n">
        <f aca="false">D639*F639</f>
        <v>5.88</v>
      </c>
      <c r="J639" s="6" t="n">
        <f aca="false">HOUR(E639)</f>
        <v>10</v>
      </c>
      <c r="K639" s="6" t="n">
        <f aca="false">IF(COUNTIF($A$2:$A639,A639)=1,1,0)</f>
        <v>0</v>
      </c>
    </row>
    <row r="640" customFormat="false" ht="15" hidden="false" customHeight="false" outlineLevel="0" collapsed="false">
      <c r="A640" s="0" t="s">
        <v>232</v>
      </c>
      <c r="B640" s="0" t="s">
        <v>93</v>
      </c>
      <c r="C640" s="0" t="s">
        <v>94</v>
      </c>
      <c r="D640" s="0" t="n">
        <v>23</v>
      </c>
      <c r="E640" s="5" t="n">
        <v>45940.448125</v>
      </c>
      <c r="F640" s="0" t="n">
        <v>1.69</v>
      </c>
      <c r="G640" s="0" t="n">
        <v>17041</v>
      </c>
      <c r="H640" s="6" t="s">
        <v>74</v>
      </c>
      <c r="I640" s="6" t="n">
        <f aca="false">D640*F640</f>
        <v>38.87</v>
      </c>
      <c r="J640" s="6" t="n">
        <f aca="false">HOUR(E640)</f>
        <v>10</v>
      </c>
      <c r="K640" s="6" t="n">
        <f aca="false">IF(COUNTIF($A$2:$A640,A640)=1,1,0)</f>
        <v>0</v>
      </c>
    </row>
    <row r="641" customFormat="false" ht="15" hidden="false" customHeight="false" outlineLevel="0" collapsed="false">
      <c r="A641" s="0" t="s">
        <v>233</v>
      </c>
      <c r="B641" s="0" t="s">
        <v>99</v>
      </c>
      <c r="C641" s="0" t="s">
        <v>100</v>
      </c>
      <c r="D641" s="0" t="n">
        <v>10</v>
      </c>
      <c r="E641" s="5" t="n">
        <v>45940.4739699074</v>
      </c>
      <c r="F641" s="0" t="n">
        <v>2.08</v>
      </c>
      <c r="H641" s="6" t="s">
        <v>68</v>
      </c>
      <c r="I641" s="6" t="n">
        <f aca="false">D641*F641</f>
        <v>20.8</v>
      </c>
      <c r="J641" s="6" t="n">
        <f aca="false">HOUR(E641)</f>
        <v>11</v>
      </c>
      <c r="K641" s="6" t="n">
        <f aca="false">IF(COUNTIF($A$2:$A641,A641)=1,1,0)</f>
        <v>1</v>
      </c>
    </row>
    <row r="642" customFormat="false" ht="15" hidden="false" customHeight="false" outlineLevel="0" collapsed="false">
      <c r="A642" s="0" t="s">
        <v>233</v>
      </c>
      <c r="B642" s="0" t="s">
        <v>104</v>
      </c>
      <c r="C642" s="0" t="s">
        <v>105</v>
      </c>
      <c r="D642" s="0" t="n">
        <v>7</v>
      </c>
      <c r="E642" s="5" t="n">
        <v>45940.4739699074</v>
      </c>
      <c r="F642" s="0" t="n">
        <v>1.65</v>
      </c>
      <c r="H642" s="6" t="s">
        <v>68</v>
      </c>
      <c r="I642" s="6" t="n">
        <f aca="false">D642*F642</f>
        <v>11.55</v>
      </c>
      <c r="J642" s="6" t="n">
        <f aca="false">HOUR(E642)</f>
        <v>11</v>
      </c>
      <c r="K642" s="6" t="n">
        <f aca="false">IF(COUNTIF($A$2:$A642,A642)=1,1,0)</f>
        <v>0</v>
      </c>
    </row>
    <row r="643" customFormat="false" ht="15" hidden="false" customHeight="false" outlineLevel="0" collapsed="false">
      <c r="A643" s="0" t="s">
        <v>233</v>
      </c>
      <c r="B643" s="0" t="s">
        <v>137</v>
      </c>
      <c r="C643" s="0" t="s">
        <v>138</v>
      </c>
      <c r="D643" s="0" t="n">
        <v>16</v>
      </c>
      <c r="E643" s="5" t="n">
        <v>45940.4739699074</v>
      </c>
      <c r="F643" s="0" t="n">
        <v>2.1</v>
      </c>
      <c r="H643" s="6" t="s">
        <v>68</v>
      </c>
      <c r="I643" s="6" t="n">
        <f aca="false">D643*F643</f>
        <v>33.6</v>
      </c>
      <c r="J643" s="6" t="n">
        <f aca="false">HOUR(E643)</f>
        <v>11</v>
      </c>
      <c r="K643" s="6" t="n">
        <f aca="false">IF(COUNTIF($A$2:$A643,A643)=1,1,0)</f>
        <v>0</v>
      </c>
    </row>
    <row r="644" customFormat="false" ht="15" hidden="false" customHeight="false" outlineLevel="0" collapsed="false">
      <c r="A644" s="0" t="s">
        <v>233</v>
      </c>
      <c r="B644" s="0" t="s">
        <v>95</v>
      </c>
      <c r="C644" s="0" t="s">
        <v>96</v>
      </c>
      <c r="D644" s="0" t="n">
        <v>17</v>
      </c>
      <c r="E644" s="5" t="n">
        <v>45940.4739699074</v>
      </c>
      <c r="F644" s="0" t="n">
        <v>2.55</v>
      </c>
      <c r="H644" s="6" t="s">
        <v>68</v>
      </c>
      <c r="I644" s="6" t="n">
        <f aca="false">D644*F644</f>
        <v>43.35</v>
      </c>
      <c r="J644" s="6" t="n">
        <f aca="false">HOUR(E644)</f>
        <v>11</v>
      </c>
      <c r="K644" s="6" t="n">
        <f aca="false">IF(COUNTIF($A$2:$A644,A644)=1,1,0)</f>
        <v>0</v>
      </c>
    </row>
    <row r="645" customFormat="false" ht="15" hidden="false" customHeight="false" outlineLevel="0" collapsed="false">
      <c r="A645" s="0" t="s">
        <v>233</v>
      </c>
      <c r="B645" s="0" t="s">
        <v>72</v>
      </c>
      <c r="C645" s="0" t="s">
        <v>73</v>
      </c>
      <c r="D645" s="0" t="n">
        <v>27</v>
      </c>
      <c r="E645" s="5" t="n">
        <v>45940.4739699074</v>
      </c>
      <c r="F645" s="0" t="n">
        <v>4.95</v>
      </c>
      <c r="H645" s="6" t="s">
        <v>68</v>
      </c>
      <c r="I645" s="6" t="n">
        <f aca="false">D645*F645</f>
        <v>133.65</v>
      </c>
      <c r="J645" s="6" t="n">
        <f aca="false">HOUR(E645)</f>
        <v>11</v>
      </c>
      <c r="K645" s="6" t="n">
        <f aca="false">IF(COUNTIF($A$2:$A645,A645)=1,1,0)</f>
        <v>0</v>
      </c>
    </row>
    <row r="646" customFormat="false" ht="15" hidden="false" customHeight="false" outlineLevel="0" collapsed="false">
      <c r="A646" s="0" t="s">
        <v>233</v>
      </c>
      <c r="B646" s="0" t="s">
        <v>40</v>
      </c>
      <c r="C646" s="0" t="s">
        <v>41</v>
      </c>
      <c r="D646" s="0" t="n">
        <v>16</v>
      </c>
      <c r="E646" s="5" t="n">
        <v>45940.4739699074</v>
      </c>
      <c r="F646" s="0" t="n">
        <v>1.06</v>
      </c>
      <c r="H646" s="6" t="s">
        <v>68</v>
      </c>
      <c r="I646" s="6" t="n">
        <f aca="false">D646*F646</f>
        <v>16.96</v>
      </c>
      <c r="J646" s="6" t="n">
        <f aca="false">HOUR(E646)</f>
        <v>11</v>
      </c>
      <c r="K646" s="6" t="n">
        <f aca="false">IF(COUNTIF($A$2:$A646,A646)=1,1,0)</f>
        <v>0</v>
      </c>
    </row>
    <row r="647" customFormat="false" ht="15" hidden="false" customHeight="false" outlineLevel="0" collapsed="false">
      <c r="A647" s="0" t="s">
        <v>233</v>
      </c>
      <c r="B647" s="0" t="s">
        <v>75</v>
      </c>
      <c r="C647" s="0" t="s">
        <v>76</v>
      </c>
      <c r="D647" s="0" t="n">
        <v>15</v>
      </c>
      <c r="E647" s="5" t="n">
        <v>45940.4739699074</v>
      </c>
      <c r="F647" s="0" t="n">
        <v>3.39</v>
      </c>
      <c r="H647" s="6" t="s">
        <v>68</v>
      </c>
      <c r="I647" s="6" t="n">
        <f aca="false">D647*F647</f>
        <v>50.85</v>
      </c>
      <c r="J647" s="6" t="n">
        <f aca="false">HOUR(E647)</f>
        <v>11</v>
      </c>
      <c r="K647" s="6" t="n">
        <f aca="false">IF(COUNTIF($A$2:$A647,A647)=1,1,0)</f>
        <v>0</v>
      </c>
    </row>
    <row r="648" customFormat="false" ht="15" hidden="false" customHeight="false" outlineLevel="0" collapsed="false">
      <c r="A648" s="0" t="s">
        <v>233</v>
      </c>
      <c r="B648" s="0" t="s">
        <v>140</v>
      </c>
      <c r="C648" s="0" t="s">
        <v>141</v>
      </c>
      <c r="D648" s="0" t="n">
        <v>12</v>
      </c>
      <c r="E648" s="5" t="n">
        <v>45940.4739699074</v>
      </c>
      <c r="F648" s="0" t="n">
        <v>2.08</v>
      </c>
      <c r="H648" s="6" t="s">
        <v>68</v>
      </c>
      <c r="I648" s="6" t="n">
        <f aca="false">D648*F648</f>
        <v>24.96</v>
      </c>
      <c r="J648" s="6" t="n">
        <f aca="false">HOUR(E648)</f>
        <v>11</v>
      </c>
      <c r="K648" s="6" t="n">
        <f aca="false">IF(COUNTIF($A$2:$A648,A648)=1,1,0)</f>
        <v>0</v>
      </c>
    </row>
    <row r="649" customFormat="false" ht="15" hidden="false" customHeight="false" outlineLevel="0" collapsed="false">
      <c r="A649" s="0" t="s">
        <v>233</v>
      </c>
      <c r="B649" s="0" t="s">
        <v>102</v>
      </c>
      <c r="C649" s="0" t="s">
        <v>103</v>
      </c>
      <c r="D649" s="0" t="n">
        <v>33</v>
      </c>
      <c r="E649" s="5" t="n">
        <v>45940.4739699074</v>
      </c>
      <c r="F649" s="0" t="n">
        <v>8.5</v>
      </c>
      <c r="H649" s="6" t="s">
        <v>68</v>
      </c>
      <c r="I649" s="6" t="n">
        <f aca="false">D649*F649</f>
        <v>280.5</v>
      </c>
      <c r="J649" s="6" t="n">
        <f aca="false">HOUR(E649)</f>
        <v>11</v>
      </c>
      <c r="K649" s="6" t="n">
        <f aca="false">IF(COUNTIF($A$2:$A649,A649)=1,1,0)</f>
        <v>0</v>
      </c>
    </row>
    <row r="650" customFormat="false" ht="15" hidden="false" customHeight="false" outlineLevel="0" collapsed="false">
      <c r="A650" s="0" t="s">
        <v>233</v>
      </c>
      <c r="B650" s="0" t="s">
        <v>118</v>
      </c>
      <c r="C650" s="0" t="s">
        <v>119</v>
      </c>
      <c r="D650" s="0" t="n">
        <v>39</v>
      </c>
      <c r="E650" s="5" t="n">
        <v>45940.4739699074</v>
      </c>
      <c r="F650" s="0" t="n">
        <v>4.95</v>
      </c>
      <c r="H650" s="6" t="s">
        <v>68</v>
      </c>
      <c r="I650" s="6" t="n">
        <f aca="false">D650*F650</f>
        <v>193.05</v>
      </c>
      <c r="J650" s="6" t="n">
        <f aca="false">HOUR(E650)</f>
        <v>11</v>
      </c>
      <c r="K650" s="6" t="n">
        <f aca="false">IF(COUNTIF($A$2:$A650,A650)=1,1,0)</f>
        <v>0</v>
      </c>
    </row>
    <row r="651" customFormat="false" ht="15" hidden="false" customHeight="false" outlineLevel="0" collapsed="false">
      <c r="A651" s="0" t="s">
        <v>234</v>
      </c>
      <c r="B651" s="0" t="s">
        <v>81</v>
      </c>
      <c r="C651" s="0" t="s">
        <v>82</v>
      </c>
      <c r="D651" s="0" t="n">
        <v>1</v>
      </c>
      <c r="E651" s="5" t="n">
        <v>45940.5077662037</v>
      </c>
      <c r="F651" s="0" t="n">
        <v>1.65</v>
      </c>
      <c r="G651" s="0" t="n">
        <v>17219</v>
      </c>
      <c r="H651" s="6" t="s">
        <v>74</v>
      </c>
      <c r="I651" s="6" t="n">
        <f aca="false">D651*F651</f>
        <v>1.65</v>
      </c>
      <c r="J651" s="6" t="n">
        <f aca="false">HOUR(E651)</f>
        <v>12</v>
      </c>
      <c r="K651" s="6" t="n">
        <f aca="false">IF(COUNTIF($A$2:$A651,A651)=1,1,0)</f>
        <v>1</v>
      </c>
    </row>
    <row r="652" customFormat="false" ht="15" hidden="false" customHeight="false" outlineLevel="0" collapsed="false">
      <c r="A652" s="0" t="s">
        <v>234</v>
      </c>
      <c r="B652" s="0" t="s">
        <v>55</v>
      </c>
      <c r="C652" s="0" t="s">
        <v>56</v>
      </c>
      <c r="D652" s="0" t="n">
        <v>23</v>
      </c>
      <c r="E652" s="5" t="n">
        <v>45940.5077662037</v>
      </c>
      <c r="F652" s="0" t="n">
        <v>1.65</v>
      </c>
      <c r="G652" s="0" t="n">
        <v>17219</v>
      </c>
      <c r="H652" s="6" t="s">
        <v>74</v>
      </c>
      <c r="I652" s="6" t="n">
        <f aca="false">D652*F652</f>
        <v>37.95</v>
      </c>
      <c r="J652" s="6" t="n">
        <f aca="false">HOUR(E652)</f>
        <v>12</v>
      </c>
      <c r="K652" s="6" t="n">
        <f aca="false">IF(COUNTIF($A$2:$A652,A652)=1,1,0)</f>
        <v>0</v>
      </c>
    </row>
    <row r="653" customFormat="false" ht="15" hidden="false" customHeight="false" outlineLevel="0" collapsed="false">
      <c r="A653" s="0" t="s">
        <v>234</v>
      </c>
      <c r="B653" s="0" t="s">
        <v>145</v>
      </c>
      <c r="C653" s="0" t="s">
        <v>146</v>
      </c>
      <c r="D653" s="0" t="n">
        <v>2</v>
      </c>
      <c r="E653" s="5" t="n">
        <v>45940.5077662037</v>
      </c>
      <c r="F653" s="0" t="n">
        <v>1.85</v>
      </c>
      <c r="G653" s="0" t="n">
        <v>17219</v>
      </c>
      <c r="H653" s="6" t="s">
        <v>74</v>
      </c>
      <c r="I653" s="6" t="n">
        <f aca="false">D653*F653</f>
        <v>3.7</v>
      </c>
      <c r="J653" s="6" t="n">
        <f aca="false">HOUR(E653)</f>
        <v>12</v>
      </c>
      <c r="K653" s="6" t="n">
        <f aca="false">IF(COUNTIF($A$2:$A653,A653)=1,1,0)</f>
        <v>0</v>
      </c>
    </row>
    <row r="654" customFormat="false" ht="15" hidden="false" customHeight="false" outlineLevel="0" collapsed="false">
      <c r="A654" s="0" t="s">
        <v>234</v>
      </c>
      <c r="B654" s="0" t="s">
        <v>102</v>
      </c>
      <c r="C654" s="0" t="s">
        <v>103</v>
      </c>
      <c r="D654" s="0" t="n">
        <v>45</v>
      </c>
      <c r="E654" s="5" t="n">
        <v>45940.5077662037</v>
      </c>
      <c r="F654" s="0" t="n">
        <v>8.5</v>
      </c>
      <c r="G654" s="0" t="n">
        <v>17219</v>
      </c>
      <c r="H654" s="6" t="s">
        <v>74</v>
      </c>
      <c r="I654" s="6" t="n">
        <f aca="false">D654*F654</f>
        <v>382.5</v>
      </c>
      <c r="J654" s="6" t="n">
        <f aca="false">HOUR(E654)</f>
        <v>12</v>
      </c>
      <c r="K654" s="6" t="n">
        <f aca="false">IF(COUNTIF($A$2:$A654,A654)=1,1,0)</f>
        <v>0</v>
      </c>
    </row>
    <row r="655" customFormat="false" ht="15" hidden="false" customHeight="false" outlineLevel="0" collapsed="false">
      <c r="A655" s="0" t="s">
        <v>234</v>
      </c>
      <c r="B655" s="0" t="s">
        <v>121</v>
      </c>
      <c r="C655" s="0" t="s">
        <v>122</v>
      </c>
      <c r="D655" s="0" t="n">
        <v>11</v>
      </c>
      <c r="E655" s="5" t="n">
        <v>45940.5077662037</v>
      </c>
      <c r="F655" s="0" t="n">
        <v>2.1</v>
      </c>
      <c r="G655" s="0" t="n">
        <v>17219</v>
      </c>
      <c r="H655" s="6" t="s">
        <v>74</v>
      </c>
      <c r="I655" s="6" t="n">
        <f aca="false">D655*F655</f>
        <v>23.1</v>
      </c>
      <c r="J655" s="6" t="n">
        <f aca="false">HOUR(E655)</f>
        <v>12</v>
      </c>
      <c r="K655" s="6" t="n">
        <f aca="false">IF(COUNTIF($A$2:$A655,A655)=1,1,0)</f>
        <v>0</v>
      </c>
    </row>
    <row r="656" customFormat="false" ht="15" hidden="false" customHeight="false" outlineLevel="0" collapsed="false">
      <c r="A656" s="0" t="s">
        <v>235</v>
      </c>
      <c r="B656" s="0" t="s">
        <v>83</v>
      </c>
      <c r="C656" s="0" t="s">
        <v>84</v>
      </c>
      <c r="D656" s="0" t="n">
        <v>1</v>
      </c>
      <c r="E656" s="5" t="n">
        <v>45940.5404513889</v>
      </c>
      <c r="F656" s="0" t="n">
        <v>2.95</v>
      </c>
      <c r="G656" s="0" t="n">
        <v>17049</v>
      </c>
      <c r="H656" s="6" t="s">
        <v>74</v>
      </c>
      <c r="I656" s="6" t="n">
        <f aca="false">D656*F656</f>
        <v>2.95</v>
      </c>
      <c r="J656" s="6" t="n">
        <f aca="false">HOUR(E656)</f>
        <v>12</v>
      </c>
      <c r="K656" s="6" t="n">
        <f aca="false">IF(COUNTIF($A$2:$A656,A656)=1,1,0)</f>
        <v>1</v>
      </c>
    </row>
    <row r="657" customFormat="false" ht="15" hidden="false" customHeight="false" outlineLevel="0" collapsed="false">
      <c r="A657" s="0" t="s">
        <v>236</v>
      </c>
      <c r="B657" s="0" t="s">
        <v>57</v>
      </c>
      <c r="C657" s="0" t="s">
        <v>58</v>
      </c>
      <c r="D657" s="0" t="n">
        <v>6</v>
      </c>
      <c r="E657" s="5" t="n">
        <v>45940.5640277778</v>
      </c>
      <c r="F657" s="0" t="n">
        <v>2.08</v>
      </c>
      <c r="G657" s="0" t="n">
        <v>17085</v>
      </c>
      <c r="H657" s="6" t="s">
        <v>74</v>
      </c>
      <c r="I657" s="6" t="n">
        <f aca="false">D657*F657</f>
        <v>12.48</v>
      </c>
      <c r="J657" s="6" t="n">
        <f aca="false">HOUR(E657)</f>
        <v>13</v>
      </c>
      <c r="K657" s="6" t="n">
        <f aca="false">IF(COUNTIF($A$2:$A657,A657)=1,1,0)</f>
        <v>1</v>
      </c>
    </row>
    <row r="658" customFormat="false" ht="15" hidden="false" customHeight="false" outlineLevel="0" collapsed="false">
      <c r="A658" s="0" t="s">
        <v>236</v>
      </c>
      <c r="B658" s="0" t="s">
        <v>140</v>
      </c>
      <c r="C658" s="0" t="s">
        <v>141</v>
      </c>
      <c r="D658" s="0" t="n">
        <v>10</v>
      </c>
      <c r="E658" s="5" t="n">
        <v>45940.5640277778</v>
      </c>
      <c r="F658" s="0" t="n">
        <v>2.08</v>
      </c>
      <c r="G658" s="0" t="n">
        <v>17085</v>
      </c>
      <c r="H658" s="6" t="s">
        <v>74</v>
      </c>
      <c r="I658" s="6" t="n">
        <f aca="false">D658*F658</f>
        <v>20.8</v>
      </c>
      <c r="J658" s="6" t="n">
        <f aca="false">HOUR(E658)</f>
        <v>13</v>
      </c>
      <c r="K658" s="6" t="n">
        <f aca="false">IF(COUNTIF($A$2:$A658,A658)=1,1,0)</f>
        <v>0</v>
      </c>
    </row>
    <row r="659" customFormat="false" ht="15" hidden="false" customHeight="false" outlineLevel="0" collapsed="false">
      <c r="A659" s="0" t="s">
        <v>236</v>
      </c>
      <c r="B659" s="0" t="s">
        <v>86</v>
      </c>
      <c r="C659" s="0" t="s">
        <v>87</v>
      </c>
      <c r="D659" s="0" t="n">
        <v>17</v>
      </c>
      <c r="E659" s="5" t="n">
        <v>45940.5640277778</v>
      </c>
      <c r="F659" s="0" t="n">
        <v>4.25</v>
      </c>
      <c r="G659" s="0" t="n">
        <v>17085</v>
      </c>
      <c r="H659" s="6" t="s">
        <v>74</v>
      </c>
      <c r="I659" s="6" t="n">
        <f aca="false">D659*F659</f>
        <v>72.25</v>
      </c>
      <c r="J659" s="6" t="n">
        <f aca="false">HOUR(E659)</f>
        <v>13</v>
      </c>
      <c r="K659" s="6" t="n">
        <f aca="false">IF(COUNTIF($A$2:$A659,A659)=1,1,0)</f>
        <v>0</v>
      </c>
    </row>
    <row r="660" customFormat="false" ht="15" hidden="false" customHeight="false" outlineLevel="0" collapsed="false">
      <c r="A660" s="0" t="s">
        <v>236</v>
      </c>
      <c r="B660" s="0" t="s">
        <v>95</v>
      </c>
      <c r="C660" s="0" t="s">
        <v>96</v>
      </c>
      <c r="D660" s="0" t="n">
        <v>13</v>
      </c>
      <c r="E660" s="5" t="n">
        <v>45940.5640277778</v>
      </c>
      <c r="F660" s="0" t="n">
        <v>2.55</v>
      </c>
      <c r="G660" s="0" t="n">
        <v>17085</v>
      </c>
      <c r="H660" s="6" t="s">
        <v>74</v>
      </c>
      <c r="I660" s="6" t="n">
        <f aca="false">D660*F660</f>
        <v>33.15</v>
      </c>
      <c r="J660" s="6" t="n">
        <f aca="false">HOUR(E660)</f>
        <v>13</v>
      </c>
      <c r="K660" s="6" t="n">
        <f aca="false">IF(COUNTIF($A$2:$A660,A660)=1,1,0)</f>
        <v>0</v>
      </c>
    </row>
    <row r="661" customFormat="false" ht="15" hidden="false" customHeight="false" outlineLevel="0" collapsed="false">
      <c r="A661" s="0" t="s">
        <v>236</v>
      </c>
      <c r="B661" s="0" t="s">
        <v>72</v>
      </c>
      <c r="C661" s="0" t="s">
        <v>73</v>
      </c>
      <c r="D661" s="0" t="n">
        <v>41</v>
      </c>
      <c r="E661" s="5" t="n">
        <v>45940.5640277778</v>
      </c>
      <c r="F661" s="0" t="n">
        <v>4.95</v>
      </c>
      <c r="G661" s="0" t="n">
        <v>17085</v>
      </c>
      <c r="H661" s="6" t="s">
        <v>74</v>
      </c>
      <c r="I661" s="6" t="n">
        <f aca="false">D661*F661</f>
        <v>202.95</v>
      </c>
      <c r="J661" s="6" t="n">
        <f aca="false">HOUR(E661)</f>
        <v>13</v>
      </c>
      <c r="K661" s="6" t="n">
        <f aca="false">IF(COUNTIF($A$2:$A661,A661)=1,1,0)</f>
        <v>0</v>
      </c>
    </row>
    <row r="662" customFormat="false" ht="15" hidden="false" customHeight="false" outlineLevel="0" collapsed="false">
      <c r="A662" s="0" t="s">
        <v>236</v>
      </c>
      <c r="B662" s="0" t="s">
        <v>93</v>
      </c>
      <c r="C662" s="0" t="s">
        <v>94</v>
      </c>
      <c r="D662" s="0" t="n">
        <v>4</v>
      </c>
      <c r="E662" s="5" t="n">
        <v>45940.5640277778</v>
      </c>
      <c r="F662" s="0" t="n">
        <v>1.69</v>
      </c>
      <c r="G662" s="0" t="n">
        <v>17085</v>
      </c>
      <c r="H662" s="6" t="s">
        <v>74</v>
      </c>
      <c r="I662" s="6" t="n">
        <f aca="false">D662*F662</f>
        <v>6.76</v>
      </c>
      <c r="J662" s="6" t="n">
        <f aca="false">HOUR(E662)</f>
        <v>13</v>
      </c>
      <c r="K662" s="6" t="n">
        <f aca="false">IF(COUNTIF($A$2:$A662,A662)=1,1,0)</f>
        <v>0</v>
      </c>
    </row>
    <row r="663" customFormat="false" ht="15" hidden="false" customHeight="false" outlineLevel="0" collapsed="false">
      <c r="A663" s="0" t="s">
        <v>236</v>
      </c>
      <c r="B663" s="0" t="s">
        <v>47</v>
      </c>
      <c r="C663" s="0" t="s">
        <v>48</v>
      </c>
      <c r="D663" s="0" t="n">
        <v>41</v>
      </c>
      <c r="E663" s="5" t="n">
        <v>45940.5640277778</v>
      </c>
      <c r="F663" s="0" t="n">
        <v>12.75</v>
      </c>
      <c r="G663" s="0" t="n">
        <v>17085</v>
      </c>
      <c r="H663" s="6" t="s">
        <v>74</v>
      </c>
      <c r="I663" s="6" t="n">
        <f aca="false">D663*F663</f>
        <v>522.75</v>
      </c>
      <c r="J663" s="6" t="n">
        <f aca="false">HOUR(E663)</f>
        <v>13</v>
      </c>
      <c r="K663" s="6" t="n">
        <f aca="false">IF(COUNTIF($A$2:$A663,A663)=1,1,0)</f>
        <v>0</v>
      </c>
    </row>
    <row r="664" customFormat="false" ht="15" hidden="false" customHeight="false" outlineLevel="0" collapsed="false">
      <c r="A664" s="0" t="s">
        <v>236</v>
      </c>
      <c r="B664" s="0" t="s">
        <v>65</v>
      </c>
      <c r="C664" s="0" t="s">
        <v>66</v>
      </c>
      <c r="D664" s="0" t="n">
        <v>5</v>
      </c>
      <c r="E664" s="5" t="n">
        <v>45940.5640277778</v>
      </c>
      <c r="F664" s="0" t="n">
        <v>1.65</v>
      </c>
      <c r="G664" s="0" t="n">
        <v>17085</v>
      </c>
      <c r="H664" s="6" t="s">
        <v>74</v>
      </c>
      <c r="I664" s="6" t="n">
        <f aca="false">D664*F664</f>
        <v>8.25</v>
      </c>
      <c r="J664" s="6" t="n">
        <f aca="false">HOUR(E664)</f>
        <v>13</v>
      </c>
      <c r="K664" s="6" t="n">
        <f aca="false">IF(COUNTIF($A$2:$A664,A664)=1,1,0)</f>
        <v>0</v>
      </c>
    </row>
    <row r="665" customFormat="false" ht="15" hidden="false" customHeight="false" outlineLevel="0" collapsed="false">
      <c r="A665" s="0" t="s">
        <v>236</v>
      </c>
      <c r="B665" s="0" t="s">
        <v>116</v>
      </c>
      <c r="C665" s="0" t="s">
        <v>117</v>
      </c>
      <c r="D665" s="0" t="n">
        <v>16</v>
      </c>
      <c r="E665" s="5" t="n">
        <v>45940.5640277778</v>
      </c>
      <c r="F665" s="0" t="n">
        <v>1.95</v>
      </c>
      <c r="G665" s="0" t="n">
        <v>17085</v>
      </c>
      <c r="H665" s="6" t="s">
        <v>74</v>
      </c>
      <c r="I665" s="6" t="n">
        <f aca="false">D665*F665</f>
        <v>31.2</v>
      </c>
      <c r="J665" s="6" t="n">
        <f aca="false">HOUR(E665)</f>
        <v>13</v>
      </c>
      <c r="K665" s="6" t="n">
        <f aca="false">IF(COUNTIF($A$2:$A665,A665)=1,1,0)</f>
        <v>0</v>
      </c>
    </row>
    <row r="666" customFormat="false" ht="15" hidden="false" customHeight="false" outlineLevel="0" collapsed="false">
      <c r="A666" s="0" t="s">
        <v>237</v>
      </c>
      <c r="B666" s="0" t="s">
        <v>95</v>
      </c>
      <c r="C666" s="0" t="s">
        <v>96</v>
      </c>
      <c r="D666" s="0" t="n">
        <v>24</v>
      </c>
      <c r="E666" s="5" t="n">
        <v>45940.6969907407</v>
      </c>
      <c r="F666" s="0" t="n">
        <v>2.55</v>
      </c>
      <c r="G666" s="0" t="n">
        <v>17027</v>
      </c>
      <c r="H666" s="6" t="s">
        <v>68</v>
      </c>
      <c r="I666" s="6" t="n">
        <f aca="false">D666*F666</f>
        <v>61.2</v>
      </c>
      <c r="J666" s="6" t="n">
        <f aca="false">HOUR(E666)</f>
        <v>16</v>
      </c>
      <c r="K666" s="6" t="n">
        <f aca="false">IF(COUNTIF($A$2:$A666,A666)=1,1,0)</f>
        <v>1</v>
      </c>
    </row>
    <row r="667" customFormat="false" ht="15" hidden="false" customHeight="false" outlineLevel="0" collapsed="false">
      <c r="A667" s="0" t="s">
        <v>237</v>
      </c>
      <c r="B667" s="0" t="s">
        <v>50</v>
      </c>
      <c r="C667" s="0" t="s">
        <v>51</v>
      </c>
      <c r="D667" s="0" t="n">
        <v>24</v>
      </c>
      <c r="E667" s="5" t="n">
        <v>45940.6969907407</v>
      </c>
      <c r="F667" s="0" t="n">
        <v>5.95</v>
      </c>
      <c r="G667" s="0" t="n">
        <v>17027</v>
      </c>
      <c r="H667" s="6" t="s">
        <v>68</v>
      </c>
      <c r="I667" s="6" t="n">
        <f aca="false">D667*F667</f>
        <v>142.8</v>
      </c>
      <c r="J667" s="6" t="n">
        <f aca="false">HOUR(E667)</f>
        <v>16</v>
      </c>
      <c r="K667" s="6" t="n">
        <f aca="false">IF(COUNTIF($A$2:$A667,A667)=1,1,0)</f>
        <v>0</v>
      </c>
    </row>
    <row r="668" customFormat="false" ht="15" hidden="false" customHeight="false" outlineLevel="0" collapsed="false">
      <c r="A668" s="0" t="s">
        <v>237</v>
      </c>
      <c r="B668" s="0" t="s">
        <v>83</v>
      </c>
      <c r="C668" s="0" t="s">
        <v>84</v>
      </c>
      <c r="D668" s="0" t="n">
        <v>23</v>
      </c>
      <c r="E668" s="5" t="n">
        <v>45940.6969907407</v>
      </c>
      <c r="F668" s="0" t="n">
        <v>2.95</v>
      </c>
      <c r="G668" s="0" t="n">
        <v>17027</v>
      </c>
      <c r="H668" s="6" t="s">
        <v>68</v>
      </c>
      <c r="I668" s="6" t="n">
        <f aca="false">D668*F668</f>
        <v>67.85</v>
      </c>
      <c r="J668" s="6" t="n">
        <f aca="false">HOUR(E668)</f>
        <v>16</v>
      </c>
      <c r="K668" s="6" t="n">
        <f aca="false">IF(COUNTIF($A$2:$A668,A668)=1,1,0)</f>
        <v>0</v>
      </c>
    </row>
    <row r="669" customFormat="false" ht="15" hidden="false" customHeight="false" outlineLevel="0" collapsed="false">
      <c r="A669" s="0" t="s">
        <v>237</v>
      </c>
      <c r="B669" s="0" t="s">
        <v>40</v>
      </c>
      <c r="C669" s="0" t="s">
        <v>41</v>
      </c>
      <c r="D669" s="0" t="n">
        <v>19</v>
      </c>
      <c r="E669" s="5" t="n">
        <v>45940.6969907407</v>
      </c>
      <c r="F669" s="0" t="n">
        <v>1.06</v>
      </c>
      <c r="G669" s="0" t="n">
        <v>17027</v>
      </c>
      <c r="H669" s="6" t="s">
        <v>68</v>
      </c>
      <c r="I669" s="6" t="n">
        <f aca="false">D669*F669</f>
        <v>20.14</v>
      </c>
      <c r="J669" s="6" t="n">
        <f aca="false">HOUR(E669)</f>
        <v>16</v>
      </c>
      <c r="K669" s="6" t="n">
        <f aca="false">IF(COUNTIF($A$2:$A669,A669)=1,1,0)</f>
        <v>0</v>
      </c>
    </row>
    <row r="670" customFormat="false" ht="15" hidden="false" customHeight="false" outlineLevel="0" collapsed="false">
      <c r="A670" s="0" t="s">
        <v>237</v>
      </c>
      <c r="B670" s="0" t="s">
        <v>102</v>
      </c>
      <c r="C670" s="0" t="s">
        <v>103</v>
      </c>
      <c r="D670" s="0" t="n">
        <v>36</v>
      </c>
      <c r="E670" s="5" t="n">
        <v>45940.6969907407</v>
      </c>
      <c r="F670" s="0" t="n">
        <v>8.5</v>
      </c>
      <c r="G670" s="0" t="n">
        <v>17027</v>
      </c>
      <c r="H670" s="6" t="s">
        <v>68</v>
      </c>
      <c r="I670" s="6" t="n">
        <f aca="false">D670*F670</f>
        <v>306</v>
      </c>
      <c r="J670" s="6" t="n">
        <f aca="false">HOUR(E670)</f>
        <v>16</v>
      </c>
      <c r="K670" s="6" t="n">
        <f aca="false">IF(COUNTIF($A$2:$A670,A670)=1,1,0)</f>
        <v>0</v>
      </c>
    </row>
    <row r="671" customFormat="false" ht="15" hidden="false" customHeight="false" outlineLevel="0" collapsed="false">
      <c r="A671" s="0" t="s">
        <v>237</v>
      </c>
      <c r="B671" s="0" t="s">
        <v>77</v>
      </c>
      <c r="C671" s="0" t="s">
        <v>78</v>
      </c>
      <c r="D671" s="0" t="n">
        <v>11</v>
      </c>
      <c r="E671" s="5" t="n">
        <v>45940.6969907407</v>
      </c>
      <c r="F671" s="0" t="n">
        <v>1.65</v>
      </c>
      <c r="G671" s="0" t="n">
        <v>17027</v>
      </c>
      <c r="H671" s="6" t="s">
        <v>68</v>
      </c>
      <c r="I671" s="6" t="n">
        <f aca="false">D671*F671</f>
        <v>18.15</v>
      </c>
      <c r="J671" s="6" t="n">
        <f aca="false">HOUR(E671)</f>
        <v>16</v>
      </c>
      <c r="K671" s="6" t="n">
        <f aca="false">IF(COUNTIF($A$2:$A671,A671)=1,1,0)</f>
        <v>0</v>
      </c>
    </row>
    <row r="672" customFormat="false" ht="15" hidden="false" customHeight="false" outlineLevel="0" collapsed="false">
      <c r="A672" s="0" t="s">
        <v>238</v>
      </c>
      <c r="B672" s="0" t="s">
        <v>88</v>
      </c>
      <c r="C672" s="0" t="s">
        <v>89</v>
      </c>
      <c r="D672" s="0" t="n">
        <v>15</v>
      </c>
      <c r="E672" s="5" t="n">
        <v>45940.8824421296</v>
      </c>
      <c r="F672" s="0" t="n">
        <v>2.75</v>
      </c>
      <c r="G672" s="0" t="n">
        <v>17242</v>
      </c>
      <c r="H672" s="6" t="s">
        <v>74</v>
      </c>
      <c r="I672" s="6" t="n">
        <f aca="false">D672*F672</f>
        <v>41.25</v>
      </c>
      <c r="J672" s="6" t="n">
        <f aca="false">HOUR(E672)</f>
        <v>21</v>
      </c>
      <c r="K672" s="6" t="n">
        <f aca="false">IF(COUNTIF($A$2:$A672,A672)=1,1,0)</f>
        <v>1</v>
      </c>
    </row>
    <row r="673" customFormat="false" ht="15" hidden="false" customHeight="false" outlineLevel="0" collapsed="false">
      <c r="A673" s="0" t="s">
        <v>238</v>
      </c>
      <c r="B673" s="0" t="s">
        <v>95</v>
      </c>
      <c r="C673" s="0" t="s">
        <v>96</v>
      </c>
      <c r="D673" s="0" t="n">
        <v>12</v>
      </c>
      <c r="E673" s="5" t="n">
        <v>45940.8824421296</v>
      </c>
      <c r="F673" s="0" t="n">
        <v>2.55</v>
      </c>
      <c r="G673" s="0" t="n">
        <v>17242</v>
      </c>
      <c r="H673" s="6" t="s">
        <v>74</v>
      </c>
      <c r="I673" s="6" t="n">
        <f aca="false">D673*F673</f>
        <v>30.6</v>
      </c>
      <c r="J673" s="6" t="n">
        <f aca="false">HOUR(E673)</f>
        <v>21</v>
      </c>
      <c r="K673" s="6" t="n">
        <f aca="false">IF(COUNTIF($A$2:$A673,A673)=1,1,0)</f>
        <v>0</v>
      </c>
    </row>
    <row r="674" customFormat="false" ht="15" hidden="false" customHeight="false" outlineLevel="0" collapsed="false">
      <c r="A674" s="0" t="s">
        <v>238</v>
      </c>
      <c r="B674" s="0" t="s">
        <v>63</v>
      </c>
      <c r="C674" s="0" t="s">
        <v>64</v>
      </c>
      <c r="D674" s="0" t="n">
        <v>16</v>
      </c>
      <c r="E674" s="5" t="n">
        <v>45940.8824421296</v>
      </c>
      <c r="F674" s="0" t="n">
        <v>1.85</v>
      </c>
      <c r="G674" s="0" t="n">
        <v>17242</v>
      </c>
      <c r="H674" s="6" t="s">
        <v>74</v>
      </c>
      <c r="I674" s="6" t="n">
        <f aca="false">D674*F674</f>
        <v>29.6</v>
      </c>
      <c r="J674" s="6" t="n">
        <f aca="false">HOUR(E674)</f>
        <v>21</v>
      </c>
      <c r="K674" s="6" t="n">
        <f aca="false">IF(COUNTIF($A$2:$A674,A674)=1,1,0)</f>
        <v>0</v>
      </c>
    </row>
    <row r="675" customFormat="false" ht="15" hidden="false" customHeight="false" outlineLevel="0" collapsed="false">
      <c r="A675" s="0" t="s">
        <v>238</v>
      </c>
      <c r="B675" s="0" t="s">
        <v>55</v>
      </c>
      <c r="C675" s="0" t="s">
        <v>56</v>
      </c>
      <c r="D675" s="0" t="n">
        <v>20</v>
      </c>
      <c r="E675" s="5" t="n">
        <v>45940.8824421296</v>
      </c>
      <c r="F675" s="0" t="n">
        <v>1.65</v>
      </c>
      <c r="G675" s="0" t="n">
        <v>17242</v>
      </c>
      <c r="H675" s="6" t="s">
        <v>74</v>
      </c>
      <c r="I675" s="6" t="n">
        <f aca="false">D675*F675</f>
        <v>33</v>
      </c>
      <c r="J675" s="6" t="n">
        <f aca="false">HOUR(E675)</f>
        <v>21</v>
      </c>
      <c r="K675" s="6" t="n">
        <f aca="false">IF(COUNTIF($A$2:$A675,A675)=1,1,0)</f>
        <v>0</v>
      </c>
    </row>
    <row r="676" customFormat="false" ht="15" hidden="false" customHeight="false" outlineLevel="0" collapsed="false">
      <c r="A676" s="0" t="s">
        <v>238</v>
      </c>
      <c r="B676" s="0" t="s">
        <v>109</v>
      </c>
      <c r="C676" s="0" t="s">
        <v>110</v>
      </c>
      <c r="D676" s="0" t="n">
        <v>24</v>
      </c>
      <c r="E676" s="5" t="n">
        <v>45940.8824421296</v>
      </c>
      <c r="F676" s="0" t="n">
        <v>0.85</v>
      </c>
      <c r="G676" s="0" t="n">
        <v>17242</v>
      </c>
      <c r="H676" s="6" t="s">
        <v>74</v>
      </c>
      <c r="I676" s="6" t="n">
        <f aca="false">D676*F676</f>
        <v>20.4</v>
      </c>
      <c r="J676" s="6" t="n">
        <f aca="false">HOUR(E676)</f>
        <v>21</v>
      </c>
      <c r="K676" s="6" t="n">
        <f aca="false">IF(COUNTIF($A$2:$A676,A676)=1,1,0)</f>
        <v>0</v>
      </c>
    </row>
    <row r="677" customFormat="false" ht="15" hidden="false" customHeight="false" outlineLevel="0" collapsed="false">
      <c r="A677" s="0" t="s">
        <v>238</v>
      </c>
      <c r="B677" s="0" t="s">
        <v>59</v>
      </c>
      <c r="C677" s="0" t="s">
        <v>60</v>
      </c>
      <c r="D677" s="0" t="n">
        <v>22</v>
      </c>
      <c r="E677" s="5" t="n">
        <v>45940.8824421296</v>
      </c>
      <c r="F677" s="0" t="n">
        <v>0.42</v>
      </c>
      <c r="G677" s="0" t="n">
        <v>17242</v>
      </c>
      <c r="H677" s="6" t="s">
        <v>74</v>
      </c>
      <c r="I677" s="6" t="n">
        <f aca="false">D677*F677</f>
        <v>9.24</v>
      </c>
      <c r="J677" s="6" t="n">
        <f aca="false">HOUR(E677)</f>
        <v>21</v>
      </c>
      <c r="K677" s="6" t="n">
        <f aca="false">IF(COUNTIF($A$2:$A677,A677)=1,1,0)</f>
        <v>0</v>
      </c>
    </row>
    <row r="678" customFormat="false" ht="15" hidden="false" customHeight="false" outlineLevel="0" collapsed="false">
      <c r="A678" s="0" t="s">
        <v>238</v>
      </c>
      <c r="B678" s="0" t="s">
        <v>104</v>
      </c>
      <c r="C678" s="0" t="s">
        <v>105</v>
      </c>
      <c r="D678" s="0" t="n">
        <v>16</v>
      </c>
      <c r="E678" s="5" t="n">
        <v>45940.8824421296</v>
      </c>
      <c r="F678" s="0" t="n">
        <v>1.65</v>
      </c>
      <c r="G678" s="0" t="n">
        <v>17242</v>
      </c>
      <c r="H678" s="6" t="s">
        <v>74</v>
      </c>
      <c r="I678" s="6" t="n">
        <f aca="false">D678*F678</f>
        <v>26.4</v>
      </c>
      <c r="J678" s="6" t="n">
        <f aca="false">HOUR(E678)</f>
        <v>21</v>
      </c>
      <c r="K678" s="6" t="n">
        <f aca="false">IF(COUNTIF($A$2:$A678,A678)=1,1,0)</f>
        <v>0</v>
      </c>
    </row>
    <row r="679" customFormat="false" ht="15" hidden="false" customHeight="false" outlineLevel="0" collapsed="false">
      <c r="A679" s="0" t="s">
        <v>238</v>
      </c>
      <c r="B679" s="0" t="s">
        <v>83</v>
      </c>
      <c r="C679" s="0" t="s">
        <v>84</v>
      </c>
      <c r="D679" s="0" t="n">
        <v>18</v>
      </c>
      <c r="E679" s="5" t="n">
        <v>45940.8824421296</v>
      </c>
      <c r="F679" s="0" t="n">
        <v>2.95</v>
      </c>
      <c r="G679" s="0" t="n">
        <v>17242</v>
      </c>
      <c r="H679" s="6" t="s">
        <v>74</v>
      </c>
      <c r="I679" s="6" t="n">
        <f aca="false">D679*F679</f>
        <v>53.1</v>
      </c>
      <c r="J679" s="6" t="n">
        <f aca="false">HOUR(E679)</f>
        <v>21</v>
      </c>
      <c r="K679" s="6" t="n">
        <f aca="false">IF(COUNTIF($A$2:$A679,A679)=1,1,0)</f>
        <v>0</v>
      </c>
    </row>
    <row r="680" customFormat="false" ht="15" hidden="false" customHeight="false" outlineLevel="0" collapsed="false">
      <c r="A680" s="0" t="s">
        <v>238</v>
      </c>
      <c r="B680" s="0" t="s">
        <v>79</v>
      </c>
      <c r="D680" s="0" t="n">
        <v>12</v>
      </c>
      <c r="E680" s="5" t="n">
        <v>45940.8824421296</v>
      </c>
      <c r="F680" s="0" t="n">
        <v>3.39</v>
      </c>
      <c r="G680" s="0" t="n">
        <v>17242</v>
      </c>
      <c r="H680" s="6" t="s">
        <v>74</v>
      </c>
      <c r="I680" s="6" t="n">
        <f aca="false">D680*F680</f>
        <v>40.68</v>
      </c>
      <c r="J680" s="6" t="n">
        <f aca="false">HOUR(E680)</f>
        <v>21</v>
      </c>
      <c r="K680" s="6" t="n">
        <f aca="false">IF(COUNTIF($A$2:$A680,A680)=1,1,0)</f>
        <v>0</v>
      </c>
    </row>
    <row r="681" customFormat="false" ht="15" hidden="false" customHeight="false" outlineLevel="0" collapsed="false">
      <c r="A681" s="0" t="s">
        <v>238</v>
      </c>
      <c r="B681" s="0" t="s">
        <v>61</v>
      </c>
      <c r="C681" s="0" t="s">
        <v>62</v>
      </c>
      <c r="D681" s="0" t="n">
        <v>11</v>
      </c>
      <c r="E681" s="5" t="n">
        <v>45940.8824421296</v>
      </c>
      <c r="F681" s="0" t="n">
        <v>1.65</v>
      </c>
      <c r="G681" s="0" t="n">
        <v>17242</v>
      </c>
      <c r="H681" s="6" t="s">
        <v>74</v>
      </c>
      <c r="I681" s="6" t="n">
        <f aca="false">D681*F681</f>
        <v>18.15</v>
      </c>
      <c r="J681" s="6" t="n">
        <f aca="false">HOUR(E681)</f>
        <v>21</v>
      </c>
      <c r="K681" s="6" t="n">
        <f aca="false">IF(COUNTIF($A$2:$A681,A681)=1,1,0)</f>
        <v>0</v>
      </c>
    </row>
    <row r="682" customFormat="false" ht="15" hidden="false" customHeight="false" outlineLevel="0" collapsed="false">
      <c r="A682" s="0" t="s">
        <v>239</v>
      </c>
      <c r="B682" s="0" t="s">
        <v>95</v>
      </c>
      <c r="C682" s="0" t="s">
        <v>96</v>
      </c>
      <c r="D682" s="0" t="n">
        <v>43</v>
      </c>
      <c r="E682" s="5" t="n">
        <v>45941.3543055556</v>
      </c>
      <c r="F682" s="0" t="n">
        <v>2.55</v>
      </c>
      <c r="G682" s="0" t="n">
        <v>17249</v>
      </c>
      <c r="H682" s="6" t="s">
        <v>68</v>
      </c>
      <c r="I682" s="6" t="n">
        <f aca="false">D682*F682</f>
        <v>109.65</v>
      </c>
      <c r="J682" s="6" t="n">
        <f aca="false">HOUR(E682)</f>
        <v>8</v>
      </c>
      <c r="K682" s="6" t="n">
        <f aca="false">IF(COUNTIF($A$2:$A682,A682)=1,1,0)</f>
        <v>1</v>
      </c>
    </row>
    <row r="683" customFormat="false" ht="15" hidden="false" customHeight="false" outlineLevel="0" collapsed="false">
      <c r="A683" s="0" t="s">
        <v>239</v>
      </c>
      <c r="B683" s="0" t="s">
        <v>102</v>
      </c>
      <c r="C683" s="0" t="s">
        <v>103</v>
      </c>
      <c r="D683" s="0" t="n">
        <v>35</v>
      </c>
      <c r="E683" s="5" t="n">
        <v>45941.3543055556</v>
      </c>
      <c r="F683" s="0" t="n">
        <v>8.5</v>
      </c>
      <c r="G683" s="0" t="n">
        <v>17249</v>
      </c>
      <c r="H683" s="6" t="s">
        <v>68</v>
      </c>
      <c r="I683" s="6" t="n">
        <f aca="false">D683*F683</f>
        <v>297.5</v>
      </c>
      <c r="J683" s="6" t="n">
        <f aca="false">HOUR(E683)</f>
        <v>8</v>
      </c>
      <c r="K683" s="6" t="n">
        <f aca="false">IF(COUNTIF($A$2:$A683,A683)=1,1,0)</f>
        <v>0</v>
      </c>
    </row>
    <row r="684" customFormat="false" ht="15" hidden="false" customHeight="false" outlineLevel="0" collapsed="false">
      <c r="A684" s="0" t="s">
        <v>239</v>
      </c>
      <c r="B684" s="0" t="s">
        <v>127</v>
      </c>
      <c r="C684" s="0" t="s">
        <v>128</v>
      </c>
      <c r="D684" s="0" t="n">
        <v>9</v>
      </c>
      <c r="E684" s="5" t="n">
        <v>45941.3543055556</v>
      </c>
      <c r="F684" s="0" t="n">
        <v>1.45</v>
      </c>
      <c r="G684" s="0" t="n">
        <v>17249</v>
      </c>
      <c r="H684" s="6" t="s">
        <v>68</v>
      </c>
      <c r="I684" s="6" t="n">
        <f aca="false">D684*F684</f>
        <v>13.05</v>
      </c>
      <c r="J684" s="6" t="n">
        <f aca="false">HOUR(E684)</f>
        <v>8</v>
      </c>
      <c r="K684" s="6" t="n">
        <f aca="false">IF(COUNTIF($A$2:$A684,A684)=1,1,0)</f>
        <v>0</v>
      </c>
    </row>
    <row r="685" customFormat="false" ht="15" hidden="false" customHeight="false" outlineLevel="0" collapsed="false">
      <c r="A685" s="0" t="s">
        <v>239</v>
      </c>
      <c r="B685" s="0" t="s">
        <v>125</v>
      </c>
      <c r="C685" s="0" t="s">
        <v>126</v>
      </c>
      <c r="D685" s="0" t="n">
        <v>15</v>
      </c>
      <c r="E685" s="5" t="n">
        <v>45941.3543055556</v>
      </c>
      <c r="F685" s="0" t="n">
        <v>1.25</v>
      </c>
      <c r="G685" s="0" t="n">
        <v>17249</v>
      </c>
      <c r="H685" s="6" t="s">
        <v>68</v>
      </c>
      <c r="I685" s="6" t="n">
        <f aca="false">D685*F685</f>
        <v>18.75</v>
      </c>
      <c r="J685" s="6" t="n">
        <f aca="false">HOUR(E685)</f>
        <v>8</v>
      </c>
      <c r="K685" s="6" t="n">
        <f aca="false">IF(COUNTIF($A$2:$A685,A685)=1,1,0)</f>
        <v>0</v>
      </c>
    </row>
    <row r="686" customFormat="false" ht="15" hidden="false" customHeight="false" outlineLevel="0" collapsed="false">
      <c r="A686" s="0" t="s">
        <v>239</v>
      </c>
      <c r="B686" s="0" t="s">
        <v>63</v>
      </c>
      <c r="C686" s="0" t="s">
        <v>64</v>
      </c>
      <c r="D686" s="0" t="n">
        <v>20</v>
      </c>
      <c r="E686" s="5" t="n">
        <v>45941.3543055556</v>
      </c>
      <c r="F686" s="0" t="n">
        <v>1.85</v>
      </c>
      <c r="G686" s="0" t="n">
        <v>17249</v>
      </c>
      <c r="H686" s="6" t="s">
        <v>68</v>
      </c>
      <c r="I686" s="6" t="n">
        <f aca="false">D686*F686</f>
        <v>37</v>
      </c>
      <c r="J686" s="6" t="n">
        <f aca="false">HOUR(E686)</f>
        <v>8</v>
      </c>
      <c r="K686" s="6" t="n">
        <f aca="false">IF(COUNTIF($A$2:$A686,A686)=1,1,0)</f>
        <v>0</v>
      </c>
    </row>
    <row r="687" customFormat="false" ht="15" hidden="false" customHeight="false" outlineLevel="0" collapsed="false">
      <c r="A687" s="0" t="s">
        <v>240</v>
      </c>
      <c r="B687" s="0" t="s">
        <v>61</v>
      </c>
      <c r="C687" s="0" t="s">
        <v>62</v>
      </c>
      <c r="D687" s="0" t="n">
        <v>7</v>
      </c>
      <c r="E687" s="5" t="n">
        <v>45941.401412037</v>
      </c>
      <c r="F687" s="0" t="n">
        <v>1.65</v>
      </c>
      <c r="G687" s="0" t="n">
        <v>17146</v>
      </c>
      <c r="H687" s="6" t="s">
        <v>74</v>
      </c>
      <c r="I687" s="6" t="n">
        <f aca="false">D687*F687</f>
        <v>11.55</v>
      </c>
      <c r="J687" s="6" t="n">
        <f aca="false">HOUR(E687)</f>
        <v>9</v>
      </c>
      <c r="K687" s="6" t="n">
        <f aca="false">IF(COUNTIF($A$2:$A687,A687)=1,1,0)</f>
        <v>1</v>
      </c>
    </row>
    <row r="688" customFormat="false" ht="15" hidden="false" customHeight="false" outlineLevel="0" collapsed="false">
      <c r="A688" s="0" t="s">
        <v>240</v>
      </c>
      <c r="B688" s="0" t="s">
        <v>107</v>
      </c>
      <c r="C688" s="0" t="s">
        <v>108</v>
      </c>
      <c r="D688" s="0" t="n">
        <v>13</v>
      </c>
      <c r="E688" s="5" t="n">
        <v>45941.401412037</v>
      </c>
      <c r="F688" s="0" t="n">
        <v>3.75</v>
      </c>
      <c r="G688" s="0" t="n">
        <v>17146</v>
      </c>
      <c r="H688" s="6" t="s">
        <v>74</v>
      </c>
      <c r="I688" s="6" t="n">
        <f aca="false">D688*F688</f>
        <v>48.75</v>
      </c>
      <c r="J688" s="6" t="n">
        <f aca="false">HOUR(E688)</f>
        <v>9</v>
      </c>
      <c r="K688" s="6" t="n">
        <f aca="false">IF(COUNTIF($A$2:$A688,A688)=1,1,0)</f>
        <v>0</v>
      </c>
    </row>
    <row r="689" customFormat="false" ht="15" hidden="false" customHeight="false" outlineLevel="0" collapsed="false">
      <c r="A689" s="0" t="s">
        <v>240</v>
      </c>
      <c r="B689" s="0" t="s">
        <v>95</v>
      </c>
      <c r="C689" s="0" t="s">
        <v>96</v>
      </c>
      <c r="D689" s="0" t="n">
        <v>11</v>
      </c>
      <c r="E689" s="5" t="n">
        <v>45941.401412037</v>
      </c>
      <c r="F689" s="0" t="n">
        <v>2.55</v>
      </c>
      <c r="G689" s="0" t="n">
        <v>17146</v>
      </c>
      <c r="H689" s="6" t="s">
        <v>74</v>
      </c>
      <c r="I689" s="6" t="n">
        <f aca="false">D689*F689</f>
        <v>28.05</v>
      </c>
      <c r="J689" s="6" t="n">
        <f aca="false">HOUR(E689)</f>
        <v>9</v>
      </c>
      <c r="K689" s="6" t="n">
        <f aca="false">IF(COUNTIF($A$2:$A689,A689)=1,1,0)</f>
        <v>0</v>
      </c>
    </row>
    <row r="690" customFormat="false" ht="15" hidden="false" customHeight="false" outlineLevel="0" collapsed="false">
      <c r="A690" s="0" t="s">
        <v>240</v>
      </c>
      <c r="B690" s="0" t="s">
        <v>134</v>
      </c>
      <c r="C690" s="0" t="s">
        <v>135</v>
      </c>
      <c r="D690" s="0" t="n">
        <v>8</v>
      </c>
      <c r="E690" s="5" t="n">
        <v>45941.401412037</v>
      </c>
      <c r="F690" s="0" t="n">
        <v>5.95</v>
      </c>
      <c r="G690" s="0" t="n">
        <v>17146</v>
      </c>
      <c r="H690" s="6" t="s">
        <v>74</v>
      </c>
      <c r="I690" s="6" t="n">
        <f aca="false">D690*F690</f>
        <v>47.6</v>
      </c>
      <c r="J690" s="6" t="n">
        <f aca="false">HOUR(E690)</f>
        <v>9</v>
      </c>
      <c r="K690" s="6" t="n">
        <f aca="false">IF(COUNTIF($A$2:$A690,A690)=1,1,0)</f>
        <v>0</v>
      </c>
    </row>
    <row r="691" customFormat="false" ht="15" hidden="false" customHeight="false" outlineLevel="0" collapsed="false">
      <c r="A691" s="0" t="s">
        <v>240</v>
      </c>
      <c r="B691" s="0" t="s">
        <v>109</v>
      </c>
      <c r="C691" s="0" t="s">
        <v>110</v>
      </c>
      <c r="D691" s="0" t="n">
        <v>22</v>
      </c>
      <c r="E691" s="5" t="n">
        <v>45941.401412037</v>
      </c>
      <c r="F691" s="0" t="n">
        <v>0.85</v>
      </c>
      <c r="G691" s="0" t="n">
        <v>17146</v>
      </c>
      <c r="H691" s="6" t="s">
        <v>74</v>
      </c>
      <c r="I691" s="6" t="n">
        <f aca="false">D691*F691</f>
        <v>18.7</v>
      </c>
      <c r="J691" s="6" t="n">
        <f aca="false">HOUR(E691)</f>
        <v>9</v>
      </c>
      <c r="K691" s="6" t="n">
        <f aca="false">IF(COUNTIF($A$2:$A691,A691)=1,1,0)</f>
        <v>0</v>
      </c>
    </row>
    <row r="692" customFormat="false" ht="15" hidden="false" customHeight="false" outlineLevel="0" collapsed="false">
      <c r="A692" s="0" t="s">
        <v>240</v>
      </c>
      <c r="B692" s="0" t="s">
        <v>137</v>
      </c>
      <c r="C692" s="0" t="s">
        <v>138</v>
      </c>
      <c r="D692" s="0" t="n">
        <v>8</v>
      </c>
      <c r="E692" s="5" t="n">
        <v>45941.401412037</v>
      </c>
      <c r="F692" s="0" t="n">
        <v>2.1</v>
      </c>
      <c r="G692" s="0" t="n">
        <v>17146</v>
      </c>
      <c r="H692" s="6" t="s">
        <v>74</v>
      </c>
      <c r="I692" s="6" t="n">
        <f aca="false">D692*F692</f>
        <v>16.8</v>
      </c>
      <c r="J692" s="6" t="n">
        <f aca="false">HOUR(E692)</f>
        <v>9</v>
      </c>
      <c r="K692" s="6" t="n">
        <f aca="false">IF(COUNTIF($A$2:$A692,A692)=1,1,0)</f>
        <v>0</v>
      </c>
    </row>
    <row r="693" customFormat="false" ht="15" hidden="false" customHeight="false" outlineLevel="0" collapsed="false">
      <c r="A693" s="0" t="s">
        <v>240</v>
      </c>
      <c r="B693" s="0" t="s">
        <v>131</v>
      </c>
      <c r="C693" s="0" t="s">
        <v>132</v>
      </c>
      <c r="D693" s="0" t="n">
        <v>17</v>
      </c>
      <c r="E693" s="5" t="n">
        <v>45941.401412037</v>
      </c>
      <c r="F693" s="0" t="n">
        <v>3.39</v>
      </c>
      <c r="G693" s="0" t="n">
        <v>17146</v>
      </c>
      <c r="H693" s="6" t="s">
        <v>74</v>
      </c>
      <c r="I693" s="6" t="n">
        <f aca="false">D693*F693</f>
        <v>57.63</v>
      </c>
      <c r="J693" s="6" t="n">
        <f aca="false">HOUR(E693)</f>
        <v>9</v>
      </c>
      <c r="K693" s="6" t="n">
        <f aca="false">IF(COUNTIF($A$2:$A693,A693)=1,1,0)</f>
        <v>0</v>
      </c>
    </row>
    <row r="694" customFormat="false" ht="15" hidden="false" customHeight="false" outlineLevel="0" collapsed="false">
      <c r="A694" s="0" t="s">
        <v>240</v>
      </c>
      <c r="B694" s="0" t="s">
        <v>79</v>
      </c>
      <c r="C694" s="0" t="s">
        <v>80</v>
      </c>
      <c r="D694" s="0" t="n">
        <v>3</v>
      </c>
      <c r="E694" s="5" t="n">
        <v>45941.401412037</v>
      </c>
      <c r="F694" s="0" t="n">
        <v>3.39</v>
      </c>
      <c r="G694" s="0" t="n">
        <v>17146</v>
      </c>
      <c r="H694" s="6" t="s">
        <v>74</v>
      </c>
      <c r="I694" s="6" t="n">
        <f aca="false">D694*F694</f>
        <v>10.17</v>
      </c>
      <c r="J694" s="6" t="n">
        <f aca="false">HOUR(E694)</f>
        <v>9</v>
      </c>
      <c r="K694" s="6" t="n">
        <f aca="false">IF(COUNTIF($A$2:$A694,A694)=1,1,0)</f>
        <v>0</v>
      </c>
    </row>
    <row r="695" customFormat="false" ht="15" hidden="false" customHeight="false" outlineLevel="0" collapsed="false">
      <c r="A695" s="0" t="s">
        <v>240</v>
      </c>
      <c r="B695" s="0" t="s">
        <v>77</v>
      </c>
      <c r="C695" s="0" t="s">
        <v>78</v>
      </c>
      <c r="D695" s="0" t="n">
        <v>24</v>
      </c>
      <c r="E695" s="5" t="n">
        <v>45941.401412037</v>
      </c>
      <c r="F695" s="0" t="n">
        <v>1.65</v>
      </c>
      <c r="G695" s="0" t="n">
        <v>17146</v>
      </c>
      <c r="H695" s="6" t="s">
        <v>74</v>
      </c>
      <c r="I695" s="6" t="n">
        <f aca="false">D695*F695</f>
        <v>39.6</v>
      </c>
      <c r="J695" s="6" t="n">
        <f aca="false">HOUR(E695)</f>
        <v>9</v>
      </c>
      <c r="K695" s="6" t="n">
        <f aca="false">IF(COUNTIF($A$2:$A695,A695)=1,1,0)</f>
        <v>0</v>
      </c>
    </row>
    <row r="696" customFormat="false" ht="15" hidden="false" customHeight="false" outlineLevel="0" collapsed="false">
      <c r="A696" s="0" t="s">
        <v>240</v>
      </c>
      <c r="B696" s="0" t="s">
        <v>53</v>
      </c>
      <c r="C696" s="0" t="s">
        <v>54</v>
      </c>
      <c r="D696" s="0" t="n">
        <v>13</v>
      </c>
      <c r="E696" s="5" t="n">
        <v>45941.401412037</v>
      </c>
      <c r="F696" s="0" t="n">
        <v>2.95</v>
      </c>
      <c r="G696" s="0" t="n">
        <v>17146</v>
      </c>
      <c r="H696" s="6" t="s">
        <v>74</v>
      </c>
      <c r="I696" s="6" t="n">
        <f aca="false">D696*F696</f>
        <v>38.35</v>
      </c>
      <c r="J696" s="6" t="n">
        <f aca="false">HOUR(E696)</f>
        <v>9</v>
      </c>
      <c r="K696" s="6" t="n">
        <f aca="false">IF(COUNTIF($A$2:$A696,A696)=1,1,0)</f>
        <v>0</v>
      </c>
    </row>
    <row r="697" customFormat="false" ht="15" hidden="false" customHeight="false" outlineLevel="0" collapsed="false">
      <c r="A697" s="0" t="s">
        <v>241</v>
      </c>
      <c r="B697" s="0" t="s">
        <v>59</v>
      </c>
      <c r="C697" s="0" t="s">
        <v>60</v>
      </c>
      <c r="D697" s="0" t="n">
        <v>15</v>
      </c>
      <c r="E697" s="5" t="n">
        <v>45941.4077083333</v>
      </c>
      <c r="F697" s="0" t="n">
        <v>0.42</v>
      </c>
      <c r="G697" s="0" t="n">
        <v>17053</v>
      </c>
      <c r="H697" s="6" t="s">
        <v>74</v>
      </c>
      <c r="I697" s="6" t="n">
        <f aca="false">D697*F697</f>
        <v>6.3</v>
      </c>
      <c r="J697" s="6" t="n">
        <f aca="false">HOUR(E697)</f>
        <v>9</v>
      </c>
      <c r="K697" s="6" t="n">
        <f aca="false">IF(COUNTIF($A$2:$A697,A697)=1,1,0)</f>
        <v>1</v>
      </c>
    </row>
    <row r="698" customFormat="false" ht="15" hidden="false" customHeight="false" outlineLevel="0" collapsed="false">
      <c r="A698" s="0" t="s">
        <v>241</v>
      </c>
      <c r="B698" s="0" t="s">
        <v>55</v>
      </c>
      <c r="C698" s="0" t="s">
        <v>56</v>
      </c>
      <c r="D698" s="0" t="n">
        <v>17</v>
      </c>
      <c r="E698" s="5" t="n">
        <v>45941.4077083333</v>
      </c>
      <c r="F698" s="0" t="n">
        <v>1.65</v>
      </c>
      <c r="G698" s="0" t="n">
        <v>17053</v>
      </c>
      <c r="H698" s="6" t="s">
        <v>74</v>
      </c>
      <c r="I698" s="6" t="n">
        <f aca="false">D698*F698</f>
        <v>28.05</v>
      </c>
      <c r="J698" s="6" t="n">
        <f aca="false">HOUR(E698)</f>
        <v>9</v>
      </c>
      <c r="K698" s="6" t="n">
        <f aca="false">IF(COUNTIF($A$2:$A698,A698)=1,1,0)</f>
        <v>0</v>
      </c>
    </row>
    <row r="699" customFormat="false" ht="15" hidden="false" customHeight="false" outlineLevel="0" collapsed="false">
      <c r="A699" s="0" t="s">
        <v>241</v>
      </c>
      <c r="B699" s="0" t="s">
        <v>137</v>
      </c>
      <c r="C699" s="0" t="s">
        <v>138</v>
      </c>
      <c r="D699" s="0" t="n">
        <v>9</v>
      </c>
      <c r="E699" s="5" t="n">
        <v>45941.4077083333</v>
      </c>
      <c r="F699" s="0" t="n">
        <v>2.1</v>
      </c>
      <c r="G699" s="0" t="n">
        <v>17053</v>
      </c>
      <c r="H699" s="6" t="s">
        <v>74</v>
      </c>
      <c r="I699" s="6" t="n">
        <f aca="false">D699*F699</f>
        <v>18.9</v>
      </c>
      <c r="J699" s="6" t="n">
        <f aca="false">HOUR(E699)</f>
        <v>9</v>
      </c>
      <c r="K699" s="6" t="n">
        <f aca="false">IF(COUNTIF($A$2:$A699,A699)=1,1,0)</f>
        <v>0</v>
      </c>
    </row>
    <row r="700" customFormat="false" ht="15" hidden="false" customHeight="false" outlineLevel="0" collapsed="false">
      <c r="A700" s="0" t="s">
        <v>241</v>
      </c>
      <c r="B700" s="0" t="s">
        <v>57</v>
      </c>
      <c r="C700" s="0" t="s">
        <v>58</v>
      </c>
      <c r="D700" s="0" t="n">
        <v>5</v>
      </c>
      <c r="E700" s="5" t="n">
        <v>45941.4077083333</v>
      </c>
      <c r="F700" s="0" t="n">
        <v>2.08</v>
      </c>
      <c r="G700" s="0" t="n">
        <v>17053</v>
      </c>
      <c r="H700" s="6" t="s">
        <v>74</v>
      </c>
      <c r="I700" s="6" t="n">
        <f aca="false">D700*F700</f>
        <v>10.4</v>
      </c>
      <c r="J700" s="6" t="n">
        <f aca="false">HOUR(E700)</f>
        <v>9</v>
      </c>
      <c r="K700" s="6" t="n">
        <f aca="false">IF(COUNTIF($A$2:$A700,A700)=1,1,0)</f>
        <v>0</v>
      </c>
    </row>
    <row r="701" customFormat="false" ht="15" hidden="false" customHeight="false" outlineLevel="0" collapsed="false">
      <c r="A701" s="0" t="s">
        <v>242</v>
      </c>
      <c r="B701" s="0" t="s">
        <v>104</v>
      </c>
      <c r="C701" s="0" t="s">
        <v>105</v>
      </c>
      <c r="D701" s="0" t="n">
        <v>23</v>
      </c>
      <c r="E701" s="5" t="n">
        <v>45941.4476157407</v>
      </c>
      <c r="F701" s="0" t="n">
        <v>1.65</v>
      </c>
      <c r="G701" s="0" t="n">
        <v>17142</v>
      </c>
      <c r="H701" s="6" t="s">
        <v>74</v>
      </c>
      <c r="I701" s="6" t="n">
        <f aca="false">D701*F701</f>
        <v>37.95</v>
      </c>
      <c r="J701" s="6" t="n">
        <f aca="false">HOUR(E701)</f>
        <v>10</v>
      </c>
      <c r="K701" s="6" t="n">
        <f aca="false">IF(COUNTIF($A$2:$A701,A701)=1,1,0)</f>
        <v>1</v>
      </c>
    </row>
    <row r="702" customFormat="false" ht="15" hidden="false" customHeight="false" outlineLevel="0" collapsed="false">
      <c r="A702" s="0" t="s">
        <v>243</v>
      </c>
      <c r="B702" s="0" t="s">
        <v>127</v>
      </c>
      <c r="C702" s="0" t="s">
        <v>128</v>
      </c>
      <c r="D702" s="0" t="n">
        <v>20</v>
      </c>
      <c r="E702" s="5" t="n">
        <v>45941.4606134259</v>
      </c>
      <c r="F702" s="0" t="n">
        <v>1.45</v>
      </c>
      <c r="G702" s="0" t="n">
        <v>17195</v>
      </c>
      <c r="H702" s="6" t="s">
        <v>74</v>
      </c>
      <c r="I702" s="6" t="n">
        <f aca="false">D702*F702</f>
        <v>29</v>
      </c>
      <c r="J702" s="6" t="n">
        <f aca="false">HOUR(E702)</f>
        <v>11</v>
      </c>
      <c r="K702" s="6" t="n">
        <f aca="false">IF(COUNTIF($A$2:$A702,A702)=1,1,0)</f>
        <v>1</v>
      </c>
    </row>
    <row r="703" customFormat="false" ht="15" hidden="false" customHeight="false" outlineLevel="0" collapsed="false">
      <c r="A703" s="0" t="s">
        <v>243</v>
      </c>
      <c r="B703" s="0" t="s">
        <v>137</v>
      </c>
      <c r="C703" s="0" t="s">
        <v>138</v>
      </c>
      <c r="D703" s="0" t="n">
        <v>1</v>
      </c>
      <c r="E703" s="5" t="n">
        <v>45941.4606134259</v>
      </c>
      <c r="F703" s="0" t="n">
        <v>2.1</v>
      </c>
      <c r="G703" s="0" t="n">
        <v>17195</v>
      </c>
      <c r="H703" s="6" t="s">
        <v>74</v>
      </c>
      <c r="I703" s="6" t="n">
        <f aca="false">D703*F703</f>
        <v>2.1</v>
      </c>
      <c r="J703" s="6" t="n">
        <f aca="false">HOUR(E703)</f>
        <v>11</v>
      </c>
      <c r="K703" s="6" t="n">
        <f aca="false">IF(COUNTIF($A$2:$A703,A703)=1,1,0)</f>
        <v>0</v>
      </c>
    </row>
    <row r="704" customFormat="false" ht="15" hidden="false" customHeight="false" outlineLevel="0" collapsed="false">
      <c r="A704" s="0" t="s">
        <v>243</v>
      </c>
      <c r="B704" s="0" t="s">
        <v>69</v>
      </c>
      <c r="C704" s="0" t="s">
        <v>70</v>
      </c>
      <c r="D704" s="0" t="n">
        <v>43</v>
      </c>
      <c r="E704" s="5" t="n">
        <v>45941.4606134259</v>
      </c>
      <c r="F704" s="0" t="n">
        <v>2.08</v>
      </c>
      <c r="G704" s="0" t="n">
        <v>17195</v>
      </c>
      <c r="H704" s="6" t="s">
        <v>74</v>
      </c>
      <c r="I704" s="6" t="n">
        <f aca="false">D704*F704</f>
        <v>89.44</v>
      </c>
      <c r="J704" s="6" t="n">
        <f aca="false">HOUR(E704)</f>
        <v>11</v>
      </c>
      <c r="K704" s="6" t="n">
        <f aca="false">IF(COUNTIF($A$2:$A704,A704)=1,1,0)</f>
        <v>0</v>
      </c>
    </row>
    <row r="705" customFormat="false" ht="15" hidden="false" customHeight="false" outlineLevel="0" collapsed="false">
      <c r="A705" s="0" t="s">
        <v>243</v>
      </c>
      <c r="B705" s="0" t="s">
        <v>45</v>
      </c>
      <c r="C705" s="0" t="s">
        <v>46</v>
      </c>
      <c r="D705" s="0" t="n">
        <v>11</v>
      </c>
      <c r="E705" s="5" t="n">
        <v>45941.4606134259</v>
      </c>
      <c r="F705" s="0" t="n">
        <v>2.1</v>
      </c>
      <c r="G705" s="0" t="n">
        <v>17195</v>
      </c>
      <c r="H705" s="6" t="s">
        <v>74</v>
      </c>
      <c r="I705" s="6" t="n">
        <f aca="false">D705*F705</f>
        <v>23.1</v>
      </c>
      <c r="J705" s="6" t="n">
        <f aca="false">HOUR(E705)</f>
        <v>11</v>
      </c>
      <c r="K705" s="6" t="n">
        <f aca="false">IF(COUNTIF($A$2:$A705,A705)=1,1,0)</f>
        <v>0</v>
      </c>
    </row>
    <row r="706" customFormat="false" ht="15" hidden="false" customHeight="false" outlineLevel="0" collapsed="false">
      <c r="A706" s="0" t="s">
        <v>243</v>
      </c>
      <c r="B706" s="0" t="s">
        <v>59</v>
      </c>
      <c r="C706" s="0" t="s">
        <v>60</v>
      </c>
      <c r="D706" s="0" t="n">
        <v>1</v>
      </c>
      <c r="E706" s="5" t="n">
        <v>45941.4606134259</v>
      </c>
      <c r="F706" s="0" t="n">
        <v>0.42</v>
      </c>
      <c r="G706" s="0" t="n">
        <v>17195</v>
      </c>
      <c r="H706" s="6" t="s">
        <v>74</v>
      </c>
      <c r="I706" s="6" t="n">
        <f aca="false">D706*F706</f>
        <v>0.42</v>
      </c>
      <c r="J706" s="6" t="n">
        <f aca="false">HOUR(E706)</f>
        <v>11</v>
      </c>
      <c r="K706" s="6" t="n">
        <f aca="false">IF(COUNTIF($A$2:$A706,A706)=1,1,0)</f>
        <v>0</v>
      </c>
    </row>
    <row r="707" customFormat="false" ht="15" hidden="false" customHeight="false" outlineLevel="0" collapsed="false">
      <c r="A707" s="0" t="s">
        <v>243</v>
      </c>
      <c r="B707" s="0" t="s">
        <v>88</v>
      </c>
      <c r="C707" s="0" t="s">
        <v>89</v>
      </c>
      <c r="D707" s="0" t="n">
        <v>18</v>
      </c>
      <c r="E707" s="5" t="n">
        <v>45941.4606134259</v>
      </c>
      <c r="F707" s="0" t="n">
        <v>2.75</v>
      </c>
      <c r="G707" s="0" t="n">
        <v>17195</v>
      </c>
      <c r="H707" s="6" t="s">
        <v>74</v>
      </c>
      <c r="I707" s="6" t="n">
        <f aca="false">D707*F707</f>
        <v>49.5</v>
      </c>
      <c r="J707" s="6" t="n">
        <f aca="false">HOUR(E707)</f>
        <v>11</v>
      </c>
      <c r="K707" s="6" t="n">
        <f aca="false">IF(COUNTIF($A$2:$A707,A707)=1,1,0)</f>
        <v>0</v>
      </c>
    </row>
    <row r="708" customFormat="false" ht="15" hidden="false" customHeight="false" outlineLevel="0" collapsed="false">
      <c r="A708" s="0" t="s">
        <v>243</v>
      </c>
      <c r="B708" s="0" t="s">
        <v>134</v>
      </c>
      <c r="C708" s="0" t="s">
        <v>135</v>
      </c>
      <c r="D708" s="0" t="n">
        <v>22</v>
      </c>
      <c r="E708" s="5" t="n">
        <v>45941.4606134259</v>
      </c>
      <c r="F708" s="0" t="n">
        <v>5.95</v>
      </c>
      <c r="G708" s="0" t="n">
        <v>17195</v>
      </c>
      <c r="H708" s="6" t="s">
        <v>74</v>
      </c>
      <c r="I708" s="6" t="n">
        <f aca="false">D708*F708</f>
        <v>130.9</v>
      </c>
      <c r="J708" s="6" t="n">
        <f aca="false">HOUR(E708)</f>
        <v>11</v>
      </c>
      <c r="K708" s="6" t="n">
        <f aca="false">IF(COUNTIF($A$2:$A708,A708)=1,1,0)</f>
        <v>0</v>
      </c>
    </row>
    <row r="709" customFormat="false" ht="15" hidden="false" customHeight="false" outlineLevel="0" collapsed="false">
      <c r="A709" s="0" t="s">
        <v>244</v>
      </c>
      <c r="B709" s="0" t="s">
        <v>104</v>
      </c>
      <c r="C709" s="0" t="s">
        <v>105</v>
      </c>
      <c r="D709" s="0" t="n">
        <v>4</v>
      </c>
      <c r="E709" s="5" t="n">
        <v>45941.4650231482</v>
      </c>
      <c r="F709" s="0" t="n">
        <v>1.65</v>
      </c>
      <c r="G709" s="0" t="n">
        <v>17211</v>
      </c>
      <c r="H709" s="6" t="s">
        <v>74</v>
      </c>
      <c r="I709" s="6" t="n">
        <f aca="false">D709*F709</f>
        <v>6.6</v>
      </c>
      <c r="J709" s="6" t="n">
        <f aca="false">HOUR(E709)</f>
        <v>11</v>
      </c>
      <c r="K709" s="6" t="n">
        <f aca="false">IF(COUNTIF($A$2:$A709,A709)=1,1,0)</f>
        <v>1</v>
      </c>
    </row>
    <row r="710" customFormat="false" ht="15" hidden="false" customHeight="false" outlineLevel="0" collapsed="false">
      <c r="A710" s="0" t="s">
        <v>244</v>
      </c>
      <c r="B710" s="0" t="s">
        <v>134</v>
      </c>
      <c r="C710" s="0" t="s">
        <v>135</v>
      </c>
      <c r="D710" s="0" t="n">
        <v>15</v>
      </c>
      <c r="E710" s="5" t="n">
        <v>45941.4650231482</v>
      </c>
      <c r="F710" s="0" t="n">
        <v>5.95</v>
      </c>
      <c r="G710" s="0" t="n">
        <v>17211</v>
      </c>
      <c r="H710" s="6" t="s">
        <v>74</v>
      </c>
      <c r="I710" s="6" t="n">
        <f aca="false">D710*F710</f>
        <v>89.25</v>
      </c>
      <c r="J710" s="6" t="n">
        <f aca="false">HOUR(E710)</f>
        <v>11</v>
      </c>
      <c r="K710" s="6" t="n">
        <f aca="false">IF(COUNTIF($A$2:$A710,A710)=1,1,0)</f>
        <v>0</v>
      </c>
    </row>
    <row r="711" customFormat="false" ht="15" hidden="false" customHeight="false" outlineLevel="0" collapsed="false">
      <c r="A711" s="0" t="s">
        <v>244</v>
      </c>
      <c r="B711" s="0" t="s">
        <v>121</v>
      </c>
      <c r="C711" s="0" t="s">
        <v>122</v>
      </c>
      <c r="D711" s="0" t="n">
        <v>10</v>
      </c>
      <c r="E711" s="5" t="n">
        <v>45941.4650231482</v>
      </c>
      <c r="F711" s="0" t="n">
        <v>2.1</v>
      </c>
      <c r="G711" s="0" t="n">
        <v>17211</v>
      </c>
      <c r="H711" s="6" t="s">
        <v>74</v>
      </c>
      <c r="I711" s="6" t="n">
        <f aca="false">D711*F711</f>
        <v>21</v>
      </c>
      <c r="J711" s="6" t="n">
        <f aca="false">HOUR(E711)</f>
        <v>11</v>
      </c>
      <c r="K711" s="6" t="n">
        <f aca="false">IF(COUNTIF($A$2:$A711,A711)=1,1,0)</f>
        <v>0</v>
      </c>
    </row>
    <row r="712" customFormat="false" ht="15" hidden="false" customHeight="false" outlineLevel="0" collapsed="false">
      <c r="A712" s="0" t="s">
        <v>244</v>
      </c>
      <c r="B712" s="0" t="s">
        <v>45</v>
      </c>
      <c r="C712" s="0" t="s">
        <v>46</v>
      </c>
      <c r="D712" s="0" t="n">
        <v>18</v>
      </c>
      <c r="E712" s="5" t="n">
        <v>45941.4650231482</v>
      </c>
      <c r="F712" s="0" t="n">
        <v>2.1</v>
      </c>
      <c r="G712" s="0" t="n">
        <v>17211</v>
      </c>
      <c r="H712" s="6" t="s">
        <v>74</v>
      </c>
      <c r="I712" s="6" t="n">
        <f aca="false">D712*F712</f>
        <v>37.8</v>
      </c>
      <c r="J712" s="6" t="n">
        <f aca="false">HOUR(E712)</f>
        <v>11</v>
      </c>
      <c r="K712" s="6" t="n">
        <f aca="false">IF(COUNTIF($A$2:$A712,A712)=1,1,0)</f>
        <v>0</v>
      </c>
    </row>
    <row r="713" customFormat="false" ht="15" hidden="false" customHeight="false" outlineLevel="0" collapsed="false">
      <c r="A713" s="0" t="s">
        <v>244</v>
      </c>
      <c r="B713" s="0" t="s">
        <v>47</v>
      </c>
      <c r="C713" s="0" t="s">
        <v>48</v>
      </c>
      <c r="D713" s="0" t="n">
        <v>30</v>
      </c>
      <c r="E713" s="5" t="n">
        <v>45941.4650231482</v>
      </c>
      <c r="F713" s="0" t="n">
        <v>12.75</v>
      </c>
      <c r="G713" s="0" t="n">
        <v>17211</v>
      </c>
      <c r="H713" s="6" t="s">
        <v>74</v>
      </c>
      <c r="I713" s="6" t="n">
        <f aca="false">D713*F713</f>
        <v>382.5</v>
      </c>
      <c r="J713" s="6" t="n">
        <f aca="false">HOUR(E713)</f>
        <v>11</v>
      </c>
      <c r="K713" s="6" t="n">
        <f aca="false">IF(COUNTIF($A$2:$A713,A713)=1,1,0)</f>
        <v>0</v>
      </c>
    </row>
    <row r="714" customFormat="false" ht="15" hidden="false" customHeight="false" outlineLevel="0" collapsed="false">
      <c r="A714" s="0" t="s">
        <v>244</v>
      </c>
      <c r="B714" s="0" t="s">
        <v>55</v>
      </c>
      <c r="C714" s="0" t="s">
        <v>56</v>
      </c>
      <c r="D714" s="0" t="n">
        <v>14</v>
      </c>
      <c r="E714" s="5" t="n">
        <v>45941.4650231482</v>
      </c>
      <c r="F714" s="0" t="n">
        <v>1.65</v>
      </c>
      <c r="G714" s="0" t="n">
        <v>17211</v>
      </c>
      <c r="H714" s="6" t="s">
        <v>74</v>
      </c>
      <c r="I714" s="6" t="n">
        <f aca="false">D714*F714</f>
        <v>23.1</v>
      </c>
      <c r="J714" s="6" t="n">
        <f aca="false">HOUR(E714)</f>
        <v>11</v>
      </c>
      <c r="K714" s="6" t="n">
        <f aca="false">IF(COUNTIF($A$2:$A714,A714)=1,1,0)</f>
        <v>0</v>
      </c>
    </row>
    <row r="715" customFormat="false" ht="15" hidden="false" customHeight="false" outlineLevel="0" collapsed="false">
      <c r="A715" s="0" t="s">
        <v>244</v>
      </c>
      <c r="B715" s="0" t="s">
        <v>131</v>
      </c>
      <c r="C715" s="0" t="s">
        <v>132</v>
      </c>
      <c r="D715" s="0" t="n">
        <v>5</v>
      </c>
      <c r="E715" s="5" t="n">
        <v>45941.4650231482</v>
      </c>
      <c r="F715" s="0" t="n">
        <v>3.39</v>
      </c>
      <c r="G715" s="0" t="n">
        <v>17211</v>
      </c>
      <c r="H715" s="6" t="s">
        <v>74</v>
      </c>
      <c r="I715" s="6" t="n">
        <f aca="false">D715*F715</f>
        <v>16.95</v>
      </c>
      <c r="J715" s="6" t="n">
        <f aca="false">HOUR(E715)</f>
        <v>11</v>
      </c>
      <c r="K715" s="6" t="n">
        <f aca="false">IF(COUNTIF($A$2:$A715,A715)=1,1,0)</f>
        <v>0</v>
      </c>
    </row>
    <row r="716" customFormat="false" ht="15" hidden="false" customHeight="false" outlineLevel="0" collapsed="false">
      <c r="A716" s="0" t="s">
        <v>245</v>
      </c>
      <c r="B716" s="0" t="s">
        <v>109</v>
      </c>
      <c r="C716" s="0" t="s">
        <v>110</v>
      </c>
      <c r="D716" s="0" t="n">
        <v>14</v>
      </c>
      <c r="E716" s="5" t="n">
        <v>45941.4719675926</v>
      </c>
      <c r="F716" s="0" t="n">
        <v>0.85</v>
      </c>
      <c r="G716" s="0" t="n">
        <v>17043</v>
      </c>
      <c r="H716" s="6" t="s">
        <v>208</v>
      </c>
      <c r="I716" s="6" t="n">
        <f aca="false">D716*F716</f>
        <v>11.9</v>
      </c>
      <c r="J716" s="6" t="n">
        <f aca="false">HOUR(E716)</f>
        <v>11</v>
      </c>
      <c r="K716" s="6" t="n">
        <f aca="false">IF(COUNTIF($A$2:$A716,A716)=1,1,0)</f>
        <v>1</v>
      </c>
    </row>
    <row r="717" customFormat="false" ht="15" hidden="false" customHeight="false" outlineLevel="0" collapsed="false">
      <c r="A717" s="0" t="s">
        <v>245</v>
      </c>
      <c r="B717" s="0" t="s">
        <v>40</v>
      </c>
      <c r="C717" s="0" t="s">
        <v>41</v>
      </c>
      <c r="D717" s="0" t="n">
        <v>6</v>
      </c>
      <c r="E717" s="5" t="n">
        <v>45941.4719675926</v>
      </c>
      <c r="F717" s="0" t="n">
        <v>1.06</v>
      </c>
      <c r="G717" s="0" t="n">
        <v>17043</v>
      </c>
      <c r="H717" s="6" t="s">
        <v>208</v>
      </c>
      <c r="I717" s="6" t="n">
        <f aca="false">D717*F717</f>
        <v>6.36</v>
      </c>
      <c r="J717" s="6" t="n">
        <f aca="false">HOUR(E717)</f>
        <v>11</v>
      </c>
      <c r="K717" s="6" t="n">
        <f aca="false">IF(COUNTIF($A$2:$A717,A717)=1,1,0)</f>
        <v>0</v>
      </c>
    </row>
    <row r="718" customFormat="false" ht="15" hidden="false" customHeight="false" outlineLevel="0" collapsed="false">
      <c r="A718" s="0" t="s">
        <v>245</v>
      </c>
      <c r="B718" s="0" t="s">
        <v>102</v>
      </c>
      <c r="C718" s="0" t="s">
        <v>103</v>
      </c>
      <c r="D718" s="0" t="n">
        <v>15</v>
      </c>
      <c r="E718" s="5" t="n">
        <v>45941.4719675926</v>
      </c>
      <c r="F718" s="0" t="n">
        <v>8.5</v>
      </c>
      <c r="G718" s="0" t="n">
        <v>17043</v>
      </c>
      <c r="H718" s="6" t="s">
        <v>208</v>
      </c>
      <c r="I718" s="6" t="n">
        <f aca="false">D718*F718</f>
        <v>127.5</v>
      </c>
      <c r="J718" s="6" t="n">
        <f aca="false">HOUR(E718)</f>
        <v>11</v>
      </c>
      <c r="K718" s="6" t="n">
        <f aca="false">IF(COUNTIF($A$2:$A718,A718)=1,1,0)</f>
        <v>0</v>
      </c>
    </row>
    <row r="719" customFormat="false" ht="15" hidden="false" customHeight="false" outlineLevel="0" collapsed="false">
      <c r="A719" s="0" t="s">
        <v>246</v>
      </c>
      <c r="B719" s="0" t="s">
        <v>83</v>
      </c>
      <c r="C719" s="0" t="s">
        <v>84</v>
      </c>
      <c r="D719" s="0" t="n">
        <v>21</v>
      </c>
      <c r="E719" s="5" t="n">
        <v>45941.5684722222</v>
      </c>
      <c r="F719" s="0" t="n">
        <v>2.95</v>
      </c>
      <c r="G719" s="0" t="n">
        <v>17127</v>
      </c>
      <c r="H719" s="6" t="s">
        <v>74</v>
      </c>
      <c r="I719" s="6" t="n">
        <f aca="false">D719*F719</f>
        <v>61.95</v>
      </c>
      <c r="J719" s="6" t="n">
        <f aca="false">HOUR(E719)</f>
        <v>13</v>
      </c>
      <c r="K719" s="6" t="n">
        <f aca="false">IF(COUNTIF($A$2:$A719,A719)=1,1,0)</f>
        <v>1</v>
      </c>
    </row>
    <row r="720" customFormat="false" ht="15" hidden="false" customHeight="false" outlineLevel="0" collapsed="false">
      <c r="A720" s="0" t="s">
        <v>246</v>
      </c>
      <c r="B720" s="0" t="s">
        <v>91</v>
      </c>
      <c r="C720" s="0" t="s">
        <v>92</v>
      </c>
      <c r="D720" s="0" t="n">
        <v>17</v>
      </c>
      <c r="E720" s="5" t="n">
        <v>45941.5684722222</v>
      </c>
      <c r="F720" s="0" t="n">
        <v>7.65</v>
      </c>
      <c r="G720" s="0" t="n">
        <v>17127</v>
      </c>
      <c r="H720" s="6" t="s">
        <v>74</v>
      </c>
      <c r="I720" s="6" t="n">
        <f aca="false">D720*F720</f>
        <v>130.05</v>
      </c>
      <c r="J720" s="6" t="n">
        <f aca="false">HOUR(E720)</f>
        <v>13</v>
      </c>
      <c r="K720" s="6" t="n">
        <f aca="false">IF(COUNTIF($A$2:$A720,A720)=1,1,0)</f>
        <v>0</v>
      </c>
    </row>
    <row r="721" customFormat="false" ht="15" hidden="false" customHeight="false" outlineLevel="0" collapsed="false">
      <c r="A721" s="0" t="s">
        <v>246</v>
      </c>
      <c r="B721" s="0" t="s">
        <v>125</v>
      </c>
      <c r="C721" s="0" t="s">
        <v>126</v>
      </c>
      <c r="D721" s="0" t="n">
        <v>1</v>
      </c>
      <c r="E721" s="5" t="n">
        <v>45941.5684722222</v>
      </c>
      <c r="F721" s="0" t="n">
        <v>1.25</v>
      </c>
      <c r="G721" s="0" t="n">
        <v>17127</v>
      </c>
      <c r="H721" s="6" t="s">
        <v>74</v>
      </c>
      <c r="I721" s="6" t="n">
        <f aca="false">D721*F721</f>
        <v>1.25</v>
      </c>
      <c r="J721" s="6" t="n">
        <f aca="false">HOUR(E721)</f>
        <v>13</v>
      </c>
      <c r="K721" s="6" t="n">
        <f aca="false">IF(COUNTIF($A$2:$A721,A721)=1,1,0)</f>
        <v>0</v>
      </c>
    </row>
    <row r="722" customFormat="false" ht="15" hidden="false" customHeight="false" outlineLevel="0" collapsed="false">
      <c r="A722" s="0" t="s">
        <v>247</v>
      </c>
      <c r="B722" s="0" t="s">
        <v>55</v>
      </c>
      <c r="C722" s="0" t="s">
        <v>56</v>
      </c>
      <c r="D722" s="0" t="n">
        <v>10</v>
      </c>
      <c r="E722" s="5" t="n">
        <v>45941.5880671296</v>
      </c>
      <c r="F722" s="0" t="n">
        <v>1.65</v>
      </c>
      <c r="G722" s="0" t="n">
        <v>17022</v>
      </c>
      <c r="H722" s="6" t="s">
        <v>188</v>
      </c>
      <c r="I722" s="6" t="n">
        <f aca="false">D722*F722</f>
        <v>16.5</v>
      </c>
      <c r="J722" s="6" t="n">
        <f aca="false">HOUR(E722)</f>
        <v>14</v>
      </c>
      <c r="K722" s="6" t="n">
        <f aca="false">IF(COUNTIF($A$2:$A722,A722)=1,1,0)</f>
        <v>1</v>
      </c>
    </row>
    <row r="723" customFormat="false" ht="15" hidden="false" customHeight="false" outlineLevel="0" collapsed="false">
      <c r="A723" s="0" t="s">
        <v>247</v>
      </c>
      <c r="B723" s="0" t="s">
        <v>109</v>
      </c>
      <c r="C723" s="0" t="s">
        <v>110</v>
      </c>
      <c r="D723" s="0" t="n">
        <v>15</v>
      </c>
      <c r="E723" s="5" t="n">
        <v>45941.5880671296</v>
      </c>
      <c r="F723" s="0" t="n">
        <v>0.85</v>
      </c>
      <c r="G723" s="0" t="n">
        <v>17022</v>
      </c>
      <c r="H723" s="6" t="s">
        <v>188</v>
      </c>
      <c r="I723" s="6" t="n">
        <f aca="false">D723*F723</f>
        <v>12.75</v>
      </c>
      <c r="J723" s="6" t="n">
        <f aca="false">HOUR(E723)</f>
        <v>14</v>
      </c>
      <c r="K723" s="6" t="n">
        <f aca="false">IF(COUNTIF($A$2:$A723,A723)=1,1,0)</f>
        <v>0</v>
      </c>
    </row>
    <row r="724" customFormat="false" ht="15" hidden="false" customHeight="false" outlineLevel="0" collapsed="false">
      <c r="A724" s="0" t="s">
        <v>247</v>
      </c>
      <c r="B724" s="0" t="s">
        <v>118</v>
      </c>
      <c r="C724" s="0" t="s">
        <v>119</v>
      </c>
      <c r="D724" s="0" t="n">
        <v>43</v>
      </c>
      <c r="E724" s="5" t="n">
        <v>45941.5880671296</v>
      </c>
      <c r="F724" s="0" t="n">
        <v>4.95</v>
      </c>
      <c r="G724" s="0" t="n">
        <v>17022</v>
      </c>
      <c r="H724" s="6" t="s">
        <v>188</v>
      </c>
      <c r="I724" s="6" t="n">
        <f aca="false">D724*F724</f>
        <v>212.85</v>
      </c>
      <c r="J724" s="6" t="n">
        <f aca="false">HOUR(E724)</f>
        <v>14</v>
      </c>
      <c r="K724" s="6" t="n">
        <f aca="false">IF(COUNTIF($A$2:$A724,A724)=1,1,0)</f>
        <v>0</v>
      </c>
    </row>
    <row r="725" customFormat="false" ht="15" hidden="false" customHeight="false" outlineLevel="0" collapsed="false">
      <c r="A725" s="0" t="s">
        <v>247</v>
      </c>
      <c r="B725" s="0" t="s">
        <v>99</v>
      </c>
      <c r="C725" s="0" t="s">
        <v>100</v>
      </c>
      <c r="D725" s="0" t="n">
        <v>5</v>
      </c>
      <c r="E725" s="5" t="n">
        <v>45941.5880671296</v>
      </c>
      <c r="F725" s="0" t="n">
        <v>2.08</v>
      </c>
      <c r="G725" s="0" t="n">
        <v>17022</v>
      </c>
      <c r="H725" s="6" t="s">
        <v>188</v>
      </c>
      <c r="I725" s="6" t="n">
        <f aca="false">D725*F725</f>
        <v>10.4</v>
      </c>
      <c r="J725" s="6" t="n">
        <f aca="false">HOUR(E725)</f>
        <v>14</v>
      </c>
      <c r="K725" s="6" t="n">
        <f aca="false">IF(COUNTIF($A$2:$A725,A725)=1,1,0)</f>
        <v>0</v>
      </c>
    </row>
    <row r="726" customFormat="false" ht="15" hidden="false" customHeight="false" outlineLevel="0" collapsed="false">
      <c r="A726" s="0" t="s">
        <v>247</v>
      </c>
      <c r="B726" s="0" t="s">
        <v>86</v>
      </c>
      <c r="C726" s="0" t="s">
        <v>87</v>
      </c>
      <c r="D726" s="0" t="n">
        <v>10</v>
      </c>
      <c r="E726" s="5" t="n">
        <v>45941.5880671296</v>
      </c>
      <c r="F726" s="0" t="n">
        <v>4.25</v>
      </c>
      <c r="G726" s="0" t="n">
        <v>17022</v>
      </c>
      <c r="H726" s="6" t="s">
        <v>188</v>
      </c>
      <c r="I726" s="6" t="n">
        <f aca="false">D726*F726</f>
        <v>42.5</v>
      </c>
      <c r="J726" s="6" t="n">
        <f aca="false">HOUR(E726)</f>
        <v>14</v>
      </c>
      <c r="K726" s="6" t="n">
        <f aca="false">IF(COUNTIF($A$2:$A726,A726)=1,1,0)</f>
        <v>0</v>
      </c>
    </row>
    <row r="727" customFormat="false" ht="15" hidden="false" customHeight="false" outlineLevel="0" collapsed="false">
      <c r="A727" s="0" t="s">
        <v>247</v>
      </c>
      <c r="B727" s="0" t="s">
        <v>125</v>
      </c>
      <c r="C727" s="0" t="s">
        <v>126</v>
      </c>
      <c r="D727" s="0" t="n">
        <v>24</v>
      </c>
      <c r="E727" s="5" t="n">
        <v>45941.5880671296</v>
      </c>
      <c r="F727" s="0" t="n">
        <v>1.25</v>
      </c>
      <c r="G727" s="0" t="n">
        <v>17022</v>
      </c>
      <c r="H727" s="6" t="s">
        <v>188</v>
      </c>
      <c r="I727" s="6" t="n">
        <f aca="false">D727*F727</f>
        <v>30</v>
      </c>
      <c r="J727" s="6" t="n">
        <f aca="false">HOUR(E727)</f>
        <v>14</v>
      </c>
      <c r="K727" s="6" t="n">
        <f aca="false">IF(COUNTIF($A$2:$A727,A727)=1,1,0)</f>
        <v>0</v>
      </c>
    </row>
    <row r="728" customFormat="false" ht="15" hidden="false" customHeight="false" outlineLevel="0" collapsed="false">
      <c r="A728" s="0" t="s">
        <v>247</v>
      </c>
      <c r="B728" s="0" t="s">
        <v>40</v>
      </c>
      <c r="C728" s="0" t="s">
        <v>41</v>
      </c>
      <c r="D728" s="0" t="n">
        <v>12</v>
      </c>
      <c r="E728" s="5" t="n">
        <v>45941.5880671296</v>
      </c>
      <c r="F728" s="0" t="n">
        <v>1.06</v>
      </c>
      <c r="G728" s="0" t="n">
        <v>17022</v>
      </c>
      <c r="H728" s="6" t="s">
        <v>188</v>
      </c>
      <c r="I728" s="6" t="n">
        <f aca="false">D728*F728</f>
        <v>12.72</v>
      </c>
      <c r="J728" s="6" t="n">
        <f aca="false">HOUR(E728)</f>
        <v>14</v>
      </c>
      <c r="K728" s="6" t="n">
        <f aca="false">IF(COUNTIF($A$2:$A728,A728)=1,1,0)</f>
        <v>0</v>
      </c>
    </row>
    <row r="729" customFormat="false" ht="15" hidden="false" customHeight="false" outlineLevel="0" collapsed="false">
      <c r="A729" s="0" t="s">
        <v>247</v>
      </c>
      <c r="B729" s="0" t="s">
        <v>95</v>
      </c>
      <c r="C729" s="0" t="s">
        <v>96</v>
      </c>
      <c r="D729" s="0" t="n">
        <v>13</v>
      </c>
      <c r="E729" s="5" t="n">
        <v>45941.5880671296</v>
      </c>
      <c r="F729" s="0" t="n">
        <v>2.55</v>
      </c>
      <c r="G729" s="0" t="n">
        <v>17022</v>
      </c>
      <c r="H729" s="6" t="s">
        <v>188</v>
      </c>
      <c r="I729" s="6" t="n">
        <f aca="false">D729*F729</f>
        <v>33.15</v>
      </c>
      <c r="J729" s="6" t="n">
        <f aca="false">HOUR(E729)</f>
        <v>14</v>
      </c>
      <c r="K729" s="6" t="n">
        <f aca="false">IF(COUNTIF($A$2:$A729,A729)=1,1,0)</f>
        <v>0</v>
      </c>
    </row>
    <row r="730" customFormat="false" ht="15" hidden="false" customHeight="false" outlineLevel="0" collapsed="false">
      <c r="A730" s="0" t="s">
        <v>247</v>
      </c>
      <c r="B730" s="0" t="s">
        <v>127</v>
      </c>
      <c r="C730" s="0" t="s">
        <v>128</v>
      </c>
      <c r="D730" s="0" t="n">
        <v>1</v>
      </c>
      <c r="E730" s="5" t="n">
        <v>45941.5880671296</v>
      </c>
      <c r="F730" s="0" t="n">
        <v>1.45</v>
      </c>
      <c r="G730" s="0" t="n">
        <v>17022</v>
      </c>
      <c r="H730" s="6" t="s">
        <v>188</v>
      </c>
      <c r="I730" s="6" t="n">
        <f aca="false">D730*F730</f>
        <v>1.45</v>
      </c>
      <c r="J730" s="6" t="n">
        <f aca="false">HOUR(E730)</f>
        <v>14</v>
      </c>
      <c r="K730" s="6" t="n">
        <f aca="false">IF(COUNTIF($A$2:$A730,A730)=1,1,0)</f>
        <v>0</v>
      </c>
    </row>
    <row r="731" customFormat="false" ht="15" hidden="false" customHeight="false" outlineLevel="0" collapsed="false">
      <c r="A731" s="0" t="s">
        <v>247</v>
      </c>
      <c r="B731" s="0" t="s">
        <v>59</v>
      </c>
      <c r="C731" s="0" t="s">
        <v>60</v>
      </c>
      <c r="D731" s="0" t="n">
        <v>7</v>
      </c>
      <c r="E731" s="5" t="n">
        <v>45941.5880671296</v>
      </c>
      <c r="F731" s="0" t="n">
        <v>0.42</v>
      </c>
      <c r="G731" s="0" t="n">
        <v>17022</v>
      </c>
      <c r="H731" s="6" t="s">
        <v>188</v>
      </c>
      <c r="I731" s="6" t="n">
        <f aca="false">D731*F731</f>
        <v>2.94</v>
      </c>
      <c r="J731" s="6" t="n">
        <f aca="false">HOUR(E731)</f>
        <v>14</v>
      </c>
      <c r="K731" s="6" t="n">
        <f aca="false">IF(COUNTIF($A$2:$A731,A731)=1,1,0)</f>
        <v>0</v>
      </c>
    </row>
    <row r="732" customFormat="false" ht="15" hidden="false" customHeight="false" outlineLevel="0" collapsed="false">
      <c r="A732" s="0" t="s">
        <v>248</v>
      </c>
      <c r="B732" s="0" t="s">
        <v>65</v>
      </c>
      <c r="C732" s="0" t="s">
        <v>66</v>
      </c>
      <c r="D732" s="0" t="n">
        <v>20</v>
      </c>
      <c r="E732" s="5" t="n">
        <v>45941.5957986111</v>
      </c>
      <c r="F732" s="0" t="n">
        <v>1.65</v>
      </c>
      <c r="G732" s="0" t="n">
        <v>17225</v>
      </c>
      <c r="H732" s="6" t="s">
        <v>74</v>
      </c>
      <c r="I732" s="6" t="n">
        <f aca="false">D732*F732</f>
        <v>33</v>
      </c>
      <c r="J732" s="6" t="n">
        <f aca="false">HOUR(E732)</f>
        <v>14</v>
      </c>
      <c r="K732" s="6" t="n">
        <f aca="false">IF(COUNTIF($A$2:$A732,A732)=1,1,0)</f>
        <v>1</v>
      </c>
    </row>
    <row r="733" customFormat="false" ht="15" hidden="false" customHeight="false" outlineLevel="0" collapsed="false">
      <c r="A733" s="0" t="s">
        <v>248</v>
      </c>
      <c r="B733" s="0" t="s">
        <v>55</v>
      </c>
      <c r="C733" s="0" t="s">
        <v>56</v>
      </c>
      <c r="D733" s="0" t="n">
        <v>21</v>
      </c>
      <c r="E733" s="5" t="n">
        <v>45941.5957986111</v>
      </c>
      <c r="F733" s="0" t="n">
        <v>1.65</v>
      </c>
      <c r="G733" s="0" t="n">
        <v>17225</v>
      </c>
      <c r="H733" s="6" t="s">
        <v>74</v>
      </c>
      <c r="I733" s="6" t="n">
        <f aca="false">D733*F733</f>
        <v>34.65</v>
      </c>
      <c r="J733" s="6" t="n">
        <f aca="false">HOUR(E733)</f>
        <v>14</v>
      </c>
      <c r="K733" s="6" t="n">
        <f aca="false">IF(COUNTIF($A$2:$A733,A733)=1,1,0)</f>
        <v>0</v>
      </c>
    </row>
    <row r="734" customFormat="false" ht="15" hidden="false" customHeight="false" outlineLevel="0" collapsed="false">
      <c r="A734" s="0" t="s">
        <v>248</v>
      </c>
      <c r="B734" s="0" t="s">
        <v>109</v>
      </c>
      <c r="C734" s="0" t="s">
        <v>110</v>
      </c>
      <c r="D734" s="0" t="n">
        <v>8</v>
      </c>
      <c r="E734" s="5" t="n">
        <v>45941.5957986111</v>
      </c>
      <c r="F734" s="0" t="n">
        <v>0.85</v>
      </c>
      <c r="G734" s="0" t="n">
        <v>17225</v>
      </c>
      <c r="H734" s="6" t="s">
        <v>74</v>
      </c>
      <c r="I734" s="6" t="n">
        <f aca="false">D734*F734</f>
        <v>6.8</v>
      </c>
      <c r="J734" s="6" t="n">
        <f aca="false">HOUR(E734)</f>
        <v>14</v>
      </c>
      <c r="K734" s="6" t="n">
        <f aca="false">IF(COUNTIF($A$2:$A734,A734)=1,1,0)</f>
        <v>0</v>
      </c>
    </row>
    <row r="735" customFormat="false" ht="15" hidden="false" customHeight="false" outlineLevel="0" collapsed="false">
      <c r="A735" s="0" t="s">
        <v>249</v>
      </c>
      <c r="B735" s="0" t="s">
        <v>104</v>
      </c>
      <c r="C735" s="0" t="s">
        <v>105</v>
      </c>
      <c r="D735" s="0" t="n">
        <v>10</v>
      </c>
      <c r="E735" s="5" t="n">
        <v>45941.7085069444</v>
      </c>
      <c r="F735" s="0" t="n">
        <v>1.65</v>
      </c>
      <c r="G735" s="0" t="n">
        <v>17242</v>
      </c>
      <c r="H735" s="6" t="s">
        <v>42</v>
      </c>
      <c r="I735" s="6" t="n">
        <f aca="false">D735*F735</f>
        <v>16.5</v>
      </c>
      <c r="J735" s="6" t="n">
        <f aca="false">HOUR(E735)</f>
        <v>17</v>
      </c>
      <c r="K735" s="6" t="n">
        <f aca="false">IF(COUNTIF($A$2:$A735,A735)=1,1,0)</f>
        <v>1</v>
      </c>
    </row>
    <row r="736" customFormat="false" ht="15" hidden="false" customHeight="false" outlineLevel="0" collapsed="false">
      <c r="A736" s="0" t="s">
        <v>249</v>
      </c>
      <c r="B736" s="0" t="s">
        <v>140</v>
      </c>
      <c r="C736" s="0" t="s">
        <v>141</v>
      </c>
      <c r="D736" s="0" t="n">
        <v>23</v>
      </c>
      <c r="E736" s="5" t="n">
        <v>45941.7085069444</v>
      </c>
      <c r="F736" s="0" t="n">
        <v>2.08</v>
      </c>
      <c r="G736" s="0" t="n">
        <v>17242</v>
      </c>
      <c r="H736" s="6" t="s">
        <v>42</v>
      </c>
      <c r="I736" s="6" t="n">
        <f aca="false">D736*F736</f>
        <v>47.84</v>
      </c>
      <c r="J736" s="6" t="n">
        <f aca="false">HOUR(E736)</f>
        <v>17</v>
      </c>
      <c r="K736" s="6" t="n">
        <f aca="false">IF(COUNTIF($A$2:$A736,A736)=1,1,0)</f>
        <v>0</v>
      </c>
    </row>
    <row r="737" customFormat="false" ht="15" hidden="false" customHeight="false" outlineLevel="0" collapsed="false">
      <c r="A737" s="0" t="s">
        <v>249</v>
      </c>
      <c r="B737" s="0" t="s">
        <v>47</v>
      </c>
      <c r="C737" s="0" t="s">
        <v>48</v>
      </c>
      <c r="D737" s="0" t="n">
        <v>12</v>
      </c>
      <c r="E737" s="5" t="n">
        <v>45941.7085069444</v>
      </c>
      <c r="F737" s="0" t="n">
        <v>12.75</v>
      </c>
      <c r="G737" s="0" t="n">
        <v>17242</v>
      </c>
      <c r="H737" s="6" t="s">
        <v>42</v>
      </c>
      <c r="I737" s="6" t="n">
        <f aca="false">D737*F737</f>
        <v>153</v>
      </c>
      <c r="J737" s="6" t="n">
        <f aca="false">HOUR(E737)</f>
        <v>17</v>
      </c>
      <c r="K737" s="6" t="n">
        <f aca="false">IF(COUNTIF($A$2:$A737,A737)=1,1,0)</f>
        <v>0</v>
      </c>
    </row>
    <row r="738" customFormat="false" ht="15" hidden="false" customHeight="false" outlineLevel="0" collapsed="false">
      <c r="A738" s="0" t="s">
        <v>249</v>
      </c>
      <c r="B738" s="0" t="s">
        <v>63</v>
      </c>
      <c r="C738" s="0" t="s">
        <v>64</v>
      </c>
      <c r="D738" s="0" t="n">
        <v>23</v>
      </c>
      <c r="E738" s="5" t="n">
        <v>45941.7085069444</v>
      </c>
      <c r="F738" s="0" t="n">
        <v>1.85</v>
      </c>
      <c r="G738" s="0" t="n">
        <v>17242</v>
      </c>
      <c r="H738" s="6" t="s">
        <v>42</v>
      </c>
      <c r="I738" s="6" t="n">
        <f aca="false">D738*F738</f>
        <v>42.55</v>
      </c>
      <c r="J738" s="6" t="n">
        <f aca="false">HOUR(E738)</f>
        <v>17</v>
      </c>
      <c r="K738" s="6" t="n">
        <f aca="false">IF(COUNTIF($A$2:$A738,A738)=1,1,0)</f>
        <v>0</v>
      </c>
    </row>
    <row r="739" customFormat="false" ht="15" hidden="false" customHeight="false" outlineLevel="0" collapsed="false">
      <c r="A739" s="0" t="s">
        <v>249</v>
      </c>
      <c r="B739" s="0" t="s">
        <v>145</v>
      </c>
      <c r="C739" s="0" t="s">
        <v>146</v>
      </c>
      <c r="D739" s="0" t="n">
        <v>2</v>
      </c>
      <c r="E739" s="5" t="n">
        <v>45941.7085069444</v>
      </c>
      <c r="F739" s="0" t="n">
        <v>1.85</v>
      </c>
      <c r="G739" s="0" t="n">
        <v>17242</v>
      </c>
      <c r="H739" s="6" t="s">
        <v>42</v>
      </c>
      <c r="I739" s="6" t="n">
        <f aca="false">D739*F739</f>
        <v>3.7</v>
      </c>
      <c r="J739" s="6" t="n">
        <f aca="false">HOUR(E739)</f>
        <v>17</v>
      </c>
      <c r="K739" s="6" t="n">
        <f aca="false">IF(COUNTIF($A$2:$A739,A739)=1,1,0)</f>
        <v>0</v>
      </c>
    </row>
    <row r="740" customFormat="false" ht="15" hidden="false" customHeight="false" outlineLevel="0" collapsed="false">
      <c r="A740" s="0" t="s">
        <v>250</v>
      </c>
      <c r="B740" s="0" t="s">
        <v>93</v>
      </c>
      <c r="C740" s="0" t="s">
        <v>94</v>
      </c>
      <c r="D740" s="0" t="n">
        <v>2</v>
      </c>
      <c r="E740" s="5" t="n">
        <v>45941.7584259259</v>
      </c>
      <c r="F740" s="0" t="n">
        <v>1.69</v>
      </c>
      <c r="G740" s="0" t="n">
        <v>17083</v>
      </c>
      <c r="H740" s="6" t="s">
        <v>68</v>
      </c>
      <c r="I740" s="6" t="n">
        <f aca="false">D740*F740</f>
        <v>3.38</v>
      </c>
      <c r="J740" s="6" t="n">
        <f aca="false">HOUR(E740)</f>
        <v>18</v>
      </c>
      <c r="K740" s="6" t="n">
        <f aca="false">IF(COUNTIF($A$2:$A740,A740)=1,1,0)</f>
        <v>1</v>
      </c>
    </row>
    <row r="741" customFormat="false" ht="15" hidden="false" customHeight="false" outlineLevel="0" collapsed="false">
      <c r="A741" s="0" t="s">
        <v>250</v>
      </c>
      <c r="B741" s="0" t="s">
        <v>99</v>
      </c>
      <c r="C741" s="0" t="s">
        <v>100</v>
      </c>
      <c r="D741" s="0" t="n">
        <v>9</v>
      </c>
      <c r="E741" s="5" t="n">
        <v>45941.7584259259</v>
      </c>
      <c r="F741" s="0" t="n">
        <v>2.08</v>
      </c>
      <c r="G741" s="0" t="n">
        <v>17083</v>
      </c>
      <c r="H741" s="6" t="s">
        <v>68</v>
      </c>
      <c r="I741" s="6" t="n">
        <f aca="false">D741*F741</f>
        <v>18.72</v>
      </c>
      <c r="J741" s="6" t="n">
        <f aca="false">HOUR(E741)</f>
        <v>18</v>
      </c>
      <c r="K741" s="6" t="n">
        <f aca="false">IF(COUNTIF($A$2:$A741,A741)=1,1,0)</f>
        <v>0</v>
      </c>
    </row>
    <row r="742" customFormat="false" ht="15" hidden="false" customHeight="false" outlineLevel="0" collapsed="false">
      <c r="A742" s="0" t="s">
        <v>250</v>
      </c>
      <c r="B742" s="0" t="s">
        <v>131</v>
      </c>
      <c r="C742" s="0" t="s">
        <v>132</v>
      </c>
      <c r="D742" s="0" t="n">
        <v>14</v>
      </c>
      <c r="E742" s="5" t="n">
        <v>45941.7584259259</v>
      </c>
      <c r="F742" s="0" t="n">
        <v>3.39</v>
      </c>
      <c r="G742" s="0" t="n">
        <v>17083</v>
      </c>
      <c r="H742" s="6" t="s">
        <v>68</v>
      </c>
      <c r="I742" s="6" t="n">
        <f aca="false">D742*F742</f>
        <v>47.46</v>
      </c>
      <c r="J742" s="6" t="n">
        <f aca="false">HOUR(E742)</f>
        <v>18</v>
      </c>
      <c r="K742" s="6" t="n">
        <f aca="false">IF(COUNTIF($A$2:$A742,A742)=1,1,0)</f>
        <v>0</v>
      </c>
    </row>
    <row r="743" customFormat="false" ht="15" hidden="false" customHeight="false" outlineLevel="0" collapsed="false">
      <c r="A743" s="0" t="s">
        <v>250</v>
      </c>
      <c r="B743" s="0" t="s">
        <v>104</v>
      </c>
      <c r="C743" s="0" t="s">
        <v>105</v>
      </c>
      <c r="D743" s="0" t="n">
        <v>10</v>
      </c>
      <c r="E743" s="5" t="n">
        <v>45941.7584259259</v>
      </c>
      <c r="F743" s="0" t="n">
        <v>1.65</v>
      </c>
      <c r="G743" s="0" t="n">
        <v>17083</v>
      </c>
      <c r="H743" s="6" t="s">
        <v>68</v>
      </c>
      <c r="I743" s="6" t="n">
        <f aca="false">D743*F743</f>
        <v>16.5</v>
      </c>
      <c r="J743" s="6" t="n">
        <f aca="false">HOUR(E743)</f>
        <v>18</v>
      </c>
      <c r="K743" s="6" t="n">
        <f aca="false">IF(COUNTIF($A$2:$A743,A743)=1,1,0)</f>
        <v>0</v>
      </c>
    </row>
    <row r="744" customFormat="false" ht="15" hidden="false" customHeight="false" outlineLevel="0" collapsed="false">
      <c r="A744" s="0" t="s">
        <v>250</v>
      </c>
      <c r="B744" s="0" t="s">
        <v>83</v>
      </c>
      <c r="C744" s="0" t="s">
        <v>84</v>
      </c>
      <c r="D744" s="0" t="n">
        <v>4</v>
      </c>
      <c r="E744" s="5" t="n">
        <v>45941.7584259259</v>
      </c>
      <c r="F744" s="0" t="n">
        <v>2.95</v>
      </c>
      <c r="G744" s="0" t="n">
        <v>17083</v>
      </c>
      <c r="H744" s="6" t="s">
        <v>68</v>
      </c>
      <c r="I744" s="6" t="n">
        <f aca="false">D744*F744</f>
        <v>11.8</v>
      </c>
      <c r="J744" s="6" t="n">
        <f aca="false">HOUR(E744)</f>
        <v>18</v>
      </c>
      <c r="K744" s="6" t="n">
        <f aca="false">IF(COUNTIF($A$2:$A744,A744)=1,1,0)</f>
        <v>0</v>
      </c>
    </row>
    <row r="745" customFormat="false" ht="15" hidden="false" customHeight="false" outlineLevel="0" collapsed="false">
      <c r="A745" s="0" t="s">
        <v>251</v>
      </c>
      <c r="B745" s="0" t="s">
        <v>140</v>
      </c>
      <c r="C745" s="0" t="s">
        <v>141</v>
      </c>
      <c r="D745" s="0" t="n">
        <v>10</v>
      </c>
      <c r="E745" s="5" t="n">
        <v>45941.7802777778</v>
      </c>
      <c r="F745" s="0" t="n">
        <v>2.08</v>
      </c>
      <c r="G745" s="0" t="n">
        <v>17078</v>
      </c>
      <c r="H745" s="6" t="s">
        <v>74</v>
      </c>
      <c r="I745" s="6" t="n">
        <f aca="false">D745*F745</f>
        <v>20.8</v>
      </c>
      <c r="J745" s="6" t="n">
        <f aca="false">HOUR(E745)</f>
        <v>18</v>
      </c>
      <c r="K745" s="6" t="n">
        <f aca="false">IF(COUNTIF($A$2:$A745,A745)=1,1,0)</f>
        <v>1</v>
      </c>
    </row>
    <row r="746" customFormat="false" ht="15" hidden="false" customHeight="false" outlineLevel="0" collapsed="false">
      <c r="A746" s="0" t="s">
        <v>251</v>
      </c>
      <c r="B746" s="0" t="s">
        <v>59</v>
      </c>
      <c r="C746" s="0" t="s">
        <v>60</v>
      </c>
      <c r="D746" s="0" t="n">
        <v>10</v>
      </c>
      <c r="E746" s="5" t="n">
        <v>45941.7802777778</v>
      </c>
      <c r="F746" s="0" t="n">
        <v>0.42</v>
      </c>
      <c r="G746" s="0" t="n">
        <v>17078</v>
      </c>
      <c r="H746" s="6" t="s">
        <v>74</v>
      </c>
      <c r="I746" s="6" t="n">
        <f aca="false">D746*F746</f>
        <v>4.2</v>
      </c>
      <c r="J746" s="6" t="n">
        <f aca="false">HOUR(E746)</f>
        <v>18</v>
      </c>
      <c r="K746" s="6" t="n">
        <f aca="false">IF(COUNTIF($A$2:$A746,A746)=1,1,0)</f>
        <v>0</v>
      </c>
    </row>
    <row r="747" customFormat="false" ht="15" hidden="false" customHeight="false" outlineLevel="0" collapsed="false">
      <c r="A747" s="0" t="s">
        <v>251</v>
      </c>
      <c r="B747" s="0" t="s">
        <v>125</v>
      </c>
      <c r="C747" s="0" t="s">
        <v>126</v>
      </c>
      <c r="D747" s="0" t="n">
        <v>22</v>
      </c>
      <c r="E747" s="5" t="n">
        <v>45941.7802777778</v>
      </c>
      <c r="F747" s="0" t="n">
        <v>1.25</v>
      </c>
      <c r="G747" s="0" t="n">
        <v>17078</v>
      </c>
      <c r="H747" s="6" t="s">
        <v>74</v>
      </c>
      <c r="I747" s="6" t="n">
        <f aca="false">D747*F747</f>
        <v>27.5</v>
      </c>
      <c r="J747" s="6" t="n">
        <f aca="false">HOUR(E747)</f>
        <v>18</v>
      </c>
      <c r="K747" s="6" t="n">
        <f aca="false">IF(COUNTIF($A$2:$A747,A747)=1,1,0)</f>
        <v>0</v>
      </c>
    </row>
    <row r="748" customFormat="false" ht="15" hidden="false" customHeight="false" outlineLevel="0" collapsed="false">
      <c r="A748" s="0" t="s">
        <v>251</v>
      </c>
      <c r="B748" s="0" t="s">
        <v>95</v>
      </c>
      <c r="C748" s="0" t="s">
        <v>96</v>
      </c>
      <c r="D748" s="0" t="n">
        <v>21</v>
      </c>
      <c r="E748" s="5" t="n">
        <v>45941.7802777778</v>
      </c>
      <c r="F748" s="0" t="n">
        <v>2.55</v>
      </c>
      <c r="G748" s="0" t="n">
        <v>17078</v>
      </c>
      <c r="H748" s="6" t="s">
        <v>74</v>
      </c>
      <c r="I748" s="6" t="n">
        <f aca="false">D748*F748</f>
        <v>53.55</v>
      </c>
      <c r="J748" s="6" t="n">
        <f aca="false">HOUR(E748)</f>
        <v>18</v>
      </c>
      <c r="K748" s="6" t="n">
        <f aca="false">IF(COUNTIF($A$2:$A748,A748)=1,1,0)</f>
        <v>0</v>
      </c>
    </row>
    <row r="749" customFormat="false" ht="15" hidden="false" customHeight="false" outlineLevel="0" collapsed="false">
      <c r="A749" s="0" t="s">
        <v>251</v>
      </c>
      <c r="B749" s="0" t="s">
        <v>45</v>
      </c>
      <c r="C749" s="0" t="s">
        <v>46</v>
      </c>
      <c r="D749" s="0" t="n">
        <v>6</v>
      </c>
      <c r="E749" s="5" t="n">
        <v>45941.7802777778</v>
      </c>
      <c r="F749" s="0" t="n">
        <v>2.1</v>
      </c>
      <c r="G749" s="0" t="n">
        <v>17078</v>
      </c>
      <c r="H749" s="6" t="s">
        <v>74</v>
      </c>
      <c r="I749" s="6" t="n">
        <f aca="false">D749*F749</f>
        <v>12.6</v>
      </c>
      <c r="J749" s="6" t="n">
        <f aca="false">HOUR(E749)</f>
        <v>18</v>
      </c>
      <c r="K749" s="6" t="n">
        <f aca="false">IF(COUNTIF($A$2:$A749,A749)=1,1,0)</f>
        <v>0</v>
      </c>
    </row>
    <row r="750" customFormat="false" ht="15" hidden="false" customHeight="false" outlineLevel="0" collapsed="false">
      <c r="A750" s="0" t="s">
        <v>251</v>
      </c>
      <c r="B750" s="0" t="s">
        <v>91</v>
      </c>
      <c r="C750" s="0" t="s">
        <v>92</v>
      </c>
      <c r="D750" s="0" t="n">
        <v>19</v>
      </c>
      <c r="E750" s="5" t="n">
        <v>45941.7802777778</v>
      </c>
      <c r="F750" s="0" t="n">
        <v>7.65</v>
      </c>
      <c r="G750" s="0" t="n">
        <v>17078</v>
      </c>
      <c r="H750" s="6" t="s">
        <v>74</v>
      </c>
      <c r="I750" s="6" t="n">
        <f aca="false">D750*F750</f>
        <v>145.35</v>
      </c>
      <c r="J750" s="6" t="n">
        <f aca="false">HOUR(E750)</f>
        <v>18</v>
      </c>
      <c r="K750" s="6" t="n">
        <f aca="false">IF(COUNTIF($A$2:$A750,A750)=1,1,0)</f>
        <v>0</v>
      </c>
    </row>
    <row r="751" customFormat="false" ht="15" hidden="false" customHeight="false" outlineLevel="0" collapsed="false">
      <c r="A751" s="0" t="s">
        <v>251</v>
      </c>
      <c r="B751" s="0" t="s">
        <v>50</v>
      </c>
      <c r="C751" s="0" t="s">
        <v>51</v>
      </c>
      <c r="D751" s="0" t="n">
        <v>7</v>
      </c>
      <c r="E751" s="5" t="n">
        <v>45941.7802777778</v>
      </c>
      <c r="F751" s="0" t="n">
        <v>5.95</v>
      </c>
      <c r="G751" s="0" t="n">
        <v>17078</v>
      </c>
      <c r="H751" s="6" t="s">
        <v>74</v>
      </c>
      <c r="I751" s="6" t="n">
        <f aca="false">D751*F751</f>
        <v>41.65</v>
      </c>
      <c r="J751" s="6" t="n">
        <f aca="false">HOUR(E751)</f>
        <v>18</v>
      </c>
      <c r="K751" s="6" t="n">
        <f aca="false">IF(COUNTIF($A$2:$A751,A751)=1,1,0)</f>
        <v>0</v>
      </c>
    </row>
    <row r="752" customFormat="false" ht="15" hidden="false" customHeight="false" outlineLevel="0" collapsed="false">
      <c r="A752" s="0" t="s">
        <v>252</v>
      </c>
      <c r="B752" s="0" t="s">
        <v>114</v>
      </c>
      <c r="C752" s="0" t="s">
        <v>115</v>
      </c>
      <c r="D752" s="0" t="n">
        <v>3</v>
      </c>
      <c r="E752" s="5" t="n">
        <v>45941.8438310185</v>
      </c>
      <c r="F752" s="0" t="n">
        <v>2.08</v>
      </c>
      <c r="G752" s="0" t="n">
        <v>17115</v>
      </c>
      <c r="H752" s="6" t="s">
        <v>74</v>
      </c>
      <c r="I752" s="6" t="n">
        <f aca="false">D752*F752</f>
        <v>6.24</v>
      </c>
      <c r="J752" s="6" t="n">
        <f aca="false">HOUR(E752)</f>
        <v>20</v>
      </c>
      <c r="K752" s="6" t="n">
        <f aca="false">IF(COUNTIF($A$2:$A752,A752)=1,1,0)</f>
        <v>1</v>
      </c>
    </row>
    <row r="753" customFormat="false" ht="15" hidden="false" customHeight="false" outlineLevel="0" collapsed="false">
      <c r="A753" s="0" t="s">
        <v>252</v>
      </c>
      <c r="B753" s="0" t="s">
        <v>134</v>
      </c>
      <c r="C753" s="0" t="s">
        <v>135</v>
      </c>
      <c r="D753" s="0" t="n">
        <v>8</v>
      </c>
      <c r="E753" s="5" t="n">
        <v>45941.8438310185</v>
      </c>
      <c r="F753" s="0" t="n">
        <v>5.95</v>
      </c>
      <c r="G753" s="0" t="n">
        <v>17115</v>
      </c>
      <c r="H753" s="6" t="s">
        <v>74</v>
      </c>
      <c r="I753" s="6" t="n">
        <f aca="false">D753*F753</f>
        <v>47.6</v>
      </c>
      <c r="J753" s="6" t="n">
        <f aca="false">HOUR(E753)</f>
        <v>20</v>
      </c>
      <c r="K753" s="6" t="n">
        <f aca="false">IF(COUNTIF($A$2:$A753,A753)=1,1,0)</f>
        <v>0</v>
      </c>
    </row>
    <row r="754" customFormat="false" ht="15" hidden="false" customHeight="false" outlineLevel="0" collapsed="false">
      <c r="A754" s="0" t="s">
        <v>252</v>
      </c>
      <c r="B754" s="0" t="s">
        <v>45</v>
      </c>
      <c r="C754" s="0" t="s">
        <v>46</v>
      </c>
      <c r="D754" s="0" t="n">
        <v>8</v>
      </c>
      <c r="E754" s="5" t="n">
        <v>45941.8438310185</v>
      </c>
      <c r="F754" s="0" t="n">
        <v>2.1</v>
      </c>
      <c r="G754" s="0" t="n">
        <v>17115</v>
      </c>
      <c r="H754" s="6" t="s">
        <v>74</v>
      </c>
      <c r="I754" s="6" t="n">
        <f aca="false">D754*F754</f>
        <v>16.8</v>
      </c>
      <c r="J754" s="6" t="n">
        <f aca="false">HOUR(E754)</f>
        <v>20</v>
      </c>
      <c r="K754" s="6" t="n">
        <f aca="false">IF(COUNTIF($A$2:$A754,A754)=1,1,0)</f>
        <v>0</v>
      </c>
    </row>
    <row r="755" customFormat="false" ht="15" hidden="false" customHeight="false" outlineLevel="0" collapsed="false">
      <c r="A755" s="0" t="s">
        <v>252</v>
      </c>
      <c r="B755" s="0" t="s">
        <v>86</v>
      </c>
      <c r="C755" s="0" t="s">
        <v>87</v>
      </c>
      <c r="D755" s="0" t="n">
        <v>15</v>
      </c>
      <c r="E755" s="5" t="n">
        <v>45941.8438310185</v>
      </c>
      <c r="F755" s="0" t="n">
        <v>4.25</v>
      </c>
      <c r="G755" s="0" t="n">
        <v>17115</v>
      </c>
      <c r="H755" s="6" t="s">
        <v>74</v>
      </c>
      <c r="I755" s="6" t="n">
        <f aca="false">D755*F755</f>
        <v>63.75</v>
      </c>
      <c r="J755" s="6" t="n">
        <f aca="false">HOUR(E755)</f>
        <v>20</v>
      </c>
      <c r="K755" s="6" t="n">
        <f aca="false">IF(COUNTIF($A$2:$A755,A755)=1,1,0)</f>
        <v>0</v>
      </c>
    </row>
    <row r="756" customFormat="false" ht="15" hidden="false" customHeight="false" outlineLevel="0" collapsed="false">
      <c r="A756" s="0" t="s">
        <v>252</v>
      </c>
      <c r="B756" s="0" t="s">
        <v>131</v>
      </c>
      <c r="C756" s="0" t="s">
        <v>132</v>
      </c>
      <c r="D756" s="0" t="n">
        <v>23</v>
      </c>
      <c r="E756" s="5" t="n">
        <v>45941.8438310185</v>
      </c>
      <c r="F756" s="0" t="n">
        <v>3.39</v>
      </c>
      <c r="G756" s="0" t="n">
        <v>17115</v>
      </c>
      <c r="H756" s="6" t="s">
        <v>74</v>
      </c>
      <c r="I756" s="6" t="n">
        <f aca="false">D756*F756</f>
        <v>77.97</v>
      </c>
      <c r="J756" s="6" t="n">
        <f aca="false">HOUR(E756)</f>
        <v>20</v>
      </c>
      <c r="K756" s="6" t="n">
        <f aca="false">IF(COUNTIF($A$2:$A756,A756)=1,1,0)</f>
        <v>0</v>
      </c>
    </row>
    <row r="757" customFormat="false" ht="15" hidden="false" customHeight="false" outlineLevel="0" collapsed="false">
      <c r="A757" s="0" t="s">
        <v>252</v>
      </c>
      <c r="B757" s="0" t="s">
        <v>69</v>
      </c>
      <c r="C757" s="0" t="s">
        <v>70</v>
      </c>
      <c r="D757" s="0" t="n">
        <v>48</v>
      </c>
      <c r="E757" s="5" t="n">
        <v>45941.8438310185</v>
      </c>
      <c r="F757" s="0" t="n">
        <v>2.08</v>
      </c>
      <c r="G757" s="0" t="n">
        <v>17115</v>
      </c>
      <c r="H757" s="6" t="s">
        <v>74</v>
      </c>
      <c r="I757" s="6" t="n">
        <f aca="false">D757*F757</f>
        <v>99.84</v>
      </c>
      <c r="J757" s="6" t="n">
        <f aca="false">HOUR(E757)</f>
        <v>20</v>
      </c>
      <c r="K757" s="6" t="n">
        <f aca="false">IF(COUNTIF($A$2:$A757,A757)=1,1,0)</f>
        <v>0</v>
      </c>
    </row>
    <row r="758" customFormat="false" ht="15" hidden="false" customHeight="false" outlineLevel="0" collapsed="false">
      <c r="A758" s="0" t="s">
        <v>252</v>
      </c>
      <c r="B758" s="0" t="s">
        <v>127</v>
      </c>
      <c r="C758" s="0" t="s">
        <v>128</v>
      </c>
      <c r="D758" s="0" t="n">
        <v>20</v>
      </c>
      <c r="E758" s="5" t="n">
        <v>45941.8438310185</v>
      </c>
      <c r="F758" s="0" t="n">
        <v>1.45</v>
      </c>
      <c r="G758" s="0" t="n">
        <v>17115</v>
      </c>
      <c r="H758" s="6" t="s">
        <v>74</v>
      </c>
      <c r="I758" s="6" t="n">
        <f aca="false">D758*F758</f>
        <v>29</v>
      </c>
      <c r="J758" s="6" t="n">
        <f aca="false">HOUR(E758)</f>
        <v>20</v>
      </c>
      <c r="K758" s="6" t="n">
        <f aca="false">IF(COUNTIF($A$2:$A758,A758)=1,1,0)</f>
        <v>0</v>
      </c>
    </row>
    <row r="759" customFormat="false" ht="15" hidden="false" customHeight="false" outlineLevel="0" collapsed="false">
      <c r="A759" s="0" t="s">
        <v>252</v>
      </c>
      <c r="B759" s="0" t="s">
        <v>125</v>
      </c>
      <c r="C759" s="0" t="s">
        <v>126</v>
      </c>
      <c r="D759" s="0" t="n">
        <v>2</v>
      </c>
      <c r="E759" s="5" t="n">
        <v>45941.8438310185</v>
      </c>
      <c r="F759" s="0" t="n">
        <v>1.25</v>
      </c>
      <c r="G759" s="0" t="n">
        <v>17115</v>
      </c>
      <c r="H759" s="6" t="s">
        <v>74</v>
      </c>
      <c r="I759" s="6" t="n">
        <f aca="false">D759*F759</f>
        <v>2.5</v>
      </c>
      <c r="J759" s="6" t="n">
        <f aca="false">HOUR(E759)</f>
        <v>20</v>
      </c>
      <c r="K759" s="6" t="n">
        <f aca="false">IF(COUNTIF($A$2:$A759,A759)=1,1,0)</f>
        <v>0</v>
      </c>
    </row>
    <row r="760" customFormat="false" ht="15" hidden="false" customHeight="false" outlineLevel="0" collapsed="false">
      <c r="A760" s="0" t="s">
        <v>252</v>
      </c>
      <c r="B760" s="0" t="s">
        <v>57</v>
      </c>
      <c r="C760" s="0" t="s">
        <v>58</v>
      </c>
      <c r="D760" s="0" t="n">
        <v>14</v>
      </c>
      <c r="E760" s="5" t="n">
        <v>45941.8438310185</v>
      </c>
      <c r="F760" s="0" t="n">
        <v>2.08</v>
      </c>
      <c r="G760" s="0" t="n">
        <v>17115</v>
      </c>
      <c r="H760" s="6" t="s">
        <v>74</v>
      </c>
      <c r="I760" s="6" t="n">
        <f aca="false">D760*F760</f>
        <v>29.12</v>
      </c>
      <c r="J760" s="6" t="n">
        <f aca="false">HOUR(E760)</f>
        <v>20</v>
      </c>
      <c r="K760" s="6" t="n">
        <f aca="false">IF(COUNTIF($A$2:$A760,A760)=1,1,0)</f>
        <v>0</v>
      </c>
    </row>
    <row r="761" customFormat="false" ht="15" hidden="false" customHeight="false" outlineLevel="0" collapsed="false">
      <c r="A761" s="0" t="s">
        <v>253</v>
      </c>
      <c r="B761" s="0" t="s">
        <v>57</v>
      </c>
      <c r="C761" s="0" t="s">
        <v>58</v>
      </c>
      <c r="D761" s="0" t="n">
        <v>5</v>
      </c>
      <c r="E761" s="5" t="n">
        <v>45941.8729398148</v>
      </c>
      <c r="F761" s="0" t="n">
        <v>2.08</v>
      </c>
      <c r="G761" s="0" t="n">
        <v>17171</v>
      </c>
      <c r="H761" s="6" t="s">
        <v>74</v>
      </c>
      <c r="I761" s="6" t="n">
        <f aca="false">D761*F761</f>
        <v>10.4</v>
      </c>
      <c r="J761" s="6" t="n">
        <f aca="false">HOUR(E761)</f>
        <v>20</v>
      </c>
      <c r="K761" s="6" t="n">
        <f aca="false">IF(COUNTIF($A$2:$A761,A761)=1,1,0)</f>
        <v>1</v>
      </c>
    </row>
    <row r="762" customFormat="false" ht="15" hidden="false" customHeight="false" outlineLevel="0" collapsed="false">
      <c r="A762" s="0" t="s">
        <v>253</v>
      </c>
      <c r="B762" s="0" t="s">
        <v>65</v>
      </c>
      <c r="C762" s="0" t="s">
        <v>66</v>
      </c>
      <c r="D762" s="0" t="n">
        <v>4</v>
      </c>
      <c r="E762" s="5" t="n">
        <v>45941.8729398148</v>
      </c>
      <c r="F762" s="0" t="n">
        <v>1.65</v>
      </c>
      <c r="G762" s="0" t="n">
        <v>17171</v>
      </c>
      <c r="H762" s="6" t="s">
        <v>74</v>
      </c>
      <c r="I762" s="6" t="n">
        <f aca="false">D762*F762</f>
        <v>6.6</v>
      </c>
      <c r="J762" s="6" t="n">
        <f aca="false">HOUR(E762)</f>
        <v>20</v>
      </c>
      <c r="K762" s="6" t="n">
        <f aca="false">IF(COUNTIF($A$2:$A762,A762)=1,1,0)</f>
        <v>0</v>
      </c>
    </row>
    <row r="763" customFormat="false" ht="15" hidden="false" customHeight="false" outlineLevel="0" collapsed="false">
      <c r="A763" s="0" t="s">
        <v>253</v>
      </c>
      <c r="B763" s="0" t="s">
        <v>109</v>
      </c>
      <c r="C763" s="0" t="s">
        <v>110</v>
      </c>
      <c r="D763" s="0" t="n">
        <v>24</v>
      </c>
      <c r="E763" s="5" t="n">
        <v>45941.8729398148</v>
      </c>
      <c r="F763" s="0" t="n">
        <v>0.85</v>
      </c>
      <c r="G763" s="0" t="n">
        <v>17171</v>
      </c>
      <c r="H763" s="6" t="s">
        <v>74</v>
      </c>
      <c r="I763" s="6" t="n">
        <f aca="false">D763*F763</f>
        <v>20.4</v>
      </c>
      <c r="J763" s="6" t="n">
        <f aca="false">HOUR(E763)</f>
        <v>20</v>
      </c>
      <c r="K763" s="6" t="n">
        <f aca="false">IF(COUNTIF($A$2:$A763,A763)=1,1,0)</f>
        <v>0</v>
      </c>
    </row>
    <row r="764" customFormat="false" ht="15" hidden="false" customHeight="false" outlineLevel="0" collapsed="false">
      <c r="A764" s="0" t="s">
        <v>253</v>
      </c>
      <c r="B764" s="0" t="s">
        <v>47</v>
      </c>
      <c r="C764" s="0" t="s">
        <v>48</v>
      </c>
      <c r="D764" s="0" t="n">
        <v>34</v>
      </c>
      <c r="E764" s="5" t="n">
        <v>45941.8729398148</v>
      </c>
      <c r="F764" s="0" t="n">
        <v>12.75</v>
      </c>
      <c r="G764" s="0" t="n">
        <v>17171</v>
      </c>
      <c r="H764" s="6" t="s">
        <v>74</v>
      </c>
      <c r="I764" s="6" t="n">
        <f aca="false">D764*F764</f>
        <v>433.5</v>
      </c>
      <c r="J764" s="6" t="n">
        <f aca="false">HOUR(E764)</f>
        <v>20</v>
      </c>
      <c r="K764" s="6" t="n">
        <f aca="false">IF(COUNTIF($A$2:$A764,A764)=1,1,0)</f>
        <v>0</v>
      </c>
    </row>
    <row r="765" customFormat="false" ht="15" hidden="false" customHeight="false" outlineLevel="0" collapsed="false">
      <c r="A765" s="0" t="s">
        <v>253</v>
      </c>
      <c r="B765" s="0" t="s">
        <v>86</v>
      </c>
      <c r="C765" s="0" t="s">
        <v>87</v>
      </c>
      <c r="D765" s="0" t="n">
        <v>16</v>
      </c>
      <c r="E765" s="5" t="n">
        <v>45941.8729398148</v>
      </c>
      <c r="F765" s="0" t="n">
        <v>4.25</v>
      </c>
      <c r="G765" s="0" t="n">
        <v>17171</v>
      </c>
      <c r="H765" s="6" t="s">
        <v>74</v>
      </c>
      <c r="I765" s="6" t="n">
        <f aca="false">D765*F765</f>
        <v>68</v>
      </c>
      <c r="J765" s="6" t="n">
        <f aca="false">HOUR(E765)</f>
        <v>20</v>
      </c>
      <c r="K765" s="6" t="n">
        <f aca="false">IF(COUNTIF($A$2:$A765,A765)=1,1,0)</f>
        <v>0</v>
      </c>
    </row>
    <row r="766" customFormat="false" ht="15" hidden="false" customHeight="false" outlineLevel="0" collapsed="false">
      <c r="A766" s="0" t="s">
        <v>253</v>
      </c>
      <c r="B766" s="0" t="s">
        <v>127</v>
      </c>
      <c r="C766" s="0" t="s">
        <v>128</v>
      </c>
      <c r="D766" s="0" t="n">
        <v>23</v>
      </c>
      <c r="E766" s="5" t="n">
        <v>45941.8729398148</v>
      </c>
      <c r="F766" s="0" t="n">
        <v>1.45</v>
      </c>
      <c r="G766" s="0" t="n">
        <v>17171</v>
      </c>
      <c r="H766" s="6" t="s">
        <v>74</v>
      </c>
      <c r="I766" s="6" t="n">
        <f aca="false">D766*F766</f>
        <v>33.35</v>
      </c>
      <c r="J766" s="6" t="n">
        <f aca="false">HOUR(E766)</f>
        <v>20</v>
      </c>
      <c r="K766" s="6" t="n">
        <f aca="false">IF(COUNTIF($A$2:$A766,A766)=1,1,0)</f>
        <v>0</v>
      </c>
    </row>
    <row r="767" customFormat="false" ht="15" hidden="false" customHeight="false" outlineLevel="0" collapsed="false">
      <c r="A767" s="0" t="s">
        <v>253</v>
      </c>
      <c r="B767" s="0" t="s">
        <v>93</v>
      </c>
      <c r="C767" s="0" t="s">
        <v>94</v>
      </c>
      <c r="D767" s="0" t="n">
        <v>1</v>
      </c>
      <c r="E767" s="5" t="n">
        <v>45941.8729398148</v>
      </c>
      <c r="F767" s="0" t="n">
        <v>1.69</v>
      </c>
      <c r="G767" s="0" t="n">
        <v>17171</v>
      </c>
      <c r="H767" s="6" t="s">
        <v>74</v>
      </c>
      <c r="I767" s="6" t="n">
        <f aca="false">D767*F767</f>
        <v>1.69</v>
      </c>
      <c r="J767" s="6" t="n">
        <f aca="false">HOUR(E767)</f>
        <v>20</v>
      </c>
      <c r="K767" s="6" t="n">
        <f aca="false">IF(COUNTIF($A$2:$A767,A767)=1,1,0)</f>
        <v>0</v>
      </c>
    </row>
    <row r="768" customFormat="false" ht="15" hidden="false" customHeight="false" outlineLevel="0" collapsed="false">
      <c r="A768" s="0" t="s">
        <v>253</v>
      </c>
      <c r="B768" s="0" t="s">
        <v>99</v>
      </c>
      <c r="C768" s="0" t="s">
        <v>100</v>
      </c>
      <c r="D768" s="0" t="n">
        <v>3</v>
      </c>
      <c r="E768" s="5" t="n">
        <v>45941.8729398148</v>
      </c>
      <c r="F768" s="0" t="n">
        <v>2.08</v>
      </c>
      <c r="G768" s="0" t="n">
        <v>17171</v>
      </c>
      <c r="H768" s="6" t="s">
        <v>74</v>
      </c>
      <c r="I768" s="6" t="n">
        <f aca="false">D768*F768</f>
        <v>6.24</v>
      </c>
      <c r="J768" s="6" t="n">
        <f aca="false">HOUR(E768)</f>
        <v>20</v>
      </c>
      <c r="K768" s="6" t="n">
        <f aca="false">IF(COUNTIF($A$2:$A768,A768)=1,1,0)</f>
        <v>0</v>
      </c>
    </row>
    <row r="769" customFormat="false" ht="15" hidden="false" customHeight="false" outlineLevel="0" collapsed="false">
      <c r="A769" s="0" t="s">
        <v>253</v>
      </c>
      <c r="B769" s="0" t="s">
        <v>61</v>
      </c>
      <c r="C769" s="0" t="s">
        <v>62</v>
      </c>
      <c r="D769" s="0" t="n">
        <v>5</v>
      </c>
      <c r="E769" s="5" t="n">
        <v>45941.8729398148</v>
      </c>
      <c r="F769" s="0" t="n">
        <v>1.65</v>
      </c>
      <c r="G769" s="0" t="n">
        <v>17171</v>
      </c>
      <c r="H769" s="6" t="s">
        <v>74</v>
      </c>
      <c r="I769" s="6" t="n">
        <f aca="false">D769*F769</f>
        <v>8.25</v>
      </c>
      <c r="J769" s="6" t="n">
        <f aca="false">HOUR(E769)</f>
        <v>20</v>
      </c>
      <c r="K769" s="6" t="n">
        <f aca="false">IF(COUNTIF($A$2:$A769,A769)=1,1,0)</f>
        <v>0</v>
      </c>
    </row>
    <row r="770" customFormat="false" ht="15" hidden="false" customHeight="false" outlineLevel="0" collapsed="false">
      <c r="A770" s="0" t="s">
        <v>253</v>
      </c>
      <c r="B770" s="0" t="s">
        <v>137</v>
      </c>
      <c r="C770" s="0" t="s">
        <v>138</v>
      </c>
      <c r="D770" s="0" t="n">
        <v>9</v>
      </c>
      <c r="E770" s="5" t="n">
        <v>45941.8729398148</v>
      </c>
      <c r="F770" s="0" t="n">
        <v>2.1</v>
      </c>
      <c r="G770" s="0" t="n">
        <v>17171</v>
      </c>
      <c r="H770" s="6" t="s">
        <v>74</v>
      </c>
      <c r="I770" s="6" t="n">
        <f aca="false">D770*F770</f>
        <v>18.9</v>
      </c>
      <c r="J770" s="6" t="n">
        <f aca="false">HOUR(E770)</f>
        <v>20</v>
      </c>
      <c r="K770" s="6" t="n">
        <f aca="false">IF(COUNTIF($A$2:$A770,A770)=1,1,0)</f>
        <v>0</v>
      </c>
    </row>
    <row r="771" customFormat="false" ht="15" hidden="false" customHeight="false" outlineLevel="0" collapsed="false">
      <c r="A771" s="0" t="s">
        <v>254</v>
      </c>
      <c r="B771" s="0" t="s">
        <v>75</v>
      </c>
      <c r="C771" s="0" t="s">
        <v>76</v>
      </c>
      <c r="D771" s="0" t="n">
        <v>9</v>
      </c>
      <c r="E771" s="5" t="n">
        <v>45942.2620023148</v>
      </c>
      <c r="F771" s="0" t="n">
        <v>3.39</v>
      </c>
      <c r="G771" s="0" t="n">
        <v>17067</v>
      </c>
      <c r="H771" s="6" t="s">
        <v>74</v>
      </c>
      <c r="I771" s="6" t="n">
        <f aca="false">D771*F771</f>
        <v>30.51</v>
      </c>
      <c r="J771" s="6" t="n">
        <f aca="false">HOUR(E771)</f>
        <v>6</v>
      </c>
      <c r="K771" s="6" t="n">
        <f aca="false">IF(COUNTIF($A$2:$A771,A771)=1,1,0)</f>
        <v>1</v>
      </c>
    </row>
    <row r="772" customFormat="false" ht="15" hidden="false" customHeight="false" outlineLevel="0" collapsed="false">
      <c r="A772" s="0" t="s">
        <v>254</v>
      </c>
      <c r="B772" s="0" t="s">
        <v>72</v>
      </c>
      <c r="C772" s="0" t="s">
        <v>73</v>
      </c>
      <c r="D772" s="0" t="n">
        <v>14</v>
      </c>
      <c r="E772" s="5" t="n">
        <v>45942.2620023148</v>
      </c>
      <c r="F772" s="0" t="n">
        <v>4.95</v>
      </c>
      <c r="G772" s="0" t="n">
        <v>17067</v>
      </c>
      <c r="H772" s="6" t="s">
        <v>74</v>
      </c>
      <c r="I772" s="6" t="n">
        <f aca="false">D772*F772</f>
        <v>69.3</v>
      </c>
      <c r="J772" s="6" t="n">
        <f aca="false">HOUR(E772)</f>
        <v>6</v>
      </c>
      <c r="K772" s="6" t="n">
        <f aca="false">IF(COUNTIF($A$2:$A772,A772)=1,1,0)</f>
        <v>0</v>
      </c>
    </row>
    <row r="773" customFormat="false" ht="15" hidden="false" customHeight="false" outlineLevel="0" collapsed="false">
      <c r="A773" s="0" t="s">
        <v>254</v>
      </c>
      <c r="B773" s="0" t="s">
        <v>107</v>
      </c>
      <c r="C773" s="0" t="s">
        <v>108</v>
      </c>
      <c r="D773" s="0" t="n">
        <v>16</v>
      </c>
      <c r="E773" s="5" t="n">
        <v>45942.2620023148</v>
      </c>
      <c r="F773" s="0" t="n">
        <v>3.75</v>
      </c>
      <c r="G773" s="0" t="n">
        <v>17067</v>
      </c>
      <c r="H773" s="6" t="s">
        <v>74</v>
      </c>
      <c r="I773" s="6" t="n">
        <f aca="false">D773*F773</f>
        <v>60</v>
      </c>
      <c r="J773" s="6" t="n">
        <f aca="false">HOUR(E773)</f>
        <v>6</v>
      </c>
      <c r="K773" s="6" t="n">
        <f aca="false">IF(COUNTIF($A$2:$A773,A773)=1,1,0)</f>
        <v>0</v>
      </c>
    </row>
    <row r="774" customFormat="false" ht="15" hidden="false" customHeight="false" outlineLevel="0" collapsed="false">
      <c r="A774" s="0" t="s">
        <v>254</v>
      </c>
      <c r="B774" s="0" t="s">
        <v>95</v>
      </c>
      <c r="C774" s="0" t="s">
        <v>96</v>
      </c>
      <c r="D774" s="0" t="n">
        <v>12</v>
      </c>
      <c r="E774" s="5" t="n">
        <v>45942.2620023148</v>
      </c>
      <c r="F774" s="0" t="n">
        <v>2.55</v>
      </c>
      <c r="G774" s="0" t="n">
        <v>17067</v>
      </c>
      <c r="H774" s="6" t="s">
        <v>74</v>
      </c>
      <c r="I774" s="6" t="n">
        <f aca="false">D774*F774</f>
        <v>30.6</v>
      </c>
      <c r="J774" s="6" t="n">
        <f aca="false">HOUR(E774)</f>
        <v>6</v>
      </c>
      <c r="K774" s="6" t="n">
        <f aca="false">IF(COUNTIF($A$2:$A774,A774)=1,1,0)</f>
        <v>0</v>
      </c>
    </row>
    <row r="775" customFormat="false" ht="15" hidden="false" customHeight="false" outlineLevel="0" collapsed="false">
      <c r="A775" s="0" t="s">
        <v>254</v>
      </c>
      <c r="B775" s="0" t="s">
        <v>63</v>
      </c>
      <c r="C775" s="0" t="s">
        <v>64</v>
      </c>
      <c r="D775" s="0" t="n">
        <v>7</v>
      </c>
      <c r="E775" s="5" t="n">
        <v>45942.2620023148</v>
      </c>
      <c r="F775" s="0" t="n">
        <v>1.85</v>
      </c>
      <c r="G775" s="0" t="n">
        <v>17067</v>
      </c>
      <c r="H775" s="6" t="s">
        <v>74</v>
      </c>
      <c r="I775" s="6" t="n">
        <f aca="false">D775*F775</f>
        <v>12.95</v>
      </c>
      <c r="J775" s="6" t="n">
        <f aca="false">HOUR(E775)</f>
        <v>6</v>
      </c>
      <c r="K775" s="6" t="n">
        <f aca="false">IF(COUNTIF($A$2:$A775,A775)=1,1,0)</f>
        <v>0</v>
      </c>
    </row>
    <row r="776" customFormat="false" ht="15" hidden="false" customHeight="false" outlineLevel="0" collapsed="false">
      <c r="A776" s="0" t="s">
        <v>254</v>
      </c>
      <c r="B776" s="0" t="s">
        <v>43</v>
      </c>
      <c r="C776" s="0" t="s">
        <v>44</v>
      </c>
      <c r="D776" s="0" t="n">
        <v>23</v>
      </c>
      <c r="E776" s="5" t="n">
        <v>45942.2620023148</v>
      </c>
      <c r="F776" s="0" t="n">
        <v>4.25</v>
      </c>
      <c r="G776" s="0" t="n">
        <v>17067</v>
      </c>
      <c r="H776" s="6" t="s">
        <v>74</v>
      </c>
      <c r="I776" s="6" t="n">
        <f aca="false">D776*F776</f>
        <v>97.75</v>
      </c>
      <c r="J776" s="6" t="n">
        <f aca="false">HOUR(E776)</f>
        <v>6</v>
      </c>
      <c r="K776" s="6" t="n">
        <f aca="false">IF(COUNTIF($A$2:$A776,A776)=1,1,0)</f>
        <v>0</v>
      </c>
    </row>
    <row r="777" customFormat="false" ht="15" hidden="false" customHeight="false" outlineLevel="0" collapsed="false">
      <c r="A777" s="0" t="s">
        <v>254</v>
      </c>
      <c r="B777" s="0" t="s">
        <v>77</v>
      </c>
      <c r="C777" s="0" t="s">
        <v>78</v>
      </c>
      <c r="D777" s="0" t="n">
        <v>5</v>
      </c>
      <c r="E777" s="5" t="n">
        <v>45942.2620023148</v>
      </c>
      <c r="F777" s="0" t="n">
        <v>1.65</v>
      </c>
      <c r="G777" s="0" t="n">
        <v>17067</v>
      </c>
      <c r="H777" s="6" t="s">
        <v>74</v>
      </c>
      <c r="I777" s="6" t="n">
        <f aca="false">D777*F777</f>
        <v>8.25</v>
      </c>
      <c r="J777" s="6" t="n">
        <f aca="false">HOUR(E777)</f>
        <v>6</v>
      </c>
      <c r="K777" s="6" t="n">
        <f aca="false">IF(COUNTIF($A$2:$A777,A777)=1,1,0)</f>
        <v>0</v>
      </c>
    </row>
    <row r="778" customFormat="false" ht="15" hidden="false" customHeight="false" outlineLevel="0" collapsed="false">
      <c r="A778" s="0" t="s">
        <v>254</v>
      </c>
      <c r="B778" s="0" t="s">
        <v>53</v>
      </c>
      <c r="C778" s="0" t="s">
        <v>54</v>
      </c>
      <c r="D778" s="0" t="n">
        <v>14</v>
      </c>
      <c r="E778" s="5" t="n">
        <v>45942.2620023148</v>
      </c>
      <c r="F778" s="0" t="n">
        <v>2.95</v>
      </c>
      <c r="G778" s="0" t="n">
        <v>17067</v>
      </c>
      <c r="H778" s="6" t="s">
        <v>74</v>
      </c>
      <c r="I778" s="6" t="n">
        <f aca="false">D778*F778</f>
        <v>41.3</v>
      </c>
      <c r="J778" s="6" t="n">
        <f aca="false">HOUR(E778)</f>
        <v>6</v>
      </c>
      <c r="K778" s="6" t="n">
        <f aca="false">IF(COUNTIF($A$2:$A778,A778)=1,1,0)</f>
        <v>0</v>
      </c>
    </row>
    <row r="779" customFormat="false" ht="15" hidden="false" customHeight="false" outlineLevel="0" collapsed="false">
      <c r="A779" s="0" t="s">
        <v>254</v>
      </c>
      <c r="B779" s="0" t="s">
        <v>145</v>
      </c>
      <c r="C779" s="0" t="s">
        <v>146</v>
      </c>
      <c r="D779" s="0" t="n">
        <v>23</v>
      </c>
      <c r="E779" s="5" t="n">
        <v>45942.2620023148</v>
      </c>
      <c r="F779" s="0" t="n">
        <v>1.85</v>
      </c>
      <c r="G779" s="0" t="n">
        <v>17067</v>
      </c>
      <c r="H779" s="6" t="s">
        <v>74</v>
      </c>
      <c r="I779" s="6" t="n">
        <f aca="false">D779*F779</f>
        <v>42.55</v>
      </c>
      <c r="J779" s="6" t="n">
        <f aca="false">HOUR(E779)</f>
        <v>6</v>
      </c>
      <c r="K779" s="6" t="n">
        <f aca="false">IF(COUNTIF($A$2:$A779,A779)=1,1,0)</f>
        <v>0</v>
      </c>
    </row>
    <row r="780" customFormat="false" ht="15" hidden="false" customHeight="false" outlineLevel="0" collapsed="false">
      <c r="A780" s="0" t="s">
        <v>255</v>
      </c>
      <c r="B780" s="0" t="s">
        <v>65</v>
      </c>
      <c r="C780" s="0" t="s">
        <v>66</v>
      </c>
      <c r="D780" s="0" t="n">
        <v>2</v>
      </c>
      <c r="E780" s="5" t="n">
        <v>45942.406724537</v>
      </c>
      <c r="F780" s="0" t="n">
        <v>1.65</v>
      </c>
      <c r="G780" s="0" t="n">
        <v>17243</v>
      </c>
      <c r="H780" s="6" t="s">
        <v>74</v>
      </c>
      <c r="I780" s="6" t="n">
        <f aca="false">D780*F780</f>
        <v>3.3</v>
      </c>
      <c r="J780" s="6" t="n">
        <f aca="false">HOUR(E780)</f>
        <v>9</v>
      </c>
      <c r="K780" s="6" t="n">
        <f aca="false">IF(COUNTIF($A$2:$A780,A780)=1,1,0)</f>
        <v>1</v>
      </c>
    </row>
    <row r="781" customFormat="false" ht="15" hidden="false" customHeight="false" outlineLevel="0" collapsed="false">
      <c r="A781" s="0" t="s">
        <v>255</v>
      </c>
      <c r="B781" s="0" t="s">
        <v>93</v>
      </c>
      <c r="C781" s="0" t="s">
        <v>94</v>
      </c>
      <c r="D781" s="0" t="n">
        <v>6</v>
      </c>
      <c r="E781" s="5" t="n">
        <v>45942.406724537</v>
      </c>
      <c r="F781" s="0" t="n">
        <v>1.69</v>
      </c>
      <c r="G781" s="0" t="n">
        <v>17243</v>
      </c>
      <c r="H781" s="6" t="s">
        <v>74</v>
      </c>
      <c r="I781" s="6" t="n">
        <f aca="false">D781*F781</f>
        <v>10.14</v>
      </c>
      <c r="J781" s="6" t="n">
        <f aca="false">HOUR(E781)</f>
        <v>9</v>
      </c>
      <c r="K781" s="6" t="n">
        <f aca="false">IF(COUNTIF($A$2:$A781,A781)=1,1,0)</f>
        <v>0</v>
      </c>
    </row>
    <row r="782" customFormat="false" ht="15" hidden="false" customHeight="false" outlineLevel="0" collapsed="false">
      <c r="A782" s="0" t="s">
        <v>255</v>
      </c>
      <c r="B782" s="0" t="s">
        <v>45</v>
      </c>
      <c r="C782" s="0" t="s">
        <v>46</v>
      </c>
      <c r="D782" s="0" t="n">
        <v>14</v>
      </c>
      <c r="E782" s="5" t="n">
        <v>45942.406724537</v>
      </c>
      <c r="F782" s="0" t="n">
        <v>2.1</v>
      </c>
      <c r="G782" s="0" t="n">
        <v>17243</v>
      </c>
      <c r="H782" s="6" t="s">
        <v>74</v>
      </c>
      <c r="I782" s="6" t="n">
        <f aca="false">D782*F782</f>
        <v>29.4</v>
      </c>
      <c r="J782" s="6" t="n">
        <f aca="false">HOUR(E782)</f>
        <v>9</v>
      </c>
      <c r="K782" s="6" t="n">
        <f aca="false">IF(COUNTIF($A$2:$A782,A782)=1,1,0)</f>
        <v>0</v>
      </c>
    </row>
    <row r="783" customFormat="false" ht="15" hidden="false" customHeight="false" outlineLevel="0" collapsed="false">
      <c r="A783" s="0" t="s">
        <v>256</v>
      </c>
      <c r="B783" s="0" t="s">
        <v>137</v>
      </c>
      <c r="C783" s="0" t="s">
        <v>138</v>
      </c>
      <c r="D783" s="0" t="n">
        <v>9</v>
      </c>
      <c r="E783" s="5" t="n">
        <v>45942.4356365741</v>
      </c>
      <c r="F783" s="0" t="n">
        <v>2.1</v>
      </c>
      <c r="G783" s="0" t="n">
        <v>17199</v>
      </c>
      <c r="H783" s="6" t="s">
        <v>74</v>
      </c>
      <c r="I783" s="6" t="n">
        <f aca="false">D783*F783</f>
        <v>18.9</v>
      </c>
      <c r="J783" s="6" t="n">
        <f aca="false">HOUR(E783)</f>
        <v>10</v>
      </c>
      <c r="K783" s="6" t="n">
        <f aca="false">IF(COUNTIF($A$2:$A783,A783)=1,1,0)</f>
        <v>1</v>
      </c>
    </row>
    <row r="784" customFormat="false" ht="15" hidden="false" customHeight="false" outlineLevel="0" collapsed="false">
      <c r="A784" s="0" t="s">
        <v>256</v>
      </c>
      <c r="B784" s="0" t="s">
        <v>107</v>
      </c>
      <c r="C784" s="0" t="s">
        <v>108</v>
      </c>
      <c r="D784" s="0" t="n">
        <v>2</v>
      </c>
      <c r="E784" s="5" t="n">
        <v>45942.4356365741</v>
      </c>
      <c r="F784" s="0" t="n">
        <v>3.75</v>
      </c>
      <c r="G784" s="0" t="n">
        <v>17199</v>
      </c>
      <c r="H784" s="6" t="s">
        <v>74</v>
      </c>
      <c r="I784" s="6" t="n">
        <f aca="false">D784*F784</f>
        <v>7.5</v>
      </c>
      <c r="J784" s="6" t="n">
        <f aca="false">HOUR(E784)</f>
        <v>10</v>
      </c>
      <c r="K784" s="6" t="n">
        <f aca="false">IF(COUNTIF($A$2:$A784,A784)=1,1,0)</f>
        <v>0</v>
      </c>
    </row>
    <row r="785" customFormat="false" ht="15" hidden="false" customHeight="false" outlineLevel="0" collapsed="false">
      <c r="A785" s="0" t="s">
        <v>256</v>
      </c>
      <c r="B785" s="0" t="s">
        <v>63</v>
      </c>
      <c r="C785" s="0" t="s">
        <v>64</v>
      </c>
      <c r="D785" s="0" t="n">
        <v>14</v>
      </c>
      <c r="E785" s="5" t="n">
        <v>45942.4356365741</v>
      </c>
      <c r="F785" s="0" t="n">
        <v>1.85</v>
      </c>
      <c r="G785" s="0" t="n">
        <v>17199</v>
      </c>
      <c r="H785" s="6" t="s">
        <v>74</v>
      </c>
      <c r="I785" s="6" t="n">
        <f aca="false">D785*F785</f>
        <v>25.9</v>
      </c>
      <c r="J785" s="6" t="n">
        <f aca="false">HOUR(E785)</f>
        <v>10</v>
      </c>
      <c r="K785" s="6" t="n">
        <f aca="false">IF(COUNTIF($A$2:$A785,A785)=1,1,0)</f>
        <v>0</v>
      </c>
    </row>
    <row r="786" customFormat="false" ht="15" hidden="false" customHeight="false" outlineLevel="0" collapsed="false">
      <c r="A786" s="0" t="s">
        <v>256</v>
      </c>
      <c r="B786" s="0" t="s">
        <v>61</v>
      </c>
      <c r="C786" s="0" t="s">
        <v>62</v>
      </c>
      <c r="D786" s="0" t="n">
        <v>17</v>
      </c>
      <c r="E786" s="5" t="n">
        <v>45942.4356365741</v>
      </c>
      <c r="F786" s="0" t="n">
        <v>1.65</v>
      </c>
      <c r="G786" s="0" t="n">
        <v>17199</v>
      </c>
      <c r="H786" s="6" t="s">
        <v>74</v>
      </c>
      <c r="I786" s="6" t="n">
        <f aca="false">D786*F786</f>
        <v>28.05</v>
      </c>
      <c r="J786" s="6" t="n">
        <f aca="false">HOUR(E786)</f>
        <v>10</v>
      </c>
      <c r="K786" s="6" t="n">
        <f aca="false">IF(COUNTIF($A$2:$A786,A786)=1,1,0)</f>
        <v>0</v>
      </c>
    </row>
    <row r="787" customFormat="false" ht="15" hidden="false" customHeight="false" outlineLevel="0" collapsed="false">
      <c r="A787" s="0" t="s">
        <v>256</v>
      </c>
      <c r="B787" s="0" t="s">
        <v>65</v>
      </c>
      <c r="C787" s="0" t="s">
        <v>66</v>
      </c>
      <c r="D787" s="0" t="n">
        <v>22</v>
      </c>
      <c r="E787" s="5" t="n">
        <v>45942.4356365741</v>
      </c>
      <c r="F787" s="0" t="n">
        <v>1.65</v>
      </c>
      <c r="G787" s="0" t="n">
        <v>17199</v>
      </c>
      <c r="H787" s="6" t="s">
        <v>74</v>
      </c>
      <c r="I787" s="6" t="n">
        <f aca="false">D787*F787</f>
        <v>36.3</v>
      </c>
      <c r="J787" s="6" t="n">
        <f aca="false">HOUR(E787)</f>
        <v>10</v>
      </c>
      <c r="K787" s="6" t="n">
        <f aca="false">IF(COUNTIF($A$2:$A787,A787)=1,1,0)</f>
        <v>0</v>
      </c>
    </row>
    <row r="788" customFormat="false" ht="15" hidden="false" customHeight="false" outlineLevel="0" collapsed="false">
      <c r="A788" s="0" t="s">
        <v>256</v>
      </c>
      <c r="B788" s="0" t="s">
        <v>50</v>
      </c>
      <c r="C788" s="0" t="s">
        <v>51</v>
      </c>
      <c r="D788" s="0" t="n">
        <v>23</v>
      </c>
      <c r="E788" s="5" t="n">
        <v>45942.4356365741</v>
      </c>
      <c r="F788" s="0" t="n">
        <v>5.95</v>
      </c>
      <c r="G788" s="0" t="n">
        <v>17199</v>
      </c>
      <c r="H788" s="6" t="s">
        <v>74</v>
      </c>
      <c r="I788" s="6" t="n">
        <f aca="false">D788*F788</f>
        <v>136.85</v>
      </c>
      <c r="J788" s="6" t="n">
        <f aca="false">HOUR(E788)</f>
        <v>10</v>
      </c>
      <c r="K788" s="6" t="n">
        <f aca="false">IF(COUNTIF($A$2:$A788,A788)=1,1,0)</f>
        <v>0</v>
      </c>
    </row>
    <row r="789" customFormat="false" ht="15" hidden="false" customHeight="false" outlineLevel="0" collapsed="false">
      <c r="A789" s="0" t="s">
        <v>257</v>
      </c>
      <c r="B789" s="0" t="s">
        <v>140</v>
      </c>
      <c r="C789" s="0" t="s">
        <v>141</v>
      </c>
      <c r="D789" s="0" t="n">
        <v>14</v>
      </c>
      <c r="E789" s="5" t="n">
        <v>45942.447974537</v>
      </c>
      <c r="F789" s="0" t="n">
        <v>2.08</v>
      </c>
      <c r="G789" s="0" t="n">
        <v>17000</v>
      </c>
      <c r="H789" s="6" t="s">
        <v>74</v>
      </c>
      <c r="I789" s="6" t="n">
        <f aca="false">D789*F789</f>
        <v>29.12</v>
      </c>
      <c r="J789" s="6" t="n">
        <f aca="false">HOUR(E789)</f>
        <v>10</v>
      </c>
      <c r="K789" s="6" t="n">
        <f aca="false">IF(COUNTIF($A$2:$A789,A789)=1,1,0)</f>
        <v>1</v>
      </c>
    </row>
    <row r="790" customFormat="false" ht="15" hidden="false" customHeight="false" outlineLevel="0" collapsed="false">
      <c r="A790" s="0" t="s">
        <v>257</v>
      </c>
      <c r="B790" s="0" t="s">
        <v>86</v>
      </c>
      <c r="C790" s="0" t="s">
        <v>87</v>
      </c>
      <c r="D790" s="0" t="n">
        <v>7</v>
      </c>
      <c r="E790" s="5" t="n">
        <v>45942.447974537</v>
      </c>
      <c r="F790" s="0" t="n">
        <v>4.25</v>
      </c>
      <c r="G790" s="0" t="n">
        <v>17000</v>
      </c>
      <c r="H790" s="6" t="s">
        <v>74</v>
      </c>
      <c r="I790" s="6" t="n">
        <f aca="false">D790*F790</f>
        <v>29.75</v>
      </c>
      <c r="J790" s="6" t="n">
        <f aca="false">HOUR(E790)</f>
        <v>10</v>
      </c>
      <c r="K790" s="6" t="n">
        <f aca="false">IF(COUNTIF($A$2:$A790,A790)=1,1,0)</f>
        <v>0</v>
      </c>
    </row>
    <row r="791" customFormat="false" ht="15" hidden="false" customHeight="false" outlineLevel="0" collapsed="false">
      <c r="A791" s="0" t="s">
        <v>257</v>
      </c>
      <c r="B791" s="0" t="s">
        <v>65</v>
      </c>
      <c r="C791" s="0" t="s">
        <v>66</v>
      </c>
      <c r="D791" s="0" t="n">
        <v>19</v>
      </c>
      <c r="E791" s="5" t="n">
        <v>45942.447974537</v>
      </c>
      <c r="F791" s="0" t="n">
        <v>1.65</v>
      </c>
      <c r="G791" s="0" t="n">
        <v>17000</v>
      </c>
      <c r="H791" s="6" t="s">
        <v>74</v>
      </c>
      <c r="I791" s="6" t="n">
        <f aca="false">D791*F791</f>
        <v>31.35</v>
      </c>
      <c r="J791" s="6" t="n">
        <f aca="false">HOUR(E791)</f>
        <v>10</v>
      </c>
      <c r="K791" s="6" t="n">
        <f aca="false">IF(COUNTIF($A$2:$A791,A791)=1,1,0)</f>
        <v>0</v>
      </c>
    </row>
    <row r="792" customFormat="false" ht="15" hidden="false" customHeight="false" outlineLevel="0" collapsed="false">
      <c r="A792" s="0" t="s">
        <v>257</v>
      </c>
      <c r="B792" s="0" t="s">
        <v>83</v>
      </c>
      <c r="C792" s="0" t="s">
        <v>84</v>
      </c>
      <c r="D792" s="0" t="n">
        <v>13</v>
      </c>
      <c r="E792" s="5" t="n">
        <v>45942.447974537</v>
      </c>
      <c r="F792" s="0" t="n">
        <v>2.95</v>
      </c>
      <c r="G792" s="0" t="n">
        <v>17000</v>
      </c>
      <c r="H792" s="6" t="s">
        <v>74</v>
      </c>
      <c r="I792" s="6" t="n">
        <f aca="false">D792*F792</f>
        <v>38.35</v>
      </c>
      <c r="J792" s="6" t="n">
        <f aca="false">HOUR(E792)</f>
        <v>10</v>
      </c>
      <c r="K792" s="6" t="n">
        <f aca="false">IF(COUNTIF($A$2:$A792,A792)=1,1,0)</f>
        <v>0</v>
      </c>
    </row>
    <row r="793" customFormat="false" ht="15" hidden="false" customHeight="false" outlineLevel="0" collapsed="false">
      <c r="A793" s="0" t="s">
        <v>257</v>
      </c>
      <c r="B793" s="0" t="s">
        <v>95</v>
      </c>
      <c r="C793" s="0" t="s">
        <v>96</v>
      </c>
      <c r="D793" s="0" t="n">
        <v>39</v>
      </c>
      <c r="E793" s="5" t="n">
        <v>45942.447974537</v>
      </c>
      <c r="F793" s="0" t="n">
        <v>2.55</v>
      </c>
      <c r="G793" s="0" t="n">
        <v>17000</v>
      </c>
      <c r="H793" s="6" t="s">
        <v>74</v>
      </c>
      <c r="I793" s="6" t="n">
        <f aca="false">D793*F793</f>
        <v>99.45</v>
      </c>
      <c r="J793" s="6" t="n">
        <f aca="false">HOUR(E793)</f>
        <v>10</v>
      </c>
      <c r="K793" s="6" t="n">
        <f aca="false">IF(COUNTIF($A$2:$A793,A793)=1,1,0)</f>
        <v>0</v>
      </c>
    </row>
    <row r="794" customFormat="false" ht="15" hidden="false" customHeight="false" outlineLevel="0" collapsed="false">
      <c r="A794" s="0" t="s">
        <v>257</v>
      </c>
      <c r="B794" s="0" t="s">
        <v>88</v>
      </c>
      <c r="C794" s="0" t="s">
        <v>89</v>
      </c>
      <c r="D794" s="0" t="n">
        <v>20</v>
      </c>
      <c r="E794" s="5" t="n">
        <v>45942.447974537</v>
      </c>
      <c r="F794" s="0" t="n">
        <v>2.75</v>
      </c>
      <c r="G794" s="0" t="n">
        <v>17000</v>
      </c>
      <c r="H794" s="6" t="s">
        <v>74</v>
      </c>
      <c r="I794" s="6" t="n">
        <f aca="false">D794*F794</f>
        <v>55</v>
      </c>
      <c r="J794" s="6" t="n">
        <f aca="false">HOUR(E794)</f>
        <v>10</v>
      </c>
      <c r="K794" s="6" t="n">
        <f aca="false">IF(COUNTIF($A$2:$A794,A794)=1,1,0)</f>
        <v>0</v>
      </c>
    </row>
    <row r="795" customFormat="false" ht="15" hidden="false" customHeight="false" outlineLevel="0" collapsed="false">
      <c r="A795" s="0" t="s">
        <v>257</v>
      </c>
      <c r="B795" s="0" t="s">
        <v>77</v>
      </c>
      <c r="C795" s="0" t="s">
        <v>78</v>
      </c>
      <c r="D795" s="0" t="n">
        <v>18</v>
      </c>
      <c r="E795" s="5" t="n">
        <v>45942.447974537</v>
      </c>
      <c r="F795" s="0" t="n">
        <v>1.65</v>
      </c>
      <c r="G795" s="0" t="n">
        <v>17000</v>
      </c>
      <c r="H795" s="6" t="s">
        <v>74</v>
      </c>
      <c r="I795" s="6" t="n">
        <f aca="false">D795*F795</f>
        <v>29.7</v>
      </c>
      <c r="J795" s="6" t="n">
        <f aca="false">HOUR(E795)</f>
        <v>10</v>
      </c>
      <c r="K795" s="6" t="n">
        <f aca="false">IF(COUNTIF($A$2:$A795,A795)=1,1,0)</f>
        <v>0</v>
      </c>
    </row>
    <row r="796" customFormat="false" ht="15" hidden="false" customHeight="false" outlineLevel="0" collapsed="false">
      <c r="A796" s="0" t="s">
        <v>257</v>
      </c>
      <c r="B796" s="0" t="s">
        <v>118</v>
      </c>
      <c r="C796" s="0" t="s">
        <v>119</v>
      </c>
      <c r="D796" s="0" t="n">
        <v>30</v>
      </c>
      <c r="E796" s="5" t="n">
        <v>45942.447974537</v>
      </c>
      <c r="F796" s="0" t="n">
        <v>4.95</v>
      </c>
      <c r="G796" s="0" t="n">
        <v>17000</v>
      </c>
      <c r="H796" s="6" t="s">
        <v>74</v>
      </c>
      <c r="I796" s="6" t="n">
        <f aca="false">D796*F796</f>
        <v>148.5</v>
      </c>
      <c r="J796" s="6" t="n">
        <f aca="false">HOUR(E796)</f>
        <v>10</v>
      </c>
      <c r="K796" s="6" t="n">
        <f aca="false">IF(COUNTIF($A$2:$A796,A796)=1,1,0)</f>
        <v>0</v>
      </c>
    </row>
    <row r="797" customFormat="false" ht="15" hidden="false" customHeight="false" outlineLevel="0" collapsed="false">
      <c r="A797" s="0" t="s">
        <v>258</v>
      </c>
      <c r="B797" s="0" t="s">
        <v>140</v>
      </c>
      <c r="C797" s="0" t="s">
        <v>141</v>
      </c>
      <c r="D797" s="0" t="n">
        <v>3</v>
      </c>
      <c r="E797" s="5" t="n">
        <v>45942.4966203704</v>
      </c>
      <c r="F797" s="0" t="n">
        <v>2.08</v>
      </c>
      <c r="G797" s="0" t="n">
        <v>17051</v>
      </c>
      <c r="H797" s="6" t="s">
        <v>151</v>
      </c>
      <c r="I797" s="6" t="n">
        <f aca="false">D797*F797</f>
        <v>6.24</v>
      </c>
      <c r="J797" s="6" t="n">
        <f aca="false">HOUR(E797)</f>
        <v>11</v>
      </c>
      <c r="K797" s="6" t="n">
        <f aca="false">IF(COUNTIF($A$2:$A797,A797)=1,1,0)</f>
        <v>1</v>
      </c>
    </row>
    <row r="798" customFormat="false" ht="15" hidden="false" customHeight="false" outlineLevel="0" collapsed="false">
      <c r="A798" s="0" t="s">
        <v>258</v>
      </c>
      <c r="B798" s="0" t="s">
        <v>99</v>
      </c>
      <c r="C798" s="0" t="s">
        <v>100</v>
      </c>
      <c r="D798" s="0" t="n">
        <v>18</v>
      </c>
      <c r="E798" s="5" t="n">
        <v>45942.4966203704</v>
      </c>
      <c r="F798" s="0" t="n">
        <v>2.08</v>
      </c>
      <c r="G798" s="0" t="n">
        <v>17051</v>
      </c>
      <c r="H798" s="6" t="s">
        <v>151</v>
      </c>
      <c r="I798" s="6" t="n">
        <f aca="false">D798*F798</f>
        <v>37.44</v>
      </c>
      <c r="J798" s="6" t="n">
        <f aca="false">HOUR(E798)</f>
        <v>11</v>
      </c>
      <c r="K798" s="6" t="n">
        <f aca="false">IF(COUNTIF($A$2:$A798,A798)=1,1,0)</f>
        <v>0</v>
      </c>
    </row>
    <row r="799" customFormat="false" ht="15" hidden="false" customHeight="false" outlineLevel="0" collapsed="false">
      <c r="A799" s="0" t="s">
        <v>258</v>
      </c>
      <c r="B799" s="0" t="s">
        <v>55</v>
      </c>
      <c r="C799" s="0" t="s">
        <v>56</v>
      </c>
      <c r="D799" s="0" t="n">
        <v>9</v>
      </c>
      <c r="E799" s="5" t="n">
        <v>45942.4966203704</v>
      </c>
      <c r="F799" s="0" t="n">
        <v>1.65</v>
      </c>
      <c r="G799" s="0" t="n">
        <v>17051</v>
      </c>
      <c r="H799" s="6" t="s">
        <v>151</v>
      </c>
      <c r="I799" s="6" t="n">
        <f aca="false">D799*F799</f>
        <v>14.85</v>
      </c>
      <c r="J799" s="6" t="n">
        <f aca="false">HOUR(E799)</f>
        <v>11</v>
      </c>
      <c r="K799" s="6" t="n">
        <f aca="false">IF(COUNTIF($A$2:$A799,A799)=1,1,0)</f>
        <v>0</v>
      </c>
    </row>
    <row r="800" customFormat="false" ht="15" hidden="false" customHeight="false" outlineLevel="0" collapsed="false">
      <c r="A800" s="0" t="s">
        <v>258</v>
      </c>
      <c r="B800" s="0" t="s">
        <v>116</v>
      </c>
      <c r="C800" s="0" t="s">
        <v>117</v>
      </c>
      <c r="D800" s="0" t="n">
        <v>18</v>
      </c>
      <c r="E800" s="5" t="n">
        <v>45942.4966203704</v>
      </c>
      <c r="F800" s="0" t="n">
        <v>1.95</v>
      </c>
      <c r="G800" s="0" t="n">
        <v>17051</v>
      </c>
      <c r="H800" s="6" t="s">
        <v>151</v>
      </c>
      <c r="I800" s="6" t="n">
        <f aca="false">D800*F800</f>
        <v>35.1</v>
      </c>
      <c r="J800" s="6" t="n">
        <f aca="false">HOUR(E800)</f>
        <v>11</v>
      </c>
      <c r="K800" s="6" t="n">
        <f aca="false">IF(COUNTIF($A$2:$A800,A800)=1,1,0)</f>
        <v>0</v>
      </c>
    </row>
    <row r="801" customFormat="false" ht="15" hidden="false" customHeight="false" outlineLevel="0" collapsed="false">
      <c r="A801" s="0" t="s">
        <v>258</v>
      </c>
      <c r="B801" s="0" t="s">
        <v>63</v>
      </c>
      <c r="C801" s="0" t="s">
        <v>64</v>
      </c>
      <c r="D801" s="0" t="n">
        <v>7</v>
      </c>
      <c r="E801" s="5" t="n">
        <v>45942.4966203704</v>
      </c>
      <c r="F801" s="0" t="n">
        <v>1.85</v>
      </c>
      <c r="G801" s="0" t="n">
        <v>17051</v>
      </c>
      <c r="H801" s="6" t="s">
        <v>151</v>
      </c>
      <c r="I801" s="6" t="n">
        <f aca="false">D801*F801</f>
        <v>12.95</v>
      </c>
      <c r="J801" s="6" t="n">
        <f aca="false">HOUR(E801)</f>
        <v>11</v>
      </c>
      <c r="K801" s="6" t="n">
        <f aca="false">IF(COUNTIF($A$2:$A801,A801)=1,1,0)</f>
        <v>0</v>
      </c>
    </row>
    <row r="802" customFormat="false" ht="15" hidden="false" customHeight="false" outlineLevel="0" collapsed="false">
      <c r="A802" s="0" t="s">
        <v>258</v>
      </c>
      <c r="B802" s="0" t="s">
        <v>86</v>
      </c>
      <c r="C802" s="0" t="s">
        <v>87</v>
      </c>
      <c r="D802" s="0" t="n">
        <v>3</v>
      </c>
      <c r="E802" s="5" t="n">
        <v>45942.4966203704</v>
      </c>
      <c r="F802" s="0" t="n">
        <v>4.25</v>
      </c>
      <c r="G802" s="0" t="n">
        <v>17051</v>
      </c>
      <c r="H802" s="6" t="s">
        <v>151</v>
      </c>
      <c r="I802" s="6" t="n">
        <f aca="false">D802*F802</f>
        <v>12.75</v>
      </c>
      <c r="J802" s="6" t="n">
        <f aca="false">HOUR(E802)</f>
        <v>11</v>
      </c>
      <c r="K802" s="6" t="n">
        <f aca="false">IF(COUNTIF($A$2:$A802,A802)=1,1,0)</f>
        <v>0</v>
      </c>
    </row>
    <row r="803" customFormat="false" ht="15" hidden="false" customHeight="false" outlineLevel="0" collapsed="false">
      <c r="A803" s="0" t="s">
        <v>259</v>
      </c>
      <c r="B803" s="0" t="s">
        <v>59</v>
      </c>
      <c r="C803" s="0" t="s">
        <v>60</v>
      </c>
      <c r="D803" s="0" t="n">
        <v>-13</v>
      </c>
      <c r="E803" s="5" t="n">
        <v>45942.5313194445</v>
      </c>
      <c r="F803" s="0" t="n">
        <v>0.42</v>
      </c>
      <c r="H803" s="6" t="s">
        <v>113</v>
      </c>
      <c r="I803" s="6" t="n">
        <f aca="false">D803*F803</f>
        <v>-5.46</v>
      </c>
      <c r="J803" s="6" t="n">
        <f aca="false">HOUR(E803)</f>
        <v>12</v>
      </c>
      <c r="K803" s="6" t="n">
        <f aca="false">IF(COUNTIF($A$2:$A803,A803)=1,1,0)</f>
        <v>1</v>
      </c>
    </row>
    <row r="804" customFormat="false" ht="15" hidden="false" customHeight="false" outlineLevel="0" collapsed="false">
      <c r="A804" s="0" t="s">
        <v>259</v>
      </c>
      <c r="B804" s="0" t="s">
        <v>63</v>
      </c>
      <c r="C804" s="0" t="s">
        <v>64</v>
      </c>
      <c r="D804" s="0" t="n">
        <v>-17</v>
      </c>
      <c r="E804" s="5" t="n">
        <v>45942.5313194445</v>
      </c>
      <c r="F804" s="0" t="n">
        <v>1.85</v>
      </c>
      <c r="H804" s="6" t="s">
        <v>113</v>
      </c>
      <c r="I804" s="6" t="n">
        <f aca="false">D804*F804</f>
        <v>-31.45</v>
      </c>
      <c r="J804" s="6" t="n">
        <f aca="false">HOUR(E804)</f>
        <v>12</v>
      </c>
      <c r="K804" s="6" t="n">
        <f aca="false">IF(COUNTIF($A$2:$A804,A804)=1,1,0)</f>
        <v>0</v>
      </c>
    </row>
    <row r="805" customFormat="false" ht="15" hidden="false" customHeight="false" outlineLevel="0" collapsed="false">
      <c r="A805" s="0" t="s">
        <v>259</v>
      </c>
      <c r="B805" s="0" t="s">
        <v>134</v>
      </c>
      <c r="C805" s="0" t="s">
        <v>135</v>
      </c>
      <c r="D805" s="0" t="n">
        <v>-12</v>
      </c>
      <c r="E805" s="5" t="n">
        <v>45942.5313194445</v>
      </c>
      <c r="F805" s="0" t="n">
        <v>5.95</v>
      </c>
      <c r="H805" s="6" t="s">
        <v>113</v>
      </c>
      <c r="I805" s="6" t="n">
        <f aca="false">D805*F805</f>
        <v>-71.4</v>
      </c>
      <c r="J805" s="6" t="n">
        <f aca="false">HOUR(E805)</f>
        <v>12</v>
      </c>
      <c r="K805" s="6" t="n">
        <f aca="false">IF(COUNTIF($A$2:$A805,A805)=1,1,0)</f>
        <v>0</v>
      </c>
    </row>
    <row r="806" customFormat="false" ht="15" hidden="false" customHeight="false" outlineLevel="0" collapsed="false">
      <c r="A806" s="0" t="s">
        <v>259</v>
      </c>
      <c r="B806" s="0" t="s">
        <v>53</v>
      </c>
      <c r="C806" s="0" t="s">
        <v>54</v>
      </c>
      <c r="D806" s="0" t="n">
        <v>-4</v>
      </c>
      <c r="E806" s="5" t="n">
        <v>45942.5313194445</v>
      </c>
      <c r="F806" s="0" t="n">
        <v>2.95</v>
      </c>
      <c r="H806" s="6" t="s">
        <v>113</v>
      </c>
      <c r="I806" s="6" t="n">
        <f aca="false">D806*F806</f>
        <v>-11.8</v>
      </c>
      <c r="J806" s="6" t="n">
        <f aca="false">HOUR(E806)</f>
        <v>12</v>
      </c>
      <c r="K806" s="6" t="n">
        <f aca="false">IF(COUNTIF($A$2:$A806,A806)=1,1,0)</f>
        <v>0</v>
      </c>
    </row>
    <row r="807" customFormat="false" ht="15" hidden="false" customHeight="false" outlineLevel="0" collapsed="false">
      <c r="A807" s="0" t="s">
        <v>259</v>
      </c>
      <c r="B807" s="0" t="s">
        <v>127</v>
      </c>
      <c r="C807" s="0" t="s">
        <v>128</v>
      </c>
      <c r="D807" s="0" t="n">
        <v>-20</v>
      </c>
      <c r="E807" s="5" t="n">
        <v>45942.5313194445</v>
      </c>
      <c r="F807" s="0" t="n">
        <v>1.45</v>
      </c>
      <c r="H807" s="6" t="s">
        <v>113</v>
      </c>
      <c r="I807" s="6" t="n">
        <f aca="false">D807*F807</f>
        <v>-29</v>
      </c>
      <c r="J807" s="6" t="n">
        <f aca="false">HOUR(E807)</f>
        <v>12</v>
      </c>
      <c r="K807" s="6" t="n">
        <f aca="false">IF(COUNTIF($A$2:$A807,A807)=1,1,0)</f>
        <v>0</v>
      </c>
    </row>
    <row r="808" customFormat="false" ht="15" hidden="false" customHeight="false" outlineLevel="0" collapsed="false">
      <c r="A808" s="0" t="s">
        <v>259</v>
      </c>
      <c r="B808" s="0" t="s">
        <v>145</v>
      </c>
      <c r="C808" s="0" t="s">
        <v>146</v>
      </c>
      <c r="D808" s="0" t="n">
        <v>-15</v>
      </c>
      <c r="E808" s="5" t="n">
        <v>45942.5313194445</v>
      </c>
      <c r="F808" s="0" t="n">
        <v>1.85</v>
      </c>
      <c r="H808" s="6" t="s">
        <v>113</v>
      </c>
      <c r="I808" s="6" t="n">
        <f aca="false">D808*F808</f>
        <v>-27.75</v>
      </c>
      <c r="J808" s="6" t="n">
        <f aca="false">HOUR(E808)</f>
        <v>12</v>
      </c>
      <c r="K808" s="6" t="n">
        <f aca="false">IF(COUNTIF($A$2:$A808,A808)=1,1,0)</f>
        <v>0</v>
      </c>
    </row>
    <row r="809" customFormat="false" ht="15" hidden="false" customHeight="false" outlineLevel="0" collapsed="false">
      <c r="A809" s="0" t="s">
        <v>259</v>
      </c>
      <c r="B809" s="0" t="s">
        <v>99</v>
      </c>
      <c r="C809" s="0" t="s">
        <v>100</v>
      </c>
      <c r="D809" s="0" t="n">
        <v>-22</v>
      </c>
      <c r="E809" s="5" t="n">
        <v>45942.5313194445</v>
      </c>
      <c r="F809" s="0" t="n">
        <v>2.08</v>
      </c>
      <c r="H809" s="6" t="s">
        <v>113</v>
      </c>
      <c r="I809" s="6" t="n">
        <f aca="false">D809*F809</f>
        <v>-45.76</v>
      </c>
      <c r="J809" s="6" t="n">
        <f aca="false">HOUR(E809)</f>
        <v>12</v>
      </c>
      <c r="K809" s="6" t="n">
        <f aca="false">IF(COUNTIF($A$2:$A809,A809)=1,1,0)</f>
        <v>0</v>
      </c>
    </row>
    <row r="810" customFormat="false" ht="15" hidden="false" customHeight="false" outlineLevel="0" collapsed="false">
      <c r="A810" s="0" t="s">
        <v>259</v>
      </c>
      <c r="B810" s="0" t="s">
        <v>125</v>
      </c>
      <c r="C810" s="0" t="s">
        <v>126</v>
      </c>
      <c r="D810" s="0" t="n">
        <v>-5</v>
      </c>
      <c r="E810" s="5" t="n">
        <v>45942.5313194445</v>
      </c>
      <c r="F810" s="0" t="n">
        <v>1.25</v>
      </c>
      <c r="H810" s="6" t="s">
        <v>113</v>
      </c>
      <c r="I810" s="6" t="n">
        <f aca="false">D810*F810</f>
        <v>-6.25</v>
      </c>
      <c r="J810" s="6" t="n">
        <f aca="false">HOUR(E810)</f>
        <v>12</v>
      </c>
      <c r="K810" s="6" t="n">
        <f aca="false">IF(COUNTIF($A$2:$A810,A810)=1,1,0)</f>
        <v>0</v>
      </c>
    </row>
    <row r="811" customFormat="false" ht="15" hidden="false" customHeight="false" outlineLevel="0" collapsed="false">
      <c r="A811" s="0" t="s">
        <v>259</v>
      </c>
      <c r="B811" s="0" t="s">
        <v>104</v>
      </c>
      <c r="C811" s="0" t="s">
        <v>105</v>
      </c>
      <c r="D811" s="0" t="n">
        <v>-7</v>
      </c>
      <c r="E811" s="5" t="n">
        <v>45942.5313194445</v>
      </c>
      <c r="F811" s="0" t="n">
        <v>1.65</v>
      </c>
      <c r="H811" s="6" t="s">
        <v>113</v>
      </c>
      <c r="I811" s="6" t="n">
        <f aca="false">D811*F811</f>
        <v>-11.55</v>
      </c>
      <c r="J811" s="6" t="n">
        <f aca="false">HOUR(E811)</f>
        <v>12</v>
      </c>
      <c r="K811" s="6" t="n">
        <f aca="false">IF(COUNTIF($A$2:$A811,A811)=1,1,0)</f>
        <v>0</v>
      </c>
    </row>
    <row r="812" customFormat="false" ht="15" hidden="false" customHeight="false" outlineLevel="0" collapsed="false">
      <c r="A812" s="0" t="s">
        <v>259</v>
      </c>
      <c r="B812" s="0" t="s">
        <v>95</v>
      </c>
      <c r="C812" s="0" t="s">
        <v>96</v>
      </c>
      <c r="D812" s="0" t="n">
        <v>-30</v>
      </c>
      <c r="E812" s="5" t="n">
        <v>45942.5313194445</v>
      </c>
      <c r="F812" s="0" t="n">
        <v>2.55</v>
      </c>
      <c r="H812" s="6" t="s">
        <v>113</v>
      </c>
      <c r="I812" s="6" t="n">
        <f aca="false">D812*F812</f>
        <v>-76.5</v>
      </c>
      <c r="J812" s="6" t="n">
        <f aca="false">HOUR(E812)</f>
        <v>12</v>
      </c>
      <c r="K812" s="6" t="n">
        <f aca="false">IF(COUNTIF($A$2:$A812,A812)=1,1,0)</f>
        <v>0</v>
      </c>
    </row>
    <row r="813" customFormat="false" ht="15" hidden="false" customHeight="false" outlineLevel="0" collapsed="false">
      <c r="A813" s="0" t="s">
        <v>260</v>
      </c>
      <c r="B813" s="0" t="s">
        <v>72</v>
      </c>
      <c r="C813" s="0" t="s">
        <v>73</v>
      </c>
      <c r="D813" s="0" t="n">
        <v>30</v>
      </c>
      <c r="E813" s="5" t="n">
        <v>45942.5476736111</v>
      </c>
      <c r="F813" s="0" t="n">
        <v>4.95</v>
      </c>
      <c r="G813" s="0" t="n">
        <v>17244</v>
      </c>
      <c r="H813" s="6" t="s">
        <v>74</v>
      </c>
      <c r="I813" s="6" t="n">
        <f aca="false">D813*F813</f>
        <v>148.5</v>
      </c>
      <c r="J813" s="6" t="n">
        <f aca="false">HOUR(E813)</f>
        <v>13</v>
      </c>
      <c r="K813" s="6" t="n">
        <f aca="false">IF(COUNTIF($A$2:$A813,A813)=1,1,0)</f>
        <v>1</v>
      </c>
    </row>
    <row r="814" customFormat="false" ht="15" hidden="false" customHeight="false" outlineLevel="0" collapsed="false">
      <c r="A814" s="0" t="s">
        <v>260</v>
      </c>
      <c r="B814" s="0" t="s">
        <v>95</v>
      </c>
      <c r="C814" s="0" t="s">
        <v>96</v>
      </c>
      <c r="D814" s="0" t="n">
        <v>18</v>
      </c>
      <c r="E814" s="5" t="n">
        <v>45942.5476736111</v>
      </c>
      <c r="F814" s="0" t="n">
        <v>2.55</v>
      </c>
      <c r="G814" s="0" t="n">
        <v>17244</v>
      </c>
      <c r="H814" s="6" t="s">
        <v>74</v>
      </c>
      <c r="I814" s="6" t="n">
        <f aca="false">D814*F814</f>
        <v>45.9</v>
      </c>
      <c r="J814" s="6" t="n">
        <f aca="false">HOUR(E814)</f>
        <v>13</v>
      </c>
      <c r="K814" s="6" t="n">
        <f aca="false">IF(COUNTIF($A$2:$A814,A814)=1,1,0)</f>
        <v>0</v>
      </c>
    </row>
    <row r="815" customFormat="false" ht="15" hidden="false" customHeight="false" outlineLevel="0" collapsed="false">
      <c r="A815" s="0" t="s">
        <v>260</v>
      </c>
      <c r="B815" s="0" t="s">
        <v>107</v>
      </c>
      <c r="C815" s="0" t="s">
        <v>108</v>
      </c>
      <c r="D815" s="0" t="n">
        <v>12</v>
      </c>
      <c r="E815" s="5" t="n">
        <v>45942.5476736111</v>
      </c>
      <c r="F815" s="0" t="n">
        <v>3.75</v>
      </c>
      <c r="G815" s="0" t="n">
        <v>17244</v>
      </c>
      <c r="H815" s="6" t="s">
        <v>74</v>
      </c>
      <c r="I815" s="6" t="n">
        <f aca="false">D815*F815</f>
        <v>45</v>
      </c>
      <c r="J815" s="6" t="n">
        <f aca="false">HOUR(E815)</f>
        <v>13</v>
      </c>
      <c r="K815" s="6" t="n">
        <f aca="false">IF(COUNTIF($A$2:$A815,A815)=1,1,0)</f>
        <v>0</v>
      </c>
    </row>
    <row r="816" customFormat="false" ht="15" hidden="false" customHeight="false" outlineLevel="0" collapsed="false">
      <c r="A816" s="0" t="s">
        <v>260</v>
      </c>
      <c r="B816" s="0" t="s">
        <v>116</v>
      </c>
      <c r="C816" s="0" t="s">
        <v>117</v>
      </c>
      <c r="D816" s="0" t="n">
        <v>10</v>
      </c>
      <c r="E816" s="5" t="n">
        <v>45942.5476736111</v>
      </c>
      <c r="F816" s="0" t="n">
        <v>1.95</v>
      </c>
      <c r="G816" s="0" t="n">
        <v>17244</v>
      </c>
      <c r="H816" s="6" t="s">
        <v>74</v>
      </c>
      <c r="I816" s="6" t="n">
        <f aca="false">D816*F816</f>
        <v>19.5</v>
      </c>
      <c r="J816" s="6" t="n">
        <f aca="false">HOUR(E816)</f>
        <v>13</v>
      </c>
      <c r="K816" s="6" t="n">
        <f aca="false">IF(COUNTIF($A$2:$A816,A816)=1,1,0)</f>
        <v>0</v>
      </c>
    </row>
    <row r="817" customFormat="false" ht="15" hidden="false" customHeight="false" outlineLevel="0" collapsed="false">
      <c r="A817" s="0" t="s">
        <v>260</v>
      </c>
      <c r="B817" s="0" t="s">
        <v>140</v>
      </c>
      <c r="C817" s="0" t="s">
        <v>141</v>
      </c>
      <c r="D817" s="0" t="n">
        <v>2</v>
      </c>
      <c r="E817" s="5" t="n">
        <v>45942.5476736111</v>
      </c>
      <c r="F817" s="0" t="n">
        <v>2.08</v>
      </c>
      <c r="G817" s="0" t="n">
        <v>17244</v>
      </c>
      <c r="H817" s="6" t="s">
        <v>74</v>
      </c>
      <c r="I817" s="6" t="n">
        <f aca="false">D817*F817</f>
        <v>4.16</v>
      </c>
      <c r="J817" s="6" t="n">
        <f aca="false">HOUR(E817)</f>
        <v>13</v>
      </c>
      <c r="K817" s="6" t="n">
        <f aca="false">IF(COUNTIF($A$2:$A817,A817)=1,1,0)</f>
        <v>0</v>
      </c>
    </row>
    <row r="818" customFormat="false" ht="15" hidden="false" customHeight="false" outlineLevel="0" collapsed="false">
      <c r="A818" s="0" t="s">
        <v>260</v>
      </c>
      <c r="B818" s="0" t="s">
        <v>77</v>
      </c>
      <c r="C818" s="0" t="s">
        <v>78</v>
      </c>
      <c r="D818" s="0" t="n">
        <v>8</v>
      </c>
      <c r="E818" s="5" t="n">
        <v>45942.5476736111</v>
      </c>
      <c r="F818" s="0" t="n">
        <v>1.65</v>
      </c>
      <c r="G818" s="0" t="n">
        <v>17244</v>
      </c>
      <c r="H818" s="6" t="s">
        <v>74</v>
      </c>
      <c r="I818" s="6" t="n">
        <f aca="false">D818*F818</f>
        <v>13.2</v>
      </c>
      <c r="J818" s="6" t="n">
        <f aca="false">HOUR(E818)</f>
        <v>13</v>
      </c>
      <c r="K818" s="6" t="n">
        <f aca="false">IF(COUNTIF($A$2:$A818,A818)=1,1,0)</f>
        <v>0</v>
      </c>
    </row>
    <row r="819" customFormat="false" ht="15" hidden="false" customHeight="false" outlineLevel="0" collapsed="false">
      <c r="A819" s="0" t="s">
        <v>260</v>
      </c>
      <c r="B819" s="0" t="s">
        <v>88</v>
      </c>
      <c r="D819" s="0" t="n">
        <v>1</v>
      </c>
      <c r="E819" s="5" t="n">
        <v>45942.5476736111</v>
      </c>
      <c r="F819" s="0" t="n">
        <v>2.75</v>
      </c>
      <c r="G819" s="0" t="n">
        <v>17244</v>
      </c>
      <c r="H819" s="6" t="s">
        <v>74</v>
      </c>
      <c r="I819" s="6" t="n">
        <f aca="false">D819*F819</f>
        <v>2.75</v>
      </c>
      <c r="J819" s="6" t="n">
        <f aca="false">HOUR(E819)</f>
        <v>13</v>
      </c>
      <c r="K819" s="6" t="n">
        <f aca="false">IF(COUNTIF($A$2:$A819,A819)=1,1,0)</f>
        <v>0</v>
      </c>
    </row>
    <row r="820" customFormat="false" ht="15" hidden="false" customHeight="false" outlineLevel="0" collapsed="false">
      <c r="A820" s="0" t="s">
        <v>261</v>
      </c>
      <c r="B820" s="0" t="s">
        <v>116</v>
      </c>
      <c r="C820" s="0" t="s">
        <v>117</v>
      </c>
      <c r="D820" s="0" t="n">
        <v>24</v>
      </c>
      <c r="E820" s="5" t="n">
        <v>45942.6260416667</v>
      </c>
      <c r="F820" s="0" t="n">
        <v>1.95</v>
      </c>
      <c r="G820" s="0" t="n">
        <v>17012</v>
      </c>
      <c r="H820" s="6" t="s">
        <v>74</v>
      </c>
      <c r="I820" s="6" t="n">
        <f aca="false">D820*F820</f>
        <v>46.8</v>
      </c>
      <c r="J820" s="6" t="n">
        <f aca="false">HOUR(E820)</f>
        <v>15</v>
      </c>
      <c r="K820" s="6" t="n">
        <f aca="false">IF(COUNTIF($A$2:$A820,A820)=1,1,0)</f>
        <v>1</v>
      </c>
    </row>
    <row r="821" customFormat="false" ht="15" hidden="false" customHeight="false" outlineLevel="0" collapsed="false">
      <c r="A821" s="0" t="s">
        <v>261</v>
      </c>
      <c r="B821" s="0" t="s">
        <v>137</v>
      </c>
      <c r="C821" s="0" t="s">
        <v>138</v>
      </c>
      <c r="D821" s="0" t="n">
        <v>7</v>
      </c>
      <c r="E821" s="5" t="n">
        <v>45942.6260416667</v>
      </c>
      <c r="F821" s="0" t="n">
        <v>2.1</v>
      </c>
      <c r="G821" s="0" t="n">
        <v>17012</v>
      </c>
      <c r="H821" s="6" t="s">
        <v>74</v>
      </c>
      <c r="I821" s="6" t="n">
        <f aca="false">D821*F821</f>
        <v>14.7</v>
      </c>
      <c r="J821" s="6" t="n">
        <f aca="false">HOUR(E821)</f>
        <v>15</v>
      </c>
      <c r="K821" s="6" t="n">
        <f aca="false">IF(COUNTIF($A$2:$A821,A821)=1,1,0)</f>
        <v>0</v>
      </c>
    </row>
    <row r="822" customFormat="false" ht="15" hidden="false" customHeight="false" outlineLevel="0" collapsed="false">
      <c r="A822" s="0" t="s">
        <v>261</v>
      </c>
      <c r="B822" s="0" t="s">
        <v>95</v>
      </c>
      <c r="C822" s="0" t="s">
        <v>96</v>
      </c>
      <c r="D822" s="0" t="n">
        <v>29</v>
      </c>
      <c r="E822" s="5" t="n">
        <v>45942.6260416667</v>
      </c>
      <c r="F822" s="0" t="n">
        <v>2.55</v>
      </c>
      <c r="G822" s="0" t="n">
        <v>17012</v>
      </c>
      <c r="H822" s="6" t="s">
        <v>74</v>
      </c>
      <c r="I822" s="6" t="n">
        <f aca="false">D822*F822</f>
        <v>73.95</v>
      </c>
      <c r="J822" s="6" t="n">
        <f aca="false">HOUR(E822)</f>
        <v>15</v>
      </c>
      <c r="K822" s="6" t="n">
        <f aca="false">IF(COUNTIF($A$2:$A822,A822)=1,1,0)</f>
        <v>0</v>
      </c>
    </row>
    <row r="823" customFormat="false" ht="15" hidden="false" customHeight="false" outlineLevel="0" collapsed="false">
      <c r="A823" s="0" t="s">
        <v>261</v>
      </c>
      <c r="B823" s="0" t="s">
        <v>75</v>
      </c>
      <c r="C823" s="0" t="s">
        <v>76</v>
      </c>
      <c r="D823" s="0" t="n">
        <v>4</v>
      </c>
      <c r="E823" s="5" t="n">
        <v>45942.6260416667</v>
      </c>
      <c r="F823" s="0" t="n">
        <v>3.39</v>
      </c>
      <c r="G823" s="0" t="n">
        <v>17012</v>
      </c>
      <c r="H823" s="6" t="s">
        <v>74</v>
      </c>
      <c r="I823" s="6" t="n">
        <f aca="false">D823*F823</f>
        <v>13.56</v>
      </c>
      <c r="J823" s="6" t="n">
        <f aca="false">HOUR(E823)</f>
        <v>15</v>
      </c>
      <c r="K823" s="6" t="n">
        <f aca="false">IF(COUNTIF($A$2:$A823,A823)=1,1,0)</f>
        <v>0</v>
      </c>
    </row>
    <row r="824" customFormat="false" ht="15" hidden="false" customHeight="false" outlineLevel="0" collapsed="false">
      <c r="A824" s="0" t="s">
        <v>261</v>
      </c>
      <c r="B824" s="0" t="s">
        <v>50</v>
      </c>
      <c r="C824" s="0" t="s">
        <v>51</v>
      </c>
      <c r="D824" s="0" t="n">
        <v>23</v>
      </c>
      <c r="E824" s="5" t="n">
        <v>45942.6260416667</v>
      </c>
      <c r="F824" s="0" t="n">
        <v>5.95</v>
      </c>
      <c r="G824" s="0" t="n">
        <v>17012</v>
      </c>
      <c r="H824" s="6" t="s">
        <v>74</v>
      </c>
      <c r="I824" s="6" t="n">
        <f aca="false">D824*F824</f>
        <v>136.85</v>
      </c>
      <c r="J824" s="6" t="n">
        <f aca="false">HOUR(E824)</f>
        <v>15</v>
      </c>
      <c r="K824" s="6" t="n">
        <f aca="false">IF(COUNTIF($A$2:$A824,A824)=1,1,0)</f>
        <v>0</v>
      </c>
    </row>
    <row r="825" customFormat="false" ht="15" hidden="false" customHeight="false" outlineLevel="0" collapsed="false">
      <c r="A825" s="0" t="s">
        <v>261</v>
      </c>
      <c r="B825" s="0" t="s">
        <v>145</v>
      </c>
      <c r="C825" s="0" t="s">
        <v>146</v>
      </c>
      <c r="D825" s="0" t="n">
        <v>2</v>
      </c>
      <c r="E825" s="5" t="n">
        <v>45942.6260416667</v>
      </c>
      <c r="F825" s="0" t="n">
        <v>1.85</v>
      </c>
      <c r="G825" s="0" t="n">
        <v>17012</v>
      </c>
      <c r="H825" s="6" t="s">
        <v>74</v>
      </c>
      <c r="I825" s="6" t="n">
        <f aca="false">D825*F825</f>
        <v>3.7</v>
      </c>
      <c r="J825" s="6" t="n">
        <f aca="false">HOUR(E825)</f>
        <v>15</v>
      </c>
      <c r="K825" s="6" t="n">
        <f aca="false">IF(COUNTIF($A$2:$A825,A825)=1,1,0)</f>
        <v>0</v>
      </c>
    </row>
    <row r="826" customFormat="false" ht="15" hidden="false" customHeight="false" outlineLevel="0" collapsed="false">
      <c r="A826" s="0" t="s">
        <v>261</v>
      </c>
      <c r="B826" s="0" t="s">
        <v>72</v>
      </c>
      <c r="C826" s="0" t="s">
        <v>73</v>
      </c>
      <c r="D826" s="0" t="n">
        <v>45</v>
      </c>
      <c r="E826" s="5" t="n">
        <v>45942.6260416667</v>
      </c>
      <c r="F826" s="0" t="n">
        <v>4.95</v>
      </c>
      <c r="G826" s="0" t="n">
        <v>17012</v>
      </c>
      <c r="H826" s="6" t="s">
        <v>74</v>
      </c>
      <c r="I826" s="6" t="n">
        <f aca="false">D826*F826</f>
        <v>222.75</v>
      </c>
      <c r="J826" s="6" t="n">
        <f aca="false">HOUR(E826)</f>
        <v>15</v>
      </c>
      <c r="K826" s="6" t="n">
        <f aca="false">IF(COUNTIF($A$2:$A826,A826)=1,1,0)</f>
        <v>0</v>
      </c>
    </row>
    <row r="827" customFormat="false" ht="15" hidden="false" customHeight="false" outlineLevel="0" collapsed="false">
      <c r="A827" s="0" t="s">
        <v>261</v>
      </c>
      <c r="B827" s="0" t="s">
        <v>118</v>
      </c>
      <c r="C827" s="0" t="s">
        <v>119</v>
      </c>
      <c r="D827" s="0" t="n">
        <v>45</v>
      </c>
      <c r="E827" s="5" t="n">
        <v>45942.6260416667</v>
      </c>
      <c r="F827" s="0" t="n">
        <v>4.95</v>
      </c>
      <c r="G827" s="0" t="n">
        <v>17012</v>
      </c>
      <c r="H827" s="6" t="s">
        <v>74</v>
      </c>
      <c r="I827" s="6" t="n">
        <f aca="false">D827*F827</f>
        <v>222.75</v>
      </c>
      <c r="J827" s="6" t="n">
        <f aca="false">HOUR(E827)</f>
        <v>15</v>
      </c>
      <c r="K827" s="6" t="n">
        <f aca="false">IF(COUNTIF($A$2:$A827,A827)=1,1,0)</f>
        <v>0</v>
      </c>
    </row>
    <row r="828" customFormat="false" ht="15" hidden="false" customHeight="false" outlineLevel="0" collapsed="false">
      <c r="A828" s="0" t="s">
        <v>262</v>
      </c>
      <c r="B828" s="0" t="s">
        <v>109</v>
      </c>
      <c r="D828" s="0" t="n">
        <v>7</v>
      </c>
      <c r="E828" s="5" t="n">
        <v>45942.764837963</v>
      </c>
      <c r="F828" s="0" t="n">
        <v>0.85</v>
      </c>
      <c r="G828" s="0" t="n">
        <v>17116</v>
      </c>
      <c r="H828" s="6" t="s">
        <v>263</v>
      </c>
      <c r="I828" s="6" t="n">
        <f aca="false">D828*F828</f>
        <v>5.95</v>
      </c>
      <c r="J828" s="6" t="n">
        <f aca="false">HOUR(E828)</f>
        <v>18</v>
      </c>
      <c r="K828" s="6" t="n">
        <f aca="false">IF(COUNTIF($A$2:$A828,A828)=1,1,0)</f>
        <v>1</v>
      </c>
    </row>
    <row r="829" customFormat="false" ht="15" hidden="false" customHeight="false" outlineLevel="0" collapsed="false">
      <c r="A829" s="0" t="s">
        <v>262</v>
      </c>
      <c r="B829" s="0" t="s">
        <v>57</v>
      </c>
      <c r="C829" s="0" t="s">
        <v>58</v>
      </c>
      <c r="D829" s="0" t="n">
        <v>13</v>
      </c>
      <c r="E829" s="5" t="n">
        <v>45942.764837963</v>
      </c>
      <c r="F829" s="0" t="n">
        <v>2.08</v>
      </c>
      <c r="G829" s="0" t="n">
        <v>17116</v>
      </c>
      <c r="H829" s="6" t="s">
        <v>263</v>
      </c>
      <c r="I829" s="6" t="n">
        <f aca="false">D829*F829</f>
        <v>27.04</v>
      </c>
      <c r="J829" s="6" t="n">
        <f aca="false">HOUR(E829)</f>
        <v>18</v>
      </c>
      <c r="K829" s="6" t="n">
        <f aca="false">IF(COUNTIF($A$2:$A829,A829)=1,1,0)</f>
        <v>0</v>
      </c>
    </row>
    <row r="830" customFormat="false" ht="15" hidden="false" customHeight="false" outlineLevel="0" collapsed="false">
      <c r="A830" s="0" t="s">
        <v>262</v>
      </c>
      <c r="B830" s="0" t="s">
        <v>86</v>
      </c>
      <c r="C830" s="0" t="s">
        <v>87</v>
      </c>
      <c r="D830" s="0" t="n">
        <v>23</v>
      </c>
      <c r="E830" s="5" t="n">
        <v>45942.764837963</v>
      </c>
      <c r="F830" s="0" t="n">
        <v>4.25</v>
      </c>
      <c r="G830" s="0" t="n">
        <v>17116</v>
      </c>
      <c r="H830" s="6" t="s">
        <v>263</v>
      </c>
      <c r="I830" s="6" t="n">
        <f aca="false">D830*F830</f>
        <v>97.75</v>
      </c>
      <c r="J830" s="6" t="n">
        <f aca="false">HOUR(E830)</f>
        <v>18</v>
      </c>
      <c r="K830" s="6" t="n">
        <f aca="false">IF(COUNTIF($A$2:$A830,A830)=1,1,0)</f>
        <v>0</v>
      </c>
    </row>
    <row r="831" customFormat="false" ht="15" hidden="false" customHeight="false" outlineLevel="0" collapsed="false">
      <c r="A831" s="0" t="s">
        <v>262</v>
      </c>
      <c r="B831" s="0" t="s">
        <v>118</v>
      </c>
      <c r="C831" s="0" t="s">
        <v>119</v>
      </c>
      <c r="D831" s="0" t="n">
        <v>16</v>
      </c>
      <c r="E831" s="5" t="n">
        <v>45942.764837963</v>
      </c>
      <c r="F831" s="0" t="n">
        <v>4.95</v>
      </c>
      <c r="G831" s="0" t="n">
        <v>17116</v>
      </c>
      <c r="H831" s="6" t="s">
        <v>263</v>
      </c>
      <c r="I831" s="6" t="n">
        <f aca="false">D831*F831</f>
        <v>79.2</v>
      </c>
      <c r="J831" s="6" t="n">
        <f aca="false">HOUR(E831)</f>
        <v>18</v>
      </c>
      <c r="K831" s="6" t="n">
        <f aca="false">IF(COUNTIF($A$2:$A831,A831)=1,1,0)</f>
        <v>0</v>
      </c>
    </row>
    <row r="832" customFormat="false" ht="15" hidden="false" customHeight="false" outlineLevel="0" collapsed="false">
      <c r="A832" s="0" t="s">
        <v>262</v>
      </c>
      <c r="B832" s="0" t="s">
        <v>91</v>
      </c>
      <c r="C832" s="0" t="s">
        <v>92</v>
      </c>
      <c r="D832" s="0" t="n">
        <v>11</v>
      </c>
      <c r="E832" s="5" t="n">
        <v>45942.764837963</v>
      </c>
      <c r="F832" s="0" t="n">
        <v>7.65</v>
      </c>
      <c r="G832" s="0" t="n">
        <v>17116</v>
      </c>
      <c r="H832" s="6" t="s">
        <v>263</v>
      </c>
      <c r="I832" s="6" t="n">
        <f aca="false">D832*F832</f>
        <v>84.15</v>
      </c>
      <c r="J832" s="6" t="n">
        <f aca="false">HOUR(E832)</f>
        <v>18</v>
      </c>
      <c r="K832" s="6" t="n">
        <f aca="false">IF(COUNTIF($A$2:$A832,A832)=1,1,0)</f>
        <v>0</v>
      </c>
    </row>
    <row r="833" customFormat="false" ht="15" hidden="false" customHeight="false" outlineLevel="0" collapsed="false">
      <c r="A833" s="0" t="s">
        <v>262</v>
      </c>
      <c r="B833" s="0" t="s">
        <v>140</v>
      </c>
      <c r="C833" s="0" t="s">
        <v>141</v>
      </c>
      <c r="D833" s="0" t="n">
        <v>11</v>
      </c>
      <c r="E833" s="5" t="n">
        <v>45942.764837963</v>
      </c>
      <c r="F833" s="0" t="n">
        <v>2.08</v>
      </c>
      <c r="G833" s="0" t="n">
        <v>17116</v>
      </c>
      <c r="H833" s="6" t="s">
        <v>263</v>
      </c>
      <c r="I833" s="6" t="n">
        <f aca="false">D833*F833</f>
        <v>22.88</v>
      </c>
      <c r="J833" s="6" t="n">
        <f aca="false">HOUR(E833)</f>
        <v>18</v>
      </c>
      <c r="K833" s="6" t="n">
        <f aca="false">IF(COUNTIF($A$2:$A833,A833)=1,1,0)</f>
        <v>0</v>
      </c>
    </row>
    <row r="834" customFormat="false" ht="15" hidden="false" customHeight="false" outlineLevel="0" collapsed="false">
      <c r="A834" s="0" t="s">
        <v>264</v>
      </c>
      <c r="B834" s="0" t="s">
        <v>114</v>
      </c>
      <c r="C834" s="0" t="s">
        <v>115</v>
      </c>
      <c r="D834" s="0" t="n">
        <v>20</v>
      </c>
      <c r="E834" s="5" t="n">
        <v>45942.7902430556</v>
      </c>
      <c r="F834" s="0" t="n">
        <v>2.08</v>
      </c>
      <c r="G834" s="0" t="n">
        <v>17101</v>
      </c>
      <c r="H834" s="6" t="s">
        <v>208</v>
      </c>
      <c r="I834" s="6" t="n">
        <f aca="false">D834*F834</f>
        <v>41.6</v>
      </c>
      <c r="J834" s="6" t="n">
        <f aca="false">HOUR(E834)</f>
        <v>18</v>
      </c>
      <c r="K834" s="6" t="n">
        <f aca="false">IF(COUNTIF($A$2:$A834,A834)=1,1,0)</f>
        <v>1</v>
      </c>
    </row>
    <row r="835" customFormat="false" ht="15" hidden="false" customHeight="false" outlineLevel="0" collapsed="false">
      <c r="A835" s="0" t="s">
        <v>264</v>
      </c>
      <c r="B835" s="0" t="s">
        <v>83</v>
      </c>
      <c r="C835" s="0" t="s">
        <v>84</v>
      </c>
      <c r="D835" s="0" t="n">
        <v>1</v>
      </c>
      <c r="E835" s="5" t="n">
        <v>45942.7902430556</v>
      </c>
      <c r="F835" s="0" t="n">
        <v>2.95</v>
      </c>
      <c r="G835" s="0" t="n">
        <v>17101</v>
      </c>
      <c r="H835" s="6" t="s">
        <v>208</v>
      </c>
      <c r="I835" s="6" t="n">
        <f aca="false">D835*F835</f>
        <v>2.95</v>
      </c>
      <c r="J835" s="6" t="n">
        <f aca="false">HOUR(E835)</f>
        <v>18</v>
      </c>
      <c r="K835" s="6" t="n">
        <f aca="false">IF(COUNTIF($A$2:$A835,A835)=1,1,0)</f>
        <v>0</v>
      </c>
    </row>
    <row r="836" customFormat="false" ht="15" hidden="false" customHeight="false" outlineLevel="0" collapsed="false">
      <c r="A836" s="0" t="s">
        <v>264</v>
      </c>
      <c r="B836" s="0" t="s">
        <v>77</v>
      </c>
      <c r="C836" s="0" t="s">
        <v>78</v>
      </c>
      <c r="D836" s="0" t="n">
        <v>24</v>
      </c>
      <c r="E836" s="5" t="n">
        <v>45942.7902430556</v>
      </c>
      <c r="F836" s="0" t="n">
        <v>1.65</v>
      </c>
      <c r="G836" s="0" t="n">
        <v>17101</v>
      </c>
      <c r="H836" s="6" t="s">
        <v>208</v>
      </c>
      <c r="I836" s="6" t="n">
        <f aca="false">D836*F836</f>
        <v>39.6</v>
      </c>
      <c r="J836" s="6" t="n">
        <f aca="false">HOUR(E836)</f>
        <v>18</v>
      </c>
      <c r="K836" s="6" t="n">
        <f aca="false">IF(COUNTIF($A$2:$A836,A836)=1,1,0)</f>
        <v>0</v>
      </c>
    </row>
    <row r="837" customFormat="false" ht="15" hidden="false" customHeight="false" outlineLevel="0" collapsed="false">
      <c r="A837" s="0" t="s">
        <v>264</v>
      </c>
      <c r="B837" s="0" t="s">
        <v>43</v>
      </c>
      <c r="C837" s="0" t="s">
        <v>44</v>
      </c>
      <c r="D837" s="0" t="n">
        <v>23</v>
      </c>
      <c r="E837" s="5" t="n">
        <v>45942.7902430556</v>
      </c>
      <c r="F837" s="0" t="n">
        <v>4.25</v>
      </c>
      <c r="G837" s="0" t="n">
        <v>17101</v>
      </c>
      <c r="H837" s="6" t="s">
        <v>208</v>
      </c>
      <c r="I837" s="6" t="n">
        <f aca="false">D837*F837</f>
        <v>97.75</v>
      </c>
      <c r="J837" s="6" t="n">
        <f aca="false">HOUR(E837)</f>
        <v>18</v>
      </c>
      <c r="K837" s="6" t="n">
        <f aca="false">IF(COUNTIF($A$2:$A837,A837)=1,1,0)</f>
        <v>0</v>
      </c>
    </row>
    <row r="838" customFormat="false" ht="15" hidden="false" customHeight="false" outlineLevel="0" collapsed="false">
      <c r="A838" s="0" t="s">
        <v>264</v>
      </c>
      <c r="B838" s="0" t="s">
        <v>127</v>
      </c>
      <c r="C838" s="0" t="s">
        <v>128</v>
      </c>
      <c r="D838" s="0" t="n">
        <v>22</v>
      </c>
      <c r="E838" s="5" t="n">
        <v>45942.7902430556</v>
      </c>
      <c r="F838" s="0" t="n">
        <v>1.45</v>
      </c>
      <c r="G838" s="0" t="n">
        <v>17101</v>
      </c>
      <c r="H838" s="6" t="s">
        <v>208</v>
      </c>
      <c r="I838" s="6" t="n">
        <f aca="false">D838*F838</f>
        <v>31.9</v>
      </c>
      <c r="J838" s="6" t="n">
        <f aca="false">HOUR(E838)</f>
        <v>18</v>
      </c>
      <c r="K838" s="6" t="n">
        <f aca="false">IF(COUNTIF($A$2:$A838,A838)=1,1,0)</f>
        <v>0</v>
      </c>
    </row>
    <row r="839" customFormat="false" ht="15" hidden="false" customHeight="false" outlineLevel="0" collapsed="false">
      <c r="A839" s="0" t="s">
        <v>264</v>
      </c>
      <c r="B839" s="0" t="s">
        <v>121</v>
      </c>
      <c r="C839" s="0" t="s">
        <v>122</v>
      </c>
      <c r="D839" s="0" t="n">
        <v>20</v>
      </c>
      <c r="E839" s="5" t="n">
        <v>45942.7902430556</v>
      </c>
      <c r="F839" s="0" t="n">
        <v>2.1</v>
      </c>
      <c r="G839" s="0" t="n">
        <v>17101</v>
      </c>
      <c r="H839" s="6" t="s">
        <v>208</v>
      </c>
      <c r="I839" s="6" t="n">
        <f aca="false">D839*F839</f>
        <v>42</v>
      </c>
      <c r="J839" s="6" t="n">
        <f aca="false">HOUR(E839)</f>
        <v>18</v>
      </c>
      <c r="K839" s="6" t="n">
        <f aca="false">IF(COUNTIF($A$2:$A839,A839)=1,1,0)</f>
        <v>0</v>
      </c>
    </row>
    <row r="840" customFormat="false" ht="15" hidden="false" customHeight="false" outlineLevel="0" collapsed="false">
      <c r="A840" s="0" t="s">
        <v>265</v>
      </c>
      <c r="B840" s="0" t="s">
        <v>47</v>
      </c>
      <c r="C840" s="0" t="s">
        <v>48</v>
      </c>
      <c r="D840" s="0" t="n">
        <v>23</v>
      </c>
      <c r="E840" s="5" t="n">
        <v>45943.0764699074</v>
      </c>
      <c r="F840" s="0" t="n">
        <v>12.75</v>
      </c>
      <c r="G840" s="0" t="n">
        <v>17102</v>
      </c>
      <c r="H840" s="6" t="s">
        <v>74</v>
      </c>
      <c r="I840" s="6" t="n">
        <f aca="false">D840*F840</f>
        <v>293.25</v>
      </c>
      <c r="J840" s="6" t="n">
        <f aca="false">HOUR(E840)</f>
        <v>1</v>
      </c>
      <c r="K840" s="6" t="n">
        <f aca="false">IF(COUNTIF($A$2:$A840,A840)=1,1,0)</f>
        <v>1</v>
      </c>
    </row>
    <row r="841" customFormat="false" ht="15" hidden="false" customHeight="false" outlineLevel="0" collapsed="false">
      <c r="A841" s="0" t="s">
        <v>265</v>
      </c>
      <c r="B841" s="0" t="s">
        <v>79</v>
      </c>
      <c r="C841" s="0" t="s">
        <v>80</v>
      </c>
      <c r="D841" s="0" t="n">
        <v>12</v>
      </c>
      <c r="E841" s="5" t="n">
        <v>45943.0764699074</v>
      </c>
      <c r="F841" s="0" t="n">
        <v>3.39</v>
      </c>
      <c r="G841" s="0" t="n">
        <v>17102</v>
      </c>
      <c r="H841" s="6" t="s">
        <v>74</v>
      </c>
      <c r="I841" s="6" t="n">
        <f aca="false">D841*F841</f>
        <v>40.68</v>
      </c>
      <c r="J841" s="6" t="n">
        <f aca="false">HOUR(E841)</f>
        <v>1</v>
      </c>
      <c r="K841" s="6" t="n">
        <f aca="false">IF(COUNTIF($A$2:$A841,A841)=1,1,0)</f>
        <v>0</v>
      </c>
    </row>
    <row r="842" customFormat="false" ht="15" hidden="false" customHeight="false" outlineLevel="0" collapsed="false">
      <c r="A842" s="0" t="s">
        <v>265</v>
      </c>
      <c r="B842" s="0" t="s">
        <v>91</v>
      </c>
      <c r="C842" s="0" t="s">
        <v>92</v>
      </c>
      <c r="D842" s="0" t="n">
        <v>17</v>
      </c>
      <c r="E842" s="5" t="n">
        <v>45943.0764699074</v>
      </c>
      <c r="F842" s="0" t="n">
        <v>7.65</v>
      </c>
      <c r="G842" s="0" t="n">
        <v>17102</v>
      </c>
      <c r="H842" s="6" t="s">
        <v>74</v>
      </c>
      <c r="I842" s="6" t="n">
        <f aca="false">D842*F842</f>
        <v>130.05</v>
      </c>
      <c r="J842" s="6" t="n">
        <f aca="false">HOUR(E842)</f>
        <v>1</v>
      </c>
      <c r="K842" s="6" t="n">
        <f aca="false">IF(COUNTIF($A$2:$A842,A842)=1,1,0)</f>
        <v>0</v>
      </c>
    </row>
    <row r="843" customFormat="false" ht="15" hidden="false" customHeight="false" outlineLevel="0" collapsed="false">
      <c r="A843" s="0" t="s">
        <v>266</v>
      </c>
      <c r="B843" s="0" t="s">
        <v>47</v>
      </c>
      <c r="C843" s="0" t="s">
        <v>48</v>
      </c>
      <c r="D843" s="0" t="n">
        <v>17</v>
      </c>
      <c r="E843" s="5" t="n">
        <v>45943.468587963</v>
      </c>
      <c r="F843" s="0" t="n">
        <v>12.75</v>
      </c>
      <c r="G843" s="0" t="n">
        <v>17105</v>
      </c>
      <c r="H843" s="6" t="s">
        <v>188</v>
      </c>
      <c r="I843" s="6" t="n">
        <f aca="false">D843*F843</f>
        <v>216.75</v>
      </c>
      <c r="J843" s="6" t="n">
        <f aca="false">HOUR(E843)</f>
        <v>11</v>
      </c>
      <c r="K843" s="6" t="n">
        <f aca="false">IF(COUNTIF($A$2:$A843,A843)=1,1,0)</f>
        <v>1</v>
      </c>
    </row>
    <row r="844" customFormat="false" ht="15" hidden="false" customHeight="false" outlineLevel="0" collapsed="false">
      <c r="A844" s="0" t="s">
        <v>266</v>
      </c>
      <c r="B844" s="0" t="s">
        <v>61</v>
      </c>
      <c r="C844" s="0" t="s">
        <v>62</v>
      </c>
      <c r="D844" s="0" t="n">
        <v>23</v>
      </c>
      <c r="E844" s="5" t="n">
        <v>45943.468587963</v>
      </c>
      <c r="F844" s="0" t="n">
        <v>1.65</v>
      </c>
      <c r="G844" s="0" t="n">
        <v>17105</v>
      </c>
      <c r="H844" s="6" t="s">
        <v>188</v>
      </c>
      <c r="I844" s="6" t="n">
        <f aca="false">D844*F844</f>
        <v>37.95</v>
      </c>
      <c r="J844" s="6" t="n">
        <f aca="false">HOUR(E844)</f>
        <v>11</v>
      </c>
      <c r="K844" s="6" t="n">
        <f aca="false">IF(COUNTIF($A$2:$A844,A844)=1,1,0)</f>
        <v>0</v>
      </c>
    </row>
    <row r="845" customFormat="false" ht="15" hidden="false" customHeight="false" outlineLevel="0" collapsed="false">
      <c r="A845" s="0" t="s">
        <v>266</v>
      </c>
      <c r="B845" s="0" t="s">
        <v>45</v>
      </c>
      <c r="C845" s="0" t="s">
        <v>46</v>
      </c>
      <c r="D845" s="0" t="n">
        <v>10</v>
      </c>
      <c r="E845" s="5" t="n">
        <v>45943.468587963</v>
      </c>
      <c r="F845" s="0" t="n">
        <v>2.1</v>
      </c>
      <c r="G845" s="0" t="n">
        <v>17105</v>
      </c>
      <c r="H845" s="6" t="s">
        <v>188</v>
      </c>
      <c r="I845" s="6" t="n">
        <f aca="false">D845*F845</f>
        <v>21</v>
      </c>
      <c r="J845" s="6" t="n">
        <f aca="false">HOUR(E845)</f>
        <v>11</v>
      </c>
      <c r="K845" s="6" t="n">
        <f aca="false">IF(COUNTIF($A$2:$A845,A845)=1,1,0)</f>
        <v>0</v>
      </c>
    </row>
    <row r="846" customFormat="false" ht="15" hidden="false" customHeight="false" outlineLevel="0" collapsed="false">
      <c r="A846" s="0" t="s">
        <v>267</v>
      </c>
      <c r="B846" s="0" t="s">
        <v>83</v>
      </c>
      <c r="C846" s="0" t="s">
        <v>84</v>
      </c>
      <c r="D846" s="0" t="n">
        <v>14</v>
      </c>
      <c r="E846" s="5" t="n">
        <v>45943.4724884259</v>
      </c>
      <c r="F846" s="0" t="n">
        <v>2.95</v>
      </c>
      <c r="G846" s="0" t="n">
        <v>17134</v>
      </c>
      <c r="H846" s="6" t="s">
        <v>74</v>
      </c>
      <c r="I846" s="6" t="n">
        <f aca="false">D846*F846</f>
        <v>41.3</v>
      </c>
      <c r="J846" s="6" t="n">
        <f aca="false">HOUR(E846)</f>
        <v>11</v>
      </c>
      <c r="K846" s="6" t="n">
        <f aca="false">IF(COUNTIF($A$2:$A846,A846)=1,1,0)</f>
        <v>1</v>
      </c>
    </row>
    <row r="847" customFormat="false" ht="15" hidden="false" customHeight="false" outlineLevel="0" collapsed="false">
      <c r="A847" s="0" t="s">
        <v>267</v>
      </c>
      <c r="B847" s="0" t="s">
        <v>116</v>
      </c>
      <c r="C847" s="0" t="s">
        <v>117</v>
      </c>
      <c r="D847" s="0" t="n">
        <v>12</v>
      </c>
      <c r="E847" s="5" t="n">
        <v>45943.4724884259</v>
      </c>
      <c r="F847" s="0" t="n">
        <v>1.95</v>
      </c>
      <c r="G847" s="0" t="n">
        <v>17134</v>
      </c>
      <c r="H847" s="6" t="s">
        <v>74</v>
      </c>
      <c r="I847" s="6" t="n">
        <f aca="false">D847*F847</f>
        <v>23.4</v>
      </c>
      <c r="J847" s="6" t="n">
        <f aca="false">HOUR(E847)</f>
        <v>11</v>
      </c>
      <c r="K847" s="6" t="n">
        <f aca="false">IF(COUNTIF($A$2:$A847,A847)=1,1,0)</f>
        <v>0</v>
      </c>
    </row>
    <row r="848" customFormat="false" ht="15" hidden="false" customHeight="false" outlineLevel="0" collapsed="false">
      <c r="A848" s="0" t="s">
        <v>267</v>
      </c>
      <c r="B848" s="0" t="s">
        <v>99</v>
      </c>
      <c r="C848" s="0" t="s">
        <v>100</v>
      </c>
      <c r="D848" s="0" t="n">
        <v>13</v>
      </c>
      <c r="E848" s="5" t="n">
        <v>45943.4724884259</v>
      </c>
      <c r="F848" s="0" t="n">
        <v>2.08</v>
      </c>
      <c r="G848" s="0" t="n">
        <v>17134</v>
      </c>
      <c r="H848" s="6" t="s">
        <v>74</v>
      </c>
      <c r="I848" s="6" t="n">
        <f aca="false">D848*F848</f>
        <v>27.04</v>
      </c>
      <c r="J848" s="6" t="n">
        <f aca="false">HOUR(E848)</f>
        <v>11</v>
      </c>
      <c r="K848" s="6" t="n">
        <f aca="false">IF(COUNTIF($A$2:$A848,A848)=1,1,0)</f>
        <v>0</v>
      </c>
    </row>
    <row r="849" customFormat="false" ht="15" hidden="false" customHeight="false" outlineLevel="0" collapsed="false">
      <c r="A849" s="0" t="s">
        <v>267</v>
      </c>
      <c r="B849" s="0" t="s">
        <v>65</v>
      </c>
      <c r="C849" s="0" t="s">
        <v>66</v>
      </c>
      <c r="D849" s="0" t="n">
        <v>16</v>
      </c>
      <c r="E849" s="5" t="n">
        <v>45943.4724884259</v>
      </c>
      <c r="F849" s="0" t="n">
        <v>1.65</v>
      </c>
      <c r="G849" s="0" t="n">
        <v>17134</v>
      </c>
      <c r="H849" s="6" t="s">
        <v>74</v>
      </c>
      <c r="I849" s="6" t="n">
        <f aca="false">D849*F849</f>
        <v>26.4</v>
      </c>
      <c r="J849" s="6" t="n">
        <f aca="false">HOUR(E849)</f>
        <v>11</v>
      </c>
      <c r="K849" s="6" t="n">
        <f aca="false">IF(COUNTIF($A$2:$A849,A849)=1,1,0)</f>
        <v>0</v>
      </c>
    </row>
    <row r="850" customFormat="false" ht="15" hidden="false" customHeight="false" outlineLevel="0" collapsed="false">
      <c r="A850" s="0" t="s">
        <v>268</v>
      </c>
      <c r="B850" s="0" t="s">
        <v>59</v>
      </c>
      <c r="C850" s="0" t="s">
        <v>60</v>
      </c>
      <c r="D850" s="0" t="n">
        <v>24</v>
      </c>
      <c r="E850" s="5" t="n">
        <v>45943.4774421296</v>
      </c>
      <c r="F850" s="0" t="n">
        <v>0.42</v>
      </c>
      <c r="G850" s="0" t="n">
        <v>17078</v>
      </c>
      <c r="H850" s="6" t="s">
        <v>42</v>
      </c>
      <c r="I850" s="6" t="n">
        <f aca="false">D850*F850</f>
        <v>10.08</v>
      </c>
      <c r="J850" s="6" t="n">
        <f aca="false">HOUR(E850)</f>
        <v>11</v>
      </c>
      <c r="K850" s="6" t="n">
        <f aca="false">IF(COUNTIF($A$2:$A850,A850)=1,1,0)</f>
        <v>1</v>
      </c>
    </row>
    <row r="851" customFormat="false" ht="15" hidden="false" customHeight="false" outlineLevel="0" collapsed="false">
      <c r="A851" s="0" t="s">
        <v>268</v>
      </c>
      <c r="B851" s="0" t="s">
        <v>55</v>
      </c>
      <c r="C851" s="0" t="s">
        <v>56</v>
      </c>
      <c r="D851" s="0" t="n">
        <v>6</v>
      </c>
      <c r="E851" s="5" t="n">
        <v>45943.4774421296</v>
      </c>
      <c r="F851" s="0" t="n">
        <v>1.65</v>
      </c>
      <c r="G851" s="0" t="n">
        <v>17078</v>
      </c>
      <c r="H851" s="6" t="s">
        <v>42</v>
      </c>
      <c r="I851" s="6" t="n">
        <f aca="false">D851*F851</f>
        <v>9.9</v>
      </c>
      <c r="J851" s="6" t="n">
        <f aca="false">HOUR(E851)</f>
        <v>11</v>
      </c>
      <c r="K851" s="6" t="n">
        <f aca="false">IF(COUNTIF($A$2:$A851,A851)=1,1,0)</f>
        <v>0</v>
      </c>
    </row>
    <row r="852" customFormat="false" ht="15" hidden="false" customHeight="false" outlineLevel="0" collapsed="false">
      <c r="A852" s="0" t="s">
        <v>268</v>
      </c>
      <c r="B852" s="0" t="s">
        <v>93</v>
      </c>
      <c r="C852" s="0" t="s">
        <v>94</v>
      </c>
      <c r="D852" s="0" t="n">
        <v>22</v>
      </c>
      <c r="E852" s="5" t="n">
        <v>45943.4774421296</v>
      </c>
      <c r="F852" s="0" t="n">
        <v>1.69</v>
      </c>
      <c r="G852" s="0" t="n">
        <v>17078</v>
      </c>
      <c r="H852" s="6" t="s">
        <v>42</v>
      </c>
      <c r="I852" s="6" t="n">
        <f aca="false">D852*F852</f>
        <v>37.18</v>
      </c>
      <c r="J852" s="6" t="n">
        <f aca="false">HOUR(E852)</f>
        <v>11</v>
      </c>
      <c r="K852" s="6" t="n">
        <f aca="false">IF(COUNTIF($A$2:$A852,A852)=1,1,0)</f>
        <v>0</v>
      </c>
    </row>
    <row r="853" customFormat="false" ht="15" hidden="false" customHeight="false" outlineLevel="0" collapsed="false">
      <c r="A853" s="0" t="s">
        <v>268</v>
      </c>
      <c r="B853" s="0" t="s">
        <v>95</v>
      </c>
      <c r="C853" s="0" t="s">
        <v>96</v>
      </c>
      <c r="D853" s="0" t="n">
        <v>12</v>
      </c>
      <c r="E853" s="5" t="n">
        <v>45943.4774421296</v>
      </c>
      <c r="F853" s="0" t="n">
        <v>2.55</v>
      </c>
      <c r="G853" s="0" t="n">
        <v>17078</v>
      </c>
      <c r="H853" s="6" t="s">
        <v>42</v>
      </c>
      <c r="I853" s="6" t="n">
        <f aca="false">D853*F853</f>
        <v>30.6</v>
      </c>
      <c r="J853" s="6" t="n">
        <f aca="false">HOUR(E853)</f>
        <v>11</v>
      </c>
      <c r="K853" s="6" t="n">
        <f aca="false">IF(COUNTIF($A$2:$A853,A853)=1,1,0)</f>
        <v>0</v>
      </c>
    </row>
    <row r="854" customFormat="false" ht="15" hidden="false" customHeight="false" outlineLevel="0" collapsed="false">
      <c r="A854" s="0" t="s">
        <v>268</v>
      </c>
      <c r="B854" s="0" t="s">
        <v>109</v>
      </c>
      <c r="C854" s="0" t="s">
        <v>110</v>
      </c>
      <c r="D854" s="0" t="n">
        <v>6</v>
      </c>
      <c r="E854" s="5" t="n">
        <v>45943.4774421296</v>
      </c>
      <c r="F854" s="0" t="n">
        <v>0.85</v>
      </c>
      <c r="G854" s="0" t="n">
        <v>17078</v>
      </c>
      <c r="H854" s="6" t="s">
        <v>42</v>
      </c>
      <c r="I854" s="6" t="n">
        <f aca="false">D854*F854</f>
        <v>5.1</v>
      </c>
      <c r="J854" s="6" t="n">
        <f aca="false">HOUR(E854)</f>
        <v>11</v>
      </c>
      <c r="K854" s="6" t="n">
        <f aca="false">IF(COUNTIF($A$2:$A854,A854)=1,1,0)</f>
        <v>0</v>
      </c>
    </row>
    <row r="855" customFormat="false" ht="15" hidden="false" customHeight="false" outlineLevel="0" collapsed="false">
      <c r="A855" s="0" t="s">
        <v>268</v>
      </c>
      <c r="B855" s="0" t="s">
        <v>83</v>
      </c>
      <c r="C855" s="0" t="s">
        <v>84</v>
      </c>
      <c r="D855" s="0" t="n">
        <v>12</v>
      </c>
      <c r="E855" s="5" t="n">
        <v>45943.4774421296</v>
      </c>
      <c r="F855" s="0" t="n">
        <v>2.95</v>
      </c>
      <c r="G855" s="0" t="n">
        <v>17078</v>
      </c>
      <c r="H855" s="6" t="s">
        <v>42</v>
      </c>
      <c r="I855" s="6" t="n">
        <f aca="false">D855*F855</f>
        <v>35.4</v>
      </c>
      <c r="J855" s="6" t="n">
        <f aca="false">HOUR(E855)</f>
        <v>11</v>
      </c>
      <c r="K855" s="6" t="n">
        <f aca="false">IF(COUNTIF($A$2:$A855,A855)=1,1,0)</f>
        <v>0</v>
      </c>
    </row>
    <row r="856" customFormat="false" ht="15" hidden="false" customHeight="false" outlineLevel="0" collapsed="false">
      <c r="A856" s="0" t="s">
        <v>268</v>
      </c>
      <c r="B856" s="0" t="s">
        <v>63</v>
      </c>
      <c r="C856" s="0" t="s">
        <v>64</v>
      </c>
      <c r="D856" s="0" t="n">
        <v>10</v>
      </c>
      <c r="E856" s="5" t="n">
        <v>45943.4774421296</v>
      </c>
      <c r="F856" s="0" t="n">
        <v>1.85</v>
      </c>
      <c r="G856" s="0" t="n">
        <v>17078</v>
      </c>
      <c r="H856" s="6" t="s">
        <v>42</v>
      </c>
      <c r="I856" s="6" t="n">
        <f aca="false">D856*F856</f>
        <v>18.5</v>
      </c>
      <c r="J856" s="6" t="n">
        <f aca="false">HOUR(E856)</f>
        <v>11</v>
      </c>
      <c r="K856" s="6" t="n">
        <f aca="false">IF(COUNTIF($A$2:$A856,A856)=1,1,0)</f>
        <v>0</v>
      </c>
    </row>
    <row r="857" customFormat="false" ht="15" hidden="false" customHeight="false" outlineLevel="0" collapsed="false">
      <c r="A857" s="0" t="s">
        <v>269</v>
      </c>
      <c r="B857" s="0" t="s">
        <v>69</v>
      </c>
      <c r="C857" s="0" t="s">
        <v>70</v>
      </c>
      <c r="D857" s="0" t="n">
        <v>45</v>
      </c>
      <c r="E857" s="5" t="n">
        <v>45943.567962963</v>
      </c>
      <c r="F857" s="0" t="n">
        <v>2.08</v>
      </c>
      <c r="G857" s="0" t="n">
        <v>17023</v>
      </c>
      <c r="H857" s="6" t="s">
        <v>98</v>
      </c>
      <c r="I857" s="6" t="n">
        <f aca="false">D857*F857</f>
        <v>93.6</v>
      </c>
      <c r="J857" s="6" t="n">
        <f aca="false">HOUR(E857)</f>
        <v>13</v>
      </c>
      <c r="K857" s="6" t="n">
        <f aca="false">IF(COUNTIF($A$2:$A857,A857)=1,1,0)</f>
        <v>1</v>
      </c>
    </row>
    <row r="858" customFormat="false" ht="15" hidden="false" customHeight="false" outlineLevel="0" collapsed="false">
      <c r="A858" s="0" t="s">
        <v>269</v>
      </c>
      <c r="B858" s="0" t="s">
        <v>93</v>
      </c>
      <c r="C858" s="0" t="s">
        <v>94</v>
      </c>
      <c r="D858" s="0" t="n">
        <v>2</v>
      </c>
      <c r="E858" s="5" t="n">
        <v>45943.567962963</v>
      </c>
      <c r="F858" s="0" t="n">
        <v>1.69</v>
      </c>
      <c r="G858" s="0" t="n">
        <v>17023</v>
      </c>
      <c r="H858" s="6" t="s">
        <v>98</v>
      </c>
      <c r="I858" s="6" t="n">
        <f aca="false">D858*F858</f>
        <v>3.38</v>
      </c>
      <c r="J858" s="6" t="n">
        <f aca="false">HOUR(E858)</f>
        <v>13</v>
      </c>
      <c r="K858" s="6" t="n">
        <f aca="false">IF(COUNTIF($A$2:$A858,A858)=1,1,0)</f>
        <v>0</v>
      </c>
    </row>
    <row r="859" customFormat="false" ht="15" hidden="false" customHeight="false" outlineLevel="0" collapsed="false">
      <c r="A859" s="0" t="s">
        <v>270</v>
      </c>
      <c r="B859" s="0" t="s">
        <v>118</v>
      </c>
      <c r="C859" s="0" t="s">
        <v>119</v>
      </c>
      <c r="D859" s="0" t="n">
        <v>30</v>
      </c>
      <c r="E859" s="5" t="n">
        <v>45943.5959953704</v>
      </c>
      <c r="F859" s="0" t="n">
        <v>4.95</v>
      </c>
      <c r="G859" s="0" t="n">
        <v>17108</v>
      </c>
      <c r="H859" s="6" t="s">
        <v>42</v>
      </c>
      <c r="I859" s="6" t="n">
        <f aca="false">D859*F859</f>
        <v>148.5</v>
      </c>
      <c r="J859" s="6" t="n">
        <f aca="false">HOUR(E859)</f>
        <v>14</v>
      </c>
      <c r="K859" s="6" t="n">
        <f aca="false">IF(COUNTIF($A$2:$A859,A859)=1,1,0)</f>
        <v>1</v>
      </c>
    </row>
    <row r="860" customFormat="false" ht="15" hidden="false" customHeight="false" outlineLevel="0" collapsed="false">
      <c r="A860" s="0" t="s">
        <v>270</v>
      </c>
      <c r="B860" s="0" t="s">
        <v>91</v>
      </c>
      <c r="C860" s="0" t="s">
        <v>92</v>
      </c>
      <c r="D860" s="0" t="n">
        <v>3</v>
      </c>
      <c r="E860" s="5" t="n">
        <v>45943.5959953704</v>
      </c>
      <c r="F860" s="0" t="n">
        <v>7.65</v>
      </c>
      <c r="G860" s="0" t="n">
        <v>17108</v>
      </c>
      <c r="H860" s="6" t="s">
        <v>42</v>
      </c>
      <c r="I860" s="6" t="n">
        <f aca="false">D860*F860</f>
        <v>22.95</v>
      </c>
      <c r="J860" s="6" t="n">
        <f aca="false">HOUR(E860)</f>
        <v>14</v>
      </c>
      <c r="K860" s="6" t="n">
        <f aca="false">IF(COUNTIF($A$2:$A860,A860)=1,1,0)</f>
        <v>0</v>
      </c>
    </row>
    <row r="861" customFormat="false" ht="15" hidden="false" customHeight="false" outlineLevel="0" collapsed="false">
      <c r="A861" s="0" t="s">
        <v>270</v>
      </c>
      <c r="B861" s="0" t="s">
        <v>131</v>
      </c>
      <c r="C861" s="0" t="s">
        <v>132</v>
      </c>
      <c r="D861" s="0" t="n">
        <v>14</v>
      </c>
      <c r="E861" s="5" t="n">
        <v>45943.5959953704</v>
      </c>
      <c r="F861" s="0" t="n">
        <v>3.39</v>
      </c>
      <c r="G861" s="0" t="n">
        <v>17108</v>
      </c>
      <c r="H861" s="6" t="s">
        <v>42</v>
      </c>
      <c r="I861" s="6" t="n">
        <f aca="false">D861*F861</f>
        <v>47.46</v>
      </c>
      <c r="J861" s="6" t="n">
        <f aca="false">HOUR(E861)</f>
        <v>14</v>
      </c>
      <c r="K861" s="6" t="n">
        <f aca="false">IF(COUNTIF($A$2:$A861,A861)=1,1,0)</f>
        <v>0</v>
      </c>
    </row>
    <row r="862" customFormat="false" ht="15" hidden="false" customHeight="false" outlineLevel="0" collapsed="false">
      <c r="A862" s="0" t="s">
        <v>270</v>
      </c>
      <c r="B862" s="0" t="s">
        <v>77</v>
      </c>
      <c r="C862" s="0" t="s">
        <v>78</v>
      </c>
      <c r="D862" s="0" t="n">
        <v>10</v>
      </c>
      <c r="E862" s="5" t="n">
        <v>45943.5959953704</v>
      </c>
      <c r="F862" s="0" t="n">
        <v>1.65</v>
      </c>
      <c r="G862" s="0" t="n">
        <v>17108</v>
      </c>
      <c r="H862" s="6" t="s">
        <v>42</v>
      </c>
      <c r="I862" s="6" t="n">
        <f aca="false">D862*F862</f>
        <v>16.5</v>
      </c>
      <c r="J862" s="6" t="n">
        <f aca="false">HOUR(E862)</f>
        <v>14</v>
      </c>
      <c r="K862" s="6" t="n">
        <f aca="false">IF(COUNTIF($A$2:$A862,A862)=1,1,0)</f>
        <v>0</v>
      </c>
    </row>
    <row r="863" customFormat="false" ht="15" hidden="false" customHeight="false" outlineLevel="0" collapsed="false">
      <c r="A863" s="0" t="s">
        <v>270</v>
      </c>
      <c r="B863" s="0" t="s">
        <v>134</v>
      </c>
      <c r="C863" s="0" t="s">
        <v>135</v>
      </c>
      <c r="D863" s="0" t="n">
        <v>3</v>
      </c>
      <c r="E863" s="5" t="n">
        <v>45943.5959953704</v>
      </c>
      <c r="F863" s="0" t="n">
        <v>5.95</v>
      </c>
      <c r="G863" s="0" t="n">
        <v>17108</v>
      </c>
      <c r="H863" s="6" t="s">
        <v>42</v>
      </c>
      <c r="I863" s="6" t="n">
        <f aca="false">D863*F863</f>
        <v>17.85</v>
      </c>
      <c r="J863" s="6" t="n">
        <f aca="false">HOUR(E863)</f>
        <v>14</v>
      </c>
      <c r="K863" s="6" t="n">
        <f aca="false">IF(COUNTIF($A$2:$A863,A863)=1,1,0)</f>
        <v>0</v>
      </c>
    </row>
    <row r="864" customFormat="false" ht="15" hidden="false" customHeight="false" outlineLevel="0" collapsed="false">
      <c r="A864" s="0" t="s">
        <v>270</v>
      </c>
      <c r="B864" s="0" t="s">
        <v>47</v>
      </c>
      <c r="C864" s="0" t="s">
        <v>48</v>
      </c>
      <c r="D864" s="0" t="n">
        <v>44</v>
      </c>
      <c r="E864" s="5" t="n">
        <v>45943.5959953704</v>
      </c>
      <c r="F864" s="0" t="n">
        <v>12.75</v>
      </c>
      <c r="G864" s="0" t="n">
        <v>17108</v>
      </c>
      <c r="H864" s="6" t="s">
        <v>42</v>
      </c>
      <c r="I864" s="6" t="n">
        <f aca="false">D864*F864</f>
        <v>561</v>
      </c>
      <c r="J864" s="6" t="n">
        <f aca="false">HOUR(E864)</f>
        <v>14</v>
      </c>
      <c r="K864" s="6" t="n">
        <f aca="false">IF(COUNTIF($A$2:$A864,A864)=1,1,0)</f>
        <v>0</v>
      </c>
    </row>
    <row r="865" customFormat="false" ht="15" hidden="false" customHeight="false" outlineLevel="0" collapsed="false">
      <c r="A865" s="0" t="s">
        <v>270</v>
      </c>
      <c r="B865" s="0" t="s">
        <v>43</v>
      </c>
      <c r="C865" s="0" t="s">
        <v>44</v>
      </c>
      <c r="D865" s="0" t="n">
        <v>2</v>
      </c>
      <c r="E865" s="5" t="n">
        <v>45943.5959953704</v>
      </c>
      <c r="F865" s="0" t="n">
        <v>4.25</v>
      </c>
      <c r="G865" s="0" t="n">
        <v>17108</v>
      </c>
      <c r="H865" s="6" t="s">
        <v>42</v>
      </c>
      <c r="I865" s="6" t="n">
        <f aca="false">D865*F865</f>
        <v>8.5</v>
      </c>
      <c r="J865" s="6" t="n">
        <f aca="false">HOUR(E865)</f>
        <v>14</v>
      </c>
      <c r="K865" s="6" t="n">
        <f aca="false">IF(COUNTIF($A$2:$A865,A865)=1,1,0)</f>
        <v>0</v>
      </c>
    </row>
    <row r="866" customFormat="false" ht="15" hidden="false" customHeight="false" outlineLevel="0" collapsed="false">
      <c r="A866" s="0" t="s">
        <v>270</v>
      </c>
      <c r="B866" s="0" t="s">
        <v>69</v>
      </c>
      <c r="C866" s="0" t="s">
        <v>70</v>
      </c>
      <c r="D866" s="0" t="n">
        <v>41</v>
      </c>
      <c r="E866" s="5" t="n">
        <v>45943.5959953704</v>
      </c>
      <c r="F866" s="0" t="n">
        <v>2.08</v>
      </c>
      <c r="G866" s="0" t="n">
        <v>17108</v>
      </c>
      <c r="H866" s="6" t="s">
        <v>42</v>
      </c>
      <c r="I866" s="6" t="n">
        <f aca="false">D866*F866</f>
        <v>85.28</v>
      </c>
      <c r="J866" s="6" t="n">
        <f aca="false">HOUR(E866)</f>
        <v>14</v>
      </c>
      <c r="K866" s="6" t="n">
        <f aca="false">IF(COUNTIF($A$2:$A866,A866)=1,1,0)</f>
        <v>0</v>
      </c>
    </row>
    <row r="867" customFormat="false" ht="15" hidden="false" customHeight="false" outlineLevel="0" collapsed="false">
      <c r="A867" s="0" t="s">
        <v>271</v>
      </c>
      <c r="B867" s="0" t="s">
        <v>69</v>
      </c>
      <c r="C867" s="0" t="s">
        <v>70</v>
      </c>
      <c r="D867" s="0" t="n">
        <v>12</v>
      </c>
      <c r="E867" s="5" t="n">
        <v>45943.6420717593</v>
      </c>
      <c r="F867" s="0" t="n">
        <v>2.08</v>
      </c>
      <c r="H867" s="6" t="s">
        <v>52</v>
      </c>
      <c r="I867" s="6" t="n">
        <f aca="false">D867*F867</f>
        <v>24.96</v>
      </c>
      <c r="J867" s="6" t="n">
        <f aca="false">HOUR(E867)</f>
        <v>15</v>
      </c>
      <c r="K867" s="6" t="n">
        <f aca="false">IF(COUNTIF($A$2:$A867,A867)=1,1,0)</f>
        <v>1</v>
      </c>
    </row>
    <row r="868" customFormat="false" ht="15" hidden="false" customHeight="false" outlineLevel="0" collapsed="false">
      <c r="A868" s="0" t="s">
        <v>271</v>
      </c>
      <c r="B868" s="0" t="s">
        <v>104</v>
      </c>
      <c r="C868" s="0" t="s">
        <v>105</v>
      </c>
      <c r="D868" s="0" t="n">
        <v>5</v>
      </c>
      <c r="E868" s="5" t="n">
        <v>45943.6420717593</v>
      </c>
      <c r="F868" s="0" t="n">
        <v>1.65</v>
      </c>
      <c r="H868" s="6" t="s">
        <v>52</v>
      </c>
      <c r="I868" s="6" t="n">
        <f aca="false">D868*F868</f>
        <v>8.25</v>
      </c>
      <c r="J868" s="6" t="n">
        <f aca="false">HOUR(E868)</f>
        <v>15</v>
      </c>
      <c r="K868" s="6" t="n">
        <f aca="false">IF(COUNTIF($A$2:$A868,A868)=1,1,0)</f>
        <v>0</v>
      </c>
    </row>
    <row r="869" customFormat="false" ht="15" hidden="false" customHeight="false" outlineLevel="0" collapsed="false">
      <c r="A869" s="0" t="s">
        <v>271</v>
      </c>
      <c r="B869" s="0" t="s">
        <v>75</v>
      </c>
      <c r="C869" s="0" t="s">
        <v>76</v>
      </c>
      <c r="D869" s="0" t="n">
        <v>10</v>
      </c>
      <c r="E869" s="5" t="n">
        <v>45943.6420717593</v>
      </c>
      <c r="F869" s="0" t="n">
        <v>3.39</v>
      </c>
      <c r="H869" s="6" t="s">
        <v>52</v>
      </c>
      <c r="I869" s="6" t="n">
        <f aca="false">D869*F869</f>
        <v>33.9</v>
      </c>
      <c r="J869" s="6" t="n">
        <f aca="false">HOUR(E869)</f>
        <v>15</v>
      </c>
      <c r="K869" s="6" t="n">
        <f aca="false">IF(COUNTIF($A$2:$A869,A869)=1,1,0)</f>
        <v>0</v>
      </c>
    </row>
    <row r="870" customFormat="false" ht="15" hidden="false" customHeight="false" outlineLevel="0" collapsed="false">
      <c r="A870" s="0" t="s">
        <v>271</v>
      </c>
      <c r="B870" s="0" t="s">
        <v>45</v>
      </c>
      <c r="C870" s="0" t="s">
        <v>46</v>
      </c>
      <c r="D870" s="0" t="n">
        <v>9</v>
      </c>
      <c r="E870" s="5" t="n">
        <v>45943.6420717593</v>
      </c>
      <c r="F870" s="0" t="n">
        <v>2.1</v>
      </c>
      <c r="H870" s="6" t="s">
        <v>52</v>
      </c>
      <c r="I870" s="6" t="n">
        <f aca="false">D870*F870</f>
        <v>18.9</v>
      </c>
      <c r="J870" s="6" t="n">
        <f aca="false">HOUR(E870)</f>
        <v>15</v>
      </c>
      <c r="K870" s="6" t="n">
        <f aca="false">IF(COUNTIF($A$2:$A870,A870)=1,1,0)</f>
        <v>0</v>
      </c>
    </row>
    <row r="871" customFormat="false" ht="15" hidden="false" customHeight="false" outlineLevel="0" collapsed="false">
      <c r="A871" s="0" t="s">
        <v>271</v>
      </c>
      <c r="B871" s="0" t="s">
        <v>77</v>
      </c>
      <c r="C871" s="0" t="s">
        <v>78</v>
      </c>
      <c r="D871" s="0" t="n">
        <v>6</v>
      </c>
      <c r="E871" s="5" t="n">
        <v>45943.6420717593</v>
      </c>
      <c r="F871" s="0" t="n">
        <v>1.65</v>
      </c>
      <c r="H871" s="6" t="s">
        <v>52</v>
      </c>
      <c r="I871" s="6" t="n">
        <f aca="false">D871*F871</f>
        <v>9.9</v>
      </c>
      <c r="J871" s="6" t="n">
        <f aca="false">HOUR(E871)</f>
        <v>15</v>
      </c>
      <c r="K871" s="6" t="n">
        <f aca="false">IF(COUNTIF($A$2:$A871,A871)=1,1,0)</f>
        <v>0</v>
      </c>
    </row>
    <row r="872" customFormat="false" ht="15" hidden="false" customHeight="false" outlineLevel="0" collapsed="false">
      <c r="A872" s="0" t="s">
        <v>271</v>
      </c>
      <c r="B872" s="0" t="s">
        <v>83</v>
      </c>
      <c r="C872" s="0" t="s">
        <v>84</v>
      </c>
      <c r="D872" s="0" t="n">
        <v>19</v>
      </c>
      <c r="E872" s="5" t="n">
        <v>45943.6420717593</v>
      </c>
      <c r="F872" s="0" t="n">
        <v>2.95</v>
      </c>
      <c r="H872" s="6" t="s">
        <v>52</v>
      </c>
      <c r="I872" s="6" t="n">
        <f aca="false">D872*F872</f>
        <v>56.05</v>
      </c>
      <c r="J872" s="6" t="n">
        <f aca="false">HOUR(E872)</f>
        <v>15</v>
      </c>
      <c r="K872" s="6" t="n">
        <f aca="false">IF(COUNTIF($A$2:$A872,A872)=1,1,0)</f>
        <v>0</v>
      </c>
    </row>
    <row r="873" customFormat="false" ht="15" hidden="false" customHeight="false" outlineLevel="0" collapsed="false">
      <c r="A873" s="0" t="s">
        <v>272</v>
      </c>
      <c r="B873" s="0" t="s">
        <v>69</v>
      </c>
      <c r="C873" s="0" t="s">
        <v>70</v>
      </c>
      <c r="D873" s="0" t="n">
        <v>38</v>
      </c>
      <c r="E873" s="5" t="n">
        <v>45943.6541087963</v>
      </c>
      <c r="F873" s="0" t="n">
        <v>2.08</v>
      </c>
      <c r="G873" s="0" t="n">
        <v>17065</v>
      </c>
      <c r="H873" s="6" t="s">
        <v>74</v>
      </c>
      <c r="I873" s="6" t="n">
        <f aca="false">D873*F873</f>
        <v>79.04</v>
      </c>
      <c r="J873" s="6" t="n">
        <f aca="false">HOUR(E873)</f>
        <v>15</v>
      </c>
      <c r="K873" s="6" t="n">
        <f aca="false">IF(COUNTIF($A$2:$A873,A873)=1,1,0)</f>
        <v>1</v>
      </c>
    </row>
    <row r="874" customFormat="false" ht="15" hidden="false" customHeight="false" outlineLevel="0" collapsed="false">
      <c r="A874" s="0" t="s">
        <v>272</v>
      </c>
      <c r="B874" s="0" t="s">
        <v>50</v>
      </c>
      <c r="C874" s="0" t="s">
        <v>51</v>
      </c>
      <c r="D874" s="0" t="n">
        <v>16</v>
      </c>
      <c r="E874" s="5" t="n">
        <v>45943.6541087963</v>
      </c>
      <c r="F874" s="0" t="n">
        <v>5.95</v>
      </c>
      <c r="G874" s="0" t="n">
        <v>17065</v>
      </c>
      <c r="H874" s="6" t="s">
        <v>74</v>
      </c>
      <c r="I874" s="6" t="n">
        <f aca="false">D874*F874</f>
        <v>95.2</v>
      </c>
      <c r="J874" s="6" t="n">
        <f aca="false">HOUR(E874)</f>
        <v>15</v>
      </c>
      <c r="K874" s="6" t="n">
        <f aca="false">IF(COUNTIF($A$2:$A874,A874)=1,1,0)</f>
        <v>0</v>
      </c>
    </row>
    <row r="875" customFormat="false" ht="15" hidden="false" customHeight="false" outlineLevel="0" collapsed="false">
      <c r="A875" s="0" t="s">
        <v>272</v>
      </c>
      <c r="B875" s="0" t="s">
        <v>40</v>
      </c>
      <c r="C875" s="0" t="s">
        <v>41</v>
      </c>
      <c r="D875" s="0" t="n">
        <v>21</v>
      </c>
      <c r="E875" s="5" t="n">
        <v>45943.6541087963</v>
      </c>
      <c r="F875" s="0" t="n">
        <v>1.06</v>
      </c>
      <c r="G875" s="0" t="n">
        <v>17065</v>
      </c>
      <c r="H875" s="6" t="s">
        <v>74</v>
      </c>
      <c r="I875" s="6" t="n">
        <f aca="false">D875*F875</f>
        <v>22.26</v>
      </c>
      <c r="J875" s="6" t="n">
        <f aca="false">HOUR(E875)</f>
        <v>15</v>
      </c>
      <c r="K875" s="6" t="n">
        <f aca="false">IF(COUNTIF($A$2:$A875,A875)=1,1,0)</f>
        <v>0</v>
      </c>
    </row>
    <row r="876" customFormat="false" ht="15" hidden="false" customHeight="false" outlineLevel="0" collapsed="false">
      <c r="A876" s="0" t="s">
        <v>272</v>
      </c>
      <c r="B876" s="0" t="s">
        <v>45</v>
      </c>
      <c r="C876" s="0" t="s">
        <v>46</v>
      </c>
      <c r="D876" s="0" t="n">
        <v>7</v>
      </c>
      <c r="E876" s="5" t="n">
        <v>45943.6541087963</v>
      </c>
      <c r="F876" s="0" t="n">
        <v>2.1</v>
      </c>
      <c r="G876" s="0" t="n">
        <v>17065</v>
      </c>
      <c r="H876" s="6" t="s">
        <v>74</v>
      </c>
      <c r="I876" s="6" t="n">
        <f aca="false">D876*F876</f>
        <v>14.7</v>
      </c>
      <c r="J876" s="6" t="n">
        <f aca="false">HOUR(E876)</f>
        <v>15</v>
      </c>
      <c r="K876" s="6" t="n">
        <f aca="false">IF(COUNTIF($A$2:$A876,A876)=1,1,0)</f>
        <v>0</v>
      </c>
    </row>
    <row r="877" customFormat="false" ht="15" hidden="false" customHeight="false" outlineLevel="0" collapsed="false">
      <c r="A877" s="0" t="s">
        <v>272</v>
      </c>
      <c r="B877" s="0" t="s">
        <v>95</v>
      </c>
      <c r="C877" s="0" t="s">
        <v>96</v>
      </c>
      <c r="D877" s="0" t="n">
        <v>29</v>
      </c>
      <c r="E877" s="5" t="n">
        <v>45943.6541087963</v>
      </c>
      <c r="F877" s="0" t="n">
        <v>2.55</v>
      </c>
      <c r="G877" s="0" t="n">
        <v>17065</v>
      </c>
      <c r="H877" s="6" t="s">
        <v>74</v>
      </c>
      <c r="I877" s="6" t="n">
        <f aca="false">D877*F877</f>
        <v>73.95</v>
      </c>
      <c r="J877" s="6" t="n">
        <f aca="false">HOUR(E877)</f>
        <v>15</v>
      </c>
      <c r="K877" s="6" t="n">
        <f aca="false">IF(COUNTIF($A$2:$A877,A877)=1,1,0)</f>
        <v>0</v>
      </c>
    </row>
    <row r="878" customFormat="false" ht="15" hidden="false" customHeight="false" outlineLevel="0" collapsed="false">
      <c r="A878" s="0" t="s">
        <v>272</v>
      </c>
      <c r="B878" s="0" t="s">
        <v>57</v>
      </c>
      <c r="C878" s="0" t="s">
        <v>58</v>
      </c>
      <c r="D878" s="0" t="n">
        <v>23</v>
      </c>
      <c r="E878" s="5" t="n">
        <v>45943.6541087963</v>
      </c>
      <c r="F878" s="0" t="n">
        <v>2.08</v>
      </c>
      <c r="G878" s="0" t="n">
        <v>17065</v>
      </c>
      <c r="H878" s="6" t="s">
        <v>74</v>
      </c>
      <c r="I878" s="6" t="n">
        <f aca="false">D878*F878</f>
        <v>47.84</v>
      </c>
      <c r="J878" s="6" t="n">
        <f aca="false">HOUR(E878)</f>
        <v>15</v>
      </c>
      <c r="K878" s="6" t="n">
        <f aca="false">IF(COUNTIF($A$2:$A878,A878)=1,1,0)</f>
        <v>0</v>
      </c>
    </row>
    <row r="879" customFormat="false" ht="15" hidden="false" customHeight="false" outlineLevel="0" collapsed="false">
      <c r="A879" s="0" t="s">
        <v>272</v>
      </c>
      <c r="B879" s="0" t="s">
        <v>131</v>
      </c>
      <c r="C879" s="0" t="s">
        <v>132</v>
      </c>
      <c r="D879" s="0" t="n">
        <v>11</v>
      </c>
      <c r="E879" s="5" t="n">
        <v>45943.6541087963</v>
      </c>
      <c r="F879" s="0" t="n">
        <v>3.39</v>
      </c>
      <c r="G879" s="0" t="n">
        <v>17065</v>
      </c>
      <c r="H879" s="6" t="s">
        <v>74</v>
      </c>
      <c r="I879" s="6" t="n">
        <f aca="false">D879*F879</f>
        <v>37.29</v>
      </c>
      <c r="J879" s="6" t="n">
        <f aca="false">HOUR(E879)</f>
        <v>15</v>
      </c>
      <c r="K879" s="6" t="n">
        <f aca="false">IF(COUNTIF($A$2:$A879,A879)=1,1,0)</f>
        <v>0</v>
      </c>
    </row>
    <row r="880" customFormat="false" ht="15" hidden="false" customHeight="false" outlineLevel="0" collapsed="false">
      <c r="A880" s="0" t="s">
        <v>272</v>
      </c>
      <c r="B880" s="0" t="s">
        <v>127</v>
      </c>
      <c r="C880" s="0" t="s">
        <v>128</v>
      </c>
      <c r="D880" s="0" t="n">
        <v>3</v>
      </c>
      <c r="E880" s="5" t="n">
        <v>45943.6541087963</v>
      </c>
      <c r="F880" s="0" t="n">
        <v>1.45</v>
      </c>
      <c r="G880" s="0" t="n">
        <v>17065</v>
      </c>
      <c r="H880" s="6" t="s">
        <v>74</v>
      </c>
      <c r="I880" s="6" t="n">
        <f aca="false">D880*F880</f>
        <v>4.35</v>
      </c>
      <c r="J880" s="6" t="n">
        <f aca="false">HOUR(E880)</f>
        <v>15</v>
      </c>
      <c r="K880" s="6" t="n">
        <f aca="false">IF(COUNTIF($A$2:$A880,A880)=1,1,0)</f>
        <v>0</v>
      </c>
    </row>
    <row r="881" customFormat="false" ht="15" hidden="false" customHeight="false" outlineLevel="0" collapsed="false">
      <c r="A881" s="0" t="s">
        <v>272</v>
      </c>
      <c r="B881" s="0" t="s">
        <v>118</v>
      </c>
      <c r="C881" s="0" t="s">
        <v>119</v>
      </c>
      <c r="D881" s="0" t="n">
        <v>30</v>
      </c>
      <c r="E881" s="5" t="n">
        <v>45943.6541087963</v>
      </c>
      <c r="F881" s="0" t="n">
        <v>4.95</v>
      </c>
      <c r="G881" s="0" t="n">
        <v>17065</v>
      </c>
      <c r="H881" s="6" t="s">
        <v>74</v>
      </c>
      <c r="I881" s="6" t="n">
        <f aca="false">D881*F881</f>
        <v>148.5</v>
      </c>
      <c r="J881" s="6" t="n">
        <f aca="false">HOUR(E881)</f>
        <v>15</v>
      </c>
      <c r="K881" s="6" t="n">
        <f aca="false">IF(COUNTIF($A$2:$A881,A881)=1,1,0)</f>
        <v>0</v>
      </c>
    </row>
    <row r="882" customFormat="false" ht="15" hidden="false" customHeight="false" outlineLevel="0" collapsed="false">
      <c r="A882" s="0" t="s">
        <v>272</v>
      </c>
      <c r="B882" s="0" t="s">
        <v>109</v>
      </c>
      <c r="C882" s="0" t="s">
        <v>110</v>
      </c>
      <c r="D882" s="0" t="n">
        <v>6</v>
      </c>
      <c r="E882" s="5" t="n">
        <v>45943.6541087963</v>
      </c>
      <c r="F882" s="0" t="n">
        <v>0.85</v>
      </c>
      <c r="G882" s="0" t="n">
        <v>17065</v>
      </c>
      <c r="H882" s="6" t="s">
        <v>74</v>
      </c>
      <c r="I882" s="6" t="n">
        <f aca="false">D882*F882</f>
        <v>5.1</v>
      </c>
      <c r="J882" s="6" t="n">
        <f aca="false">HOUR(E882)</f>
        <v>15</v>
      </c>
      <c r="K882" s="6" t="n">
        <f aca="false">IF(COUNTIF($A$2:$A882,A882)=1,1,0)</f>
        <v>0</v>
      </c>
    </row>
    <row r="883" customFormat="false" ht="15" hidden="false" customHeight="false" outlineLevel="0" collapsed="false">
      <c r="A883" s="0" t="s">
        <v>273</v>
      </c>
      <c r="B883" s="0" t="s">
        <v>43</v>
      </c>
      <c r="C883" s="0" t="s">
        <v>44</v>
      </c>
      <c r="D883" s="0" t="n">
        <v>22</v>
      </c>
      <c r="E883" s="5" t="n">
        <v>45943.7699884259</v>
      </c>
      <c r="F883" s="0" t="n">
        <v>4.25</v>
      </c>
      <c r="G883" s="0" t="n">
        <v>17131</v>
      </c>
      <c r="H883" s="6" t="s">
        <v>74</v>
      </c>
      <c r="I883" s="6" t="n">
        <f aca="false">D883*F883</f>
        <v>93.5</v>
      </c>
      <c r="J883" s="6" t="n">
        <f aca="false">HOUR(E883)</f>
        <v>18</v>
      </c>
      <c r="K883" s="6" t="n">
        <f aca="false">IF(COUNTIF($A$2:$A883,A883)=1,1,0)</f>
        <v>1</v>
      </c>
    </row>
    <row r="884" customFormat="false" ht="15" hidden="false" customHeight="false" outlineLevel="0" collapsed="false">
      <c r="A884" s="0" t="s">
        <v>273</v>
      </c>
      <c r="B884" s="0" t="s">
        <v>79</v>
      </c>
      <c r="C884" s="0" t="s">
        <v>80</v>
      </c>
      <c r="D884" s="0" t="n">
        <v>10</v>
      </c>
      <c r="E884" s="5" t="n">
        <v>45943.7699884259</v>
      </c>
      <c r="F884" s="0" t="n">
        <v>3.39</v>
      </c>
      <c r="G884" s="0" t="n">
        <v>17131</v>
      </c>
      <c r="H884" s="6" t="s">
        <v>74</v>
      </c>
      <c r="I884" s="6" t="n">
        <f aca="false">D884*F884</f>
        <v>33.9</v>
      </c>
      <c r="J884" s="6" t="n">
        <f aca="false">HOUR(E884)</f>
        <v>18</v>
      </c>
      <c r="K884" s="6" t="n">
        <f aca="false">IF(COUNTIF($A$2:$A884,A884)=1,1,0)</f>
        <v>0</v>
      </c>
    </row>
    <row r="885" customFormat="false" ht="15" hidden="false" customHeight="false" outlineLevel="0" collapsed="false">
      <c r="A885" s="0" t="s">
        <v>273</v>
      </c>
      <c r="B885" s="0" t="s">
        <v>77</v>
      </c>
      <c r="C885" s="0" t="s">
        <v>78</v>
      </c>
      <c r="D885" s="0" t="n">
        <v>5</v>
      </c>
      <c r="E885" s="5" t="n">
        <v>45943.7699884259</v>
      </c>
      <c r="F885" s="0" t="n">
        <v>1.65</v>
      </c>
      <c r="G885" s="0" t="n">
        <v>17131</v>
      </c>
      <c r="H885" s="6" t="s">
        <v>74</v>
      </c>
      <c r="I885" s="6" t="n">
        <f aca="false">D885*F885</f>
        <v>8.25</v>
      </c>
      <c r="J885" s="6" t="n">
        <f aca="false">HOUR(E885)</f>
        <v>18</v>
      </c>
      <c r="K885" s="6" t="n">
        <f aca="false">IF(COUNTIF($A$2:$A885,A885)=1,1,0)</f>
        <v>0</v>
      </c>
    </row>
    <row r="886" customFormat="false" ht="15" hidden="false" customHeight="false" outlineLevel="0" collapsed="false">
      <c r="A886" s="0" t="s">
        <v>273</v>
      </c>
      <c r="B886" s="0" t="s">
        <v>107</v>
      </c>
      <c r="C886" s="0" t="s">
        <v>108</v>
      </c>
      <c r="D886" s="0" t="n">
        <v>15</v>
      </c>
      <c r="E886" s="5" t="n">
        <v>45943.7699884259</v>
      </c>
      <c r="F886" s="0" t="n">
        <v>3.75</v>
      </c>
      <c r="G886" s="0" t="n">
        <v>17131</v>
      </c>
      <c r="H886" s="6" t="s">
        <v>74</v>
      </c>
      <c r="I886" s="6" t="n">
        <f aca="false">D886*F886</f>
        <v>56.25</v>
      </c>
      <c r="J886" s="6" t="n">
        <f aca="false">HOUR(E886)</f>
        <v>18</v>
      </c>
      <c r="K886" s="6" t="n">
        <f aca="false">IF(COUNTIF($A$2:$A886,A886)=1,1,0)</f>
        <v>0</v>
      </c>
    </row>
    <row r="887" customFormat="false" ht="15" hidden="false" customHeight="false" outlineLevel="0" collapsed="false">
      <c r="A887" s="0" t="s">
        <v>273</v>
      </c>
      <c r="B887" s="0" t="s">
        <v>47</v>
      </c>
      <c r="C887" s="0" t="s">
        <v>48</v>
      </c>
      <c r="D887" s="0" t="n">
        <v>30</v>
      </c>
      <c r="E887" s="5" t="n">
        <v>45943.7699884259</v>
      </c>
      <c r="F887" s="0" t="n">
        <v>12.75</v>
      </c>
      <c r="G887" s="0" t="n">
        <v>17131</v>
      </c>
      <c r="H887" s="6" t="s">
        <v>74</v>
      </c>
      <c r="I887" s="6" t="n">
        <f aca="false">D887*F887</f>
        <v>382.5</v>
      </c>
      <c r="J887" s="6" t="n">
        <f aca="false">HOUR(E887)</f>
        <v>18</v>
      </c>
      <c r="K887" s="6" t="n">
        <f aca="false">IF(COUNTIF($A$2:$A887,A887)=1,1,0)</f>
        <v>0</v>
      </c>
    </row>
    <row r="888" customFormat="false" ht="15" hidden="false" customHeight="false" outlineLevel="0" collapsed="false">
      <c r="A888" s="0" t="s">
        <v>273</v>
      </c>
      <c r="B888" s="0" t="s">
        <v>63</v>
      </c>
      <c r="C888" s="0" t="s">
        <v>64</v>
      </c>
      <c r="D888" s="0" t="n">
        <v>24</v>
      </c>
      <c r="E888" s="5" t="n">
        <v>45943.7699884259</v>
      </c>
      <c r="F888" s="0" t="n">
        <v>1.85</v>
      </c>
      <c r="G888" s="0" t="n">
        <v>17131</v>
      </c>
      <c r="H888" s="6" t="s">
        <v>74</v>
      </c>
      <c r="I888" s="6" t="n">
        <f aca="false">D888*F888</f>
        <v>44.4</v>
      </c>
      <c r="J888" s="6" t="n">
        <f aca="false">HOUR(E888)</f>
        <v>18</v>
      </c>
      <c r="K888" s="6" t="n">
        <f aca="false">IF(COUNTIF($A$2:$A888,A888)=1,1,0)</f>
        <v>0</v>
      </c>
    </row>
    <row r="889" customFormat="false" ht="15" hidden="false" customHeight="false" outlineLevel="0" collapsed="false">
      <c r="A889" s="0" t="s">
        <v>274</v>
      </c>
      <c r="B889" s="0" t="s">
        <v>134</v>
      </c>
      <c r="C889" s="0" t="s">
        <v>135</v>
      </c>
      <c r="D889" s="0" t="n">
        <v>1</v>
      </c>
      <c r="E889" s="5" t="n">
        <v>45943.7952083333</v>
      </c>
      <c r="F889" s="0" t="n">
        <v>5.95</v>
      </c>
      <c r="G889" s="0" t="n">
        <v>17048</v>
      </c>
      <c r="H889" s="6" t="s">
        <v>42</v>
      </c>
      <c r="I889" s="6" t="n">
        <f aca="false">D889*F889</f>
        <v>5.95</v>
      </c>
      <c r="J889" s="6" t="n">
        <f aca="false">HOUR(E889)</f>
        <v>19</v>
      </c>
      <c r="K889" s="6" t="n">
        <f aca="false">IF(COUNTIF($A$2:$A889,A889)=1,1,0)</f>
        <v>1</v>
      </c>
    </row>
    <row r="890" customFormat="false" ht="15" hidden="false" customHeight="false" outlineLevel="0" collapsed="false">
      <c r="A890" s="0" t="s">
        <v>274</v>
      </c>
      <c r="B890" s="0" t="s">
        <v>79</v>
      </c>
      <c r="C890" s="0" t="s">
        <v>80</v>
      </c>
      <c r="D890" s="0" t="n">
        <v>23</v>
      </c>
      <c r="E890" s="5" t="n">
        <v>45943.7952083333</v>
      </c>
      <c r="F890" s="0" t="n">
        <v>3.39</v>
      </c>
      <c r="G890" s="0" t="n">
        <v>17048</v>
      </c>
      <c r="H890" s="6" t="s">
        <v>42</v>
      </c>
      <c r="I890" s="6" t="n">
        <f aca="false">D890*F890</f>
        <v>77.97</v>
      </c>
      <c r="J890" s="6" t="n">
        <f aca="false">HOUR(E890)</f>
        <v>19</v>
      </c>
      <c r="K890" s="6" t="n">
        <f aca="false">IF(COUNTIF($A$2:$A890,A890)=1,1,0)</f>
        <v>0</v>
      </c>
    </row>
    <row r="891" customFormat="false" ht="15" hidden="false" customHeight="false" outlineLevel="0" collapsed="false">
      <c r="A891" s="0" t="s">
        <v>274</v>
      </c>
      <c r="B891" s="0" t="s">
        <v>69</v>
      </c>
      <c r="C891" s="0" t="s">
        <v>70</v>
      </c>
      <c r="D891" s="0" t="n">
        <v>14</v>
      </c>
      <c r="E891" s="5" t="n">
        <v>45943.7952083333</v>
      </c>
      <c r="F891" s="0" t="n">
        <v>2.08</v>
      </c>
      <c r="G891" s="0" t="n">
        <v>17048</v>
      </c>
      <c r="H891" s="6" t="s">
        <v>42</v>
      </c>
      <c r="I891" s="6" t="n">
        <f aca="false">D891*F891</f>
        <v>29.12</v>
      </c>
      <c r="J891" s="6" t="n">
        <f aca="false">HOUR(E891)</f>
        <v>19</v>
      </c>
      <c r="K891" s="6" t="n">
        <f aca="false">IF(COUNTIF($A$2:$A891,A891)=1,1,0)</f>
        <v>0</v>
      </c>
    </row>
    <row r="892" customFormat="false" ht="15" hidden="false" customHeight="false" outlineLevel="0" collapsed="false">
      <c r="A892" s="0" t="s">
        <v>274</v>
      </c>
      <c r="B892" s="0" t="s">
        <v>61</v>
      </c>
      <c r="C892" s="0" t="s">
        <v>62</v>
      </c>
      <c r="D892" s="0" t="n">
        <v>3</v>
      </c>
      <c r="E892" s="5" t="n">
        <v>45943.7952083333</v>
      </c>
      <c r="F892" s="0" t="n">
        <v>1.65</v>
      </c>
      <c r="G892" s="0" t="n">
        <v>17048</v>
      </c>
      <c r="H892" s="6" t="s">
        <v>42</v>
      </c>
      <c r="I892" s="6" t="n">
        <f aca="false">D892*F892</f>
        <v>4.95</v>
      </c>
      <c r="J892" s="6" t="n">
        <f aca="false">HOUR(E892)</f>
        <v>19</v>
      </c>
      <c r="K892" s="6" t="n">
        <f aca="false">IF(COUNTIF($A$2:$A892,A892)=1,1,0)</f>
        <v>0</v>
      </c>
    </row>
    <row r="893" customFormat="false" ht="15" hidden="false" customHeight="false" outlineLevel="0" collapsed="false">
      <c r="A893" s="0" t="s">
        <v>274</v>
      </c>
      <c r="B893" s="0" t="s">
        <v>131</v>
      </c>
      <c r="C893" s="0" t="s">
        <v>132</v>
      </c>
      <c r="D893" s="0" t="n">
        <v>11</v>
      </c>
      <c r="E893" s="5" t="n">
        <v>45943.7952083333</v>
      </c>
      <c r="F893" s="0" t="n">
        <v>3.39</v>
      </c>
      <c r="G893" s="0" t="n">
        <v>17048</v>
      </c>
      <c r="H893" s="6" t="s">
        <v>42</v>
      </c>
      <c r="I893" s="6" t="n">
        <f aca="false">D893*F893</f>
        <v>37.29</v>
      </c>
      <c r="J893" s="6" t="n">
        <f aca="false">HOUR(E893)</f>
        <v>19</v>
      </c>
      <c r="K893" s="6" t="n">
        <f aca="false">IF(COUNTIF($A$2:$A893,A893)=1,1,0)</f>
        <v>0</v>
      </c>
    </row>
    <row r="894" customFormat="false" ht="15" hidden="false" customHeight="false" outlineLevel="0" collapsed="false">
      <c r="A894" s="0" t="s">
        <v>274</v>
      </c>
      <c r="B894" s="0" t="s">
        <v>137</v>
      </c>
      <c r="C894" s="0" t="s">
        <v>138</v>
      </c>
      <c r="D894" s="0" t="n">
        <v>19</v>
      </c>
      <c r="E894" s="5" t="n">
        <v>45943.7952083333</v>
      </c>
      <c r="F894" s="0" t="n">
        <v>2.1</v>
      </c>
      <c r="G894" s="0" t="n">
        <v>17048</v>
      </c>
      <c r="H894" s="6" t="s">
        <v>42</v>
      </c>
      <c r="I894" s="6" t="n">
        <f aca="false">D894*F894</f>
        <v>39.9</v>
      </c>
      <c r="J894" s="6" t="n">
        <f aca="false">HOUR(E894)</f>
        <v>19</v>
      </c>
      <c r="K894" s="6" t="n">
        <f aca="false">IF(COUNTIF($A$2:$A894,A894)=1,1,0)</f>
        <v>0</v>
      </c>
    </row>
    <row r="895" customFormat="false" ht="15" hidden="false" customHeight="false" outlineLevel="0" collapsed="false">
      <c r="A895" s="0" t="s">
        <v>274</v>
      </c>
      <c r="B895" s="0" t="s">
        <v>121</v>
      </c>
      <c r="C895" s="0" t="s">
        <v>122</v>
      </c>
      <c r="D895" s="0" t="n">
        <v>2</v>
      </c>
      <c r="E895" s="5" t="n">
        <v>45943.7952083333</v>
      </c>
      <c r="F895" s="0" t="n">
        <v>2.1</v>
      </c>
      <c r="G895" s="0" t="n">
        <v>17048</v>
      </c>
      <c r="H895" s="6" t="s">
        <v>42</v>
      </c>
      <c r="I895" s="6" t="n">
        <f aca="false">D895*F895</f>
        <v>4.2</v>
      </c>
      <c r="J895" s="6" t="n">
        <f aca="false">HOUR(E895)</f>
        <v>19</v>
      </c>
      <c r="K895" s="6" t="n">
        <f aca="false">IF(COUNTIF($A$2:$A895,A895)=1,1,0)</f>
        <v>0</v>
      </c>
    </row>
    <row r="896" customFormat="false" ht="15" hidden="false" customHeight="false" outlineLevel="0" collapsed="false">
      <c r="A896" s="0" t="s">
        <v>274</v>
      </c>
      <c r="B896" s="0" t="s">
        <v>140</v>
      </c>
      <c r="D896" s="0" t="n">
        <v>14</v>
      </c>
      <c r="E896" s="5" t="n">
        <v>45943.7952083333</v>
      </c>
      <c r="F896" s="0" t="n">
        <v>2.08</v>
      </c>
      <c r="G896" s="0" t="n">
        <v>17048</v>
      </c>
      <c r="H896" s="6" t="s">
        <v>42</v>
      </c>
      <c r="I896" s="6" t="n">
        <f aca="false">D896*F896</f>
        <v>29.12</v>
      </c>
      <c r="J896" s="6" t="n">
        <f aca="false">HOUR(E896)</f>
        <v>19</v>
      </c>
      <c r="K896" s="6" t="n">
        <f aca="false">IF(COUNTIF($A$2:$A896,A896)=1,1,0)</f>
        <v>0</v>
      </c>
    </row>
    <row r="897" customFormat="false" ht="15" hidden="false" customHeight="false" outlineLevel="0" collapsed="false">
      <c r="A897" s="0" t="s">
        <v>274</v>
      </c>
      <c r="B897" s="0" t="s">
        <v>93</v>
      </c>
      <c r="C897" s="0" t="s">
        <v>94</v>
      </c>
      <c r="D897" s="0" t="n">
        <v>8</v>
      </c>
      <c r="E897" s="5" t="n">
        <v>45943.7952083333</v>
      </c>
      <c r="F897" s="0" t="n">
        <v>1.69</v>
      </c>
      <c r="G897" s="0" t="n">
        <v>17048</v>
      </c>
      <c r="H897" s="6" t="s">
        <v>42</v>
      </c>
      <c r="I897" s="6" t="n">
        <f aca="false">D897*F897</f>
        <v>13.52</v>
      </c>
      <c r="J897" s="6" t="n">
        <f aca="false">HOUR(E897)</f>
        <v>19</v>
      </c>
      <c r="K897" s="6" t="n">
        <f aca="false">IF(COUNTIF($A$2:$A897,A897)=1,1,0)</f>
        <v>0</v>
      </c>
    </row>
    <row r="898" customFormat="false" ht="15" hidden="false" customHeight="false" outlineLevel="0" collapsed="false">
      <c r="A898" s="0" t="s">
        <v>274</v>
      </c>
      <c r="B898" s="0" t="s">
        <v>99</v>
      </c>
      <c r="C898" s="0" t="s">
        <v>100</v>
      </c>
      <c r="D898" s="0" t="n">
        <v>9</v>
      </c>
      <c r="E898" s="5" t="n">
        <v>45943.7952083333</v>
      </c>
      <c r="F898" s="0" t="n">
        <v>2.08</v>
      </c>
      <c r="G898" s="0" t="n">
        <v>17048</v>
      </c>
      <c r="H898" s="6" t="s">
        <v>42</v>
      </c>
      <c r="I898" s="6" t="n">
        <f aca="false">D898*F898</f>
        <v>18.72</v>
      </c>
      <c r="J898" s="6" t="n">
        <f aca="false">HOUR(E898)</f>
        <v>19</v>
      </c>
      <c r="K898" s="6" t="n">
        <f aca="false">IF(COUNTIF($A$2:$A898,A898)=1,1,0)</f>
        <v>0</v>
      </c>
    </row>
    <row r="899" customFormat="false" ht="15" hidden="false" customHeight="false" outlineLevel="0" collapsed="false">
      <c r="A899" s="0" t="s">
        <v>275</v>
      </c>
      <c r="B899" s="0" t="s">
        <v>77</v>
      </c>
      <c r="C899" s="0" t="s">
        <v>78</v>
      </c>
      <c r="D899" s="0" t="n">
        <v>17</v>
      </c>
      <c r="E899" s="5" t="n">
        <v>45943.8382407407</v>
      </c>
      <c r="F899" s="0" t="n">
        <v>1.65</v>
      </c>
      <c r="G899" s="0" t="n">
        <v>17100</v>
      </c>
      <c r="H899" s="6" t="s">
        <v>42</v>
      </c>
      <c r="I899" s="6" t="n">
        <f aca="false">D899*F899</f>
        <v>28.05</v>
      </c>
      <c r="J899" s="6" t="n">
        <f aca="false">HOUR(E899)</f>
        <v>20</v>
      </c>
      <c r="K899" s="6" t="n">
        <f aca="false">IF(COUNTIF($A$2:$A899,A899)=1,1,0)</f>
        <v>1</v>
      </c>
    </row>
    <row r="900" customFormat="false" ht="15" hidden="false" customHeight="false" outlineLevel="0" collapsed="false">
      <c r="A900" s="0" t="s">
        <v>275</v>
      </c>
      <c r="B900" s="0" t="s">
        <v>145</v>
      </c>
      <c r="C900" s="0" t="s">
        <v>146</v>
      </c>
      <c r="D900" s="0" t="n">
        <v>1</v>
      </c>
      <c r="E900" s="5" t="n">
        <v>45943.8382407407</v>
      </c>
      <c r="F900" s="0" t="n">
        <v>1.85</v>
      </c>
      <c r="G900" s="0" t="n">
        <v>17100</v>
      </c>
      <c r="H900" s="6" t="s">
        <v>42</v>
      </c>
      <c r="I900" s="6" t="n">
        <f aca="false">D900*F900</f>
        <v>1.85</v>
      </c>
      <c r="J900" s="6" t="n">
        <f aca="false">HOUR(E900)</f>
        <v>20</v>
      </c>
      <c r="K900" s="6" t="n">
        <f aca="false">IF(COUNTIF($A$2:$A900,A900)=1,1,0)</f>
        <v>0</v>
      </c>
    </row>
    <row r="901" customFormat="false" ht="15" hidden="false" customHeight="false" outlineLevel="0" collapsed="false">
      <c r="A901" s="0" t="s">
        <v>275</v>
      </c>
      <c r="B901" s="0" t="s">
        <v>107</v>
      </c>
      <c r="C901" s="0" t="s">
        <v>108</v>
      </c>
      <c r="D901" s="0" t="n">
        <v>19</v>
      </c>
      <c r="E901" s="5" t="n">
        <v>45943.8382407407</v>
      </c>
      <c r="F901" s="0" t="n">
        <v>3.75</v>
      </c>
      <c r="G901" s="0" t="n">
        <v>17100</v>
      </c>
      <c r="H901" s="6" t="s">
        <v>42</v>
      </c>
      <c r="I901" s="6" t="n">
        <f aca="false">D901*F901</f>
        <v>71.25</v>
      </c>
      <c r="J901" s="6" t="n">
        <f aca="false">HOUR(E901)</f>
        <v>20</v>
      </c>
      <c r="K901" s="6" t="n">
        <f aca="false">IF(COUNTIF($A$2:$A901,A901)=1,1,0)</f>
        <v>0</v>
      </c>
    </row>
    <row r="902" customFormat="false" ht="15" hidden="false" customHeight="false" outlineLevel="0" collapsed="false">
      <c r="A902" s="0" t="s">
        <v>275</v>
      </c>
      <c r="B902" s="0" t="s">
        <v>65</v>
      </c>
      <c r="C902" s="0" t="s">
        <v>66</v>
      </c>
      <c r="D902" s="0" t="n">
        <v>13</v>
      </c>
      <c r="E902" s="5" t="n">
        <v>45943.8382407407</v>
      </c>
      <c r="F902" s="0" t="n">
        <v>1.65</v>
      </c>
      <c r="G902" s="0" t="n">
        <v>17100</v>
      </c>
      <c r="H902" s="6" t="s">
        <v>42</v>
      </c>
      <c r="I902" s="6" t="n">
        <f aca="false">D902*F902</f>
        <v>21.45</v>
      </c>
      <c r="J902" s="6" t="n">
        <f aca="false">HOUR(E902)</f>
        <v>20</v>
      </c>
      <c r="K902" s="6" t="n">
        <f aca="false">IF(COUNTIF($A$2:$A902,A902)=1,1,0)</f>
        <v>0</v>
      </c>
    </row>
    <row r="903" customFormat="false" ht="15" hidden="false" customHeight="false" outlineLevel="0" collapsed="false">
      <c r="A903" s="0" t="s">
        <v>275</v>
      </c>
      <c r="B903" s="0" t="s">
        <v>57</v>
      </c>
      <c r="C903" s="0" t="s">
        <v>58</v>
      </c>
      <c r="D903" s="0" t="n">
        <v>10</v>
      </c>
      <c r="E903" s="5" t="n">
        <v>45943.8382407407</v>
      </c>
      <c r="F903" s="0" t="n">
        <v>2.08</v>
      </c>
      <c r="G903" s="0" t="n">
        <v>17100</v>
      </c>
      <c r="H903" s="6" t="s">
        <v>42</v>
      </c>
      <c r="I903" s="6" t="n">
        <f aca="false">D903*F903</f>
        <v>20.8</v>
      </c>
      <c r="J903" s="6" t="n">
        <f aca="false">HOUR(E903)</f>
        <v>20</v>
      </c>
      <c r="K903" s="6" t="n">
        <f aca="false">IF(COUNTIF($A$2:$A903,A903)=1,1,0)</f>
        <v>0</v>
      </c>
    </row>
    <row r="904" customFormat="false" ht="15" hidden="false" customHeight="false" outlineLevel="0" collapsed="false">
      <c r="A904" s="0" t="s">
        <v>275</v>
      </c>
      <c r="B904" s="0" t="s">
        <v>55</v>
      </c>
      <c r="C904" s="0" t="s">
        <v>56</v>
      </c>
      <c r="D904" s="0" t="n">
        <v>1</v>
      </c>
      <c r="E904" s="5" t="n">
        <v>45943.8382407407</v>
      </c>
      <c r="F904" s="0" t="n">
        <v>1.65</v>
      </c>
      <c r="G904" s="0" t="n">
        <v>17100</v>
      </c>
      <c r="H904" s="6" t="s">
        <v>42</v>
      </c>
      <c r="I904" s="6" t="n">
        <f aca="false">D904*F904</f>
        <v>1.65</v>
      </c>
      <c r="J904" s="6" t="n">
        <f aca="false">HOUR(E904)</f>
        <v>20</v>
      </c>
      <c r="K904" s="6" t="n">
        <f aca="false">IF(COUNTIF($A$2:$A904,A904)=1,1,0)</f>
        <v>0</v>
      </c>
    </row>
    <row r="905" customFormat="false" ht="15" hidden="false" customHeight="false" outlineLevel="0" collapsed="false">
      <c r="A905" s="0" t="s">
        <v>276</v>
      </c>
      <c r="B905" s="0" t="s">
        <v>83</v>
      </c>
      <c r="C905" s="0" t="s">
        <v>84</v>
      </c>
      <c r="D905" s="0" t="n">
        <v>6</v>
      </c>
      <c r="E905" s="5" t="n">
        <v>45943.8939467593</v>
      </c>
      <c r="F905" s="0" t="n">
        <v>2.95</v>
      </c>
      <c r="G905" s="0" t="n">
        <v>17104</v>
      </c>
      <c r="H905" s="6" t="s">
        <v>74</v>
      </c>
      <c r="I905" s="6" t="n">
        <f aca="false">D905*F905</f>
        <v>17.7</v>
      </c>
      <c r="J905" s="6" t="n">
        <f aca="false">HOUR(E905)</f>
        <v>21</v>
      </c>
      <c r="K905" s="6" t="n">
        <f aca="false">IF(COUNTIF($A$2:$A905,A905)=1,1,0)</f>
        <v>1</v>
      </c>
    </row>
    <row r="906" customFormat="false" ht="15" hidden="false" customHeight="false" outlineLevel="0" collapsed="false">
      <c r="A906" s="0" t="s">
        <v>276</v>
      </c>
      <c r="B906" s="0" t="s">
        <v>86</v>
      </c>
      <c r="C906" s="0" t="s">
        <v>87</v>
      </c>
      <c r="D906" s="0" t="n">
        <v>24</v>
      </c>
      <c r="E906" s="5" t="n">
        <v>45943.8939467593</v>
      </c>
      <c r="F906" s="0" t="n">
        <v>4.25</v>
      </c>
      <c r="G906" s="0" t="n">
        <v>17104</v>
      </c>
      <c r="H906" s="6" t="s">
        <v>74</v>
      </c>
      <c r="I906" s="6" t="n">
        <f aca="false">D906*F906</f>
        <v>102</v>
      </c>
      <c r="J906" s="6" t="n">
        <f aca="false">HOUR(E906)</f>
        <v>21</v>
      </c>
      <c r="K906" s="6" t="n">
        <f aca="false">IF(COUNTIF($A$2:$A906,A906)=1,1,0)</f>
        <v>0</v>
      </c>
    </row>
    <row r="907" customFormat="false" ht="15" hidden="false" customHeight="false" outlineLevel="0" collapsed="false">
      <c r="A907" s="0" t="s">
        <v>276</v>
      </c>
      <c r="B907" s="0" t="s">
        <v>93</v>
      </c>
      <c r="C907" s="0" t="s">
        <v>94</v>
      </c>
      <c r="D907" s="0" t="n">
        <v>16</v>
      </c>
      <c r="E907" s="5" t="n">
        <v>45943.8939467593</v>
      </c>
      <c r="F907" s="0" t="n">
        <v>1.69</v>
      </c>
      <c r="G907" s="0" t="n">
        <v>17104</v>
      </c>
      <c r="H907" s="6" t="s">
        <v>74</v>
      </c>
      <c r="I907" s="6" t="n">
        <f aca="false">D907*F907</f>
        <v>27.04</v>
      </c>
      <c r="J907" s="6" t="n">
        <f aca="false">HOUR(E907)</f>
        <v>21</v>
      </c>
      <c r="K907" s="6" t="n">
        <f aca="false">IF(COUNTIF($A$2:$A907,A907)=1,1,0)</f>
        <v>0</v>
      </c>
    </row>
    <row r="908" customFormat="false" ht="15" hidden="false" customHeight="false" outlineLevel="0" collapsed="false">
      <c r="A908" s="0" t="s">
        <v>276</v>
      </c>
      <c r="B908" s="0" t="s">
        <v>77</v>
      </c>
      <c r="C908" s="0" t="s">
        <v>78</v>
      </c>
      <c r="D908" s="0" t="n">
        <v>6</v>
      </c>
      <c r="E908" s="5" t="n">
        <v>45943.8939467593</v>
      </c>
      <c r="F908" s="0" t="n">
        <v>1.65</v>
      </c>
      <c r="G908" s="0" t="n">
        <v>17104</v>
      </c>
      <c r="H908" s="6" t="s">
        <v>74</v>
      </c>
      <c r="I908" s="6" t="n">
        <f aca="false">D908*F908</f>
        <v>9.9</v>
      </c>
      <c r="J908" s="6" t="n">
        <f aca="false">HOUR(E908)</f>
        <v>21</v>
      </c>
      <c r="K908" s="6" t="n">
        <f aca="false">IF(COUNTIF($A$2:$A908,A908)=1,1,0)</f>
        <v>0</v>
      </c>
    </row>
    <row r="909" customFormat="false" ht="15" hidden="false" customHeight="false" outlineLevel="0" collapsed="false">
      <c r="A909" s="0" t="s">
        <v>276</v>
      </c>
      <c r="B909" s="0" t="s">
        <v>118</v>
      </c>
      <c r="C909" s="0" t="s">
        <v>119</v>
      </c>
      <c r="D909" s="0" t="n">
        <v>38</v>
      </c>
      <c r="E909" s="5" t="n">
        <v>45943.8939467593</v>
      </c>
      <c r="F909" s="0" t="n">
        <v>4.95</v>
      </c>
      <c r="G909" s="0" t="n">
        <v>17104</v>
      </c>
      <c r="H909" s="6" t="s">
        <v>74</v>
      </c>
      <c r="I909" s="6" t="n">
        <f aca="false">D909*F909</f>
        <v>188.1</v>
      </c>
      <c r="J909" s="6" t="n">
        <f aca="false">HOUR(E909)</f>
        <v>21</v>
      </c>
      <c r="K909" s="6" t="n">
        <f aca="false">IF(COUNTIF($A$2:$A909,A909)=1,1,0)</f>
        <v>0</v>
      </c>
    </row>
    <row r="910" customFormat="false" ht="15" hidden="false" customHeight="false" outlineLevel="0" collapsed="false">
      <c r="A910" s="0" t="s">
        <v>277</v>
      </c>
      <c r="B910" s="0" t="s">
        <v>137</v>
      </c>
      <c r="C910" s="0" t="s">
        <v>138</v>
      </c>
      <c r="D910" s="0" t="n">
        <v>6</v>
      </c>
      <c r="E910" s="5" t="n">
        <v>45944.1171064815</v>
      </c>
      <c r="F910" s="0" t="n">
        <v>2.1</v>
      </c>
      <c r="G910" s="0" t="n">
        <v>17078</v>
      </c>
      <c r="H910" s="6" t="s">
        <v>74</v>
      </c>
      <c r="I910" s="6" t="n">
        <f aca="false">D910*F910</f>
        <v>12.6</v>
      </c>
      <c r="J910" s="6" t="n">
        <f aca="false">HOUR(E910)</f>
        <v>2</v>
      </c>
      <c r="K910" s="6" t="n">
        <f aca="false">IF(COUNTIF($A$2:$A910,A910)=1,1,0)</f>
        <v>1</v>
      </c>
    </row>
    <row r="911" customFormat="false" ht="15" hidden="false" customHeight="false" outlineLevel="0" collapsed="false">
      <c r="A911" s="0" t="s">
        <v>277</v>
      </c>
      <c r="B911" s="0" t="s">
        <v>47</v>
      </c>
      <c r="C911" s="0" t="s">
        <v>48</v>
      </c>
      <c r="D911" s="0" t="n">
        <v>27</v>
      </c>
      <c r="E911" s="5" t="n">
        <v>45944.1171064815</v>
      </c>
      <c r="F911" s="0" t="n">
        <v>12.75</v>
      </c>
      <c r="G911" s="0" t="n">
        <v>17078</v>
      </c>
      <c r="H911" s="6" t="s">
        <v>74</v>
      </c>
      <c r="I911" s="6" t="n">
        <f aca="false">D911*F911</f>
        <v>344.25</v>
      </c>
      <c r="J911" s="6" t="n">
        <f aca="false">HOUR(E911)</f>
        <v>2</v>
      </c>
      <c r="K911" s="6" t="n">
        <f aca="false">IF(COUNTIF($A$2:$A911,A911)=1,1,0)</f>
        <v>0</v>
      </c>
    </row>
    <row r="912" customFormat="false" ht="15" hidden="false" customHeight="false" outlineLevel="0" collapsed="false">
      <c r="A912" s="0" t="s">
        <v>277</v>
      </c>
      <c r="B912" s="0" t="s">
        <v>118</v>
      </c>
      <c r="C912" s="0" t="s">
        <v>119</v>
      </c>
      <c r="D912" s="0" t="n">
        <v>9</v>
      </c>
      <c r="E912" s="5" t="n">
        <v>45944.1171064815</v>
      </c>
      <c r="F912" s="0" t="n">
        <v>4.95</v>
      </c>
      <c r="G912" s="0" t="n">
        <v>17078</v>
      </c>
      <c r="H912" s="6" t="s">
        <v>74</v>
      </c>
      <c r="I912" s="6" t="n">
        <f aca="false">D912*F912</f>
        <v>44.55</v>
      </c>
      <c r="J912" s="6" t="n">
        <f aca="false">HOUR(E912)</f>
        <v>2</v>
      </c>
      <c r="K912" s="6" t="n">
        <f aca="false">IF(COUNTIF($A$2:$A912,A912)=1,1,0)</f>
        <v>0</v>
      </c>
    </row>
    <row r="913" customFormat="false" ht="15" hidden="false" customHeight="false" outlineLevel="0" collapsed="false">
      <c r="A913" s="0" t="s">
        <v>278</v>
      </c>
      <c r="B913" s="0" t="s">
        <v>118</v>
      </c>
      <c r="C913" s="0" t="s">
        <v>119</v>
      </c>
      <c r="D913" s="0" t="n">
        <v>22</v>
      </c>
      <c r="E913" s="5" t="n">
        <v>45944.3588194445</v>
      </c>
      <c r="F913" s="0" t="n">
        <v>4.95</v>
      </c>
      <c r="G913" s="0" t="n">
        <v>17046</v>
      </c>
      <c r="H913" s="6" t="s">
        <v>42</v>
      </c>
      <c r="I913" s="6" t="n">
        <f aca="false">D913*F913</f>
        <v>108.9</v>
      </c>
      <c r="J913" s="6" t="n">
        <f aca="false">HOUR(E913)</f>
        <v>8</v>
      </c>
      <c r="K913" s="6" t="n">
        <f aca="false">IF(COUNTIF($A$2:$A913,A913)=1,1,0)</f>
        <v>1</v>
      </c>
    </row>
    <row r="914" customFormat="false" ht="15" hidden="false" customHeight="false" outlineLevel="0" collapsed="false">
      <c r="A914" s="0" t="s">
        <v>278</v>
      </c>
      <c r="B914" s="0" t="s">
        <v>77</v>
      </c>
      <c r="C914" s="0" t="s">
        <v>78</v>
      </c>
      <c r="D914" s="0" t="n">
        <v>20</v>
      </c>
      <c r="E914" s="5" t="n">
        <v>45944.3588194445</v>
      </c>
      <c r="F914" s="0" t="n">
        <v>1.65</v>
      </c>
      <c r="G914" s="0" t="n">
        <v>17046</v>
      </c>
      <c r="H914" s="6" t="s">
        <v>42</v>
      </c>
      <c r="I914" s="6" t="n">
        <f aca="false">D914*F914</f>
        <v>33</v>
      </c>
      <c r="J914" s="6" t="n">
        <f aca="false">HOUR(E914)</f>
        <v>8</v>
      </c>
      <c r="K914" s="6" t="n">
        <f aca="false">IF(COUNTIF($A$2:$A914,A914)=1,1,0)</f>
        <v>0</v>
      </c>
    </row>
    <row r="915" customFormat="false" ht="15" hidden="false" customHeight="false" outlineLevel="0" collapsed="false">
      <c r="A915" s="0" t="s">
        <v>278</v>
      </c>
      <c r="B915" s="0" t="s">
        <v>127</v>
      </c>
      <c r="C915" s="0" t="s">
        <v>128</v>
      </c>
      <c r="D915" s="0" t="n">
        <v>23</v>
      </c>
      <c r="E915" s="5" t="n">
        <v>45944.3588194445</v>
      </c>
      <c r="F915" s="0" t="n">
        <v>1.45</v>
      </c>
      <c r="G915" s="0" t="n">
        <v>17046</v>
      </c>
      <c r="H915" s="6" t="s">
        <v>42</v>
      </c>
      <c r="I915" s="6" t="n">
        <f aca="false">D915*F915</f>
        <v>33.35</v>
      </c>
      <c r="J915" s="6" t="n">
        <f aca="false">HOUR(E915)</f>
        <v>8</v>
      </c>
      <c r="K915" s="6" t="n">
        <f aca="false">IF(COUNTIF($A$2:$A915,A915)=1,1,0)</f>
        <v>0</v>
      </c>
    </row>
    <row r="916" customFormat="false" ht="15" hidden="false" customHeight="false" outlineLevel="0" collapsed="false">
      <c r="A916" s="0" t="s">
        <v>279</v>
      </c>
      <c r="B916" s="0" t="s">
        <v>65</v>
      </c>
      <c r="C916" s="0" t="s">
        <v>66</v>
      </c>
      <c r="D916" s="0" t="n">
        <v>11</v>
      </c>
      <c r="E916" s="5" t="n">
        <v>45944.3779282407</v>
      </c>
      <c r="F916" s="0" t="n">
        <v>1.65</v>
      </c>
      <c r="G916" s="0" t="n">
        <v>17096</v>
      </c>
      <c r="H916" s="6" t="s">
        <v>208</v>
      </c>
      <c r="I916" s="6" t="n">
        <f aca="false">D916*F916</f>
        <v>18.15</v>
      </c>
      <c r="J916" s="6" t="n">
        <f aca="false">HOUR(E916)</f>
        <v>9</v>
      </c>
      <c r="K916" s="6" t="n">
        <f aca="false">IF(COUNTIF($A$2:$A916,A916)=1,1,0)</f>
        <v>1</v>
      </c>
    </row>
    <row r="917" customFormat="false" ht="15" hidden="false" customHeight="false" outlineLevel="0" collapsed="false">
      <c r="A917" s="0" t="s">
        <v>279</v>
      </c>
      <c r="B917" s="0" t="s">
        <v>91</v>
      </c>
      <c r="C917" s="0" t="s">
        <v>92</v>
      </c>
      <c r="D917" s="0" t="n">
        <v>24</v>
      </c>
      <c r="E917" s="5" t="n">
        <v>45944.3779282407</v>
      </c>
      <c r="F917" s="0" t="n">
        <v>7.65</v>
      </c>
      <c r="G917" s="0" t="n">
        <v>17096</v>
      </c>
      <c r="H917" s="6" t="s">
        <v>208</v>
      </c>
      <c r="I917" s="6" t="n">
        <f aca="false">D917*F917</f>
        <v>183.6</v>
      </c>
      <c r="J917" s="6" t="n">
        <f aca="false">HOUR(E917)</f>
        <v>9</v>
      </c>
      <c r="K917" s="6" t="n">
        <f aca="false">IF(COUNTIF($A$2:$A917,A917)=1,1,0)</f>
        <v>0</v>
      </c>
    </row>
    <row r="918" customFormat="false" ht="15" hidden="false" customHeight="false" outlineLevel="0" collapsed="false">
      <c r="A918" s="0" t="s">
        <v>279</v>
      </c>
      <c r="B918" s="0" t="s">
        <v>77</v>
      </c>
      <c r="C918" s="0" t="s">
        <v>78</v>
      </c>
      <c r="D918" s="0" t="n">
        <v>24</v>
      </c>
      <c r="E918" s="5" t="n">
        <v>45944.3779282407</v>
      </c>
      <c r="F918" s="0" t="n">
        <v>1.65</v>
      </c>
      <c r="G918" s="0" t="n">
        <v>17096</v>
      </c>
      <c r="H918" s="6" t="s">
        <v>208</v>
      </c>
      <c r="I918" s="6" t="n">
        <f aca="false">D918*F918</f>
        <v>39.6</v>
      </c>
      <c r="J918" s="6" t="n">
        <f aca="false">HOUR(E918)</f>
        <v>9</v>
      </c>
      <c r="K918" s="6" t="n">
        <f aca="false">IF(COUNTIF($A$2:$A918,A918)=1,1,0)</f>
        <v>0</v>
      </c>
    </row>
    <row r="919" customFormat="false" ht="15" hidden="false" customHeight="false" outlineLevel="0" collapsed="false">
      <c r="A919" s="0" t="s">
        <v>279</v>
      </c>
      <c r="B919" s="0" t="s">
        <v>104</v>
      </c>
      <c r="C919" s="0" t="s">
        <v>105</v>
      </c>
      <c r="D919" s="0" t="n">
        <v>13</v>
      </c>
      <c r="E919" s="5" t="n">
        <v>45944.3779282407</v>
      </c>
      <c r="F919" s="0" t="n">
        <v>1.65</v>
      </c>
      <c r="G919" s="0" t="n">
        <v>17096</v>
      </c>
      <c r="H919" s="6" t="s">
        <v>208</v>
      </c>
      <c r="I919" s="6" t="n">
        <f aca="false">D919*F919</f>
        <v>21.45</v>
      </c>
      <c r="J919" s="6" t="n">
        <f aca="false">HOUR(E919)</f>
        <v>9</v>
      </c>
      <c r="K919" s="6" t="n">
        <f aca="false">IF(COUNTIF($A$2:$A919,A919)=1,1,0)</f>
        <v>0</v>
      </c>
    </row>
    <row r="920" customFormat="false" ht="15" hidden="false" customHeight="false" outlineLevel="0" collapsed="false">
      <c r="A920" s="0" t="s">
        <v>279</v>
      </c>
      <c r="B920" s="0" t="s">
        <v>114</v>
      </c>
      <c r="C920" s="0" t="s">
        <v>115</v>
      </c>
      <c r="D920" s="0" t="n">
        <v>5</v>
      </c>
      <c r="E920" s="5" t="n">
        <v>45944.3779282407</v>
      </c>
      <c r="F920" s="0" t="n">
        <v>2.08</v>
      </c>
      <c r="G920" s="0" t="n">
        <v>17096</v>
      </c>
      <c r="H920" s="6" t="s">
        <v>208</v>
      </c>
      <c r="I920" s="6" t="n">
        <f aca="false">D920*F920</f>
        <v>10.4</v>
      </c>
      <c r="J920" s="6" t="n">
        <f aca="false">HOUR(E920)</f>
        <v>9</v>
      </c>
      <c r="K920" s="6" t="n">
        <f aca="false">IF(COUNTIF($A$2:$A920,A920)=1,1,0)</f>
        <v>0</v>
      </c>
    </row>
    <row r="921" customFormat="false" ht="15" hidden="false" customHeight="false" outlineLevel="0" collapsed="false">
      <c r="A921" s="0" t="s">
        <v>279</v>
      </c>
      <c r="B921" s="0" t="s">
        <v>83</v>
      </c>
      <c r="C921" s="0" t="s">
        <v>84</v>
      </c>
      <c r="D921" s="0" t="n">
        <v>4</v>
      </c>
      <c r="E921" s="5" t="n">
        <v>45944.3779282407</v>
      </c>
      <c r="F921" s="0" t="n">
        <v>2.95</v>
      </c>
      <c r="G921" s="0" t="n">
        <v>17096</v>
      </c>
      <c r="H921" s="6" t="s">
        <v>208</v>
      </c>
      <c r="I921" s="6" t="n">
        <f aca="false">D921*F921</f>
        <v>11.8</v>
      </c>
      <c r="J921" s="6" t="n">
        <f aca="false">HOUR(E921)</f>
        <v>9</v>
      </c>
      <c r="K921" s="6" t="n">
        <f aca="false">IF(COUNTIF($A$2:$A921,A921)=1,1,0)</f>
        <v>0</v>
      </c>
    </row>
    <row r="922" customFormat="false" ht="15" hidden="false" customHeight="false" outlineLevel="0" collapsed="false">
      <c r="A922" s="0" t="s">
        <v>279</v>
      </c>
      <c r="B922" s="0" t="s">
        <v>88</v>
      </c>
      <c r="D922" s="0" t="n">
        <v>12</v>
      </c>
      <c r="E922" s="5" t="n">
        <v>45944.3779282407</v>
      </c>
      <c r="F922" s="0" t="n">
        <v>2.75</v>
      </c>
      <c r="G922" s="0" t="n">
        <v>17096</v>
      </c>
      <c r="H922" s="6" t="s">
        <v>208</v>
      </c>
      <c r="I922" s="6" t="n">
        <f aca="false">D922*F922</f>
        <v>33</v>
      </c>
      <c r="J922" s="6" t="n">
        <f aca="false">HOUR(E922)</f>
        <v>9</v>
      </c>
      <c r="K922" s="6" t="n">
        <f aca="false">IF(COUNTIF($A$2:$A922,A922)=1,1,0)</f>
        <v>0</v>
      </c>
    </row>
    <row r="923" customFormat="false" ht="15" hidden="false" customHeight="false" outlineLevel="0" collapsed="false">
      <c r="A923" s="0" t="s">
        <v>279</v>
      </c>
      <c r="B923" s="0" t="s">
        <v>107</v>
      </c>
      <c r="C923" s="0" t="s">
        <v>108</v>
      </c>
      <c r="D923" s="0" t="n">
        <v>10</v>
      </c>
      <c r="E923" s="5" t="n">
        <v>45944.3779282407</v>
      </c>
      <c r="F923" s="0" t="n">
        <v>3.75</v>
      </c>
      <c r="G923" s="0" t="n">
        <v>17096</v>
      </c>
      <c r="H923" s="6" t="s">
        <v>208</v>
      </c>
      <c r="I923" s="6" t="n">
        <f aca="false">D923*F923</f>
        <v>37.5</v>
      </c>
      <c r="J923" s="6" t="n">
        <f aca="false">HOUR(E923)</f>
        <v>9</v>
      </c>
      <c r="K923" s="6" t="n">
        <f aca="false">IF(COUNTIF($A$2:$A923,A923)=1,1,0)</f>
        <v>0</v>
      </c>
    </row>
    <row r="924" customFormat="false" ht="15" hidden="false" customHeight="false" outlineLevel="0" collapsed="false">
      <c r="A924" s="0" t="s">
        <v>279</v>
      </c>
      <c r="B924" s="0" t="s">
        <v>131</v>
      </c>
      <c r="C924" s="0" t="s">
        <v>132</v>
      </c>
      <c r="D924" s="0" t="n">
        <v>17</v>
      </c>
      <c r="E924" s="5" t="n">
        <v>45944.3779282407</v>
      </c>
      <c r="F924" s="0" t="n">
        <v>3.39</v>
      </c>
      <c r="G924" s="0" t="n">
        <v>17096</v>
      </c>
      <c r="H924" s="6" t="s">
        <v>208</v>
      </c>
      <c r="I924" s="6" t="n">
        <f aca="false">D924*F924</f>
        <v>57.63</v>
      </c>
      <c r="J924" s="6" t="n">
        <f aca="false">HOUR(E924)</f>
        <v>9</v>
      </c>
      <c r="K924" s="6" t="n">
        <f aca="false">IF(COUNTIF($A$2:$A924,A924)=1,1,0)</f>
        <v>0</v>
      </c>
    </row>
    <row r="925" customFormat="false" ht="15" hidden="false" customHeight="false" outlineLevel="0" collapsed="false">
      <c r="A925" s="0" t="s">
        <v>280</v>
      </c>
      <c r="B925" s="0" t="s">
        <v>140</v>
      </c>
      <c r="C925" s="0" t="s">
        <v>141</v>
      </c>
      <c r="D925" s="0" t="n">
        <v>20</v>
      </c>
      <c r="E925" s="5" t="n">
        <v>45944.3827893519</v>
      </c>
      <c r="F925" s="0" t="n">
        <v>2.08</v>
      </c>
      <c r="G925" s="0" t="n">
        <v>17028</v>
      </c>
      <c r="H925" s="6" t="s">
        <v>113</v>
      </c>
      <c r="I925" s="6" t="n">
        <f aca="false">D925*F925</f>
        <v>41.6</v>
      </c>
      <c r="J925" s="6" t="n">
        <f aca="false">HOUR(E925)</f>
        <v>9</v>
      </c>
      <c r="K925" s="6" t="n">
        <f aca="false">IF(COUNTIF($A$2:$A925,A925)=1,1,0)</f>
        <v>1</v>
      </c>
    </row>
    <row r="926" customFormat="false" ht="15" hidden="false" customHeight="false" outlineLevel="0" collapsed="false">
      <c r="A926" s="0" t="s">
        <v>280</v>
      </c>
      <c r="B926" s="0" t="s">
        <v>72</v>
      </c>
      <c r="C926" s="0" t="s">
        <v>73</v>
      </c>
      <c r="D926" s="0" t="n">
        <v>29</v>
      </c>
      <c r="E926" s="5" t="n">
        <v>45944.3827893519</v>
      </c>
      <c r="F926" s="0" t="n">
        <v>4.95</v>
      </c>
      <c r="G926" s="0" t="n">
        <v>17028</v>
      </c>
      <c r="H926" s="6" t="s">
        <v>113</v>
      </c>
      <c r="I926" s="6" t="n">
        <f aca="false">D926*F926</f>
        <v>143.55</v>
      </c>
      <c r="J926" s="6" t="n">
        <f aca="false">HOUR(E926)</f>
        <v>9</v>
      </c>
      <c r="K926" s="6" t="n">
        <f aca="false">IF(COUNTIF($A$2:$A926,A926)=1,1,0)</f>
        <v>0</v>
      </c>
    </row>
    <row r="927" customFormat="false" ht="15" hidden="false" customHeight="false" outlineLevel="0" collapsed="false">
      <c r="A927" s="0" t="s">
        <v>280</v>
      </c>
      <c r="B927" s="0" t="s">
        <v>116</v>
      </c>
      <c r="C927" s="0" t="s">
        <v>117</v>
      </c>
      <c r="D927" s="0" t="n">
        <v>24</v>
      </c>
      <c r="E927" s="5" t="n">
        <v>45944.3827893519</v>
      </c>
      <c r="F927" s="0" t="n">
        <v>1.95</v>
      </c>
      <c r="G927" s="0" t="n">
        <v>17028</v>
      </c>
      <c r="H927" s="6" t="s">
        <v>113</v>
      </c>
      <c r="I927" s="6" t="n">
        <f aca="false">D927*F927</f>
        <v>46.8</v>
      </c>
      <c r="J927" s="6" t="n">
        <f aca="false">HOUR(E927)</f>
        <v>9</v>
      </c>
      <c r="K927" s="6" t="n">
        <f aca="false">IF(COUNTIF($A$2:$A927,A927)=1,1,0)</f>
        <v>0</v>
      </c>
    </row>
    <row r="928" customFormat="false" ht="15" hidden="false" customHeight="false" outlineLevel="0" collapsed="false">
      <c r="A928" s="0" t="s">
        <v>280</v>
      </c>
      <c r="B928" s="0" t="s">
        <v>127</v>
      </c>
      <c r="C928" s="0" t="s">
        <v>128</v>
      </c>
      <c r="D928" s="0" t="n">
        <v>2</v>
      </c>
      <c r="E928" s="5" t="n">
        <v>45944.3827893519</v>
      </c>
      <c r="F928" s="0" t="n">
        <v>1.45</v>
      </c>
      <c r="G928" s="0" t="n">
        <v>17028</v>
      </c>
      <c r="H928" s="6" t="s">
        <v>113</v>
      </c>
      <c r="I928" s="6" t="n">
        <f aca="false">D928*F928</f>
        <v>2.9</v>
      </c>
      <c r="J928" s="6" t="n">
        <f aca="false">HOUR(E928)</f>
        <v>9</v>
      </c>
      <c r="K928" s="6" t="n">
        <f aca="false">IF(COUNTIF($A$2:$A928,A928)=1,1,0)</f>
        <v>0</v>
      </c>
    </row>
    <row r="929" customFormat="false" ht="15" hidden="false" customHeight="false" outlineLevel="0" collapsed="false">
      <c r="A929" s="0" t="s">
        <v>280</v>
      </c>
      <c r="B929" s="0" t="s">
        <v>83</v>
      </c>
      <c r="C929" s="0" t="s">
        <v>84</v>
      </c>
      <c r="D929" s="0" t="n">
        <v>22</v>
      </c>
      <c r="E929" s="5" t="n">
        <v>45944.3827893519</v>
      </c>
      <c r="F929" s="0" t="n">
        <v>2.95</v>
      </c>
      <c r="G929" s="0" t="n">
        <v>17028</v>
      </c>
      <c r="H929" s="6" t="s">
        <v>113</v>
      </c>
      <c r="I929" s="6" t="n">
        <f aca="false">D929*F929</f>
        <v>64.9</v>
      </c>
      <c r="J929" s="6" t="n">
        <f aca="false">HOUR(E929)</f>
        <v>9</v>
      </c>
      <c r="K929" s="6" t="n">
        <f aca="false">IF(COUNTIF($A$2:$A929,A929)=1,1,0)</f>
        <v>0</v>
      </c>
    </row>
    <row r="930" customFormat="false" ht="15" hidden="false" customHeight="false" outlineLevel="0" collapsed="false">
      <c r="A930" s="0" t="s">
        <v>280</v>
      </c>
      <c r="B930" s="0" t="s">
        <v>104</v>
      </c>
      <c r="C930" s="0" t="s">
        <v>105</v>
      </c>
      <c r="D930" s="0" t="n">
        <v>18</v>
      </c>
      <c r="E930" s="5" t="n">
        <v>45944.3827893519</v>
      </c>
      <c r="F930" s="0" t="n">
        <v>1.65</v>
      </c>
      <c r="G930" s="0" t="n">
        <v>17028</v>
      </c>
      <c r="H930" s="6" t="s">
        <v>113</v>
      </c>
      <c r="I930" s="6" t="n">
        <f aca="false">D930*F930</f>
        <v>29.7</v>
      </c>
      <c r="J930" s="6" t="n">
        <f aca="false">HOUR(E930)</f>
        <v>9</v>
      </c>
      <c r="K930" s="6" t="n">
        <f aca="false">IF(COUNTIF($A$2:$A930,A930)=1,1,0)</f>
        <v>0</v>
      </c>
    </row>
    <row r="931" customFormat="false" ht="15" hidden="false" customHeight="false" outlineLevel="0" collapsed="false">
      <c r="A931" s="0" t="s">
        <v>280</v>
      </c>
      <c r="B931" s="0" t="s">
        <v>77</v>
      </c>
      <c r="C931" s="0" t="s">
        <v>78</v>
      </c>
      <c r="D931" s="0" t="n">
        <v>5</v>
      </c>
      <c r="E931" s="5" t="n">
        <v>45944.3827893519</v>
      </c>
      <c r="F931" s="0" t="n">
        <v>1.65</v>
      </c>
      <c r="G931" s="0" t="n">
        <v>17028</v>
      </c>
      <c r="H931" s="6" t="s">
        <v>113</v>
      </c>
      <c r="I931" s="6" t="n">
        <f aca="false">D931*F931</f>
        <v>8.25</v>
      </c>
      <c r="J931" s="6" t="n">
        <f aca="false">HOUR(E931)</f>
        <v>9</v>
      </c>
      <c r="K931" s="6" t="n">
        <f aca="false">IF(COUNTIF($A$2:$A931,A931)=1,1,0)</f>
        <v>0</v>
      </c>
    </row>
    <row r="932" customFormat="false" ht="15" hidden="false" customHeight="false" outlineLevel="0" collapsed="false">
      <c r="A932" s="0" t="s">
        <v>280</v>
      </c>
      <c r="B932" s="0" t="s">
        <v>63</v>
      </c>
      <c r="C932" s="0" t="s">
        <v>64</v>
      </c>
      <c r="D932" s="0" t="n">
        <v>1</v>
      </c>
      <c r="E932" s="5" t="n">
        <v>45944.3827893519</v>
      </c>
      <c r="F932" s="0" t="n">
        <v>1.85</v>
      </c>
      <c r="G932" s="0" t="n">
        <v>17028</v>
      </c>
      <c r="H932" s="6" t="s">
        <v>113</v>
      </c>
      <c r="I932" s="6" t="n">
        <f aca="false">D932*F932</f>
        <v>1.85</v>
      </c>
      <c r="J932" s="6" t="n">
        <f aca="false">HOUR(E932)</f>
        <v>9</v>
      </c>
      <c r="K932" s="6" t="n">
        <f aca="false">IF(COUNTIF($A$2:$A932,A932)=1,1,0)</f>
        <v>0</v>
      </c>
    </row>
    <row r="933" customFormat="false" ht="15" hidden="false" customHeight="false" outlineLevel="0" collapsed="false">
      <c r="A933" s="0" t="s">
        <v>281</v>
      </c>
      <c r="B933" s="0" t="s">
        <v>57</v>
      </c>
      <c r="C933" s="0" t="s">
        <v>58</v>
      </c>
      <c r="D933" s="0" t="n">
        <v>17</v>
      </c>
      <c r="E933" s="5" t="n">
        <v>45944.5104513889</v>
      </c>
      <c r="F933" s="0" t="n">
        <v>2.08</v>
      </c>
      <c r="G933" s="0" t="n">
        <v>17024</v>
      </c>
      <c r="H933" s="6" t="s">
        <v>74</v>
      </c>
      <c r="I933" s="6" t="n">
        <f aca="false">D933*F933</f>
        <v>35.36</v>
      </c>
      <c r="J933" s="6" t="n">
        <f aca="false">HOUR(E933)</f>
        <v>12</v>
      </c>
      <c r="K933" s="6" t="n">
        <f aca="false">IF(COUNTIF($A$2:$A933,A933)=1,1,0)</f>
        <v>1</v>
      </c>
    </row>
    <row r="934" customFormat="false" ht="15" hidden="false" customHeight="false" outlineLevel="0" collapsed="false">
      <c r="A934" s="0" t="s">
        <v>281</v>
      </c>
      <c r="B934" s="0" t="s">
        <v>109</v>
      </c>
      <c r="C934" s="0" t="s">
        <v>110</v>
      </c>
      <c r="D934" s="0" t="n">
        <v>12</v>
      </c>
      <c r="E934" s="5" t="n">
        <v>45944.5104513889</v>
      </c>
      <c r="F934" s="0" t="n">
        <v>0.85</v>
      </c>
      <c r="G934" s="0" t="n">
        <v>17024</v>
      </c>
      <c r="H934" s="6" t="s">
        <v>74</v>
      </c>
      <c r="I934" s="6" t="n">
        <f aca="false">D934*F934</f>
        <v>10.2</v>
      </c>
      <c r="J934" s="6" t="n">
        <f aca="false">HOUR(E934)</f>
        <v>12</v>
      </c>
      <c r="K934" s="6" t="n">
        <f aca="false">IF(COUNTIF($A$2:$A934,A934)=1,1,0)</f>
        <v>0</v>
      </c>
    </row>
    <row r="935" customFormat="false" ht="15" hidden="false" customHeight="false" outlineLevel="0" collapsed="false">
      <c r="A935" s="0" t="s">
        <v>281</v>
      </c>
      <c r="B935" s="0" t="s">
        <v>72</v>
      </c>
      <c r="C935" s="0" t="s">
        <v>73</v>
      </c>
      <c r="D935" s="0" t="n">
        <v>17</v>
      </c>
      <c r="E935" s="5" t="n">
        <v>45944.5104513889</v>
      </c>
      <c r="F935" s="0" t="n">
        <v>4.95</v>
      </c>
      <c r="G935" s="0" t="n">
        <v>17024</v>
      </c>
      <c r="H935" s="6" t="s">
        <v>74</v>
      </c>
      <c r="I935" s="6" t="n">
        <f aca="false">D935*F935</f>
        <v>84.15</v>
      </c>
      <c r="J935" s="6" t="n">
        <f aca="false">HOUR(E935)</f>
        <v>12</v>
      </c>
      <c r="K935" s="6" t="n">
        <f aca="false">IF(COUNTIF($A$2:$A935,A935)=1,1,0)</f>
        <v>0</v>
      </c>
    </row>
    <row r="936" customFormat="false" ht="15" hidden="false" customHeight="false" outlineLevel="0" collapsed="false">
      <c r="A936" s="0" t="s">
        <v>281</v>
      </c>
      <c r="B936" s="0" t="s">
        <v>65</v>
      </c>
      <c r="C936" s="0" t="s">
        <v>66</v>
      </c>
      <c r="D936" s="0" t="n">
        <v>19</v>
      </c>
      <c r="E936" s="5" t="n">
        <v>45944.5104513889</v>
      </c>
      <c r="F936" s="0" t="n">
        <v>1.65</v>
      </c>
      <c r="G936" s="0" t="n">
        <v>17024</v>
      </c>
      <c r="H936" s="6" t="s">
        <v>74</v>
      </c>
      <c r="I936" s="6" t="n">
        <f aca="false">D936*F936</f>
        <v>31.35</v>
      </c>
      <c r="J936" s="6" t="n">
        <f aca="false">HOUR(E936)</f>
        <v>12</v>
      </c>
      <c r="K936" s="6" t="n">
        <f aca="false">IF(COUNTIF($A$2:$A936,A936)=1,1,0)</f>
        <v>0</v>
      </c>
    </row>
    <row r="937" customFormat="false" ht="15" hidden="false" customHeight="false" outlineLevel="0" collapsed="false">
      <c r="A937" s="0" t="s">
        <v>281</v>
      </c>
      <c r="B937" s="0" t="s">
        <v>53</v>
      </c>
      <c r="C937" s="0" t="s">
        <v>54</v>
      </c>
      <c r="D937" s="0" t="n">
        <v>7</v>
      </c>
      <c r="E937" s="5" t="n">
        <v>45944.5104513889</v>
      </c>
      <c r="F937" s="0" t="n">
        <v>2.95</v>
      </c>
      <c r="G937" s="0" t="n">
        <v>17024</v>
      </c>
      <c r="H937" s="6" t="s">
        <v>74</v>
      </c>
      <c r="I937" s="6" t="n">
        <f aca="false">D937*F937</f>
        <v>20.65</v>
      </c>
      <c r="J937" s="6" t="n">
        <f aca="false">HOUR(E937)</f>
        <v>12</v>
      </c>
      <c r="K937" s="6" t="n">
        <f aca="false">IF(COUNTIF($A$2:$A937,A937)=1,1,0)</f>
        <v>0</v>
      </c>
    </row>
    <row r="938" customFormat="false" ht="15" hidden="false" customHeight="false" outlineLevel="0" collapsed="false">
      <c r="A938" s="0" t="s">
        <v>282</v>
      </c>
      <c r="B938" s="0" t="s">
        <v>55</v>
      </c>
      <c r="C938" s="0" t="s">
        <v>56</v>
      </c>
      <c r="D938" s="0" t="n">
        <v>4</v>
      </c>
      <c r="E938" s="5" t="n">
        <v>45944.5437152778</v>
      </c>
      <c r="F938" s="0" t="n">
        <v>1.65</v>
      </c>
      <c r="G938" s="0" t="n">
        <v>17209</v>
      </c>
      <c r="H938" s="6" t="s">
        <v>74</v>
      </c>
      <c r="I938" s="6" t="n">
        <f aca="false">D938*F938</f>
        <v>6.6</v>
      </c>
      <c r="J938" s="6" t="n">
        <f aca="false">HOUR(E938)</f>
        <v>13</v>
      </c>
      <c r="K938" s="6" t="n">
        <f aca="false">IF(COUNTIF($A$2:$A938,A938)=1,1,0)</f>
        <v>1</v>
      </c>
    </row>
    <row r="939" customFormat="false" ht="15" hidden="false" customHeight="false" outlineLevel="0" collapsed="false">
      <c r="A939" s="0" t="s">
        <v>282</v>
      </c>
      <c r="B939" s="0" t="s">
        <v>116</v>
      </c>
      <c r="C939" s="0" t="s">
        <v>117</v>
      </c>
      <c r="D939" s="0" t="n">
        <v>13</v>
      </c>
      <c r="E939" s="5" t="n">
        <v>45944.5437152778</v>
      </c>
      <c r="F939" s="0" t="n">
        <v>1.95</v>
      </c>
      <c r="G939" s="0" t="n">
        <v>17209</v>
      </c>
      <c r="H939" s="6" t="s">
        <v>74</v>
      </c>
      <c r="I939" s="6" t="n">
        <f aca="false">D939*F939</f>
        <v>25.35</v>
      </c>
      <c r="J939" s="6" t="n">
        <f aca="false">HOUR(E939)</f>
        <v>13</v>
      </c>
      <c r="K939" s="6" t="n">
        <f aca="false">IF(COUNTIF($A$2:$A939,A939)=1,1,0)</f>
        <v>0</v>
      </c>
    </row>
    <row r="940" customFormat="false" ht="15" hidden="false" customHeight="false" outlineLevel="0" collapsed="false">
      <c r="A940" s="0" t="s">
        <v>283</v>
      </c>
      <c r="B940" s="0" t="s">
        <v>134</v>
      </c>
      <c r="C940" s="0" t="s">
        <v>135</v>
      </c>
      <c r="D940" s="0" t="n">
        <v>20</v>
      </c>
      <c r="E940" s="5" t="n">
        <v>45944.551087963</v>
      </c>
      <c r="F940" s="0" t="n">
        <v>5.95</v>
      </c>
      <c r="G940" s="0" t="n">
        <v>17145</v>
      </c>
      <c r="H940" s="6" t="s">
        <v>74</v>
      </c>
      <c r="I940" s="6" t="n">
        <f aca="false">D940*F940</f>
        <v>119</v>
      </c>
      <c r="J940" s="6" t="n">
        <f aca="false">HOUR(E940)</f>
        <v>13</v>
      </c>
      <c r="K940" s="6" t="n">
        <f aca="false">IF(COUNTIF($A$2:$A940,A940)=1,1,0)</f>
        <v>1</v>
      </c>
    </row>
    <row r="941" customFormat="false" ht="15" hidden="false" customHeight="false" outlineLevel="0" collapsed="false">
      <c r="A941" s="0" t="s">
        <v>283</v>
      </c>
      <c r="B941" s="0" t="s">
        <v>99</v>
      </c>
      <c r="C941" s="0" t="s">
        <v>100</v>
      </c>
      <c r="D941" s="0" t="n">
        <v>19</v>
      </c>
      <c r="E941" s="5" t="n">
        <v>45944.551087963</v>
      </c>
      <c r="F941" s="0" t="n">
        <v>2.08</v>
      </c>
      <c r="G941" s="0" t="n">
        <v>17145</v>
      </c>
      <c r="H941" s="6" t="s">
        <v>74</v>
      </c>
      <c r="I941" s="6" t="n">
        <f aca="false">D941*F941</f>
        <v>39.52</v>
      </c>
      <c r="J941" s="6" t="n">
        <f aca="false">HOUR(E941)</f>
        <v>13</v>
      </c>
      <c r="K941" s="6" t="n">
        <f aca="false">IF(COUNTIF($A$2:$A941,A941)=1,1,0)</f>
        <v>0</v>
      </c>
    </row>
    <row r="942" customFormat="false" ht="15" hidden="false" customHeight="false" outlineLevel="0" collapsed="false">
      <c r="A942" s="0" t="s">
        <v>283</v>
      </c>
      <c r="B942" s="0" t="s">
        <v>57</v>
      </c>
      <c r="C942" s="0" t="s">
        <v>58</v>
      </c>
      <c r="D942" s="0" t="n">
        <v>23</v>
      </c>
      <c r="E942" s="5" t="n">
        <v>45944.551087963</v>
      </c>
      <c r="F942" s="0" t="n">
        <v>2.08</v>
      </c>
      <c r="G942" s="0" t="n">
        <v>17145</v>
      </c>
      <c r="H942" s="6" t="s">
        <v>74</v>
      </c>
      <c r="I942" s="6" t="n">
        <f aca="false">D942*F942</f>
        <v>47.84</v>
      </c>
      <c r="J942" s="6" t="n">
        <f aca="false">HOUR(E942)</f>
        <v>13</v>
      </c>
      <c r="K942" s="6" t="n">
        <f aca="false">IF(COUNTIF($A$2:$A942,A942)=1,1,0)</f>
        <v>0</v>
      </c>
    </row>
    <row r="943" customFormat="false" ht="15" hidden="false" customHeight="false" outlineLevel="0" collapsed="false">
      <c r="A943" s="0" t="s">
        <v>283</v>
      </c>
      <c r="B943" s="0" t="s">
        <v>75</v>
      </c>
      <c r="C943" s="0" t="s">
        <v>76</v>
      </c>
      <c r="D943" s="0" t="n">
        <v>14</v>
      </c>
      <c r="E943" s="5" t="n">
        <v>45944.551087963</v>
      </c>
      <c r="F943" s="0" t="n">
        <v>3.39</v>
      </c>
      <c r="G943" s="0" t="n">
        <v>17145</v>
      </c>
      <c r="H943" s="6" t="s">
        <v>74</v>
      </c>
      <c r="I943" s="6" t="n">
        <f aca="false">D943*F943</f>
        <v>47.46</v>
      </c>
      <c r="J943" s="6" t="n">
        <f aca="false">HOUR(E943)</f>
        <v>13</v>
      </c>
      <c r="K943" s="6" t="n">
        <f aca="false">IF(COUNTIF($A$2:$A943,A943)=1,1,0)</f>
        <v>0</v>
      </c>
    </row>
    <row r="944" customFormat="false" ht="15" hidden="false" customHeight="false" outlineLevel="0" collapsed="false">
      <c r="A944" s="0" t="s">
        <v>283</v>
      </c>
      <c r="B944" s="0" t="s">
        <v>95</v>
      </c>
      <c r="C944" s="0" t="s">
        <v>96</v>
      </c>
      <c r="D944" s="0" t="n">
        <v>11</v>
      </c>
      <c r="E944" s="5" t="n">
        <v>45944.551087963</v>
      </c>
      <c r="F944" s="0" t="n">
        <v>2.55</v>
      </c>
      <c r="G944" s="0" t="n">
        <v>17145</v>
      </c>
      <c r="H944" s="6" t="s">
        <v>74</v>
      </c>
      <c r="I944" s="6" t="n">
        <f aca="false">D944*F944</f>
        <v>28.05</v>
      </c>
      <c r="J944" s="6" t="n">
        <f aca="false">HOUR(E944)</f>
        <v>13</v>
      </c>
      <c r="K944" s="6" t="n">
        <f aca="false">IF(COUNTIF($A$2:$A944,A944)=1,1,0)</f>
        <v>0</v>
      </c>
    </row>
    <row r="945" customFormat="false" ht="15" hidden="false" customHeight="false" outlineLevel="0" collapsed="false">
      <c r="A945" s="0" t="s">
        <v>283</v>
      </c>
      <c r="B945" s="0" t="s">
        <v>145</v>
      </c>
      <c r="C945" s="0" t="s">
        <v>146</v>
      </c>
      <c r="D945" s="0" t="n">
        <v>23</v>
      </c>
      <c r="E945" s="5" t="n">
        <v>45944.551087963</v>
      </c>
      <c r="F945" s="0" t="n">
        <v>1.85</v>
      </c>
      <c r="G945" s="0" t="n">
        <v>17145</v>
      </c>
      <c r="H945" s="6" t="s">
        <v>74</v>
      </c>
      <c r="I945" s="6" t="n">
        <f aca="false">D945*F945</f>
        <v>42.55</v>
      </c>
      <c r="J945" s="6" t="n">
        <f aca="false">HOUR(E945)</f>
        <v>13</v>
      </c>
      <c r="K945" s="6" t="n">
        <f aca="false">IF(COUNTIF($A$2:$A945,A945)=1,1,0)</f>
        <v>0</v>
      </c>
    </row>
    <row r="946" customFormat="false" ht="15" hidden="false" customHeight="false" outlineLevel="0" collapsed="false">
      <c r="A946" s="0" t="s">
        <v>283</v>
      </c>
      <c r="B946" s="0" t="s">
        <v>131</v>
      </c>
      <c r="C946" s="0" t="s">
        <v>132</v>
      </c>
      <c r="D946" s="0" t="n">
        <v>11</v>
      </c>
      <c r="E946" s="5" t="n">
        <v>45944.551087963</v>
      </c>
      <c r="F946" s="0" t="n">
        <v>3.39</v>
      </c>
      <c r="G946" s="0" t="n">
        <v>17145</v>
      </c>
      <c r="H946" s="6" t="s">
        <v>74</v>
      </c>
      <c r="I946" s="6" t="n">
        <f aca="false">D946*F946</f>
        <v>37.29</v>
      </c>
      <c r="J946" s="6" t="n">
        <f aca="false">HOUR(E946)</f>
        <v>13</v>
      </c>
      <c r="K946" s="6" t="n">
        <f aca="false">IF(COUNTIF($A$2:$A946,A946)=1,1,0)</f>
        <v>0</v>
      </c>
    </row>
    <row r="947" customFormat="false" ht="15" hidden="false" customHeight="false" outlineLevel="0" collapsed="false">
      <c r="A947" s="0" t="s">
        <v>283</v>
      </c>
      <c r="B947" s="0" t="s">
        <v>121</v>
      </c>
      <c r="C947" s="0" t="s">
        <v>122</v>
      </c>
      <c r="D947" s="0" t="n">
        <v>13</v>
      </c>
      <c r="E947" s="5" t="n">
        <v>45944.551087963</v>
      </c>
      <c r="F947" s="0" t="n">
        <v>2.1</v>
      </c>
      <c r="G947" s="0" t="n">
        <v>17145</v>
      </c>
      <c r="H947" s="6" t="s">
        <v>74</v>
      </c>
      <c r="I947" s="6" t="n">
        <f aca="false">D947*F947</f>
        <v>27.3</v>
      </c>
      <c r="J947" s="6" t="n">
        <f aca="false">HOUR(E947)</f>
        <v>13</v>
      </c>
      <c r="K947" s="6" t="n">
        <f aca="false">IF(COUNTIF($A$2:$A947,A947)=1,1,0)</f>
        <v>0</v>
      </c>
    </row>
    <row r="948" customFormat="false" ht="15" hidden="false" customHeight="false" outlineLevel="0" collapsed="false">
      <c r="A948" s="0" t="s">
        <v>283</v>
      </c>
      <c r="B948" s="0" t="s">
        <v>104</v>
      </c>
      <c r="C948" s="0" t="s">
        <v>105</v>
      </c>
      <c r="D948" s="0" t="n">
        <v>22</v>
      </c>
      <c r="E948" s="5" t="n">
        <v>45944.551087963</v>
      </c>
      <c r="F948" s="0" t="n">
        <v>1.65</v>
      </c>
      <c r="G948" s="0" t="n">
        <v>17145</v>
      </c>
      <c r="H948" s="6" t="s">
        <v>74</v>
      </c>
      <c r="I948" s="6" t="n">
        <f aca="false">D948*F948</f>
        <v>36.3</v>
      </c>
      <c r="J948" s="6" t="n">
        <f aca="false">HOUR(E948)</f>
        <v>13</v>
      </c>
      <c r="K948" s="6" t="n">
        <f aca="false">IF(COUNTIF($A$2:$A948,A948)=1,1,0)</f>
        <v>0</v>
      </c>
    </row>
    <row r="949" customFormat="false" ht="15" hidden="false" customHeight="false" outlineLevel="0" collapsed="false">
      <c r="A949" s="0" t="s">
        <v>283</v>
      </c>
      <c r="B949" s="0" t="s">
        <v>77</v>
      </c>
      <c r="C949" s="0" t="s">
        <v>78</v>
      </c>
      <c r="D949" s="0" t="n">
        <v>23</v>
      </c>
      <c r="E949" s="5" t="n">
        <v>45944.551087963</v>
      </c>
      <c r="F949" s="0" t="n">
        <v>1.65</v>
      </c>
      <c r="G949" s="0" t="n">
        <v>17145</v>
      </c>
      <c r="H949" s="6" t="s">
        <v>74</v>
      </c>
      <c r="I949" s="6" t="n">
        <f aca="false">D949*F949</f>
        <v>37.95</v>
      </c>
      <c r="J949" s="6" t="n">
        <f aca="false">HOUR(E949)</f>
        <v>13</v>
      </c>
      <c r="K949" s="6" t="n">
        <f aca="false">IF(COUNTIF($A$2:$A949,A949)=1,1,0)</f>
        <v>0</v>
      </c>
    </row>
    <row r="950" customFormat="false" ht="15" hidden="false" customHeight="false" outlineLevel="0" collapsed="false">
      <c r="A950" s="0" t="s">
        <v>284</v>
      </c>
      <c r="B950" s="0" t="s">
        <v>116</v>
      </c>
      <c r="C950" s="0" t="s">
        <v>117</v>
      </c>
      <c r="D950" s="0" t="n">
        <v>4</v>
      </c>
      <c r="E950" s="5" t="n">
        <v>45944.5733101852</v>
      </c>
      <c r="F950" s="0" t="n">
        <v>1.95</v>
      </c>
      <c r="G950" s="0" t="n">
        <v>17048</v>
      </c>
      <c r="H950" s="6" t="s">
        <v>68</v>
      </c>
      <c r="I950" s="6" t="n">
        <f aca="false">D950*F950</f>
        <v>7.8</v>
      </c>
      <c r="J950" s="6" t="n">
        <f aca="false">HOUR(E950)</f>
        <v>13</v>
      </c>
      <c r="K950" s="6" t="n">
        <f aca="false">IF(COUNTIF($A$2:$A950,A950)=1,1,0)</f>
        <v>1</v>
      </c>
    </row>
    <row r="951" customFormat="false" ht="15" hidden="false" customHeight="false" outlineLevel="0" collapsed="false">
      <c r="A951" s="0" t="s">
        <v>284</v>
      </c>
      <c r="B951" s="0" t="s">
        <v>95</v>
      </c>
      <c r="C951" s="0" t="s">
        <v>96</v>
      </c>
      <c r="D951" s="0" t="n">
        <v>24</v>
      </c>
      <c r="E951" s="5" t="n">
        <v>45944.5733101852</v>
      </c>
      <c r="F951" s="0" t="n">
        <v>2.55</v>
      </c>
      <c r="G951" s="0" t="n">
        <v>17048</v>
      </c>
      <c r="H951" s="6" t="s">
        <v>68</v>
      </c>
      <c r="I951" s="6" t="n">
        <f aca="false">D951*F951</f>
        <v>61.2</v>
      </c>
      <c r="J951" s="6" t="n">
        <f aca="false">HOUR(E951)</f>
        <v>13</v>
      </c>
      <c r="K951" s="6" t="n">
        <f aca="false">IF(COUNTIF($A$2:$A951,A951)=1,1,0)</f>
        <v>0</v>
      </c>
    </row>
    <row r="952" customFormat="false" ht="15" hidden="false" customHeight="false" outlineLevel="0" collapsed="false">
      <c r="A952" s="0" t="s">
        <v>284</v>
      </c>
      <c r="B952" s="0" t="s">
        <v>75</v>
      </c>
      <c r="C952" s="0" t="s">
        <v>76</v>
      </c>
      <c r="D952" s="0" t="n">
        <v>8</v>
      </c>
      <c r="E952" s="5" t="n">
        <v>45944.5733101852</v>
      </c>
      <c r="F952" s="0" t="n">
        <v>3.39</v>
      </c>
      <c r="G952" s="0" t="n">
        <v>17048</v>
      </c>
      <c r="H952" s="6" t="s">
        <v>68</v>
      </c>
      <c r="I952" s="6" t="n">
        <f aca="false">D952*F952</f>
        <v>27.12</v>
      </c>
      <c r="J952" s="6" t="n">
        <f aca="false">HOUR(E952)</f>
        <v>13</v>
      </c>
      <c r="K952" s="6" t="n">
        <f aca="false">IF(COUNTIF($A$2:$A952,A952)=1,1,0)</f>
        <v>0</v>
      </c>
    </row>
    <row r="953" customFormat="false" ht="15" hidden="false" customHeight="false" outlineLevel="0" collapsed="false">
      <c r="A953" s="0" t="s">
        <v>284</v>
      </c>
      <c r="B953" s="0" t="s">
        <v>145</v>
      </c>
      <c r="C953" s="0" t="s">
        <v>146</v>
      </c>
      <c r="D953" s="0" t="n">
        <v>17</v>
      </c>
      <c r="E953" s="5" t="n">
        <v>45944.5733101852</v>
      </c>
      <c r="F953" s="0" t="n">
        <v>1.85</v>
      </c>
      <c r="G953" s="0" t="n">
        <v>17048</v>
      </c>
      <c r="H953" s="6" t="s">
        <v>68</v>
      </c>
      <c r="I953" s="6" t="n">
        <f aca="false">D953*F953</f>
        <v>31.45</v>
      </c>
      <c r="J953" s="6" t="n">
        <f aca="false">HOUR(E953)</f>
        <v>13</v>
      </c>
      <c r="K953" s="6" t="n">
        <f aca="false">IF(COUNTIF($A$2:$A953,A953)=1,1,0)</f>
        <v>0</v>
      </c>
    </row>
    <row r="954" customFormat="false" ht="15" hidden="false" customHeight="false" outlineLevel="0" collapsed="false">
      <c r="A954" s="0" t="s">
        <v>284</v>
      </c>
      <c r="B954" s="0" t="s">
        <v>99</v>
      </c>
      <c r="C954" s="0" t="s">
        <v>100</v>
      </c>
      <c r="D954" s="0" t="n">
        <v>1</v>
      </c>
      <c r="E954" s="5" t="n">
        <v>45944.5733101852</v>
      </c>
      <c r="F954" s="0" t="n">
        <v>2.08</v>
      </c>
      <c r="G954" s="0" t="n">
        <v>17048</v>
      </c>
      <c r="H954" s="6" t="s">
        <v>68</v>
      </c>
      <c r="I954" s="6" t="n">
        <f aca="false">D954*F954</f>
        <v>2.08</v>
      </c>
      <c r="J954" s="6" t="n">
        <f aca="false">HOUR(E954)</f>
        <v>13</v>
      </c>
      <c r="K954" s="6" t="n">
        <f aca="false">IF(COUNTIF($A$2:$A954,A954)=1,1,0)</f>
        <v>0</v>
      </c>
    </row>
    <row r="955" customFormat="false" ht="15" hidden="false" customHeight="false" outlineLevel="0" collapsed="false">
      <c r="A955" s="0" t="s">
        <v>284</v>
      </c>
      <c r="B955" s="0" t="s">
        <v>140</v>
      </c>
      <c r="C955" s="0" t="s">
        <v>141</v>
      </c>
      <c r="D955" s="0" t="n">
        <v>19</v>
      </c>
      <c r="E955" s="5" t="n">
        <v>45944.5733101852</v>
      </c>
      <c r="F955" s="0" t="n">
        <v>2.08</v>
      </c>
      <c r="G955" s="0" t="n">
        <v>17048</v>
      </c>
      <c r="H955" s="6" t="s">
        <v>68</v>
      </c>
      <c r="I955" s="6" t="n">
        <f aca="false">D955*F955</f>
        <v>39.52</v>
      </c>
      <c r="J955" s="6" t="n">
        <f aca="false">HOUR(E955)</f>
        <v>13</v>
      </c>
      <c r="K955" s="6" t="n">
        <f aca="false">IF(COUNTIF($A$2:$A955,A955)=1,1,0)</f>
        <v>0</v>
      </c>
    </row>
    <row r="956" customFormat="false" ht="15" hidden="false" customHeight="false" outlineLevel="0" collapsed="false">
      <c r="A956" s="0" t="s">
        <v>284</v>
      </c>
      <c r="B956" s="0" t="s">
        <v>83</v>
      </c>
      <c r="C956" s="0" t="s">
        <v>84</v>
      </c>
      <c r="D956" s="0" t="n">
        <v>24</v>
      </c>
      <c r="E956" s="5" t="n">
        <v>45944.5733101852</v>
      </c>
      <c r="F956" s="0" t="n">
        <v>2.95</v>
      </c>
      <c r="G956" s="0" t="n">
        <v>17048</v>
      </c>
      <c r="H956" s="6" t="s">
        <v>68</v>
      </c>
      <c r="I956" s="6" t="n">
        <f aca="false">D956*F956</f>
        <v>70.8</v>
      </c>
      <c r="J956" s="6" t="n">
        <f aca="false">HOUR(E956)</f>
        <v>13</v>
      </c>
      <c r="K956" s="6" t="n">
        <f aca="false">IF(COUNTIF($A$2:$A956,A956)=1,1,0)</f>
        <v>0</v>
      </c>
    </row>
    <row r="957" customFormat="false" ht="15" hidden="false" customHeight="false" outlineLevel="0" collapsed="false">
      <c r="A957" s="0" t="s">
        <v>284</v>
      </c>
      <c r="B957" s="0" t="s">
        <v>137</v>
      </c>
      <c r="C957" s="0" t="s">
        <v>138</v>
      </c>
      <c r="D957" s="0" t="n">
        <v>20</v>
      </c>
      <c r="E957" s="5" t="n">
        <v>45944.5733101852</v>
      </c>
      <c r="F957" s="0" t="n">
        <v>2.1</v>
      </c>
      <c r="G957" s="0" t="n">
        <v>17048</v>
      </c>
      <c r="H957" s="6" t="s">
        <v>68</v>
      </c>
      <c r="I957" s="6" t="n">
        <f aca="false">D957*F957</f>
        <v>42</v>
      </c>
      <c r="J957" s="6" t="n">
        <f aca="false">HOUR(E957)</f>
        <v>13</v>
      </c>
      <c r="K957" s="6" t="n">
        <f aca="false">IF(COUNTIF($A$2:$A957,A957)=1,1,0)</f>
        <v>0</v>
      </c>
    </row>
    <row r="958" customFormat="false" ht="15" hidden="false" customHeight="false" outlineLevel="0" collapsed="false">
      <c r="A958" s="0" t="s">
        <v>284</v>
      </c>
      <c r="B958" s="0" t="s">
        <v>125</v>
      </c>
      <c r="C958" s="0" t="s">
        <v>126</v>
      </c>
      <c r="D958" s="0" t="n">
        <v>2</v>
      </c>
      <c r="E958" s="5" t="n">
        <v>45944.5733101852</v>
      </c>
      <c r="F958" s="0" t="n">
        <v>1.25</v>
      </c>
      <c r="G958" s="0" t="n">
        <v>17048</v>
      </c>
      <c r="H958" s="6" t="s">
        <v>68</v>
      </c>
      <c r="I958" s="6" t="n">
        <f aca="false">D958*F958</f>
        <v>2.5</v>
      </c>
      <c r="J958" s="6" t="n">
        <f aca="false">HOUR(E958)</f>
        <v>13</v>
      </c>
      <c r="K958" s="6" t="n">
        <f aca="false">IF(COUNTIF($A$2:$A958,A958)=1,1,0)</f>
        <v>0</v>
      </c>
    </row>
    <row r="959" customFormat="false" ht="15" hidden="false" customHeight="false" outlineLevel="0" collapsed="false">
      <c r="A959" s="0" t="s">
        <v>284</v>
      </c>
      <c r="B959" s="0" t="s">
        <v>69</v>
      </c>
      <c r="C959" s="0" t="s">
        <v>70</v>
      </c>
      <c r="D959" s="0" t="n">
        <v>46</v>
      </c>
      <c r="E959" s="5" t="n">
        <v>45944.5733101852</v>
      </c>
      <c r="F959" s="0" t="n">
        <v>2.08</v>
      </c>
      <c r="G959" s="0" t="n">
        <v>17048</v>
      </c>
      <c r="H959" s="6" t="s">
        <v>68</v>
      </c>
      <c r="I959" s="6" t="n">
        <f aca="false">D959*F959</f>
        <v>95.68</v>
      </c>
      <c r="J959" s="6" t="n">
        <f aca="false">HOUR(E959)</f>
        <v>13</v>
      </c>
      <c r="K959" s="6" t="n">
        <f aca="false">IF(COUNTIF($A$2:$A959,A959)=1,1,0)</f>
        <v>0</v>
      </c>
    </row>
    <row r="960" customFormat="false" ht="15" hidden="false" customHeight="false" outlineLevel="0" collapsed="false">
      <c r="A960" s="0" t="s">
        <v>285</v>
      </c>
      <c r="B960" s="0" t="s">
        <v>72</v>
      </c>
      <c r="C960" s="0" t="s">
        <v>73</v>
      </c>
      <c r="D960" s="0" t="n">
        <v>12</v>
      </c>
      <c r="E960" s="5" t="n">
        <v>45944.619849537</v>
      </c>
      <c r="F960" s="0" t="n">
        <v>4.95</v>
      </c>
      <c r="G960" s="0" t="n">
        <v>17060</v>
      </c>
      <c r="H960" s="6" t="s">
        <v>74</v>
      </c>
      <c r="I960" s="6" t="n">
        <f aca="false">D960*F960</f>
        <v>59.4</v>
      </c>
      <c r="J960" s="6" t="n">
        <f aca="false">HOUR(E960)</f>
        <v>14</v>
      </c>
      <c r="K960" s="6" t="n">
        <f aca="false">IF(COUNTIF($A$2:$A960,A960)=1,1,0)</f>
        <v>1</v>
      </c>
    </row>
    <row r="961" customFormat="false" ht="15" hidden="false" customHeight="false" outlineLevel="0" collapsed="false">
      <c r="A961" s="0" t="s">
        <v>285</v>
      </c>
      <c r="B961" s="0" t="s">
        <v>121</v>
      </c>
      <c r="C961" s="0" t="s">
        <v>122</v>
      </c>
      <c r="D961" s="0" t="n">
        <v>12</v>
      </c>
      <c r="E961" s="5" t="n">
        <v>45944.619849537</v>
      </c>
      <c r="F961" s="0" t="n">
        <v>2.1</v>
      </c>
      <c r="G961" s="0" t="n">
        <v>17060</v>
      </c>
      <c r="H961" s="6" t="s">
        <v>74</v>
      </c>
      <c r="I961" s="6" t="n">
        <f aca="false">D961*F961</f>
        <v>25.2</v>
      </c>
      <c r="J961" s="6" t="n">
        <f aca="false">HOUR(E961)</f>
        <v>14</v>
      </c>
      <c r="K961" s="6" t="n">
        <f aca="false">IF(COUNTIF($A$2:$A961,A961)=1,1,0)</f>
        <v>0</v>
      </c>
    </row>
    <row r="962" customFormat="false" ht="15" hidden="false" customHeight="false" outlineLevel="0" collapsed="false">
      <c r="A962" s="0" t="s">
        <v>285</v>
      </c>
      <c r="B962" s="0" t="s">
        <v>134</v>
      </c>
      <c r="C962" s="0" t="s">
        <v>135</v>
      </c>
      <c r="D962" s="0" t="n">
        <v>7</v>
      </c>
      <c r="E962" s="5" t="n">
        <v>45944.619849537</v>
      </c>
      <c r="F962" s="0" t="n">
        <v>5.95</v>
      </c>
      <c r="G962" s="0" t="n">
        <v>17060</v>
      </c>
      <c r="H962" s="6" t="s">
        <v>74</v>
      </c>
      <c r="I962" s="6" t="n">
        <f aca="false">D962*F962</f>
        <v>41.65</v>
      </c>
      <c r="J962" s="6" t="n">
        <f aca="false">HOUR(E962)</f>
        <v>14</v>
      </c>
      <c r="K962" s="6" t="n">
        <f aca="false">IF(COUNTIF($A$2:$A962,A962)=1,1,0)</f>
        <v>0</v>
      </c>
    </row>
    <row r="963" customFormat="false" ht="15" hidden="false" customHeight="false" outlineLevel="0" collapsed="false">
      <c r="A963" s="0" t="s">
        <v>285</v>
      </c>
      <c r="B963" s="0" t="s">
        <v>61</v>
      </c>
      <c r="C963" s="0" t="s">
        <v>62</v>
      </c>
      <c r="D963" s="0" t="n">
        <v>5</v>
      </c>
      <c r="E963" s="5" t="n">
        <v>45944.619849537</v>
      </c>
      <c r="F963" s="0" t="n">
        <v>1.65</v>
      </c>
      <c r="G963" s="0" t="n">
        <v>17060</v>
      </c>
      <c r="H963" s="6" t="s">
        <v>74</v>
      </c>
      <c r="I963" s="6" t="n">
        <f aca="false">D963*F963</f>
        <v>8.25</v>
      </c>
      <c r="J963" s="6" t="n">
        <f aca="false">HOUR(E963)</f>
        <v>14</v>
      </c>
      <c r="K963" s="6" t="n">
        <f aca="false">IF(COUNTIF($A$2:$A963,A963)=1,1,0)</f>
        <v>0</v>
      </c>
    </row>
    <row r="964" customFormat="false" ht="15" hidden="false" customHeight="false" outlineLevel="0" collapsed="false">
      <c r="A964" s="0" t="s">
        <v>286</v>
      </c>
      <c r="B964" s="0" t="s">
        <v>95</v>
      </c>
      <c r="C964" s="0" t="s">
        <v>96</v>
      </c>
      <c r="D964" s="0" t="n">
        <v>32</v>
      </c>
      <c r="E964" s="5" t="n">
        <v>45944.6246643519</v>
      </c>
      <c r="F964" s="0" t="n">
        <v>2.55</v>
      </c>
      <c r="H964" s="6" t="s">
        <v>208</v>
      </c>
      <c r="I964" s="6" t="n">
        <f aca="false">D964*F964</f>
        <v>81.6</v>
      </c>
      <c r="J964" s="6" t="n">
        <f aca="false">HOUR(E964)</f>
        <v>14</v>
      </c>
      <c r="K964" s="6" t="n">
        <f aca="false">IF(COUNTIF($A$2:$A964,A964)=1,1,0)</f>
        <v>1</v>
      </c>
    </row>
    <row r="965" customFormat="false" ht="15" hidden="false" customHeight="false" outlineLevel="0" collapsed="false">
      <c r="A965" s="0" t="s">
        <v>286</v>
      </c>
      <c r="B965" s="0" t="s">
        <v>99</v>
      </c>
      <c r="C965" s="0" t="s">
        <v>100</v>
      </c>
      <c r="D965" s="0" t="n">
        <v>2</v>
      </c>
      <c r="E965" s="5" t="n">
        <v>45944.6246643519</v>
      </c>
      <c r="F965" s="0" t="n">
        <v>2.08</v>
      </c>
      <c r="H965" s="6" t="s">
        <v>208</v>
      </c>
      <c r="I965" s="6" t="n">
        <f aca="false">D965*F965</f>
        <v>4.16</v>
      </c>
      <c r="J965" s="6" t="n">
        <f aca="false">HOUR(E965)</f>
        <v>14</v>
      </c>
      <c r="K965" s="6" t="n">
        <f aca="false">IF(COUNTIF($A$2:$A965,A965)=1,1,0)</f>
        <v>0</v>
      </c>
    </row>
    <row r="966" customFormat="false" ht="15" hidden="false" customHeight="false" outlineLevel="0" collapsed="false">
      <c r="A966" s="0" t="s">
        <v>286</v>
      </c>
      <c r="B966" s="0" t="s">
        <v>91</v>
      </c>
      <c r="C966" s="0" t="s">
        <v>92</v>
      </c>
      <c r="D966" s="0" t="n">
        <v>4</v>
      </c>
      <c r="E966" s="5" t="n">
        <v>45944.6246643519</v>
      </c>
      <c r="F966" s="0" t="n">
        <v>7.65</v>
      </c>
      <c r="H966" s="6" t="s">
        <v>208</v>
      </c>
      <c r="I966" s="6" t="n">
        <f aca="false">D966*F966</f>
        <v>30.6</v>
      </c>
      <c r="J966" s="6" t="n">
        <f aca="false">HOUR(E966)</f>
        <v>14</v>
      </c>
      <c r="K966" s="6" t="n">
        <f aca="false">IF(COUNTIF($A$2:$A966,A966)=1,1,0)</f>
        <v>0</v>
      </c>
    </row>
    <row r="967" customFormat="false" ht="15" hidden="false" customHeight="false" outlineLevel="0" collapsed="false">
      <c r="A967" s="0" t="s">
        <v>286</v>
      </c>
      <c r="B967" s="0" t="s">
        <v>121</v>
      </c>
      <c r="C967" s="0" t="s">
        <v>122</v>
      </c>
      <c r="D967" s="0" t="n">
        <v>12</v>
      </c>
      <c r="E967" s="5" t="n">
        <v>45944.6246643519</v>
      </c>
      <c r="F967" s="0" t="n">
        <v>2.1</v>
      </c>
      <c r="H967" s="6" t="s">
        <v>208</v>
      </c>
      <c r="I967" s="6" t="n">
        <f aca="false">D967*F967</f>
        <v>25.2</v>
      </c>
      <c r="J967" s="6" t="n">
        <f aca="false">HOUR(E967)</f>
        <v>14</v>
      </c>
      <c r="K967" s="6" t="n">
        <f aca="false">IF(COUNTIF($A$2:$A967,A967)=1,1,0)</f>
        <v>0</v>
      </c>
    </row>
    <row r="968" customFormat="false" ht="15" hidden="false" customHeight="false" outlineLevel="0" collapsed="false">
      <c r="A968" s="0" t="s">
        <v>286</v>
      </c>
      <c r="B968" s="0" t="s">
        <v>140</v>
      </c>
      <c r="C968" s="0" t="s">
        <v>141</v>
      </c>
      <c r="D968" s="0" t="n">
        <v>8</v>
      </c>
      <c r="E968" s="5" t="n">
        <v>45944.6246643519</v>
      </c>
      <c r="F968" s="0" t="n">
        <v>2.08</v>
      </c>
      <c r="H968" s="6" t="s">
        <v>208</v>
      </c>
      <c r="I968" s="6" t="n">
        <f aca="false">D968*F968</f>
        <v>16.64</v>
      </c>
      <c r="J968" s="6" t="n">
        <f aca="false">HOUR(E968)</f>
        <v>14</v>
      </c>
      <c r="K968" s="6" t="n">
        <f aca="false">IF(COUNTIF($A$2:$A968,A968)=1,1,0)</f>
        <v>0</v>
      </c>
    </row>
    <row r="969" customFormat="false" ht="15" hidden="false" customHeight="false" outlineLevel="0" collapsed="false">
      <c r="A969" s="0" t="s">
        <v>286</v>
      </c>
      <c r="B969" s="0" t="s">
        <v>134</v>
      </c>
      <c r="C969" s="0" t="s">
        <v>135</v>
      </c>
      <c r="D969" s="0" t="n">
        <v>24</v>
      </c>
      <c r="E969" s="5" t="n">
        <v>45944.6246643519</v>
      </c>
      <c r="F969" s="0" t="n">
        <v>5.95</v>
      </c>
      <c r="H969" s="6" t="s">
        <v>208</v>
      </c>
      <c r="I969" s="6" t="n">
        <f aca="false">D969*F969</f>
        <v>142.8</v>
      </c>
      <c r="J969" s="6" t="n">
        <f aca="false">HOUR(E969)</f>
        <v>14</v>
      </c>
      <c r="K969" s="6" t="n">
        <f aca="false">IF(COUNTIF($A$2:$A969,A969)=1,1,0)</f>
        <v>0</v>
      </c>
    </row>
    <row r="970" customFormat="false" ht="15" hidden="false" customHeight="false" outlineLevel="0" collapsed="false">
      <c r="A970" s="0" t="s">
        <v>287</v>
      </c>
      <c r="B970" s="0" t="s">
        <v>63</v>
      </c>
      <c r="C970" s="0" t="s">
        <v>64</v>
      </c>
      <c r="D970" s="0" t="n">
        <v>18</v>
      </c>
      <c r="E970" s="5" t="n">
        <v>45944.6683217593</v>
      </c>
      <c r="F970" s="0" t="n">
        <v>1.85</v>
      </c>
      <c r="G970" s="0" t="n">
        <v>17090</v>
      </c>
      <c r="H970" s="6" t="s">
        <v>52</v>
      </c>
      <c r="I970" s="6" t="n">
        <f aca="false">D970*F970</f>
        <v>33.3</v>
      </c>
      <c r="J970" s="6" t="n">
        <f aca="false">HOUR(E970)</f>
        <v>16</v>
      </c>
      <c r="K970" s="6" t="n">
        <f aca="false">IF(COUNTIF($A$2:$A970,A970)=1,1,0)</f>
        <v>1</v>
      </c>
    </row>
    <row r="971" customFormat="false" ht="15" hidden="false" customHeight="false" outlineLevel="0" collapsed="false">
      <c r="A971" s="0" t="s">
        <v>287</v>
      </c>
      <c r="B971" s="0" t="s">
        <v>91</v>
      </c>
      <c r="C971" s="0" t="s">
        <v>92</v>
      </c>
      <c r="D971" s="0" t="n">
        <v>21</v>
      </c>
      <c r="E971" s="5" t="n">
        <v>45944.6683217593</v>
      </c>
      <c r="F971" s="0" t="n">
        <v>7.65</v>
      </c>
      <c r="G971" s="0" t="n">
        <v>17090</v>
      </c>
      <c r="H971" s="6" t="s">
        <v>52</v>
      </c>
      <c r="I971" s="6" t="n">
        <f aca="false">D971*F971</f>
        <v>160.65</v>
      </c>
      <c r="J971" s="6" t="n">
        <f aca="false">HOUR(E971)</f>
        <v>16</v>
      </c>
      <c r="K971" s="6" t="n">
        <f aca="false">IF(COUNTIF($A$2:$A971,A971)=1,1,0)</f>
        <v>0</v>
      </c>
    </row>
    <row r="972" customFormat="false" ht="15" hidden="false" customHeight="false" outlineLevel="0" collapsed="false">
      <c r="A972" s="0" t="s">
        <v>287</v>
      </c>
      <c r="B972" s="0" t="s">
        <v>43</v>
      </c>
      <c r="C972" s="0" t="s">
        <v>44</v>
      </c>
      <c r="D972" s="0" t="n">
        <v>11</v>
      </c>
      <c r="E972" s="5" t="n">
        <v>45944.6683217593</v>
      </c>
      <c r="F972" s="0" t="n">
        <v>4.25</v>
      </c>
      <c r="G972" s="0" t="n">
        <v>17090</v>
      </c>
      <c r="H972" s="6" t="s">
        <v>52</v>
      </c>
      <c r="I972" s="6" t="n">
        <f aca="false">D972*F972</f>
        <v>46.75</v>
      </c>
      <c r="J972" s="6" t="n">
        <f aca="false">HOUR(E972)</f>
        <v>16</v>
      </c>
      <c r="K972" s="6" t="n">
        <f aca="false">IF(COUNTIF($A$2:$A972,A972)=1,1,0)</f>
        <v>0</v>
      </c>
    </row>
    <row r="973" customFormat="false" ht="15" hidden="false" customHeight="false" outlineLevel="0" collapsed="false">
      <c r="A973" s="0" t="s">
        <v>288</v>
      </c>
      <c r="B973" s="0" t="s">
        <v>57</v>
      </c>
      <c r="C973" s="0" t="s">
        <v>58</v>
      </c>
      <c r="D973" s="0" t="n">
        <v>3</v>
      </c>
      <c r="E973" s="5" t="n">
        <v>45944.9502777778</v>
      </c>
      <c r="F973" s="0" t="n">
        <v>2.08</v>
      </c>
      <c r="G973" s="0" t="n">
        <v>17017</v>
      </c>
      <c r="H973" s="6" t="s">
        <v>74</v>
      </c>
      <c r="I973" s="6" t="n">
        <f aca="false">D973*F973</f>
        <v>6.24</v>
      </c>
      <c r="J973" s="6" t="n">
        <f aca="false">HOUR(E973)</f>
        <v>22</v>
      </c>
      <c r="K973" s="6" t="n">
        <f aca="false">IF(COUNTIF($A$2:$A973,A973)=1,1,0)</f>
        <v>1</v>
      </c>
    </row>
    <row r="974" customFormat="false" ht="15" hidden="false" customHeight="false" outlineLevel="0" collapsed="false">
      <c r="A974" s="0" t="s">
        <v>288</v>
      </c>
      <c r="B974" s="0" t="s">
        <v>40</v>
      </c>
      <c r="C974" s="0" t="s">
        <v>41</v>
      </c>
      <c r="D974" s="0" t="n">
        <v>17</v>
      </c>
      <c r="E974" s="5" t="n">
        <v>45944.9502777778</v>
      </c>
      <c r="F974" s="0" t="n">
        <v>1.06</v>
      </c>
      <c r="G974" s="0" t="n">
        <v>17017</v>
      </c>
      <c r="H974" s="6" t="s">
        <v>74</v>
      </c>
      <c r="I974" s="6" t="n">
        <f aca="false">D974*F974</f>
        <v>18.02</v>
      </c>
      <c r="J974" s="6" t="n">
        <f aca="false">HOUR(E974)</f>
        <v>22</v>
      </c>
      <c r="K974" s="6" t="n">
        <f aca="false">IF(COUNTIF($A$2:$A974,A974)=1,1,0)</f>
        <v>0</v>
      </c>
    </row>
    <row r="975" customFormat="false" ht="15" hidden="false" customHeight="false" outlineLevel="0" collapsed="false">
      <c r="A975" s="0" t="s">
        <v>288</v>
      </c>
      <c r="B975" s="0" t="s">
        <v>102</v>
      </c>
      <c r="C975" s="0" t="s">
        <v>103</v>
      </c>
      <c r="D975" s="0" t="n">
        <v>47</v>
      </c>
      <c r="E975" s="5" t="n">
        <v>45944.9502777778</v>
      </c>
      <c r="F975" s="0" t="n">
        <v>8.5</v>
      </c>
      <c r="G975" s="0" t="n">
        <v>17017</v>
      </c>
      <c r="H975" s="6" t="s">
        <v>74</v>
      </c>
      <c r="I975" s="6" t="n">
        <f aca="false">D975*F975</f>
        <v>399.5</v>
      </c>
      <c r="J975" s="6" t="n">
        <f aca="false">HOUR(E975)</f>
        <v>22</v>
      </c>
      <c r="K975" s="6" t="n">
        <f aca="false">IF(COUNTIF($A$2:$A975,A975)=1,1,0)</f>
        <v>0</v>
      </c>
    </row>
    <row r="976" customFormat="false" ht="15" hidden="false" customHeight="false" outlineLevel="0" collapsed="false">
      <c r="A976" s="0" t="s">
        <v>288</v>
      </c>
      <c r="B976" s="0" t="s">
        <v>45</v>
      </c>
      <c r="C976" s="0" t="s">
        <v>46</v>
      </c>
      <c r="D976" s="0" t="n">
        <v>7</v>
      </c>
      <c r="E976" s="5" t="n">
        <v>45944.9502777778</v>
      </c>
      <c r="F976" s="0" t="n">
        <v>2.1</v>
      </c>
      <c r="G976" s="0" t="n">
        <v>17017</v>
      </c>
      <c r="H976" s="6" t="s">
        <v>74</v>
      </c>
      <c r="I976" s="6" t="n">
        <f aca="false">D976*F976</f>
        <v>14.7</v>
      </c>
      <c r="J976" s="6" t="n">
        <f aca="false">HOUR(E976)</f>
        <v>22</v>
      </c>
      <c r="K976" s="6" t="n">
        <f aca="false">IF(COUNTIF($A$2:$A976,A976)=1,1,0)</f>
        <v>0</v>
      </c>
    </row>
    <row r="977" customFormat="false" ht="15" hidden="false" customHeight="false" outlineLevel="0" collapsed="false">
      <c r="A977" s="0" t="s">
        <v>289</v>
      </c>
      <c r="B977" s="0" t="s">
        <v>59</v>
      </c>
      <c r="C977" s="0" t="s">
        <v>60</v>
      </c>
      <c r="D977" s="0" t="n">
        <v>21</v>
      </c>
      <c r="E977" s="5" t="n">
        <v>45945.0479513889</v>
      </c>
      <c r="F977" s="0" t="n">
        <v>0.42</v>
      </c>
      <c r="G977" s="0" t="n">
        <v>17088</v>
      </c>
      <c r="H977" s="6" t="s">
        <v>74</v>
      </c>
      <c r="I977" s="6" t="n">
        <f aca="false">D977*F977</f>
        <v>8.82</v>
      </c>
      <c r="J977" s="6" t="n">
        <f aca="false">HOUR(E977)</f>
        <v>1</v>
      </c>
      <c r="K977" s="6" t="n">
        <f aca="false">IF(COUNTIF($A$2:$A977,A977)=1,1,0)</f>
        <v>1</v>
      </c>
    </row>
    <row r="978" customFormat="false" ht="15" hidden="false" customHeight="false" outlineLevel="0" collapsed="false">
      <c r="A978" s="0" t="s">
        <v>289</v>
      </c>
      <c r="B978" s="0" t="s">
        <v>55</v>
      </c>
      <c r="C978" s="0" t="s">
        <v>56</v>
      </c>
      <c r="D978" s="0" t="n">
        <v>18</v>
      </c>
      <c r="E978" s="5" t="n">
        <v>45945.0479513889</v>
      </c>
      <c r="F978" s="0" t="n">
        <v>1.65</v>
      </c>
      <c r="G978" s="0" t="n">
        <v>17088</v>
      </c>
      <c r="H978" s="6" t="s">
        <v>74</v>
      </c>
      <c r="I978" s="6" t="n">
        <f aca="false">D978*F978</f>
        <v>29.7</v>
      </c>
      <c r="J978" s="6" t="n">
        <f aca="false">HOUR(E978)</f>
        <v>1</v>
      </c>
      <c r="K978" s="6" t="n">
        <f aca="false">IF(COUNTIF($A$2:$A978,A978)=1,1,0)</f>
        <v>0</v>
      </c>
    </row>
    <row r="979" customFormat="false" ht="15" hidden="false" customHeight="false" outlineLevel="0" collapsed="false">
      <c r="A979" s="0" t="s">
        <v>289</v>
      </c>
      <c r="B979" s="0" t="s">
        <v>40</v>
      </c>
      <c r="C979" s="0" t="s">
        <v>41</v>
      </c>
      <c r="D979" s="0" t="n">
        <v>3</v>
      </c>
      <c r="E979" s="5" t="n">
        <v>45945.0479513889</v>
      </c>
      <c r="F979" s="0" t="n">
        <v>1.06</v>
      </c>
      <c r="G979" s="0" t="n">
        <v>17088</v>
      </c>
      <c r="H979" s="6" t="s">
        <v>74</v>
      </c>
      <c r="I979" s="6" t="n">
        <f aca="false">D979*F979</f>
        <v>3.18</v>
      </c>
      <c r="J979" s="6" t="n">
        <f aca="false">HOUR(E979)</f>
        <v>1</v>
      </c>
      <c r="K979" s="6" t="n">
        <f aca="false">IF(COUNTIF($A$2:$A979,A979)=1,1,0)</f>
        <v>0</v>
      </c>
    </row>
    <row r="980" customFormat="false" ht="15" hidden="false" customHeight="false" outlineLevel="0" collapsed="false">
      <c r="A980" s="0" t="s">
        <v>289</v>
      </c>
      <c r="B980" s="0" t="s">
        <v>50</v>
      </c>
      <c r="C980" s="0" t="s">
        <v>51</v>
      </c>
      <c r="D980" s="0" t="n">
        <v>6</v>
      </c>
      <c r="E980" s="5" t="n">
        <v>45945.0479513889</v>
      </c>
      <c r="F980" s="0" t="n">
        <v>5.95</v>
      </c>
      <c r="G980" s="0" t="n">
        <v>17088</v>
      </c>
      <c r="H980" s="6" t="s">
        <v>74</v>
      </c>
      <c r="I980" s="6" t="n">
        <f aca="false">D980*F980</f>
        <v>35.7</v>
      </c>
      <c r="J980" s="6" t="n">
        <f aca="false">HOUR(E980)</f>
        <v>1</v>
      </c>
      <c r="K980" s="6" t="n">
        <f aca="false">IF(COUNTIF($A$2:$A980,A980)=1,1,0)</f>
        <v>0</v>
      </c>
    </row>
    <row r="981" customFormat="false" ht="15" hidden="false" customHeight="false" outlineLevel="0" collapsed="false">
      <c r="A981" s="0" t="s">
        <v>289</v>
      </c>
      <c r="B981" s="0" t="s">
        <v>127</v>
      </c>
      <c r="C981" s="0" t="s">
        <v>128</v>
      </c>
      <c r="D981" s="0" t="n">
        <v>2</v>
      </c>
      <c r="E981" s="5" t="n">
        <v>45945.0479513889</v>
      </c>
      <c r="F981" s="0" t="n">
        <v>1.45</v>
      </c>
      <c r="G981" s="0" t="n">
        <v>17088</v>
      </c>
      <c r="H981" s="6" t="s">
        <v>74</v>
      </c>
      <c r="I981" s="6" t="n">
        <f aca="false">D981*F981</f>
        <v>2.9</v>
      </c>
      <c r="J981" s="6" t="n">
        <f aca="false">HOUR(E981)</f>
        <v>1</v>
      </c>
      <c r="K981" s="6" t="n">
        <f aca="false">IF(COUNTIF($A$2:$A981,A981)=1,1,0)</f>
        <v>0</v>
      </c>
    </row>
    <row r="982" customFormat="false" ht="15" hidden="false" customHeight="false" outlineLevel="0" collapsed="false">
      <c r="A982" s="0" t="s">
        <v>289</v>
      </c>
      <c r="B982" s="0" t="s">
        <v>118</v>
      </c>
      <c r="C982" s="0" t="s">
        <v>119</v>
      </c>
      <c r="D982" s="0" t="n">
        <v>19</v>
      </c>
      <c r="E982" s="5" t="n">
        <v>45945.0479513889</v>
      </c>
      <c r="F982" s="0" t="n">
        <v>4.95</v>
      </c>
      <c r="G982" s="0" t="n">
        <v>17088</v>
      </c>
      <c r="H982" s="6" t="s">
        <v>74</v>
      </c>
      <c r="I982" s="6" t="n">
        <f aca="false">D982*F982</f>
        <v>94.05</v>
      </c>
      <c r="J982" s="6" t="n">
        <f aca="false">HOUR(E982)</f>
        <v>1</v>
      </c>
      <c r="K982" s="6" t="n">
        <f aca="false">IF(COUNTIF($A$2:$A982,A982)=1,1,0)</f>
        <v>0</v>
      </c>
    </row>
    <row r="983" customFormat="false" ht="15" hidden="false" customHeight="false" outlineLevel="0" collapsed="false">
      <c r="A983" s="0" t="s">
        <v>289</v>
      </c>
      <c r="B983" s="0" t="s">
        <v>95</v>
      </c>
      <c r="C983" s="0" t="s">
        <v>96</v>
      </c>
      <c r="D983" s="0" t="n">
        <v>39</v>
      </c>
      <c r="E983" s="5" t="n">
        <v>45945.0479513889</v>
      </c>
      <c r="F983" s="0" t="n">
        <v>2.55</v>
      </c>
      <c r="G983" s="0" t="n">
        <v>17088</v>
      </c>
      <c r="H983" s="6" t="s">
        <v>74</v>
      </c>
      <c r="I983" s="6" t="n">
        <f aca="false">D983*F983</f>
        <v>99.45</v>
      </c>
      <c r="J983" s="6" t="n">
        <f aca="false">HOUR(E983)</f>
        <v>1</v>
      </c>
      <c r="K983" s="6" t="n">
        <f aca="false">IF(COUNTIF($A$2:$A983,A983)=1,1,0)</f>
        <v>0</v>
      </c>
    </row>
    <row r="984" customFormat="false" ht="15" hidden="false" customHeight="false" outlineLevel="0" collapsed="false">
      <c r="A984" s="0" t="s">
        <v>289</v>
      </c>
      <c r="B984" s="0" t="s">
        <v>121</v>
      </c>
      <c r="C984" s="0" t="s">
        <v>122</v>
      </c>
      <c r="D984" s="0" t="n">
        <v>6</v>
      </c>
      <c r="E984" s="5" t="n">
        <v>45945.0479513889</v>
      </c>
      <c r="F984" s="0" t="n">
        <v>2.1</v>
      </c>
      <c r="G984" s="0" t="n">
        <v>17088</v>
      </c>
      <c r="H984" s="6" t="s">
        <v>74</v>
      </c>
      <c r="I984" s="6" t="n">
        <f aca="false">D984*F984</f>
        <v>12.6</v>
      </c>
      <c r="J984" s="6" t="n">
        <f aca="false">HOUR(E984)</f>
        <v>1</v>
      </c>
      <c r="K984" s="6" t="n">
        <f aca="false">IF(COUNTIF($A$2:$A984,A984)=1,1,0)</f>
        <v>0</v>
      </c>
    </row>
    <row r="985" customFormat="false" ht="15" hidden="false" customHeight="false" outlineLevel="0" collapsed="false">
      <c r="A985" s="0" t="s">
        <v>289</v>
      </c>
      <c r="B985" s="0" t="s">
        <v>57</v>
      </c>
      <c r="C985" s="0" t="s">
        <v>58</v>
      </c>
      <c r="D985" s="0" t="n">
        <v>15</v>
      </c>
      <c r="E985" s="5" t="n">
        <v>45945.0479513889</v>
      </c>
      <c r="F985" s="0" t="n">
        <v>2.08</v>
      </c>
      <c r="G985" s="0" t="n">
        <v>17088</v>
      </c>
      <c r="H985" s="6" t="s">
        <v>74</v>
      </c>
      <c r="I985" s="6" t="n">
        <f aca="false">D985*F985</f>
        <v>31.2</v>
      </c>
      <c r="J985" s="6" t="n">
        <f aca="false">HOUR(E985)</f>
        <v>1</v>
      </c>
      <c r="K985" s="6" t="n">
        <f aca="false">IF(COUNTIF($A$2:$A985,A985)=1,1,0)</f>
        <v>0</v>
      </c>
    </row>
    <row r="986" customFormat="false" ht="15" hidden="false" customHeight="false" outlineLevel="0" collapsed="false">
      <c r="A986" s="0" t="s">
        <v>290</v>
      </c>
      <c r="B986" s="0" t="s">
        <v>118</v>
      </c>
      <c r="C986" s="0" t="s">
        <v>119</v>
      </c>
      <c r="D986" s="0" t="n">
        <v>43</v>
      </c>
      <c r="E986" s="5" t="n">
        <v>45945.265625</v>
      </c>
      <c r="F986" s="0" t="n">
        <v>4.95</v>
      </c>
      <c r="G986" s="0" t="n">
        <v>17178</v>
      </c>
      <c r="H986" s="6" t="s">
        <v>74</v>
      </c>
      <c r="I986" s="6" t="n">
        <f aca="false">D986*F986</f>
        <v>212.85</v>
      </c>
      <c r="J986" s="6" t="n">
        <f aca="false">HOUR(E986)</f>
        <v>6</v>
      </c>
      <c r="K986" s="6" t="n">
        <f aca="false">IF(COUNTIF($A$2:$A986,A986)=1,1,0)</f>
        <v>1</v>
      </c>
    </row>
    <row r="987" customFormat="false" ht="15" hidden="false" customHeight="false" outlineLevel="0" collapsed="false">
      <c r="A987" s="0" t="s">
        <v>290</v>
      </c>
      <c r="B987" s="0" t="s">
        <v>86</v>
      </c>
      <c r="C987" s="0" t="s">
        <v>87</v>
      </c>
      <c r="D987" s="0" t="n">
        <v>13</v>
      </c>
      <c r="E987" s="5" t="n">
        <v>45945.265625</v>
      </c>
      <c r="F987" s="0" t="n">
        <v>4.25</v>
      </c>
      <c r="G987" s="0" t="n">
        <v>17178</v>
      </c>
      <c r="H987" s="6" t="s">
        <v>74</v>
      </c>
      <c r="I987" s="6" t="n">
        <f aca="false">D987*F987</f>
        <v>55.25</v>
      </c>
      <c r="J987" s="6" t="n">
        <f aca="false">HOUR(E987)</f>
        <v>6</v>
      </c>
      <c r="K987" s="6" t="n">
        <f aca="false">IF(COUNTIF($A$2:$A987,A987)=1,1,0)</f>
        <v>0</v>
      </c>
    </row>
    <row r="988" customFormat="false" ht="15" hidden="false" customHeight="false" outlineLevel="0" collapsed="false">
      <c r="A988" s="0" t="s">
        <v>290</v>
      </c>
      <c r="B988" s="0" t="s">
        <v>40</v>
      </c>
      <c r="C988" s="0" t="s">
        <v>41</v>
      </c>
      <c r="D988" s="0" t="n">
        <v>6</v>
      </c>
      <c r="E988" s="5" t="n">
        <v>45945.265625</v>
      </c>
      <c r="F988" s="0" t="n">
        <v>1.06</v>
      </c>
      <c r="G988" s="0" t="n">
        <v>17178</v>
      </c>
      <c r="H988" s="6" t="s">
        <v>74</v>
      </c>
      <c r="I988" s="6" t="n">
        <f aca="false">D988*F988</f>
        <v>6.36</v>
      </c>
      <c r="J988" s="6" t="n">
        <f aca="false">HOUR(E988)</f>
        <v>6</v>
      </c>
      <c r="K988" s="6" t="n">
        <f aca="false">IF(COUNTIF($A$2:$A988,A988)=1,1,0)</f>
        <v>0</v>
      </c>
    </row>
    <row r="989" customFormat="false" ht="15" hidden="false" customHeight="false" outlineLevel="0" collapsed="false">
      <c r="A989" s="0" t="s">
        <v>290</v>
      </c>
      <c r="B989" s="0" t="s">
        <v>145</v>
      </c>
      <c r="C989" s="0" t="s">
        <v>146</v>
      </c>
      <c r="D989" s="0" t="n">
        <v>20</v>
      </c>
      <c r="E989" s="5" t="n">
        <v>45945.265625</v>
      </c>
      <c r="F989" s="0" t="n">
        <v>1.85</v>
      </c>
      <c r="G989" s="0" t="n">
        <v>17178</v>
      </c>
      <c r="H989" s="6" t="s">
        <v>74</v>
      </c>
      <c r="I989" s="6" t="n">
        <f aca="false">D989*F989</f>
        <v>37</v>
      </c>
      <c r="J989" s="6" t="n">
        <f aca="false">HOUR(E989)</f>
        <v>6</v>
      </c>
      <c r="K989" s="6" t="n">
        <f aca="false">IF(COUNTIF($A$2:$A989,A989)=1,1,0)</f>
        <v>0</v>
      </c>
    </row>
    <row r="990" customFormat="false" ht="15" hidden="false" customHeight="false" outlineLevel="0" collapsed="false">
      <c r="A990" s="0" t="s">
        <v>290</v>
      </c>
      <c r="B990" s="0" t="s">
        <v>140</v>
      </c>
      <c r="C990" s="0" t="s">
        <v>141</v>
      </c>
      <c r="D990" s="0" t="n">
        <v>11</v>
      </c>
      <c r="E990" s="5" t="n">
        <v>45945.265625</v>
      </c>
      <c r="F990" s="0" t="n">
        <v>2.08</v>
      </c>
      <c r="G990" s="0" t="n">
        <v>17178</v>
      </c>
      <c r="H990" s="6" t="s">
        <v>74</v>
      </c>
      <c r="I990" s="6" t="n">
        <f aca="false">D990*F990</f>
        <v>22.88</v>
      </c>
      <c r="J990" s="6" t="n">
        <f aca="false">HOUR(E990)</f>
        <v>6</v>
      </c>
      <c r="K990" s="6" t="n">
        <f aca="false">IF(COUNTIF($A$2:$A990,A990)=1,1,0)</f>
        <v>0</v>
      </c>
    </row>
    <row r="991" customFormat="false" ht="15" hidden="false" customHeight="false" outlineLevel="0" collapsed="false">
      <c r="A991" s="0" t="s">
        <v>290</v>
      </c>
      <c r="B991" s="0" t="s">
        <v>125</v>
      </c>
      <c r="C991" s="0" t="s">
        <v>126</v>
      </c>
      <c r="D991" s="0" t="n">
        <v>19</v>
      </c>
      <c r="E991" s="5" t="n">
        <v>45945.265625</v>
      </c>
      <c r="F991" s="0" t="n">
        <v>1.25</v>
      </c>
      <c r="G991" s="0" t="n">
        <v>17178</v>
      </c>
      <c r="H991" s="6" t="s">
        <v>74</v>
      </c>
      <c r="I991" s="6" t="n">
        <f aca="false">D991*F991</f>
        <v>23.75</v>
      </c>
      <c r="J991" s="6" t="n">
        <f aca="false">HOUR(E991)</f>
        <v>6</v>
      </c>
      <c r="K991" s="6" t="n">
        <f aca="false">IF(COUNTIF($A$2:$A991,A991)=1,1,0)</f>
        <v>0</v>
      </c>
    </row>
    <row r="992" customFormat="false" ht="15" hidden="false" customHeight="false" outlineLevel="0" collapsed="false">
      <c r="A992" s="0" t="s">
        <v>290</v>
      </c>
      <c r="B992" s="0" t="s">
        <v>75</v>
      </c>
      <c r="C992" s="0" t="s">
        <v>76</v>
      </c>
      <c r="D992" s="0" t="n">
        <v>8</v>
      </c>
      <c r="E992" s="5" t="n">
        <v>45945.265625</v>
      </c>
      <c r="F992" s="0" t="n">
        <v>3.39</v>
      </c>
      <c r="G992" s="0" t="n">
        <v>17178</v>
      </c>
      <c r="H992" s="6" t="s">
        <v>74</v>
      </c>
      <c r="I992" s="6" t="n">
        <f aca="false">D992*F992</f>
        <v>27.12</v>
      </c>
      <c r="J992" s="6" t="n">
        <f aca="false">HOUR(E992)</f>
        <v>6</v>
      </c>
      <c r="K992" s="6" t="n">
        <f aca="false">IF(COUNTIF($A$2:$A992,A992)=1,1,0)</f>
        <v>0</v>
      </c>
    </row>
    <row r="993" customFormat="false" ht="15" hidden="false" customHeight="false" outlineLevel="0" collapsed="false">
      <c r="A993" s="0" t="s">
        <v>290</v>
      </c>
      <c r="B993" s="0" t="s">
        <v>116</v>
      </c>
      <c r="C993" s="0" t="s">
        <v>117</v>
      </c>
      <c r="D993" s="0" t="n">
        <v>14</v>
      </c>
      <c r="E993" s="5" t="n">
        <v>45945.265625</v>
      </c>
      <c r="F993" s="0" t="n">
        <v>1.95</v>
      </c>
      <c r="G993" s="0" t="n">
        <v>17178</v>
      </c>
      <c r="H993" s="6" t="s">
        <v>74</v>
      </c>
      <c r="I993" s="6" t="n">
        <f aca="false">D993*F993</f>
        <v>27.3</v>
      </c>
      <c r="J993" s="6" t="n">
        <f aca="false">HOUR(E993)</f>
        <v>6</v>
      </c>
      <c r="K993" s="6" t="n">
        <f aca="false">IF(COUNTIF($A$2:$A993,A993)=1,1,0)</f>
        <v>0</v>
      </c>
    </row>
    <row r="994" customFormat="false" ht="15" hidden="false" customHeight="false" outlineLevel="0" collapsed="false">
      <c r="A994" s="0" t="s">
        <v>290</v>
      </c>
      <c r="B994" s="0" t="s">
        <v>65</v>
      </c>
      <c r="C994" s="0" t="s">
        <v>66</v>
      </c>
      <c r="D994" s="0" t="n">
        <v>23</v>
      </c>
      <c r="E994" s="5" t="n">
        <v>45945.265625</v>
      </c>
      <c r="F994" s="0" t="n">
        <v>1.65</v>
      </c>
      <c r="G994" s="0" t="n">
        <v>17178</v>
      </c>
      <c r="H994" s="6" t="s">
        <v>74</v>
      </c>
      <c r="I994" s="6" t="n">
        <f aca="false">D994*F994</f>
        <v>37.95</v>
      </c>
      <c r="J994" s="6" t="n">
        <f aca="false">HOUR(E994)</f>
        <v>6</v>
      </c>
      <c r="K994" s="6" t="n">
        <f aca="false">IF(COUNTIF($A$2:$A994,A994)=1,1,0)</f>
        <v>0</v>
      </c>
    </row>
    <row r="995" customFormat="false" ht="15" hidden="false" customHeight="false" outlineLevel="0" collapsed="false">
      <c r="A995" s="0" t="s">
        <v>290</v>
      </c>
      <c r="B995" s="0" t="s">
        <v>57</v>
      </c>
      <c r="C995" s="0" t="s">
        <v>58</v>
      </c>
      <c r="D995" s="0" t="n">
        <v>22</v>
      </c>
      <c r="E995" s="5" t="n">
        <v>45945.265625</v>
      </c>
      <c r="F995" s="0" t="n">
        <v>2.08</v>
      </c>
      <c r="G995" s="0" t="n">
        <v>17178</v>
      </c>
      <c r="H995" s="6" t="s">
        <v>74</v>
      </c>
      <c r="I995" s="6" t="n">
        <f aca="false">D995*F995</f>
        <v>45.76</v>
      </c>
      <c r="J995" s="6" t="n">
        <f aca="false">HOUR(E995)</f>
        <v>6</v>
      </c>
      <c r="K995" s="6" t="n">
        <f aca="false">IF(COUNTIF($A$2:$A995,A995)=1,1,0)</f>
        <v>0</v>
      </c>
    </row>
    <row r="996" customFormat="false" ht="15" hidden="false" customHeight="false" outlineLevel="0" collapsed="false">
      <c r="A996" s="0" t="s">
        <v>291</v>
      </c>
      <c r="B996" s="0" t="s">
        <v>55</v>
      </c>
      <c r="C996" s="0" t="s">
        <v>56</v>
      </c>
      <c r="D996" s="0" t="n">
        <v>18</v>
      </c>
      <c r="E996" s="5" t="n">
        <v>45945.2966435185</v>
      </c>
      <c r="F996" s="0" t="n">
        <v>1.65</v>
      </c>
      <c r="H996" s="6" t="s">
        <v>113</v>
      </c>
      <c r="I996" s="6" t="n">
        <f aca="false">D996*F996</f>
        <v>29.7</v>
      </c>
      <c r="J996" s="6" t="n">
        <f aca="false">HOUR(E996)</f>
        <v>7</v>
      </c>
      <c r="K996" s="6" t="n">
        <f aca="false">IF(COUNTIF($A$2:$A996,A996)=1,1,0)</f>
        <v>1</v>
      </c>
    </row>
    <row r="997" customFormat="false" ht="15" hidden="false" customHeight="false" outlineLevel="0" collapsed="false">
      <c r="A997" s="0" t="s">
        <v>291</v>
      </c>
      <c r="B997" s="0" t="s">
        <v>77</v>
      </c>
      <c r="C997" s="0" t="s">
        <v>78</v>
      </c>
      <c r="D997" s="0" t="n">
        <v>4</v>
      </c>
      <c r="E997" s="5" t="n">
        <v>45945.2966435185</v>
      </c>
      <c r="F997" s="0" t="n">
        <v>1.65</v>
      </c>
      <c r="H997" s="6" t="s">
        <v>113</v>
      </c>
      <c r="I997" s="6" t="n">
        <f aca="false">D997*F997</f>
        <v>6.6</v>
      </c>
      <c r="J997" s="6" t="n">
        <f aca="false">HOUR(E997)</f>
        <v>7</v>
      </c>
      <c r="K997" s="6" t="n">
        <f aca="false">IF(COUNTIF($A$2:$A997,A997)=1,1,0)</f>
        <v>0</v>
      </c>
    </row>
    <row r="998" customFormat="false" ht="15" hidden="false" customHeight="false" outlineLevel="0" collapsed="false">
      <c r="A998" s="0" t="s">
        <v>291</v>
      </c>
      <c r="B998" s="0" t="s">
        <v>81</v>
      </c>
      <c r="C998" s="0" t="s">
        <v>82</v>
      </c>
      <c r="D998" s="0" t="n">
        <v>2</v>
      </c>
      <c r="E998" s="5" t="n">
        <v>45945.2966435185</v>
      </c>
      <c r="F998" s="0" t="n">
        <v>1.65</v>
      </c>
      <c r="H998" s="6" t="s">
        <v>113</v>
      </c>
      <c r="I998" s="6" t="n">
        <f aca="false">D998*F998</f>
        <v>3.3</v>
      </c>
      <c r="J998" s="6" t="n">
        <f aca="false">HOUR(E998)</f>
        <v>7</v>
      </c>
      <c r="K998" s="6" t="n">
        <f aca="false">IF(COUNTIF($A$2:$A998,A998)=1,1,0)</f>
        <v>0</v>
      </c>
    </row>
    <row r="999" customFormat="false" ht="15" hidden="false" customHeight="false" outlineLevel="0" collapsed="false">
      <c r="A999" s="0" t="s">
        <v>291</v>
      </c>
      <c r="B999" s="0" t="s">
        <v>140</v>
      </c>
      <c r="C999" s="0" t="s">
        <v>141</v>
      </c>
      <c r="D999" s="0" t="n">
        <v>4</v>
      </c>
      <c r="E999" s="5" t="n">
        <v>45945.2966435185</v>
      </c>
      <c r="F999" s="0" t="n">
        <v>2.08</v>
      </c>
      <c r="H999" s="6" t="s">
        <v>113</v>
      </c>
      <c r="I999" s="6" t="n">
        <f aca="false">D999*F999</f>
        <v>8.32</v>
      </c>
      <c r="J999" s="6" t="n">
        <f aca="false">HOUR(E999)</f>
        <v>7</v>
      </c>
      <c r="K999" s="6" t="n">
        <f aca="false">IF(COUNTIF($A$2:$A999,A999)=1,1,0)</f>
        <v>0</v>
      </c>
    </row>
    <row r="1000" customFormat="false" ht="15" hidden="false" customHeight="false" outlineLevel="0" collapsed="false">
      <c r="A1000" s="0" t="s">
        <v>291</v>
      </c>
      <c r="B1000" s="0" t="s">
        <v>53</v>
      </c>
      <c r="C1000" s="0" t="s">
        <v>54</v>
      </c>
      <c r="D1000" s="0" t="n">
        <v>6</v>
      </c>
      <c r="E1000" s="5" t="n">
        <v>45945.2966435185</v>
      </c>
      <c r="F1000" s="0" t="n">
        <v>2.95</v>
      </c>
      <c r="H1000" s="6" t="s">
        <v>113</v>
      </c>
      <c r="I1000" s="6" t="n">
        <f aca="false">D1000*F1000</f>
        <v>17.7</v>
      </c>
      <c r="J1000" s="6" t="n">
        <f aca="false">HOUR(E1000)</f>
        <v>7</v>
      </c>
      <c r="K1000" s="6" t="n">
        <f aca="false">IF(COUNTIF($A$2:$A1000,A1000)=1,1,0)</f>
        <v>0</v>
      </c>
    </row>
    <row r="1001" customFormat="false" ht="15" hidden="false" customHeight="false" outlineLevel="0" collapsed="false">
      <c r="A1001" s="0" t="s">
        <v>291</v>
      </c>
      <c r="B1001" s="0" t="s">
        <v>61</v>
      </c>
      <c r="C1001" s="0" t="s">
        <v>62</v>
      </c>
      <c r="D1001" s="0" t="n">
        <v>2</v>
      </c>
      <c r="E1001" s="5" t="n">
        <v>45945.2966435185</v>
      </c>
      <c r="F1001" s="0" t="n">
        <v>1.65</v>
      </c>
      <c r="H1001" s="6" t="s">
        <v>113</v>
      </c>
      <c r="I1001" s="6" t="n">
        <f aca="false">D1001*F1001</f>
        <v>3.3</v>
      </c>
      <c r="J1001" s="6" t="n">
        <f aca="false">HOUR(E1001)</f>
        <v>7</v>
      </c>
      <c r="K1001" s="6" t="n">
        <f aca="false">IF(COUNTIF($A$2:$A1001,A1001)=1,1,0)</f>
        <v>0</v>
      </c>
    </row>
    <row r="1002" customFormat="false" ht="15" hidden="false" customHeight="false" outlineLevel="0" collapsed="false">
      <c r="A1002" s="0" t="s">
        <v>291</v>
      </c>
      <c r="B1002" s="0" t="s">
        <v>118</v>
      </c>
      <c r="C1002" s="0" t="s">
        <v>119</v>
      </c>
      <c r="D1002" s="0" t="n">
        <v>14</v>
      </c>
      <c r="E1002" s="5" t="n">
        <v>45945.2966435185</v>
      </c>
      <c r="F1002" s="0" t="n">
        <v>4.95</v>
      </c>
      <c r="H1002" s="6" t="s">
        <v>113</v>
      </c>
      <c r="I1002" s="6" t="n">
        <f aca="false">D1002*F1002</f>
        <v>69.3</v>
      </c>
      <c r="J1002" s="6" t="n">
        <f aca="false">HOUR(E1002)</f>
        <v>7</v>
      </c>
      <c r="K1002" s="6" t="n">
        <f aca="false">IF(COUNTIF($A$2:$A1002,A1002)=1,1,0)</f>
        <v>0</v>
      </c>
    </row>
    <row r="1003" customFormat="false" ht="15" hidden="false" customHeight="false" outlineLevel="0" collapsed="false">
      <c r="A1003" s="0" t="s">
        <v>291</v>
      </c>
      <c r="B1003" s="0" t="s">
        <v>102</v>
      </c>
      <c r="C1003" s="0" t="s">
        <v>103</v>
      </c>
      <c r="D1003" s="0" t="n">
        <v>10</v>
      </c>
      <c r="E1003" s="5" t="n">
        <v>45945.2966435185</v>
      </c>
      <c r="F1003" s="0" t="n">
        <v>8.5</v>
      </c>
      <c r="H1003" s="6" t="s">
        <v>113</v>
      </c>
      <c r="I1003" s="6" t="n">
        <f aca="false">D1003*F1003</f>
        <v>85</v>
      </c>
      <c r="J1003" s="6" t="n">
        <f aca="false">HOUR(E1003)</f>
        <v>7</v>
      </c>
      <c r="K1003" s="6" t="n">
        <f aca="false">IF(COUNTIF($A$2:$A1003,A1003)=1,1,0)</f>
        <v>0</v>
      </c>
    </row>
    <row r="1004" customFormat="false" ht="15" hidden="false" customHeight="false" outlineLevel="0" collapsed="false">
      <c r="A1004" s="0" t="s">
        <v>291</v>
      </c>
      <c r="B1004" s="0" t="s">
        <v>121</v>
      </c>
      <c r="C1004" s="0" t="s">
        <v>122</v>
      </c>
      <c r="D1004" s="0" t="n">
        <v>7</v>
      </c>
      <c r="E1004" s="5" t="n">
        <v>45945.2966435185</v>
      </c>
      <c r="F1004" s="0" t="n">
        <v>2.1</v>
      </c>
      <c r="H1004" s="6" t="s">
        <v>113</v>
      </c>
      <c r="I1004" s="6" t="n">
        <f aca="false">D1004*F1004</f>
        <v>14.7</v>
      </c>
      <c r="J1004" s="6" t="n">
        <f aca="false">HOUR(E1004)</f>
        <v>7</v>
      </c>
      <c r="K1004" s="6" t="n">
        <f aca="false">IF(COUNTIF($A$2:$A1004,A1004)=1,1,0)</f>
        <v>0</v>
      </c>
    </row>
    <row r="1005" customFormat="false" ht="15" hidden="false" customHeight="false" outlineLevel="0" collapsed="false">
      <c r="A1005" s="0" t="s">
        <v>292</v>
      </c>
      <c r="B1005" s="0" t="s">
        <v>83</v>
      </c>
      <c r="C1005" s="0" t="s">
        <v>84</v>
      </c>
      <c r="D1005" s="0" t="n">
        <v>3</v>
      </c>
      <c r="E1005" s="5" t="n">
        <v>45945.3428935185</v>
      </c>
      <c r="F1005" s="0" t="n">
        <v>2.95</v>
      </c>
      <c r="G1005" s="0" t="n">
        <v>17182</v>
      </c>
      <c r="H1005" s="6" t="s">
        <v>74</v>
      </c>
      <c r="I1005" s="6" t="n">
        <f aca="false">D1005*F1005</f>
        <v>8.85</v>
      </c>
      <c r="J1005" s="6" t="n">
        <f aca="false">HOUR(E1005)</f>
        <v>8</v>
      </c>
      <c r="K1005" s="6" t="n">
        <f aca="false">IF(COUNTIF($A$2:$A1005,A1005)=1,1,0)</f>
        <v>1</v>
      </c>
    </row>
    <row r="1006" customFormat="false" ht="15" hidden="false" customHeight="false" outlineLevel="0" collapsed="false">
      <c r="A1006" s="0" t="s">
        <v>292</v>
      </c>
      <c r="B1006" s="0" t="s">
        <v>99</v>
      </c>
      <c r="C1006" s="0" t="s">
        <v>100</v>
      </c>
      <c r="D1006" s="0" t="n">
        <v>9</v>
      </c>
      <c r="E1006" s="5" t="n">
        <v>45945.3428935185</v>
      </c>
      <c r="F1006" s="0" t="n">
        <v>2.08</v>
      </c>
      <c r="G1006" s="0" t="n">
        <v>17182</v>
      </c>
      <c r="H1006" s="6" t="s">
        <v>74</v>
      </c>
      <c r="I1006" s="6" t="n">
        <f aca="false">D1006*F1006</f>
        <v>18.72</v>
      </c>
      <c r="J1006" s="6" t="n">
        <f aca="false">HOUR(E1006)</f>
        <v>8</v>
      </c>
      <c r="K1006" s="6" t="n">
        <f aca="false">IF(COUNTIF($A$2:$A1006,A1006)=1,1,0)</f>
        <v>0</v>
      </c>
    </row>
    <row r="1007" customFormat="false" ht="15" hidden="false" customHeight="false" outlineLevel="0" collapsed="false">
      <c r="A1007" s="0" t="s">
        <v>292</v>
      </c>
      <c r="B1007" s="0" t="s">
        <v>127</v>
      </c>
      <c r="C1007" s="0" t="s">
        <v>128</v>
      </c>
      <c r="D1007" s="0" t="n">
        <v>7</v>
      </c>
      <c r="E1007" s="5" t="n">
        <v>45945.3428935185</v>
      </c>
      <c r="F1007" s="0" t="n">
        <v>1.45</v>
      </c>
      <c r="G1007" s="0" t="n">
        <v>17182</v>
      </c>
      <c r="H1007" s="6" t="s">
        <v>74</v>
      </c>
      <c r="I1007" s="6" t="n">
        <f aca="false">D1007*F1007</f>
        <v>10.15</v>
      </c>
      <c r="J1007" s="6" t="n">
        <f aca="false">HOUR(E1007)</f>
        <v>8</v>
      </c>
      <c r="K1007" s="6" t="n">
        <f aca="false">IF(COUNTIF($A$2:$A1007,A1007)=1,1,0)</f>
        <v>0</v>
      </c>
    </row>
    <row r="1008" customFormat="false" ht="15" hidden="false" customHeight="false" outlineLevel="0" collapsed="false">
      <c r="A1008" s="0" t="s">
        <v>292</v>
      </c>
      <c r="B1008" s="0" t="s">
        <v>91</v>
      </c>
      <c r="C1008" s="0" t="s">
        <v>92</v>
      </c>
      <c r="D1008" s="0" t="n">
        <v>6</v>
      </c>
      <c r="E1008" s="5" t="n">
        <v>45945.3428935185</v>
      </c>
      <c r="F1008" s="0" t="n">
        <v>7.65</v>
      </c>
      <c r="G1008" s="0" t="n">
        <v>17182</v>
      </c>
      <c r="H1008" s="6" t="s">
        <v>74</v>
      </c>
      <c r="I1008" s="6" t="n">
        <f aca="false">D1008*F1008</f>
        <v>45.9</v>
      </c>
      <c r="J1008" s="6" t="n">
        <f aca="false">HOUR(E1008)</f>
        <v>8</v>
      </c>
      <c r="K1008" s="6" t="n">
        <f aca="false">IF(COUNTIF($A$2:$A1008,A1008)=1,1,0)</f>
        <v>0</v>
      </c>
    </row>
    <row r="1009" customFormat="false" ht="15" hidden="false" customHeight="false" outlineLevel="0" collapsed="false">
      <c r="A1009" s="0" t="s">
        <v>292</v>
      </c>
      <c r="B1009" s="0" t="s">
        <v>107</v>
      </c>
      <c r="C1009" s="0" t="s">
        <v>108</v>
      </c>
      <c r="D1009" s="0" t="n">
        <v>18</v>
      </c>
      <c r="E1009" s="5" t="n">
        <v>45945.3428935185</v>
      </c>
      <c r="F1009" s="0" t="n">
        <v>3.75</v>
      </c>
      <c r="G1009" s="0" t="n">
        <v>17182</v>
      </c>
      <c r="H1009" s="6" t="s">
        <v>74</v>
      </c>
      <c r="I1009" s="6" t="n">
        <f aca="false">D1009*F1009</f>
        <v>67.5</v>
      </c>
      <c r="J1009" s="6" t="n">
        <f aca="false">HOUR(E1009)</f>
        <v>8</v>
      </c>
      <c r="K1009" s="6" t="n">
        <f aca="false">IF(COUNTIF($A$2:$A1009,A1009)=1,1,0)</f>
        <v>0</v>
      </c>
    </row>
    <row r="1010" customFormat="false" ht="15" hidden="false" customHeight="false" outlineLevel="0" collapsed="false">
      <c r="A1010" s="0" t="s">
        <v>292</v>
      </c>
      <c r="B1010" s="0" t="s">
        <v>118</v>
      </c>
      <c r="C1010" s="0" t="s">
        <v>119</v>
      </c>
      <c r="D1010" s="0" t="n">
        <v>22</v>
      </c>
      <c r="E1010" s="5" t="n">
        <v>45945.3428935185</v>
      </c>
      <c r="F1010" s="0" t="n">
        <v>4.95</v>
      </c>
      <c r="G1010" s="0" t="n">
        <v>17182</v>
      </c>
      <c r="H1010" s="6" t="s">
        <v>74</v>
      </c>
      <c r="I1010" s="6" t="n">
        <f aca="false">D1010*F1010</f>
        <v>108.9</v>
      </c>
      <c r="J1010" s="6" t="n">
        <f aca="false">HOUR(E1010)</f>
        <v>8</v>
      </c>
      <c r="K1010" s="6" t="n">
        <f aca="false">IF(COUNTIF($A$2:$A1010,A1010)=1,1,0)</f>
        <v>0</v>
      </c>
    </row>
    <row r="1011" customFormat="false" ht="15" hidden="false" customHeight="false" outlineLevel="0" collapsed="false">
      <c r="A1011" s="0" t="s">
        <v>292</v>
      </c>
      <c r="B1011" s="0" t="s">
        <v>114</v>
      </c>
      <c r="C1011" s="0" t="s">
        <v>115</v>
      </c>
      <c r="D1011" s="0" t="n">
        <v>20</v>
      </c>
      <c r="E1011" s="5" t="n">
        <v>45945.3428935185</v>
      </c>
      <c r="F1011" s="0" t="n">
        <v>2.08</v>
      </c>
      <c r="G1011" s="0" t="n">
        <v>17182</v>
      </c>
      <c r="H1011" s="6" t="s">
        <v>74</v>
      </c>
      <c r="I1011" s="6" t="n">
        <f aca="false">D1011*F1011</f>
        <v>41.6</v>
      </c>
      <c r="J1011" s="6" t="n">
        <f aca="false">HOUR(E1011)</f>
        <v>8</v>
      </c>
      <c r="K1011" s="6" t="n">
        <f aca="false">IF(COUNTIF($A$2:$A1011,A1011)=1,1,0)</f>
        <v>0</v>
      </c>
    </row>
    <row r="1012" customFormat="false" ht="15" hidden="false" customHeight="false" outlineLevel="0" collapsed="false">
      <c r="A1012" s="0" t="s">
        <v>292</v>
      </c>
      <c r="B1012" s="0" t="s">
        <v>125</v>
      </c>
      <c r="C1012" s="0" t="s">
        <v>126</v>
      </c>
      <c r="D1012" s="0" t="n">
        <v>13</v>
      </c>
      <c r="E1012" s="5" t="n">
        <v>45945.3428935185</v>
      </c>
      <c r="F1012" s="0" t="n">
        <v>1.25</v>
      </c>
      <c r="G1012" s="0" t="n">
        <v>17182</v>
      </c>
      <c r="H1012" s="6" t="s">
        <v>74</v>
      </c>
      <c r="I1012" s="6" t="n">
        <f aca="false">D1012*F1012</f>
        <v>16.25</v>
      </c>
      <c r="J1012" s="6" t="n">
        <f aca="false">HOUR(E1012)</f>
        <v>8</v>
      </c>
      <c r="K1012" s="6" t="n">
        <f aca="false">IF(COUNTIF($A$2:$A1012,A1012)=1,1,0)</f>
        <v>0</v>
      </c>
    </row>
    <row r="1013" customFormat="false" ht="15" hidden="false" customHeight="false" outlineLevel="0" collapsed="false">
      <c r="A1013" s="0" t="s">
        <v>292</v>
      </c>
      <c r="B1013" s="0" t="s">
        <v>95</v>
      </c>
      <c r="C1013" s="0" t="s">
        <v>96</v>
      </c>
      <c r="D1013" s="0" t="n">
        <v>41</v>
      </c>
      <c r="E1013" s="5" t="n">
        <v>45945.3428935185</v>
      </c>
      <c r="F1013" s="0" t="n">
        <v>2.55</v>
      </c>
      <c r="G1013" s="0" t="n">
        <v>17182</v>
      </c>
      <c r="H1013" s="6" t="s">
        <v>74</v>
      </c>
      <c r="I1013" s="6" t="n">
        <f aca="false">D1013*F1013</f>
        <v>104.55</v>
      </c>
      <c r="J1013" s="6" t="n">
        <f aca="false">HOUR(E1013)</f>
        <v>8</v>
      </c>
      <c r="K1013" s="6" t="n">
        <f aca="false">IF(COUNTIF($A$2:$A1013,A1013)=1,1,0)</f>
        <v>0</v>
      </c>
    </row>
    <row r="1014" customFormat="false" ht="15" hidden="false" customHeight="false" outlineLevel="0" collapsed="false">
      <c r="A1014" s="0" t="s">
        <v>293</v>
      </c>
      <c r="B1014" s="0" t="s">
        <v>114</v>
      </c>
      <c r="C1014" s="0" t="s">
        <v>115</v>
      </c>
      <c r="D1014" s="0" t="n">
        <v>8</v>
      </c>
      <c r="E1014" s="5" t="n">
        <v>45945.3769791667</v>
      </c>
      <c r="F1014" s="0" t="n">
        <v>2.08</v>
      </c>
      <c r="G1014" s="0" t="n">
        <v>17008</v>
      </c>
      <c r="H1014" s="6" t="s">
        <v>151</v>
      </c>
      <c r="I1014" s="6" t="n">
        <f aca="false">D1014*F1014</f>
        <v>16.64</v>
      </c>
      <c r="J1014" s="6" t="n">
        <f aca="false">HOUR(E1014)</f>
        <v>9</v>
      </c>
      <c r="K1014" s="6" t="n">
        <f aca="false">IF(COUNTIF($A$2:$A1014,A1014)=1,1,0)</f>
        <v>1</v>
      </c>
    </row>
    <row r="1015" customFormat="false" ht="15" hidden="false" customHeight="false" outlineLevel="0" collapsed="false">
      <c r="A1015" s="0" t="s">
        <v>293</v>
      </c>
      <c r="B1015" s="0" t="s">
        <v>86</v>
      </c>
      <c r="C1015" s="0" t="s">
        <v>87</v>
      </c>
      <c r="D1015" s="0" t="n">
        <v>2</v>
      </c>
      <c r="E1015" s="5" t="n">
        <v>45945.3769791667</v>
      </c>
      <c r="F1015" s="0" t="n">
        <v>4.25</v>
      </c>
      <c r="G1015" s="0" t="n">
        <v>17008</v>
      </c>
      <c r="H1015" s="6" t="s">
        <v>151</v>
      </c>
      <c r="I1015" s="6" t="n">
        <f aca="false">D1015*F1015</f>
        <v>8.5</v>
      </c>
      <c r="J1015" s="6" t="n">
        <f aca="false">HOUR(E1015)</f>
        <v>9</v>
      </c>
      <c r="K1015" s="6" t="n">
        <f aca="false">IF(COUNTIF($A$2:$A1015,A1015)=1,1,0)</f>
        <v>0</v>
      </c>
    </row>
    <row r="1016" customFormat="false" ht="15" hidden="false" customHeight="false" outlineLevel="0" collapsed="false">
      <c r="A1016" s="0" t="s">
        <v>293</v>
      </c>
      <c r="B1016" s="0" t="s">
        <v>45</v>
      </c>
      <c r="C1016" s="0" t="s">
        <v>46</v>
      </c>
      <c r="D1016" s="0" t="n">
        <v>20</v>
      </c>
      <c r="E1016" s="5" t="n">
        <v>45945.3769791667</v>
      </c>
      <c r="F1016" s="0" t="n">
        <v>2.1</v>
      </c>
      <c r="G1016" s="0" t="n">
        <v>17008</v>
      </c>
      <c r="H1016" s="6" t="s">
        <v>151</v>
      </c>
      <c r="I1016" s="6" t="n">
        <f aca="false">D1016*F1016</f>
        <v>42</v>
      </c>
      <c r="J1016" s="6" t="n">
        <f aca="false">HOUR(E1016)</f>
        <v>9</v>
      </c>
      <c r="K1016" s="6" t="n">
        <f aca="false">IF(COUNTIF($A$2:$A1016,A1016)=1,1,0)</f>
        <v>0</v>
      </c>
    </row>
    <row r="1017" customFormat="false" ht="15" hidden="false" customHeight="false" outlineLevel="0" collapsed="false">
      <c r="A1017" s="0" t="s">
        <v>293</v>
      </c>
      <c r="B1017" s="0" t="s">
        <v>75</v>
      </c>
      <c r="C1017" s="0" t="s">
        <v>76</v>
      </c>
      <c r="D1017" s="0" t="n">
        <v>2</v>
      </c>
      <c r="E1017" s="5" t="n">
        <v>45945.3769791667</v>
      </c>
      <c r="F1017" s="0" t="n">
        <v>3.39</v>
      </c>
      <c r="G1017" s="0" t="n">
        <v>17008</v>
      </c>
      <c r="H1017" s="6" t="s">
        <v>151</v>
      </c>
      <c r="I1017" s="6" t="n">
        <f aca="false">D1017*F1017</f>
        <v>6.78</v>
      </c>
      <c r="J1017" s="6" t="n">
        <f aca="false">HOUR(E1017)</f>
        <v>9</v>
      </c>
      <c r="K1017" s="6" t="n">
        <f aca="false">IF(COUNTIF($A$2:$A1017,A1017)=1,1,0)</f>
        <v>0</v>
      </c>
    </row>
    <row r="1018" customFormat="false" ht="15" hidden="false" customHeight="false" outlineLevel="0" collapsed="false">
      <c r="A1018" s="0" t="s">
        <v>294</v>
      </c>
      <c r="B1018" s="0" t="s">
        <v>61</v>
      </c>
      <c r="C1018" s="0" t="s">
        <v>62</v>
      </c>
      <c r="D1018" s="0" t="n">
        <v>17</v>
      </c>
      <c r="E1018" s="5" t="n">
        <v>45945.4064236111</v>
      </c>
      <c r="F1018" s="0" t="n">
        <v>1.65</v>
      </c>
      <c r="G1018" s="0" t="n">
        <v>17034</v>
      </c>
      <c r="H1018" s="6" t="s">
        <v>151</v>
      </c>
      <c r="I1018" s="6" t="n">
        <f aca="false">D1018*F1018</f>
        <v>28.05</v>
      </c>
      <c r="J1018" s="6" t="n">
        <f aca="false">HOUR(E1018)</f>
        <v>9</v>
      </c>
      <c r="K1018" s="6" t="n">
        <f aca="false">IF(COUNTIF($A$2:$A1018,A1018)=1,1,0)</f>
        <v>1</v>
      </c>
    </row>
    <row r="1019" customFormat="false" ht="15" hidden="false" customHeight="false" outlineLevel="0" collapsed="false">
      <c r="A1019" s="0" t="s">
        <v>294</v>
      </c>
      <c r="B1019" s="0" t="s">
        <v>50</v>
      </c>
      <c r="C1019" s="0" t="s">
        <v>51</v>
      </c>
      <c r="D1019" s="0" t="n">
        <v>20</v>
      </c>
      <c r="E1019" s="5" t="n">
        <v>45945.4064236111</v>
      </c>
      <c r="F1019" s="0" t="n">
        <v>5.95</v>
      </c>
      <c r="G1019" s="0" t="n">
        <v>17034</v>
      </c>
      <c r="H1019" s="6" t="s">
        <v>151</v>
      </c>
      <c r="I1019" s="6" t="n">
        <f aca="false">D1019*F1019</f>
        <v>119</v>
      </c>
      <c r="J1019" s="6" t="n">
        <f aca="false">HOUR(E1019)</f>
        <v>9</v>
      </c>
      <c r="K1019" s="6" t="n">
        <f aca="false">IF(COUNTIF($A$2:$A1019,A1019)=1,1,0)</f>
        <v>0</v>
      </c>
    </row>
    <row r="1020" customFormat="false" ht="15" hidden="false" customHeight="false" outlineLevel="0" collapsed="false">
      <c r="A1020" s="0" t="s">
        <v>294</v>
      </c>
      <c r="B1020" s="0" t="s">
        <v>95</v>
      </c>
      <c r="C1020" s="0" t="s">
        <v>96</v>
      </c>
      <c r="D1020" s="0" t="n">
        <v>35</v>
      </c>
      <c r="E1020" s="5" t="n">
        <v>45945.4064236111</v>
      </c>
      <c r="F1020" s="0" t="n">
        <v>2.55</v>
      </c>
      <c r="G1020" s="0" t="n">
        <v>17034</v>
      </c>
      <c r="H1020" s="6" t="s">
        <v>151</v>
      </c>
      <c r="I1020" s="6" t="n">
        <f aca="false">D1020*F1020</f>
        <v>89.25</v>
      </c>
      <c r="J1020" s="6" t="n">
        <f aca="false">HOUR(E1020)</f>
        <v>9</v>
      </c>
      <c r="K1020" s="6" t="n">
        <f aca="false">IF(COUNTIF($A$2:$A1020,A1020)=1,1,0)</f>
        <v>0</v>
      </c>
    </row>
    <row r="1021" customFormat="false" ht="15" hidden="false" customHeight="false" outlineLevel="0" collapsed="false">
      <c r="A1021" s="0" t="s">
        <v>294</v>
      </c>
      <c r="B1021" s="0" t="s">
        <v>145</v>
      </c>
      <c r="C1021" s="0" t="s">
        <v>146</v>
      </c>
      <c r="D1021" s="0" t="n">
        <v>24</v>
      </c>
      <c r="E1021" s="5" t="n">
        <v>45945.4064236111</v>
      </c>
      <c r="F1021" s="0" t="n">
        <v>1.85</v>
      </c>
      <c r="G1021" s="0" t="n">
        <v>17034</v>
      </c>
      <c r="H1021" s="6" t="s">
        <v>151</v>
      </c>
      <c r="I1021" s="6" t="n">
        <f aca="false">D1021*F1021</f>
        <v>44.4</v>
      </c>
      <c r="J1021" s="6" t="n">
        <f aca="false">HOUR(E1021)</f>
        <v>9</v>
      </c>
      <c r="K1021" s="6" t="n">
        <f aca="false">IF(COUNTIF($A$2:$A1021,A1021)=1,1,0)</f>
        <v>0</v>
      </c>
    </row>
    <row r="1022" customFormat="false" ht="15" hidden="false" customHeight="false" outlineLevel="0" collapsed="false">
      <c r="A1022" s="0" t="s">
        <v>294</v>
      </c>
      <c r="B1022" s="0" t="s">
        <v>53</v>
      </c>
      <c r="C1022" s="0" t="s">
        <v>54</v>
      </c>
      <c r="D1022" s="0" t="n">
        <v>24</v>
      </c>
      <c r="E1022" s="5" t="n">
        <v>45945.4064236111</v>
      </c>
      <c r="F1022" s="0" t="n">
        <v>2.95</v>
      </c>
      <c r="G1022" s="0" t="n">
        <v>17034</v>
      </c>
      <c r="H1022" s="6" t="s">
        <v>151</v>
      </c>
      <c r="I1022" s="6" t="n">
        <f aca="false">D1022*F1022</f>
        <v>70.8</v>
      </c>
      <c r="J1022" s="6" t="n">
        <f aca="false">HOUR(E1022)</f>
        <v>9</v>
      </c>
      <c r="K1022" s="6" t="n">
        <f aca="false">IF(COUNTIF($A$2:$A1022,A1022)=1,1,0)</f>
        <v>0</v>
      </c>
    </row>
    <row r="1023" customFormat="false" ht="15" hidden="false" customHeight="false" outlineLevel="0" collapsed="false">
      <c r="A1023" s="0" t="s">
        <v>294</v>
      </c>
      <c r="B1023" s="0" t="s">
        <v>109</v>
      </c>
      <c r="C1023" s="0" t="s">
        <v>110</v>
      </c>
      <c r="D1023" s="0" t="n">
        <v>9</v>
      </c>
      <c r="E1023" s="5" t="n">
        <v>45945.4064236111</v>
      </c>
      <c r="F1023" s="0" t="n">
        <v>0.85</v>
      </c>
      <c r="G1023" s="0" t="n">
        <v>17034</v>
      </c>
      <c r="H1023" s="6" t="s">
        <v>151</v>
      </c>
      <c r="I1023" s="6" t="n">
        <f aca="false">D1023*F1023</f>
        <v>7.65</v>
      </c>
      <c r="J1023" s="6" t="n">
        <f aca="false">HOUR(E1023)</f>
        <v>9</v>
      </c>
      <c r="K1023" s="6" t="n">
        <f aca="false">IF(COUNTIF($A$2:$A1023,A1023)=1,1,0)</f>
        <v>0</v>
      </c>
    </row>
    <row r="1024" customFormat="false" ht="15" hidden="false" customHeight="false" outlineLevel="0" collapsed="false">
      <c r="A1024" s="0" t="s">
        <v>294</v>
      </c>
      <c r="B1024" s="0" t="s">
        <v>118</v>
      </c>
      <c r="C1024" s="0" t="s">
        <v>119</v>
      </c>
      <c r="D1024" s="0" t="n">
        <v>16</v>
      </c>
      <c r="E1024" s="5" t="n">
        <v>45945.4064236111</v>
      </c>
      <c r="F1024" s="0" t="n">
        <v>4.95</v>
      </c>
      <c r="G1024" s="0" t="n">
        <v>17034</v>
      </c>
      <c r="H1024" s="6" t="s">
        <v>151</v>
      </c>
      <c r="I1024" s="6" t="n">
        <f aca="false">D1024*F1024</f>
        <v>79.2</v>
      </c>
      <c r="J1024" s="6" t="n">
        <f aca="false">HOUR(E1024)</f>
        <v>9</v>
      </c>
      <c r="K1024" s="6" t="n">
        <f aca="false">IF(COUNTIF($A$2:$A1024,A1024)=1,1,0)</f>
        <v>0</v>
      </c>
    </row>
    <row r="1025" customFormat="false" ht="15" hidden="false" customHeight="false" outlineLevel="0" collapsed="false">
      <c r="A1025" s="0" t="s">
        <v>295</v>
      </c>
      <c r="B1025" s="0" t="s">
        <v>72</v>
      </c>
      <c r="C1025" s="0" t="s">
        <v>73</v>
      </c>
      <c r="D1025" s="0" t="n">
        <v>38</v>
      </c>
      <c r="E1025" s="5" t="n">
        <v>45945.4137731482</v>
      </c>
      <c r="F1025" s="0" t="n">
        <v>4.95</v>
      </c>
      <c r="G1025" s="0" t="n">
        <v>17016</v>
      </c>
      <c r="H1025" s="6" t="s">
        <v>52</v>
      </c>
      <c r="I1025" s="6" t="n">
        <f aca="false">D1025*F1025</f>
        <v>188.1</v>
      </c>
      <c r="J1025" s="6" t="n">
        <f aca="false">HOUR(E1025)</f>
        <v>9</v>
      </c>
      <c r="K1025" s="6" t="n">
        <f aca="false">IF(COUNTIF($A$2:$A1025,A1025)=1,1,0)</f>
        <v>1</v>
      </c>
    </row>
    <row r="1026" customFormat="false" ht="15" hidden="false" customHeight="false" outlineLevel="0" collapsed="false">
      <c r="A1026" s="0" t="s">
        <v>295</v>
      </c>
      <c r="B1026" s="0" t="s">
        <v>43</v>
      </c>
      <c r="C1026" s="0" t="s">
        <v>44</v>
      </c>
      <c r="D1026" s="0" t="n">
        <v>10</v>
      </c>
      <c r="E1026" s="5" t="n">
        <v>45945.4137731482</v>
      </c>
      <c r="F1026" s="0" t="n">
        <v>4.25</v>
      </c>
      <c r="G1026" s="0" t="n">
        <v>17016</v>
      </c>
      <c r="H1026" s="6" t="s">
        <v>52</v>
      </c>
      <c r="I1026" s="6" t="n">
        <f aca="false">D1026*F1026</f>
        <v>42.5</v>
      </c>
      <c r="J1026" s="6" t="n">
        <f aca="false">HOUR(E1026)</f>
        <v>9</v>
      </c>
      <c r="K1026" s="6" t="n">
        <f aca="false">IF(COUNTIF($A$2:$A1026,A1026)=1,1,0)</f>
        <v>0</v>
      </c>
    </row>
    <row r="1027" customFormat="false" ht="15" hidden="false" customHeight="false" outlineLevel="0" collapsed="false">
      <c r="A1027" s="0" t="s">
        <v>295</v>
      </c>
      <c r="B1027" s="0" t="s">
        <v>91</v>
      </c>
      <c r="C1027" s="0" t="s">
        <v>92</v>
      </c>
      <c r="D1027" s="0" t="n">
        <v>10</v>
      </c>
      <c r="E1027" s="5" t="n">
        <v>45945.4137731482</v>
      </c>
      <c r="F1027" s="0" t="n">
        <v>7.65</v>
      </c>
      <c r="G1027" s="0" t="n">
        <v>17016</v>
      </c>
      <c r="H1027" s="6" t="s">
        <v>52</v>
      </c>
      <c r="I1027" s="6" t="n">
        <f aca="false">D1027*F1027</f>
        <v>76.5</v>
      </c>
      <c r="J1027" s="6" t="n">
        <f aca="false">HOUR(E1027)</f>
        <v>9</v>
      </c>
      <c r="K1027" s="6" t="n">
        <f aca="false">IF(COUNTIF($A$2:$A1027,A1027)=1,1,0)</f>
        <v>0</v>
      </c>
    </row>
    <row r="1028" customFormat="false" ht="15" hidden="false" customHeight="false" outlineLevel="0" collapsed="false">
      <c r="A1028" s="0" t="s">
        <v>295</v>
      </c>
      <c r="B1028" s="0" t="s">
        <v>109</v>
      </c>
      <c r="C1028" s="0" t="s">
        <v>110</v>
      </c>
      <c r="D1028" s="0" t="n">
        <v>12</v>
      </c>
      <c r="E1028" s="5" t="n">
        <v>45945.4137731482</v>
      </c>
      <c r="F1028" s="0" t="n">
        <v>0.85</v>
      </c>
      <c r="G1028" s="0" t="n">
        <v>17016</v>
      </c>
      <c r="H1028" s="6" t="s">
        <v>52</v>
      </c>
      <c r="I1028" s="6" t="n">
        <f aca="false">D1028*F1028</f>
        <v>10.2</v>
      </c>
      <c r="J1028" s="6" t="n">
        <f aca="false">HOUR(E1028)</f>
        <v>9</v>
      </c>
      <c r="K1028" s="6" t="n">
        <f aca="false">IF(COUNTIF($A$2:$A1028,A1028)=1,1,0)</f>
        <v>0</v>
      </c>
    </row>
    <row r="1029" customFormat="false" ht="15" hidden="false" customHeight="false" outlineLevel="0" collapsed="false">
      <c r="A1029" s="0" t="s">
        <v>295</v>
      </c>
      <c r="B1029" s="0" t="s">
        <v>104</v>
      </c>
      <c r="C1029" s="0" t="s">
        <v>105</v>
      </c>
      <c r="D1029" s="0" t="n">
        <v>7</v>
      </c>
      <c r="E1029" s="5" t="n">
        <v>45945.4137731482</v>
      </c>
      <c r="F1029" s="0" t="n">
        <v>1.65</v>
      </c>
      <c r="G1029" s="0" t="n">
        <v>17016</v>
      </c>
      <c r="H1029" s="6" t="s">
        <v>52</v>
      </c>
      <c r="I1029" s="6" t="n">
        <f aca="false">D1029*F1029</f>
        <v>11.55</v>
      </c>
      <c r="J1029" s="6" t="n">
        <f aca="false">HOUR(E1029)</f>
        <v>9</v>
      </c>
      <c r="K1029" s="6" t="n">
        <f aca="false">IF(COUNTIF($A$2:$A1029,A1029)=1,1,0)</f>
        <v>0</v>
      </c>
    </row>
    <row r="1030" customFormat="false" ht="15" hidden="false" customHeight="false" outlineLevel="0" collapsed="false">
      <c r="A1030" s="0" t="s">
        <v>296</v>
      </c>
      <c r="B1030" s="0" t="s">
        <v>86</v>
      </c>
      <c r="C1030" s="0" t="s">
        <v>87</v>
      </c>
      <c r="D1030" s="0" t="n">
        <v>11</v>
      </c>
      <c r="E1030" s="5" t="n">
        <v>45945.4416666667</v>
      </c>
      <c r="F1030" s="0" t="n">
        <v>4.25</v>
      </c>
      <c r="G1030" s="0" t="n">
        <v>17007</v>
      </c>
      <c r="H1030" s="6" t="s">
        <v>52</v>
      </c>
      <c r="I1030" s="6" t="n">
        <f aca="false">D1030*F1030</f>
        <v>46.75</v>
      </c>
      <c r="J1030" s="6" t="n">
        <f aca="false">HOUR(E1030)</f>
        <v>10</v>
      </c>
      <c r="K1030" s="6" t="n">
        <f aca="false">IF(COUNTIF($A$2:$A1030,A1030)=1,1,0)</f>
        <v>1</v>
      </c>
    </row>
    <row r="1031" customFormat="false" ht="15" hidden="false" customHeight="false" outlineLevel="0" collapsed="false">
      <c r="A1031" s="0" t="s">
        <v>296</v>
      </c>
      <c r="B1031" s="0" t="s">
        <v>63</v>
      </c>
      <c r="C1031" s="0" t="s">
        <v>64</v>
      </c>
      <c r="D1031" s="0" t="n">
        <v>22</v>
      </c>
      <c r="E1031" s="5" t="n">
        <v>45945.4416666667</v>
      </c>
      <c r="F1031" s="0" t="n">
        <v>1.85</v>
      </c>
      <c r="G1031" s="0" t="n">
        <v>17007</v>
      </c>
      <c r="H1031" s="6" t="s">
        <v>52</v>
      </c>
      <c r="I1031" s="6" t="n">
        <f aca="false">D1031*F1031</f>
        <v>40.7</v>
      </c>
      <c r="J1031" s="6" t="n">
        <f aca="false">HOUR(E1031)</f>
        <v>10</v>
      </c>
      <c r="K1031" s="6" t="n">
        <f aca="false">IF(COUNTIF($A$2:$A1031,A1031)=1,1,0)</f>
        <v>0</v>
      </c>
    </row>
    <row r="1032" customFormat="false" ht="15" hidden="false" customHeight="false" outlineLevel="0" collapsed="false">
      <c r="A1032" s="0" t="s">
        <v>296</v>
      </c>
      <c r="B1032" s="0" t="s">
        <v>81</v>
      </c>
      <c r="C1032" s="0" t="s">
        <v>82</v>
      </c>
      <c r="D1032" s="0" t="n">
        <v>13</v>
      </c>
      <c r="E1032" s="5" t="n">
        <v>45945.4416666667</v>
      </c>
      <c r="F1032" s="0" t="n">
        <v>1.65</v>
      </c>
      <c r="G1032" s="0" t="n">
        <v>17007</v>
      </c>
      <c r="H1032" s="6" t="s">
        <v>52</v>
      </c>
      <c r="I1032" s="6" t="n">
        <f aca="false">D1032*F1032</f>
        <v>21.45</v>
      </c>
      <c r="J1032" s="6" t="n">
        <f aca="false">HOUR(E1032)</f>
        <v>10</v>
      </c>
      <c r="K1032" s="6" t="n">
        <f aca="false">IF(COUNTIF($A$2:$A1032,A1032)=1,1,0)</f>
        <v>0</v>
      </c>
    </row>
    <row r="1033" customFormat="false" ht="15" hidden="false" customHeight="false" outlineLevel="0" collapsed="false">
      <c r="A1033" s="0" t="s">
        <v>296</v>
      </c>
      <c r="B1033" s="0" t="s">
        <v>93</v>
      </c>
      <c r="C1033" s="0" t="s">
        <v>94</v>
      </c>
      <c r="D1033" s="0" t="n">
        <v>21</v>
      </c>
      <c r="E1033" s="5" t="n">
        <v>45945.4416666667</v>
      </c>
      <c r="F1033" s="0" t="n">
        <v>1.69</v>
      </c>
      <c r="G1033" s="0" t="n">
        <v>17007</v>
      </c>
      <c r="H1033" s="6" t="s">
        <v>52</v>
      </c>
      <c r="I1033" s="6" t="n">
        <f aca="false">D1033*F1033</f>
        <v>35.49</v>
      </c>
      <c r="J1033" s="6" t="n">
        <f aca="false">HOUR(E1033)</f>
        <v>10</v>
      </c>
      <c r="K1033" s="6" t="n">
        <f aca="false">IF(COUNTIF($A$2:$A1033,A1033)=1,1,0)</f>
        <v>0</v>
      </c>
    </row>
    <row r="1034" customFormat="false" ht="15" hidden="false" customHeight="false" outlineLevel="0" collapsed="false">
      <c r="A1034" s="0" t="s">
        <v>296</v>
      </c>
      <c r="B1034" s="0" t="s">
        <v>134</v>
      </c>
      <c r="C1034" s="0" t="s">
        <v>135</v>
      </c>
      <c r="D1034" s="0" t="n">
        <v>22</v>
      </c>
      <c r="E1034" s="5" t="n">
        <v>45945.4416666667</v>
      </c>
      <c r="F1034" s="0" t="n">
        <v>5.95</v>
      </c>
      <c r="G1034" s="0" t="n">
        <v>17007</v>
      </c>
      <c r="H1034" s="6" t="s">
        <v>52</v>
      </c>
      <c r="I1034" s="6" t="n">
        <f aca="false">D1034*F1034</f>
        <v>130.9</v>
      </c>
      <c r="J1034" s="6" t="n">
        <f aca="false">HOUR(E1034)</f>
        <v>10</v>
      </c>
      <c r="K1034" s="6" t="n">
        <f aca="false">IF(COUNTIF($A$2:$A1034,A1034)=1,1,0)</f>
        <v>0</v>
      </c>
    </row>
    <row r="1035" customFormat="false" ht="15" hidden="false" customHeight="false" outlineLevel="0" collapsed="false">
      <c r="A1035" s="0" t="s">
        <v>296</v>
      </c>
      <c r="B1035" s="0" t="s">
        <v>45</v>
      </c>
      <c r="C1035" s="0" t="s">
        <v>46</v>
      </c>
      <c r="D1035" s="0" t="n">
        <v>22</v>
      </c>
      <c r="E1035" s="5" t="n">
        <v>45945.4416666667</v>
      </c>
      <c r="F1035" s="0" t="n">
        <v>2.1</v>
      </c>
      <c r="G1035" s="0" t="n">
        <v>17007</v>
      </c>
      <c r="H1035" s="6" t="s">
        <v>52</v>
      </c>
      <c r="I1035" s="6" t="n">
        <f aca="false">D1035*F1035</f>
        <v>46.2</v>
      </c>
      <c r="J1035" s="6" t="n">
        <f aca="false">HOUR(E1035)</f>
        <v>10</v>
      </c>
      <c r="K1035" s="6" t="n">
        <f aca="false">IF(COUNTIF($A$2:$A1035,A1035)=1,1,0)</f>
        <v>0</v>
      </c>
    </row>
    <row r="1036" customFormat="false" ht="15" hidden="false" customHeight="false" outlineLevel="0" collapsed="false">
      <c r="A1036" s="0" t="s">
        <v>296</v>
      </c>
      <c r="B1036" s="0" t="s">
        <v>99</v>
      </c>
      <c r="C1036" s="0" t="s">
        <v>100</v>
      </c>
      <c r="D1036" s="0" t="n">
        <v>13</v>
      </c>
      <c r="E1036" s="5" t="n">
        <v>45945.4416666667</v>
      </c>
      <c r="F1036" s="0" t="n">
        <v>2.08</v>
      </c>
      <c r="G1036" s="0" t="n">
        <v>17007</v>
      </c>
      <c r="H1036" s="6" t="s">
        <v>52</v>
      </c>
      <c r="I1036" s="6" t="n">
        <f aca="false">D1036*F1036</f>
        <v>27.04</v>
      </c>
      <c r="J1036" s="6" t="n">
        <f aca="false">HOUR(E1036)</f>
        <v>10</v>
      </c>
      <c r="K1036" s="6" t="n">
        <f aca="false">IF(COUNTIF($A$2:$A1036,A1036)=1,1,0)</f>
        <v>0</v>
      </c>
    </row>
    <row r="1037" customFormat="false" ht="15" hidden="false" customHeight="false" outlineLevel="0" collapsed="false">
      <c r="A1037" s="0" t="s">
        <v>297</v>
      </c>
      <c r="B1037" s="0" t="s">
        <v>121</v>
      </c>
      <c r="C1037" s="0" t="s">
        <v>122</v>
      </c>
      <c r="D1037" s="0" t="n">
        <v>20</v>
      </c>
      <c r="E1037" s="5" t="n">
        <v>45945.547974537</v>
      </c>
      <c r="F1037" s="0" t="n">
        <v>2.1</v>
      </c>
      <c r="G1037" s="0" t="n">
        <v>17129</v>
      </c>
      <c r="H1037" s="6" t="s">
        <v>98</v>
      </c>
      <c r="I1037" s="6" t="n">
        <f aca="false">D1037*F1037</f>
        <v>42</v>
      </c>
      <c r="J1037" s="6" t="n">
        <f aca="false">HOUR(E1037)</f>
        <v>13</v>
      </c>
      <c r="K1037" s="6" t="n">
        <f aca="false">IF(COUNTIF($A$2:$A1037,A1037)=1,1,0)</f>
        <v>1</v>
      </c>
    </row>
    <row r="1038" customFormat="false" ht="15" hidden="false" customHeight="false" outlineLevel="0" collapsed="false">
      <c r="A1038" s="0" t="s">
        <v>297</v>
      </c>
      <c r="B1038" s="0" t="s">
        <v>116</v>
      </c>
      <c r="C1038" s="0" t="s">
        <v>117</v>
      </c>
      <c r="D1038" s="0" t="n">
        <v>7</v>
      </c>
      <c r="E1038" s="5" t="n">
        <v>45945.547974537</v>
      </c>
      <c r="F1038" s="0" t="n">
        <v>1.95</v>
      </c>
      <c r="G1038" s="0" t="n">
        <v>17129</v>
      </c>
      <c r="H1038" s="6" t="s">
        <v>98</v>
      </c>
      <c r="I1038" s="6" t="n">
        <f aca="false">D1038*F1038</f>
        <v>13.65</v>
      </c>
      <c r="J1038" s="6" t="n">
        <f aca="false">HOUR(E1038)</f>
        <v>13</v>
      </c>
      <c r="K1038" s="6" t="n">
        <f aca="false">IF(COUNTIF($A$2:$A1038,A1038)=1,1,0)</f>
        <v>0</v>
      </c>
    </row>
    <row r="1039" customFormat="false" ht="15" hidden="false" customHeight="false" outlineLevel="0" collapsed="false">
      <c r="A1039" s="0" t="s">
        <v>297</v>
      </c>
      <c r="B1039" s="0" t="s">
        <v>47</v>
      </c>
      <c r="C1039" s="0" t="s">
        <v>48</v>
      </c>
      <c r="D1039" s="0" t="n">
        <v>12</v>
      </c>
      <c r="E1039" s="5" t="n">
        <v>45945.547974537</v>
      </c>
      <c r="F1039" s="0" t="n">
        <v>12.75</v>
      </c>
      <c r="G1039" s="0" t="n">
        <v>17129</v>
      </c>
      <c r="H1039" s="6" t="s">
        <v>98</v>
      </c>
      <c r="I1039" s="6" t="n">
        <f aca="false">D1039*F1039</f>
        <v>153</v>
      </c>
      <c r="J1039" s="6" t="n">
        <f aca="false">HOUR(E1039)</f>
        <v>13</v>
      </c>
      <c r="K1039" s="6" t="n">
        <f aca="false">IF(COUNTIF($A$2:$A1039,A1039)=1,1,0)</f>
        <v>0</v>
      </c>
    </row>
    <row r="1040" customFormat="false" ht="15" hidden="false" customHeight="false" outlineLevel="0" collapsed="false">
      <c r="A1040" s="0" t="s">
        <v>297</v>
      </c>
      <c r="B1040" s="0" t="s">
        <v>137</v>
      </c>
      <c r="C1040" s="0" t="s">
        <v>138</v>
      </c>
      <c r="D1040" s="0" t="n">
        <v>15</v>
      </c>
      <c r="E1040" s="5" t="n">
        <v>45945.547974537</v>
      </c>
      <c r="F1040" s="0" t="n">
        <v>2.1</v>
      </c>
      <c r="G1040" s="0" t="n">
        <v>17129</v>
      </c>
      <c r="H1040" s="6" t="s">
        <v>98</v>
      </c>
      <c r="I1040" s="6" t="n">
        <f aca="false">D1040*F1040</f>
        <v>31.5</v>
      </c>
      <c r="J1040" s="6" t="n">
        <f aca="false">HOUR(E1040)</f>
        <v>13</v>
      </c>
      <c r="K1040" s="6" t="n">
        <f aca="false">IF(COUNTIF($A$2:$A1040,A1040)=1,1,0)</f>
        <v>0</v>
      </c>
    </row>
    <row r="1041" customFormat="false" ht="15" hidden="false" customHeight="false" outlineLevel="0" collapsed="false">
      <c r="A1041" s="0" t="s">
        <v>297</v>
      </c>
      <c r="B1041" s="0" t="s">
        <v>79</v>
      </c>
      <c r="C1041" s="0" t="s">
        <v>80</v>
      </c>
      <c r="D1041" s="0" t="n">
        <v>22</v>
      </c>
      <c r="E1041" s="5" t="n">
        <v>45945.547974537</v>
      </c>
      <c r="F1041" s="0" t="n">
        <v>3.39</v>
      </c>
      <c r="G1041" s="0" t="n">
        <v>17129</v>
      </c>
      <c r="H1041" s="6" t="s">
        <v>98</v>
      </c>
      <c r="I1041" s="6" t="n">
        <f aca="false">D1041*F1041</f>
        <v>74.58</v>
      </c>
      <c r="J1041" s="6" t="n">
        <f aca="false">HOUR(E1041)</f>
        <v>13</v>
      </c>
      <c r="K1041" s="6" t="n">
        <f aca="false">IF(COUNTIF($A$2:$A1041,A1041)=1,1,0)</f>
        <v>0</v>
      </c>
    </row>
    <row r="1042" customFormat="false" ht="15" hidden="false" customHeight="false" outlineLevel="0" collapsed="false">
      <c r="A1042" s="0" t="s">
        <v>297</v>
      </c>
      <c r="B1042" s="0" t="s">
        <v>55</v>
      </c>
      <c r="C1042" s="0" t="s">
        <v>56</v>
      </c>
      <c r="D1042" s="0" t="n">
        <v>3</v>
      </c>
      <c r="E1042" s="5" t="n">
        <v>45945.547974537</v>
      </c>
      <c r="F1042" s="0" t="n">
        <v>1.65</v>
      </c>
      <c r="G1042" s="0" t="n">
        <v>17129</v>
      </c>
      <c r="H1042" s="6" t="s">
        <v>98</v>
      </c>
      <c r="I1042" s="6" t="n">
        <f aca="false">D1042*F1042</f>
        <v>4.95</v>
      </c>
      <c r="J1042" s="6" t="n">
        <f aca="false">HOUR(E1042)</f>
        <v>13</v>
      </c>
      <c r="K1042" s="6" t="n">
        <f aca="false">IF(COUNTIF($A$2:$A1042,A1042)=1,1,0)</f>
        <v>0</v>
      </c>
    </row>
    <row r="1043" customFormat="false" ht="15" hidden="false" customHeight="false" outlineLevel="0" collapsed="false">
      <c r="A1043" s="0" t="s">
        <v>297</v>
      </c>
      <c r="B1043" s="0" t="s">
        <v>118</v>
      </c>
      <c r="C1043" s="0" t="s">
        <v>119</v>
      </c>
      <c r="D1043" s="0" t="n">
        <v>20</v>
      </c>
      <c r="E1043" s="5" t="n">
        <v>45945.547974537</v>
      </c>
      <c r="F1043" s="0" t="n">
        <v>4.95</v>
      </c>
      <c r="G1043" s="0" t="n">
        <v>17129</v>
      </c>
      <c r="H1043" s="6" t="s">
        <v>98</v>
      </c>
      <c r="I1043" s="6" t="n">
        <f aca="false">D1043*F1043</f>
        <v>99</v>
      </c>
      <c r="J1043" s="6" t="n">
        <f aca="false">HOUR(E1043)</f>
        <v>13</v>
      </c>
      <c r="K1043" s="6" t="n">
        <f aca="false">IF(COUNTIF($A$2:$A1043,A1043)=1,1,0)</f>
        <v>0</v>
      </c>
    </row>
    <row r="1044" customFormat="false" ht="15" hidden="false" customHeight="false" outlineLevel="0" collapsed="false">
      <c r="A1044" s="0" t="s">
        <v>297</v>
      </c>
      <c r="B1044" s="0" t="s">
        <v>61</v>
      </c>
      <c r="C1044" s="0" t="s">
        <v>62</v>
      </c>
      <c r="D1044" s="0" t="n">
        <v>17</v>
      </c>
      <c r="E1044" s="5" t="n">
        <v>45945.547974537</v>
      </c>
      <c r="F1044" s="0" t="n">
        <v>1.65</v>
      </c>
      <c r="G1044" s="0" t="n">
        <v>17129</v>
      </c>
      <c r="H1044" s="6" t="s">
        <v>98</v>
      </c>
      <c r="I1044" s="6" t="n">
        <f aca="false">D1044*F1044</f>
        <v>28.05</v>
      </c>
      <c r="J1044" s="6" t="n">
        <f aca="false">HOUR(E1044)</f>
        <v>13</v>
      </c>
      <c r="K1044" s="6" t="n">
        <f aca="false">IF(COUNTIF($A$2:$A1044,A1044)=1,1,0)</f>
        <v>0</v>
      </c>
    </row>
    <row r="1045" customFormat="false" ht="15" hidden="false" customHeight="false" outlineLevel="0" collapsed="false">
      <c r="A1045" s="0" t="s">
        <v>297</v>
      </c>
      <c r="B1045" s="0" t="s">
        <v>140</v>
      </c>
      <c r="C1045" s="0" t="s">
        <v>141</v>
      </c>
      <c r="D1045" s="0" t="n">
        <v>17</v>
      </c>
      <c r="E1045" s="5" t="n">
        <v>45945.547974537</v>
      </c>
      <c r="F1045" s="0" t="n">
        <v>2.08</v>
      </c>
      <c r="G1045" s="0" t="n">
        <v>17129</v>
      </c>
      <c r="H1045" s="6" t="s">
        <v>98</v>
      </c>
      <c r="I1045" s="6" t="n">
        <f aca="false">D1045*F1045</f>
        <v>35.36</v>
      </c>
      <c r="J1045" s="6" t="n">
        <f aca="false">HOUR(E1045)</f>
        <v>13</v>
      </c>
      <c r="K1045" s="6" t="n">
        <f aca="false">IF(COUNTIF($A$2:$A1045,A1045)=1,1,0)</f>
        <v>0</v>
      </c>
    </row>
    <row r="1046" customFormat="false" ht="15" hidden="false" customHeight="false" outlineLevel="0" collapsed="false">
      <c r="A1046" s="0" t="s">
        <v>297</v>
      </c>
      <c r="B1046" s="0" t="s">
        <v>65</v>
      </c>
      <c r="C1046" s="0" t="s">
        <v>66</v>
      </c>
      <c r="D1046" s="0" t="n">
        <v>19</v>
      </c>
      <c r="E1046" s="5" t="n">
        <v>45945.547974537</v>
      </c>
      <c r="F1046" s="0" t="n">
        <v>1.65</v>
      </c>
      <c r="G1046" s="0" t="n">
        <v>17129</v>
      </c>
      <c r="H1046" s="6" t="s">
        <v>98</v>
      </c>
      <c r="I1046" s="6" t="n">
        <f aca="false">D1046*F1046</f>
        <v>31.35</v>
      </c>
      <c r="J1046" s="6" t="n">
        <f aca="false">HOUR(E1046)</f>
        <v>13</v>
      </c>
      <c r="K1046" s="6" t="n">
        <f aca="false">IF(COUNTIF($A$2:$A1046,A1046)=1,1,0)</f>
        <v>0</v>
      </c>
    </row>
    <row r="1047" customFormat="false" ht="15" hidden="false" customHeight="false" outlineLevel="0" collapsed="false">
      <c r="A1047" s="0" t="s">
        <v>298</v>
      </c>
      <c r="B1047" s="0" t="s">
        <v>107</v>
      </c>
      <c r="C1047" s="0" t="s">
        <v>108</v>
      </c>
      <c r="D1047" s="0" t="n">
        <v>21</v>
      </c>
      <c r="E1047" s="5" t="n">
        <v>45945.5878819445</v>
      </c>
      <c r="F1047" s="0" t="n">
        <v>3.75</v>
      </c>
      <c r="G1047" s="0" t="n">
        <v>17066</v>
      </c>
      <c r="H1047" s="6" t="s">
        <v>74</v>
      </c>
      <c r="I1047" s="6" t="n">
        <f aca="false">D1047*F1047</f>
        <v>78.75</v>
      </c>
      <c r="J1047" s="6" t="n">
        <f aca="false">HOUR(E1047)</f>
        <v>14</v>
      </c>
      <c r="K1047" s="6" t="n">
        <f aca="false">IF(COUNTIF($A$2:$A1047,A1047)=1,1,0)</f>
        <v>1</v>
      </c>
    </row>
    <row r="1048" customFormat="false" ht="15" hidden="false" customHeight="false" outlineLevel="0" collapsed="false">
      <c r="A1048" s="0" t="s">
        <v>298</v>
      </c>
      <c r="B1048" s="0" t="s">
        <v>88</v>
      </c>
      <c r="C1048" s="0" t="s">
        <v>89</v>
      </c>
      <c r="D1048" s="0" t="n">
        <v>4</v>
      </c>
      <c r="E1048" s="5" t="n">
        <v>45945.5878819445</v>
      </c>
      <c r="F1048" s="0" t="n">
        <v>2.75</v>
      </c>
      <c r="G1048" s="0" t="n">
        <v>17066</v>
      </c>
      <c r="H1048" s="6" t="s">
        <v>74</v>
      </c>
      <c r="I1048" s="6" t="n">
        <f aca="false">D1048*F1048</f>
        <v>11</v>
      </c>
      <c r="J1048" s="6" t="n">
        <f aca="false">HOUR(E1048)</f>
        <v>14</v>
      </c>
      <c r="K1048" s="6" t="n">
        <f aca="false">IF(COUNTIF($A$2:$A1048,A1048)=1,1,0)</f>
        <v>0</v>
      </c>
    </row>
    <row r="1049" customFormat="false" ht="15" hidden="false" customHeight="false" outlineLevel="0" collapsed="false">
      <c r="A1049" s="0" t="s">
        <v>298</v>
      </c>
      <c r="B1049" s="0" t="s">
        <v>86</v>
      </c>
      <c r="C1049" s="0" t="s">
        <v>87</v>
      </c>
      <c r="D1049" s="0" t="n">
        <v>22</v>
      </c>
      <c r="E1049" s="5" t="n">
        <v>45945.5878819445</v>
      </c>
      <c r="F1049" s="0" t="n">
        <v>4.25</v>
      </c>
      <c r="G1049" s="0" t="n">
        <v>17066</v>
      </c>
      <c r="H1049" s="6" t="s">
        <v>74</v>
      </c>
      <c r="I1049" s="6" t="n">
        <f aca="false">D1049*F1049</f>
        <v>93.5</v>
      </c>
      <c r="J1049" s="6" t="n">
        <f aca="false">HOUR(E1049)</f>
        <v>14</v>
      </c>
      <c r="K1049" s="6" t="n">
        <f aca="false">IF(COUNTIF($A$2:$A1049,A1049)=1,1,0)</f>
        <v>0</v>
      </c>
    </row>
    <row r="1050" customFormat="false" ht="15" hidden="false" customHeight="false" outlineLevel="0" collapsed="false">
      <c r="A1050" s="0" t="s">
        <v>299</v>
      </c>
      <c r="B1050" s="0" t="s">
        <v>104</v>
      </c>
      <c r="C1050" s="0" t="s">
        <v>105</v>
      </c>
      <c r="D1050" s="0" t="n">
        <v>4</v>
      </c>
      <c r="E1050" s="5" t="n">
        <v>45945.5916319444</v>
      </c>
      <c r="F1050" s="0" t="n">
        <v>1.65</v>
      </c>
      <c r="G1050" s="0" t="n">
        <v>17095</v>
      </c>
      <c r="H1050" s="6" t="s">
        <v>68</v>
      </c>
      <c r="I1050" s="6" t="n">
        <f aca="false">D1050*F1050</f>
        <v>6.6</v>
      </c>
      <c r="J1050" s="6" t="n">
        <f aca="false">HOUR(E1050)</f>
        <v>14</v>
      </c>
      <c r="K1050" s="6" t="n">
        <f aca="false">IF(COUNTIF($A$2:$A1050,A1050)=1,1,0)</f>
        <v>1</v>
      </c>
    </row>
    <row r="1051" customFormat="false" ht="15" hidden="false" customHeight="false" outlineLevel="0" collapsed="false">
      <c r="A1051" s="0" t="s">
        <v>299</v>
      </c>
      <c r="B1051" s="0" t="s">
        <v>72</v>
      </c>
      <c r="C1051" s="0" t="s">
        <v>73</v>
      </c>
      <c r="D1051" s="0" t="n">
        <v>18</v>
      </c>
      <c r="E1051" s="5" t="n">
        <v>45945.5916319444</v>
      </c>
      <c r="F1051" s="0" t="n">
        <v>4.95</v>
      </c>
      <c r="G1051" s="0" t="n">
        <v>17095</v>
      </c>
      <c r="H1051" s="6" t="s">
        <v>68</v>
      </c>
      <c r="I1051" s="6" t="n">
        <f aca="false">D1051*F1051</f>
        <v>89.1</v>
      </c>
      <c r="J1051" s="6" t="n">
        <f aca="false">HOUR(E1051)</f>
        <v>14</v>
      </c>
      <c r="K1051" s="6" t="n">
        <f aca="false">IF(COUNTIF($A$2:$A1051,A1051)=1,1,0)</f>
        <v>0</v>
      </c>
    </row>
    <row r="1052" customFormat="false" ht="15" hidden="false" customHeight="false" outlineLevel="0" collapsed="false">
      <c r="A1052" s="0" t="s">
        <v>299</v>
      </c>
      <c r="B1052" s="0" t="s">
        <v>137</v>
      </c>
      <c r="C1052" s="0" t="s">
        <v>138</v>
      </c>
      <c r="D1052" s="0" t="n">
        <v>16</v>
      </c>
      <c r="E1052" s="5" t="n">
        <v>45945.5916319444</v>
      </c>
      <c r="F1052" s="0" t="n">
        <v>2.1</v>
      </c>
      <c r="G1052" s="0" t="n">
        <v>17095</v>
      </c>
      <c r="H1052" s="6" t="s">
        <v>68</v>
      </c>
      <c r="I1052" s="6" t="n">
        <f aca="false">D1052*F1052</f>
        <v>33.6</v>
      </c>
      <c r="J1052" s="6" t="n">
        <f aca="false">HOUR(E1052)</f>
        <v>14</v>
      </c>
      <c r="K1052" s="6" t="n">
        <f aca="false">IF(COUNTIF($A$2:$A1052,A1052)=1,1,0)</f>
        <v>0</v>
      </c>
    </row>
    <row r="1053" customFormat="false" ht="15" hidden="false" customHeight="false" outlineLevel="0" collapsed="false">
      <c r="A1053" s="0" t="s">
        <v>299</v>
      </c>
      <c r="B1053" s="0" t="s">
        <v>75</v>
      </c>
      <c r="C1053" s="0" t="s">
        <v>76</v>
      </c>
      <c r="D1053" s="0" t="n">
        <v>18</v>
      </c>
      <c r="E1053" s="5" t="n">
        <v>45945.5916319444</v>
      </c>
      <c r="F1053" s="0" t="n">
        <v>3.39</v>
      </c>
      <c r="G1053" s="0" t="n">
        <v>17095</v>
      </c>
      <c r="H1053" s="6" t="s">
        <v>68</v>
      </c>
      <c r="I1053" s="6" t="n">
        <f aca="false">D1053*F1053</f>
        <v>61.02</v>
      </c>
      <c r="J1053" s="6" t="n">
        <f aca="false">HOUR(E1053)</f>
        <v>14</v>
      </c>
      <c r="K1053" s="6" t="n">
        <f aca="false">IF(COUNTIF($A$2:$A1053,A1053)=1,1,0)</f>
        <v>0</v>
      </c>
    </row>
    <row r="1054" customFormat="false" ht="15" hidden="false" customHeight="false" outlineLevel="0" collapsed="false">
      <c r="A1054" s="0" t="s">
        <v>299</v>
      </c>
      <c r="B1054" s="0" t="s">
        <v>121</v>
      </c>
      <c r="C1054" s="0" t="s">
        <v>122</v>
      </c>
      <c r="D1054" s="0" t="n">
        <v>17</v>
      </c>
      <c r="E1054" s="5" t="n">
        <v>45945.5916319444</v>
      </c>
      <c r="F1054" s="0" t="n">
        <v>2.1</v>
      </c>
      <c r="G1054" s="0" t="n">
        <v>17095</v>
      </c>
      <c r="H1054" s="6" t="s">
        <v>68</v>
      </c>
      <c r="I1054" s="6" t="n">
        <f aca="false">D1054*F1054</f>
        <v>35.7</v>
      </c>
      <c r="J1054" s="6" t="n">
        <f aca="false">HOUR(E1054)</f>
        <v>14</v>
      </c>
      <c r="K1054" s="6" t="n">
        <f aca="false">IF(COUNTIF($A$2:$A1054,A1054)=1,1,0)</f>
        <v>0</v>
      </c>
    </row>
    <row r="1055" customFormat="false" ht="15" hidden="false" customHeight="false" outlineLevel="0" collapsed="false">
      <c r="A1055" s="0" t="s">
        <v>299</v>
      </c>
      <c r="B1055" s="0" t="s">
        <v>131</v>
      </c>
      <c r="C1055" s="0" t="s">
        <v>132</v>
      </c>
      <c r="D1055" s="0" t="n">
        <v>5</v>
      </c>
      <c r="E1055" s="5" t="n">
        <v>45945.5916319444</v>
      </c>
      <c r="F1055" s="0" t="n">
        <v>3.39</v>
      </c>
      <c r="G1055" s="0" t="n">
        <v>17095</v>
      </c>
      <c r="H1055" s="6" t="s">
        <v>68</v>
      </c>
      <c r="I1055" s="6" t="n">
        <f aca="false">D1055*F1055</f>
        <v>16.95</v>
      </c>
      <c r="J1055" s="6" t="n">
        <f aca="false">HOUR(E1055)</f>
        <v>14</v>
      </c>
      <c r="K1055" s="6" t="n">
        <f aca="false">IF(COUNTIF($A$2:$A1055,A1055)=1,1,0)</f>
        <v>0</v>
      </c>
    </row>
    <row r="1056" customFormat="false" ht="15" hidden="false" customHeight="false" outlineLevel="0" collapsed="false">
      <c r="A1056" s="0" t="s">
        <v>299</v>
      </c>
      <c r="B1056" s="0" t="s">
        <v>134</v>
      </c>
      <c r="C1056" s="0" t="s">
        <v>135</v>
      </c>
      <c r="D1056" s="0" t="n">
        <v>11</v>
      </c>
      <c r="E1056" s="5" t="n">
        <v>45945.5916319444</v>
      </c>
      <c r="F1056" s="0" t="n">
        <v>5.95</v>
      </c>
      <c r="G1056" s="0" t="n">
        <v>17095</v>
      </c>
      <c r="H1056" s="6" t="s">
        <v>68</v>
      </c>
      <c r="I1056" s="6" t="n">
        <f aca="false">D1056*F1056</f>
        <v>65.45</v>
      </c>
      <c r="J1056" s="6" t="n">
        <f aca="false">HOUR(E1056)</f>
        <v>14</v>
      </c>
      <c r="K1056" s="6" t="n">
        <f aca="false">IF(COUNTIF($A$2:$A1056,A1056)=1,1,0)</f>
        <v>0</v>
      </c>
    </row>
    <row r="1057" customFormat="false" ht="15" hidden="false" customHeight="false" outlineLevel="0" collapsed="false">
      <c r="A1057" s="0" t="s">
        <v>299</v>
      </c>
      <c r="B1057" s="0" t="s">
        <v>99</v>
      </c>
      <c r="C1057" s="0" t="s">
        <v>100</v>
      </c>
      <c r="D1057" s="0" t="n">
        <v>22</v>
      </c>
      <c r="E1057" s="5" t="n">
        <v>45945.5916319444</v>
      </c>
      <c r="F1057" s="0" t="n">
        <v>2.08</v>
      </c>
      <c r="G1057" s="0" t="n">
        <v>17095</v>
      </c>
      <c r="H1057" s="6" t="s">
        <v>68</v>
      </c>
      <c r="I1057" s="6" t="n">
        <f aca="false">D1057*F1057</f>
        <v>45.76</v>
      </c>
      <c r="J1057" s="6" t="n">
        <f aca="false">HOUR(E1057)</f>
        <v>14</v>
      </c>
      <c r="K1057" s="6" t="n">
        <f aca="false">IF(COUNTIF($A$2:$A1057,A1057)=1,1,0)</f>
        <v>0</v>
      </c>
    </row>
    <row r="1058" customFormat="false" ht="15" hidden="false" customHeight="false" outlineLevel="0" collapsed="false">
      <c r="A1058" s="0" t="s">
        <v>299</v>
      </c>
      <c r="B1058" s="0" t="s">
        <v>50</v>
      </c>
      <c r="C1058" s="0" t="s">
        <v>51</v>
      </c>
      <c r="D1058" s="0" t="n">
        <v>12</v>
      </c>
      <c r="E1058" s="5" t="n">
        <v>45945.5916319444</v>
      </c>
      <c r="F1058" s="0" t="n">
        <v>5.95</v>
      </c>
      <c r="G1058" s="0" t="n">
        <v>17095</v>
      </c>
      <c r="H1058" s="6" t="s">
        <v>68</v>
      </c>
      <c r="I1058" s="6" t="n">
        <f aca="false">D1058*F1058</f>
        <v>71.4</v>
      </c>
      <c r="J1058" s="6" t="n">
        <f aca="false">HOUR(E1058)</f>
        <v>14</v>
      </c>
      <c r="K1058" s="6" t="n">
        <f aca="false">IF(COUNTIF($A$2:$A1058,A1058)=1,1,0)</f>
        <v>0</v>
      </c>
    </row>
    <row r="1059" customFormat="false" ht="15" hidden="false" customHeight="false" outlineLevel="0" collapsed="false">
      <c r="A1059" s="0" t="s">
        <v>299</v>
      </c>
      <c r="B1059" s="0" t="s">
        <v>109</v>
      </c>
      <c r="C1059" s="0" t="s">
        <v>110</v>
      </c>
      <c r="D1059" s="0" t="n">
        <v>24</v>
      </c>
      <c r="E1059" s="5" t="n">
        <v>45945.5916319444</v>
      </c>
      <c r="F1059" s="0" t="n">
        <v>0.85</v>
      </c>
      <c r="G1059" s="0" t="n">
        <v>17095</v>
      </c>
      <c r="H1059" s="6" t="s">
        <v>68</v>
      </c>
      <c r="I1059" s="6" t="n">
        <f aca="false">D1059*F1059</f>
        <v>20.4</v>
      </c>
      <c r="J1059" s="6" t="n">
        <f aca="false">HOUR(E1059)</f>
        <v>14</v>
      </c>
      <c r="K1059" s="6" t="n">
        <f aca="false">IF(COUNTIF($A$2:$A1059,A1059)=1,1,0)</f>
        <v>0</v>
      </c>
    </row>
    <row r="1060" customFormat="false" ht="15" hidden="false" customHeight="false" outlineLevel="0" collapsed="false">
      <c r="A1060" s="0" t="s">
        <v>300</v>
      </c>
      <c r="B1060" s="0" t="s">
        <v>43</v>
      </c>
      <c r="C1060" s="0" t="s">
        <v>44</v>
      </c>
      <c r="D1060" s="0" t="n">
        <v>24</v>
      </c>
      <c r="E1060" s="5" t="n">
        <v>45945.6510416667</v>
      </c>
      <c r="F1060" s="0" t="n">
        <v>4.25</v>
      </c>
      <c r="G1060" s="0" t="n">
        <v>17016</v>
      </c>
      <c r="H1060" s="6" t="s">
        <v>74</v>
      </c>
      <c r="I1060" s="6" t="n">
        <f aca="false">D1060*F1060</f>
        <v>102</v>
      </c>
      <c r="J1060" s="6" t="n">
        <f aca="false">HOUR(E1060)</f>
        <v>15</v>
      </c>
      <c r="K1060" s="6" t="n">
        <f aca="false">IF(COUNTIF($A$2:$A1060,A1060)=1,1,0)</f>
        <v>1</v>
      </c>
    </row>
    <row r="1061" customFormat="false" ht="15" hidden="false" customHeight="false" outlineLevel="0" collapsed="false">
      <c r="A1061" s="0" t="s">
        <v>300</v>
      </c>
      <c r="B1061" s="0" t="s">
        <v>107</v>
      </c>
      <c r="C1061" s="0" t="s">
        <v>108</v>
      </c>
      <c r="D1061" s="0" t="n">
        <v>2</v>
      </c>
      <c r="E1061" s="5" t="n">
        <v>45945.6510416667</v>
      </c>
      <c r="F1061" s="0" t="n">
        <v>3.75</v>
      </c>
      <c r="G1061" s="0" t="n">
        <v>17016</v>
      </c>
      <c r="H1061" s="6" t="s">
        <v>74</v>
      </c>
      <c r="I1061" s="6" t="n">
        <f aca="false">D1061*F1061</f>
        <v>7.5</v>
      </c>
      <c r="J1061" s="6" t="n">
        <f aca="false">HOUR(E1061)</f>
        <v>15</v>
      </c>
      <c r="K1061" s="6" t="n">
        <f aca="false">IF(COUNTIF($A$2:$A1061,A1061)=1,1,0)</f>
        <v>0</v>
      </c>
    </row>
    <row r="1062" customFormat="false" ht="15" hidden="false" customHeight="false" outlineLevel="0" collapsed="false">
      <c r="A1062" s="0" t="s">
        <v>300</v>
      </c>
      <c r="B1062" s="0" t="s">
        <v>99</v>
      </c>
      <c r="C1062" s="0" t="s">
        <v>100</v>
      </c>
      <c r="D1062" s="0" t="n">
        <v>3</v>
      </c>
      <c r="E1062" s="5" t="n">
        <v>45945.6510416667</v>
      </c>
      <c r="F1062" s="0" t="n">
        <v>2.08</v>
      </c>
      <c r="G1062" s="0" t="n">
        <v>17016</v>
      </c>
      <c r="H1062" s="6" t="s">
        <v>74</v>
      </c>
      <c r="I1062" s="6" t="n">
        <f aca="false">D1062*F1062</f>
        <v>6.24</v>
      </c>
      <c r="J1062" s="6" t="n">
        <f aca="false">HOUR(E1062)</f>
        <v>15</v>
      </c>
      <c r="K1062" s="6" t="n">
        <f aca="false">IF(COUNTIF($A$2:$A1062,A1062)=1,1,0)</f>
        <v>0</v>
      </c>
    </row>
    <row r="1063" customFormat="false" ht="15" hidden="false" customHeight="false" outlineLevel="0" collapsed="false">
      <c r="A1063" s="0" t="s">
        <v>300</v>
      </c>
      <c r="B1063" s="0" t="s">
        <v>131</v>
      </c>
      <c r="C1063" s="0" t="s">
        <v>132</v>
      </c>
      <c r="D1063" s="0" t="n">
        <v>19</v>
      </c>
      <c r="E1063" s="5" t="n">
        <v>45945.6510416667</v>
      </c>
      <c r="F1063" s="0" t="n">
        <v>3.39</v>
      </c>
      <c r="G1063" s="0" t="n">
        <v>17016</v>
      </c>
      <c r="H1063" s="6" t="s">
        <v>74</v>
      </c>
      <c r="I1063" s="6" t="n">
        <f aca="false">D1063*F1063</f>
        <v>64.41</v>
      </c>
      <c r="J1063" s="6" t="n">
        <f aca="false">HOUR(E1063)</f>
        <v>15</v>
      </c>
      <c r="K1063" s="6" t="n">
        <f aca="false">IF(COUNTIF($A$2:$A1063,A1063)=1,1,0)</f>
        <v>0</v>
      </c>
    </row>
    <row r="1064" customFormat="false" ht="15" hidden="false" customHeight="false" outlineLevel="0" collapsed="false">
      <c r="A1064" s="0" t="s">
        <v>300</v>
      </c>
      <c r="B1064" s="0" t="s">
        <v>145</v>
      </c>
      <c r="C1064" s="0" t="s">
        <v>146</v>
      </c>
      <c r="D1064" s="0" t="n">
        <v>23</v>
      </c>
      <c r="E1064" s="5" t="n">
        <v>45945.6510416667</v>
      </c>
      <c r="F1064" s="0" t="n">
        <v>1.85</v>
      </c>
      <c r="G1064" s="0" t="n">
        <v>17016</v>
      </c>
      <c r="H1064" s="6" t="s">
        <v>74</v>
      </c>
      <c r="I1064" s="6" t="n">
        <f aca="false">D1064*F1064</f>
        <v>42.55</v>
      </c>
      <c r="J1064" s="6" t="n">
        <f aca="false">HOUR(E1064)</f>
        <v>15</v>
      </c>
      <c r="K1064" s="6" t="n">
        <f aca="false">IF(COUNTIF($A$2:$A1064,A1064)=1,1,0)</f>
        <v>0</v>
      </c>
    </row>
    <row r="1065" customFormat="false" ht="15" hidden="false" customHeight="false" outlineLevel="0" collapsed="false">
      <c r="A1065" s="0" t="s">
        <v>300</v>
      </c>
      <c r="B1065" s="0" t="s">
        <v>55</v>
      </c>
      <c r="C1065" s="0" t="s">
        <v>56</v>
      </c>
      <c r="D1065" s="0" t="n">
        <v>22</v>
      </c>
      <c r="E1065" s="5" t="n">
        <v>45945.6510416667</v>
      </c>
      <c r="F1065" s="0" t="n">
        <v>1.65</v>
      </c>
      <c r="G1065" s="0" t="n">
        <v>17016</v>
      </c>
      <c r="H1065" s="6" t="s">
        <v>74</v>
      </c>
      <c r="I1065" s="6" t="n">
        <f aca="false">D1065*F1065</f>
        <v>36.3</v>
      </c>
      <c r="J1065" s="6" t="n">
        <f aca="false">HOUR(E1065)</f>
        <v>15</v>
      </c>
      <c r="K1065" s="6" t="n">
        <f aca="false">IF(COUNTIF($A$2:$A1065,A1065)=1,1,0)</f>
        <v>0</v>
      </c>
    </row>
    <row r="1066" customFormat="false" ht="15" hidden="false" customHeight="false" outlineLevel="0" collapsed="false">
      <c r="A1066" s="0" t="s">
        <v>301</v>
      </c>
      <c r="B1066" s="0" t="s">
        <v>140</v>
      </c>
      <c r="C1066" s="0" t="s">
        <v>141</v>
      </c>
      <c r="D1066" s="0" t="n">
        <v>7</v>
      </c>
      <c r="E1066" s="5" t="n">
        <v>45945.7317361111</v>
      </c>
      <c r="F1066" s="0" t="n">
        <v>2.08</v>
      </c>
      <c r="H1066" s="6" t="s">
        <v>42</v>
      </c>
      <c r="I1066" s="6" t="n">
        <f aca="false">D1066*F1066</f>
        <v>14.56</v>
      </c>
      <c r="J1066" s="6" t="n">
        <f aca="false">HOUR(E1066)</f>
        <v>17</v>
      </c>
      <c r="K1066" s="6" t="n">
        <f aca="false">IF(COUNTIF($A$2:$A1066,A1066)=1,1,0)</f>
        <v>1</v>
      </c>
    </row>
    <row r="1067" customFormat="false" ht="15" hidden="false" customHeight="false" outlineLevel="0" collapsed="false">
      <c r="A1067" s="0" t="s">
        <v>301</v>
      </c>
      <c r="B1067" s="0" t="s">
        <v>83</v>
      </c>
      <c r="C1067" s="0" t="s">
        <v>84</v>
      </c>
      <c r="D1067" s="0" t="n">
        <v>4</v>
      </c>
      <c r="E1067" s="5" t="n">
        <v>45945.7317361111</v>
      </c>
      <c r="F1067" s="0" t="n">
        <v>2.95</v>
      </c>
      <c r="H1067" s="6" t="s">
        <v>42</v>
      </c>
      <c r="I1067" s="6" t="n">
        <f aca="false">D1067*F1067</f>
        <v>11.8</v>
      </c>
      <c r="J1067" s="6" t="n">
        <f aca="false">HOUR(E1067)</f>
        <v>17</v>
      </c>
      <c r="K1067" s="6" t="n">
        <f aca="false">IF(COUNTIF($A$2:$A1067,A1067)=1,1,0)</f>
        <v>0</v>
      </c>
    </row>
    <row r="1068" customFormat="false" ht="15" hidden="false" customHeight="false" outlineLevel="0" collapsed="false">
      <c r="A1068" s="0" t="s">
        <v>301</v>
      </c>
      <c r="B1068" s="0" t="s">
        <v>104</v>
      </c>
      <c r="C1068" s="0" t="s">
        <v>105</v>
      </c>
      <c r="D1068" s="0" t="n">
        <v>16</v>
      </c>
      <c r="E1068" s="5" t="n">
        <v>45945.7317361111</v>
      </c>
      <c r="F1068" s="0" t="n">
        <v>1.65</v>
      </c>
      <c r="H1068" s="6" t="s">
        <v>42</v>
      </c>
      <c r="I1068" s="6" t="n">
        <f aca="false">D1068*F1068</f>
        <v>26.4</v>
      </c>
      <c r="J1068" s="6" t="n">
        <f aca="false">HOUR(E1068)</f>
        <v>17</v>
      </c>
      <c r="K1068" s="6" t="n">
        <f aca="false">IF(COUNTIF($A$2:$A1068,A1068)=1,1,0)</f>
        <v>0</v>
      </c>
    </row>
    <row r="1069" customFormat="false" ht="15" hidden="false" customHeight="false" outlineLevel="0" collapsed="false">
      <c r="A1069" s="0" t="s">
        <v>302</v>
      </c>
      <c r="B1069" s="0" t="s">
        <v>99</v>
      </c>
      <c r="C1069" s="0" t="s">
        <v>100</v>
      </c>
      <c r="D1069" s="0" t="n">
        <v>14</v>
      </c>
      <c r="E1069" s="5" t="n">
        <v>45945.7840856482</v>
      </c>
      <c r="F1069" s="0" t="n">
        <v>2.08</v>
      </c>
      <c r="G1069" s="0" t="n">
        <v>17251</v>
      </c>
      <c r="H1069" s="6" t="s">
        <v>151</v>
      </c>
      <c r="I1069" s="6" t="n">
        <f aca="false">D1069*F1069</f>
        <v>29.12</v>
      </c>
      <c r="J1069" s="6" t="n">
        <f aca="false">HOUR(E1069)</f>
        <v>18</v>
      </c>
      <c r="K1069" s="6" t="n">
        <f aca="false">IF(COUNTIF($A$2:$A1069,A1069)=1,1,0)</f>
        <v>1</v>
      </c>
    </row>
    <row r="1070" customFormat="false" ht="15" hidden="false" customHeight="false" outlineLevel="0" collapsed="false">
      <c r="A1070" s="0" t="s">
        <v>302</v>
      </c>
      <c r="B1070" s="0" t="s">
        <v>91</v>
      </c>
      <c r="C1070" s="0" t="s">
        <v>92</v>
      </c>
      <c r="D1070" s="0" t="n">
        <v>2</v>
      </c>
      <c r="E1070" s="5" t="n">
        <v>45945.7840856482</v>
      </c>
      <c r="F1070" s="0" t="n">
        <v>7.65</v>
      </c>
      <c r="G1070" s="0" t="n">
        <v>17251</v>
      </c>
      <c r="H1070" s="6" t="s">
        <v>151</v>
      </c>
      <c r="I1070" s="6" t="n">
        <f aca="false">D1070*F1070</f>
        <v>15.3</v>
      </c>
      <c r="J1070" s="6" t="n">
        <f aca="false">HOUR(E1070)</f>
        <v>18</v>
      </c>
      <c r="K1070" s="6" t="n">
        <f aca="false">IF(COUNTIF($A$2:$A1070,A1070)=1,1,0)</f>
        <v>0</v>
      </c>
    </row>
    <row r="1071" customFormat="false" ht="15" hidden="false" customHeight="false" outlineLevel="0" collapsed="false">
      <c r="A1071" s="0" t="s">
        <v>302</v>
      </c>
      <c r="B1071" s="0" t="s">
        <v>134</v>
      </c>
      <c r="C1071" s="0" t="s">
        <v>135</v>
      </c>
      <c r="D1071" s="0" t="n">
        <v>15</v>
      </c>
      <c r="E1071" s="5" t="n">
        <v>45945.7840856482</v>
      </c>
      <c r="F1071" s="0" t="n">
        <v>5.95</v>
      </c>
      <c r="G1071" s="0" t="n">
        <v>17251</v>
      </c>
      <c r="H1071" s="6" t="s">
        <v>151</v>
      </c>
      <c r="I1071" s="6" t="n">
        <f aca="false">D1071*F1071</f>
        <v>89.25</v>
      </c>
      <c r="J1071" s="6" t="n">
        <f aca="false">HOUR(E1071)</f>
        <v>18</v>
      </c>
      <c r="K1071" s="6" t="n">
        <f aca="false">IF(COUNTIF($A$2:$A1071,A1071)=1,1,0)</f>
        <v>0</v>
      </c>
    </row>
    <row r="1072" customFormat="false" ht="15" hidden="false" customHeight="false" outlineLevel="0" collapsed="false">
      <c r="A1072" s="0" t="s">
        <v>302</v>
      </c>
      <c r="B1072" s="0" t="s">
        <v>86</v>
      </c>
      <c r="C1072" s="0" t="s">
        <v>87</v>
      </c>
      <c r="D1072" s="0" t="n">
        <v>1</v>
      </c>
      <c r="E1072" s="5" t="n">
        <v>45945.7840856482</v>
      </c>
      <c r="F1072" s="0" t="n">
        <v>4.25</v>
      </c>
      <c r="G1072" s="0" t="n">
        <v>17251</v>
      </c>
      <c r="H1072" s="6" t="s">
        <v>151</v>
      </c>
      <c r="I1072" s="6" t="n">
        <f aca="false">D1072*F1072</f>
        <v>4.25</v>
      </c>
      <c r="J1072" s="6" t="n">
        <f aca="false">HOUR(E1072)</f>
        <v>18</v>
      </c>
      <c r="K1072" s="6" t="n">
        <f aca="false">IF(COUNTIF($A$2:$A1072,A1072)=1,1,0)</f>
        <v>0</v>
      </c>
    </row>
    <row r="1073" customFormat="false" ht="15" hidden="false" customHeight="false" outlineLevel="0" collapsed="false">
      <c r="A1073" s="0" t="s">
        <v>302</v>
      </c>
      <c r="B1073" s="0" t="s">
        <v>121</v>
      </c>
      <c r="C1073" s="0" t="s">
        <v>122</v>
      </c>
      <c r="D1073" s="0" t="n">
        <v>17</v>
      </c>
      <c r="E1073" s="5" t="n">
        <v>45945.7840856482</v>
      </c>
      <c r="F1073" s="0" t="n">
        <v>2.1</v>
      </c>
      <c r="G1073" s="0" t="n">
        <v>17251</v>
      </c>
      <c r="H1073" s="6" t="s">
        <v>151</v>
      </c>
      <c r="I1073" s="6" t="n">
        <f aca="false">D1073*F1073</f>
        <v>35.7</v>
      </c>
      <c r="J1073" s="6" t="n">
        <f aca="false">HOUR(E1073)</f>
        <v>18</v>
      </c>
      <c r="K1073" s="6" t="n">
        <f aca="false">IF(COUNTIF($A$2:$A1073,A1073)=1,1,0)</f>
        <v>0</v>
      </c>
    </row>
    <row r="1074" customFormat="false" ht="15" hidden="false" customHeight="false" outlineLevel="0" collapsed="false">
      <c r="A1074" s="0" t="s">
        <v>302</v>
      </c>
      <c r="B1074" s="0" t="s">
        <v>79</v>
      </c>
      <c r="C1074" s="0" t="s">
        <v>80</v>
      </c>
      <c r="D1074" s="0" t="n">
        <v>22</v>
      </c>
      <c r="E1074" s="5" t="n">
        <v>45945.7840856482</v>
      </c>
      <c r="F1074" s="0" t="n">
        <v>3.39</v>
      </c>
      <c r="G1074" s="0" t="n">
        <v>17251</v>
      </c>
      <c r="H1074" s="6" t="s">
        <v>151</v>
      </c>
      <c r="I1074" s="6" t="n">
        <f aca="false">D1074*F1074</f>
        <v>74.58</v>
      </c>
      <c r="J1074" s="6" t="n">
        <f aca="false">HOUR(E1074)</f>
        <v>18</v>
      </c>
      <c r="K1074" s="6" t="n">
        <f aca="false">IF(COUNTIF($A$2:$A1074,A1074)=1,1,0)</f>
        <v>0</v>
      </c>
    </row>
    <row r="1075" customFormat="false" ht="15" hidden="false" customHeight="false" outlineLevel="0" collapsed="false">
      <c r="A1075" s="0" t="s">
        <v>302</v>
      </c>
      <c r="B1075" s="0" t="s">
        <v>95</v>
      </c>
      <c r="C1075" s="0" t="s">
        <v>96</v>
      </c>
      <c r="D1075" s="0" t="n">
        <v>11</v>
      </c>
      <c r="E1075" s="5" t="n">
        <v>45945.7840856482</v>
      </c>
      <c r="F1075" s="0" t="n">
        <v>2.55</v>
      </c>
      <c r="G1075" s="0" t="n">
        <v>17251</v>
      </c>
      <c r="H1075" s="6" t="s">
        <v>151</v>
      </c>
      <c r="I1075" s="6" t="n">
        <f aca="false">D1075*F1075</f>
        <v>28.05</v>
      </c>
      <c r="J1075" s="6" t="n">
        <f aca="false">HOUR(E1075)</f>
        <v>18</v>
      </c>
      <c r="K1075" s="6" t="n">
        <f aca="false">IF(COUNTIF($A$2:$A1075,A1075)=1,1,0)</f>
        <v>0</v>
      </c>
    </row>
    <row r="1076" customFormat="false" ht="15" hidden="false" customHeight="false" outlineLevel="0" collapsed="false">
      <c r="A1076" s="0" t="s">
        <v>302</v>
      </c>
      <c r="B1076" s="0" t="s">
        <v>125</v>
      </c>
      <c r="C1076" s="0" t="s">
        <v>126</v>
      </c>
      <c r="D1076" s="0" t="n">
        <v>19</v>
      </c>
      <c r="E1076" s="5" t="n">
        <v>45945.7840856482</v>
      </c>
      <c r="F1076" s="0" t="n">
        <v>1.25</v>
      </c>
      <c r="G1076" s="0" t="n">
        <v>17251</v>
      </c>
      <c r="H1076" s="6" t="s">
        <v>151</v>
      </c>
      <c r="I1076" s="6" t="n">
        <f aca="false">D1076*F1076</f>
        <v>23.75</v>
      </c>
      <c r="J1076" s="6" t="n">
        <f aca="false">HOUR(E1076)</f>
        <v>18</v>
      </c>
      <c r="K1076" s="6" t="n">
        <f aca="false">IF(COUNTIF($A$2:$A1076,A1076)=1,1,0)</f>
        <v>0</v>
      </c>
    </row>
    <row r="1077" customFormat="false" ht="15" hidden="false" customHeight="false" outlineLevel="0" collapsed="false">
      <c r="A1077" s="0" t="s">
        <v>302</v>
      </c>
      <c r="B1077" s="0" t="s">
        <v>65</v>
      </c>
      <c r="C1077" s="0" t="s">
        <v>66</v>
      </c>
      <c r="D1077" s="0" t="n">
        <v>5</v>
      </c>
      <c r="E1077" s="5" t="n">
        <v>45945.7840856482</v>
      </c>
      <c r="F1077" s="0" t="n">
        <v>1.65</v>
      </c>
      <c r="G1077" s="0" t="n">
        <v>17251</v>
      </c>
      <c r="H1077" s="6" t="s">
        <v>151</v>
      </c>
      <c r="I1077" s="6" t="n">
        <f aca="false">D1077*F1077</f>
        <v>8.25</v>
      </c>
      <c r="J1077" s="6" t="n">
        <f aca="false">HOUR(E1077)</f>
        <v>18</v>
      </c>
      <c r="K1077" s="6" t="n">
        <f aca="false">IF(COUNTIF($A$2:$A1077,A1077)=1,1,0)</f>
        <v>0</v>
      </c>
    </row>
    <row r="1078" customFormat="false" ht="15" hidden="false" customHeight="false" outlineLevel="0" collapsed="false">
      <c r="A1078" s="0" t="s">
        <v>303</v>
      </c>
      <c r="B1078" s="0" t="s">
        <v>50</v>
      </c>
      <c r="C1078" s="0" t="s">
        <v>51</v>
      </c>
      <c r="D1078" s="0" t="n">
        <v>5</v>
      </c>
      <c r="E1078" s="5" t="n">
        <v>45945.8470949074</v>
      </c>
      <c r="F1078" s="0" t="n">
        <v>5.95</v>
      </c>
      <c r="G1078" s="0" t="n">
        <v>17028</v>
      </c>
      <c r="H1078" s="6" t="s">
        <v>74</v>
      </c>
      <c r="I1078" s="6" t="n">
        <f aca="false">D1078*F1078</f>
        <v>29.75</v>
      </c>
      <c r="J1078" s="6" t="n">
        <f aca="false">HOUR(E1078)</f>
        <v>20</v>
      </c>
      <c r="K1078" s="6" t="n">
        <f aca="false">IF(COUNTIF($A$2:$A1078,A1078)=1,1,0)</f>
        <v>1</v>
      </c>
    </row>
    <row r="1079" customFormat="false" ht="15" hidden="false" customHeight="false" outlineLevel="0" collapsed="false">
      <c r="A1079" s="0" t="s">
        <v>303</v>
      </c>
      <c r="B1079" s="0" t="s">
        <v>59</v>
      </c>
      <c r="C1079" s="0" t="s">
        <v>60</v>
      </c>
      <c r="D1079" s="0" t="n">
        <v>12</v>
      </c>
      <c r="E1079" s="5" t="n">
        <v>45945.8470949074</v>
      </c>
      <c r="F1079" s="0" t="n">
        <v>0.42</v>
      </c>
      <c r="G1079" s="0" t="n">
        <v>17028</v>
      </c>
      <c r="H1079" s="6" t="s">
        <v>74</v>
      </c>
      <c r="I1079" s="6" t="n">
        <f aca="false">D1079*F1079</f>
        <v>5.04</v>
      </c>
      <c r="J1079" s="6" t="n">
        <f aca="false">HOUR(E1079)</f>
        <v>20</v>
      </c>
      <c r="K1079" s="6" t="n">
        <f aca="false">IF(COUNTIF($A$2:$A1079,A1079)=1,1,0)</f>
        <v>0</v>
      </c>
    </row>
    <row r="1080" customFormat="false" ht="15" hidden="false" customHeight="false" outlineLevel="0" collapsed="false">
      <c r="A1080" s="0" t="s">
        <v>303</v>
      </c>
      <c r="B1080" s="0" t="s">
        <v>43</v>
      </c>
      <c r="C1080" s="0" t="s">
        <v>44</v>
      </c>
      <c r="D1080" s="0" t="n">
        <v>16</v>
      </c>
      <c r="E1080" s="5" t="n">
        <v>45945.8470949074</v>
      </c>
      <c r="F1080" s="0" t="n">
        <v>4.25</v>
      </c>
      <c r="G1080" s="0" t="n">
        <v>17028</v>
      </c>
      <c r="H1080" s="6" t="s">
        <v>74</v>
      </c>
      <c r="I1080" s="6" t="n">
        <f aca="false">D1080*F1080</f>
        <v>68</v>
      </c>
      <c r="J1080" s="6" t="n">
        <f aca="false">HOUR(E1080)</f>
        <v>20</v>
      </c>
      <c r="K1080" s="6" t="n">
        <f aca="false">IF(COUNTIF($A$2:$A1080,A1080)=1,1,0)</f>
        <v>0</v>
      </c>
    </row>
    <row r="1081" customFormat="false" ht="15" hidden="false" customHeight="false" outlineLevel="0" collapsed="false">
      <c r="A1081" s="0" t="s">
        <v>303</v>
      </c>
      <c r="B1081" s="0" t="s">
        <v>125</v>
      </c>
      <c r="C1081" s="0" t="s">
        <v>126</v>
      </c>
      <c r="D1081" s="0" t="n">
        <v>22</v>
      </c>
      <c r="E1081" s="5" t="n">
        <v>45945.8470949074</v>
      </c>
      <c r="F1081" s="0" t="n">
        <v>1.25</v>
      </c>
      <c r="G1081" s="0" t="n">
        <v>17028</v>
      </c>
      <c r="H1081" s="6" t="s">
        <v>74</v>
      </c>
      <c r="I1081" s="6" t="n">
        <f aca="false">D1081*F1081</f>
        <v>27.5</v>
      </c>
      <c r="J1081" s="6" t="n">
        <f aca="false">HOUR(E1081)</f>
        <v>20</v>
      </c>
      <c r="K1081" s="6" t="n">
        <f aca="false">IF(COUNTIF($A$2:$A1081,A1081)=1,1,0)</f>
        <v>0</v>
      </c>
    </row>
    <row r="1082" customFormat="false" ht="15" hidden="false" customHeight="false" outlineLevel="0" collapsed="false">
      <c r="A1082" s="0" t="s">
        <v>303</v>
      </c>
      <c r="B1082" s="0" t="s">
        <v>86</v>
      </c>
      <c r="C1082" s="0" t="s">
        <v>87</v>
      </c>
      <c r="D1082" s="0" t="n">
        <v>15</v>
      </c>
      <c r="E1082" s="5" t="n">
        <v>45945.8470949074</v>
      </c>
      <c r="F1082" s="0" t="n">
        <v>4.25</v>
      </c>
      <c r="G1082" s="0" t="n">
        <v>17028</v>
      </c>
      <c r="H1082" s="6" t="s">
        <v>74</v>
      </c>
      <c r="I1082" s="6" t="n">
        <f aca="false">D1082*F1082</f>
        <v>63.75</v>
      </c>
      <c r="J1082" s="6" t="n">
        <f aca="false">HOUR(E1082)</f>
        <v>20</v>
      </c>
      <c r="K1082" s="6" t="n">
        <f aca="false">IF(COUNTIF($A$2:$A1082,A1082)=1,1,0)</f>
        <v>0</v>
      </c>
    </row>
    <row r="1083" customFormat="false" ht="15" hidden="false" customHeight="false" outlineLevel="0" collapsed="false">
      <c r="A1083" s="0" t="s">
        <v>303</v>
      </c>
      <c r="B1083" s="0" t="s">
        <v>102</v>
      </c>
      <c r="C1083" s="0" t="s">
        <v>103</v>
      </c>
      <c r="D1083" s="0" t="n">
        <v>29</v>
      </c>
      <c r="E1083" s="5" t="n">
        <v>45945.8470949074</v>
      </c>
      <c r="F1083" s="0" t="n">
        <v>8.5</v>
      </c>
      <c r="G1083" s="0" t="n">
        <v>17028</v>
      </c>
      <c r="H1083" s="6" t="s">
        <v>74</v>
      </c>
      <c r="I1083" s="6" t="n">
        <f aca="false">D1083*F1083</f>
        <v>246.5</v>
      </c>
      <c r="J1083" s="6" t="n">
        <f aca="false">HOUR(E1083)</f>
        <v>20</v>
      </c>
      <c r="K1083" s="6" t="n">
        <f aca="false">IF(COUNTIF($A$2:$A1083,A1083)=1,1,0)</f>
        <v>0</v>
      </c>
    </row>
    <row r="1084" customFormat="false" ht="15" hidden="false" customHeight="false" outlineLevel="0" collapsed="false">
      <c r="A1084" s="0" t="s">
        <v>303</v>
      </c>
      <c r="B1084" s="0" t="s">
        <v>53</v>
      </c>
      <c r="C1084" s="0" t="s">
        <v>54</v>
      </c>
      <c r="D1084" s="0" t="n">
        <v>6</v>
      </c>
      <c r="E1084" s="5" t="n">
        <v>45945.8470949074</v>
      </c>
      <c r="F1084" s="0" t="n">
        <v>2.95</v>
      </c>
      <c r="G1084" s="0" t="n">
        <v>17028</v>
      </c>
      <c r="H1084" s="6" t="s">
        <v>74</v>
      </c>
      <c r="I1084" s="6" t="n">
        <f aca="false">D1084*F1084</f>
        <v>17.7</v>
      </c>
      <c r="J1084" s="6" t="n">
        <f aca="false">HOUR(E1084)</f>
        <v>20</v>
      </c>
      <c r="K1084" s="6" t="n">
        <f aca="false">IF(COUNTIF($A$2:$A1084,A1084)=1,1,0)</f>
        <v>0</v>
      </c>
    </row>
    <row r="1085" customFormat="false" ht="15" hidden="false" customHeight="false" outlineLevel="0" collapsed="false">
      <c r="A1085" s="0" t="s">
        <v>303</v>
      </c>
      <c r="B1085" s="0" t="s">
        <v>79</v>
      </c>
      <c r="C1085" s="0" t="s">
        <v>80</v>
      </c>
      <c r="D1085" s="0" t="n">
        <v>18</v>
      </c>
      <c r="E1085" s="5" t="n">
        <v>45945.8470949074</v>
      </c>
      <c r="F1085" s="0" t="n">
        <v>3.39</v>
      </c>
      <c r="G1085" s="0" t="n">
        <v>17028</v>
      </c>
      <c r="H1085" s="6" t="s">
        <v>74</v>
      </c>
      <c r="I1085" s="6" t="n">
        <f aca="false">D1085*F1085</f>
        <v>61.02</v>
      </c>
      <c r="J1085" s="6" t="n">
        <f aca="false">HOUR(E1085)</f>
        <v>20</v>
      </c>
      <c r="K1085" s="6" t="n">
        <f aca="false">IF(COUNTIF($A$2:$A1085,A1085)=1,1,0)</f>
        <v>0</v>
      </c>
    </row>
    <row r="1086" customFormat="false" ht="15" hidden="false" customHeight="false" outlineLevel="0" collapsed="false">
      <c r="A1086" s="0" t="s">
        <v>304</v>
      </c>
      <c r="B1086" s="0" t="s">
        <v>104</v>
      </c>
      <c r="C1086" s="0" t="s">
        <v>105</v>
      </c>
      <c r="D1086" s="0" t="n">
        <v>13</v>
      </c>
      <c r="E1086" s="5" t="n">
        <v>45946.4202546296</v>
      </c>
      <c r="F1086" s="0" t="n">
        <v>1.65</v>
      </c>
      <c r="G1086" s="0" t="n">
        <v>17020</v>
      </c>
      <c r="H1086" s="6" t="s">
        <v>74</v>
      </c>
      <c r="I1086" s="6" t="n">
        <f aca="false">D1086*F1086</f>
        <v>21.45</v>
      </c>
      <c r="J1086" s="6" t="n">
        <f aca="false">HOUR(E1086)</f>
        <v>10</v>
      </c>
      <c r="K1086" s="6" t="n">
        <f aca="false">IF(COUNTIF($A$2:$A1086,A1086)=1,1,0)</f>
        <v>1</v>
      </c>
    </row>
    <row r="1087" customFormat="false" ht="15" hidden="false" customHeight="false" outlineLevel="0" collapsed="false">
      <c r="A1087" s="0" t="s">
        <v>304</v>
      </c>
      <c r="B1087" s="0" t="s">
        <v>140</v>
      </c>
      <c r="C1087" s="0" t="s">
        <v>141</v>
      </c>
      <c r="D1087" s="0" t="n">
        <v>13</v>
      </c>
      <c r="E1087" s="5" t="n">
        <v>45946.4202546296</v>
      </c>
      <c r="F1087" s="0" t="n">
        <v>2.08</v>
      </c>
      <c r="G1087" s="0" t="n">
        <v>17020</v>
      </c>
      <c r="H1087" s="6" t="s">
        <v>74</v>
      </c>
      <c r="I1087" s="6" t="n">
        <f aca="false">D1087*F1087</f>
        <v>27.04</v>
      </c>
      <c r="J1087" s="6" t="n">
        <f aca="false">HOUR(E1087)</f>
        <v>10</v>
      </c>
      <c r="K1087" s="6" t="n">
        <f aca="false">IF(COUNTIF($A$2:$A1087,A1087)=1,1,0)</f>
        <v>0</v>
      </c>
    </row>
    <row r="1088" customFormat="false" ht="15" hidden="false" customHeight="false" outlineLevel="0" collapsed="false">
      <c r="A1088" s="0" t="s">
        <v>304</v>
      </c>
      <c r="B1088" s="0" t="s">
        <v>93</v>
      </c>
      <c r="C1088" s="0" t="s">
        <v>94</v>
      </c>
      <c r="D1088" s="0" t="n">
        <v>22</v>
      </c>
      <c r="E1088" s="5" t="n">
        <v>45946.4202546296</v>
      </c>
      <c r="F1088" s="0" t="n">
        <v>1.69</v>
      </c>
      <c r="G1088" s="0" t="n">
        <v>17020</v>
      </c>
      <c r="H1088" s="6" t="s">
        <v>74</v>
      </c>
      <c r="I1088" s="6" t="n">
        <f aca="false">D1088*F1088</f>
        <v>37.18</v>
      </c>
      <c r="J1088" s="6" t="n">
        <f aca="false">HOUR(E1088)</f>
        <v>10</v>
      </c>
      <c r="K1088" s="6" t="n">
        <f aca="false">IF(COUNTIF($A$2:$A1088,A1088)=1,1,0)</f>
        <v>0</v>
      </c>
    </row>
    <row r="1089" customFormat="false" ht="15" hidden="false" customHeight="false" outlineLevel="0" collapsed="false">
      <c r="A1089" s="0" t="s">
        <v>304</v>
      </c>
      <c r="B1089" s="0" t="s">
        <v>91</v>
      </c>
      <c r="C1089" s="0" t="s">
        <v>92</v>
      </c>
      <c r="D1089" s="0" t="n">
        <v>6</v>
      </c>
      <c r="E1089" s="5" t="n">
        <v>45946.4202546296</v>
      </c>
      <c r="F1089" s="0" t="n">
        <v>7.65</v>
      </c>
      <c r="G1089" s="0" t="n">
        <v>17020</v>
      </c>
      <c r="H1089" s="6" t="s">
        <v>74</v>
      </c>
      <c r="I1089" s="6" t="n">
        <f aca="false">D1089*F1089</f>
        <v>45.9</v>
      </c>
      <c r="J1089" s="6" t="n">
        <f aca="false">HOUR(E1089)</f>
        <v>10</v>
      </c>
      <c r="K1089" s="6" t="n">
        <f aca="false">IF(COUNTIF($A$2:$A1089,A1089)=1,1,0)</f>
        <v>0</v>
      </c>
    </row>
    <row r="1090" customFormat="false" ht="15" hidden="false" customHeight="false" outlineLevel="0" collapsed="false">
      <c r="A1090" s="0" t="s">
        <v>305</v>
      </c>
      <c r="B1090" s="0" t="s">
        <v>114</v>
      </c>
      <c r="C1090" s="0" t="s">
        <v>115</v>
      </c>
      <c r="D1090" s="0" t="n">
        <v>18</v>
      </c>
      <c r="E1090" s="5" t="n">
        <v>45946.4293634259</v>
      </c>
      <c r="F1090" s="0" t="n">
        <v>2.08</v>
      </c>
      <c r="G1090" s="0" t="n">
        <v>17147</v>
      </c>
      <c r="H1090" s="6" t="s">
        <v>74</v>
      </c>
      <c r="I1090" s="6" t="n">
        <f aca="false">D1090*F1090</f>
        <v>37.44</v>
      </c>
      <c r="J1090" s="6" t="n">
        <f aca="false">HOUR(E1090)</f>
        <v>10</v>
      </c>
      <c r="K1090" s="6" t="n">
        <f aca="false">IF(COUNTIF($A$2:$A1090,A1090)=1,1,0)</f>
        <v>1</v>
      </c>
    </row>
    <row r="1091" customFormat="false" ht="15" hidden="false" customHeight="false" outlineLevel="0" collapsed="false">
      <c r="A1091" s="0" t="s">
        <v>305</v>
      </c>
      <c r="B1091" s="0" t="s">
        <v>86</v>
      </c>
      <c r="C1091" s="0" t="s">
        <v>87</v>
      </c>
      <c r="D1091" s="0" t="n">
        <v>6</v>
      </c>
      <c r="E1091" s="5" t="n">
        <v>45946.4293634259</v>
      </c>
      <c r="F1091" s="0" t="n">
        <v>4.25</v>
      </c>
      <c r="G1091" s="0" t="n">
        <v>17147</v>
      </c>
      <c r="H1091" s="6" t="s">
        <v>74</v>
      </c>
      <c r="I1091" s="6" t="n">
        <f aca="false">D1091*F1091</f>
        <v>25.5</v>
      </c>
      <c r="J1091" s="6" t="n">
        <f aca="false">HOUR(E1091)</f>
        <v>10</v>
      </c>
      <c r="K1091" s="6" t="n">
        <f aca="false">IF(COUNTIF($A$2:$A1091,A1091)=1,1,0)</f>
        <v>0</v>
      </c>
    </row>
    <row r="1092" customFormat="false" ht="15" hidden="false" customHeight="false" outlineLevel="0" collapsed="false">
      <c r="A1092" s="0" t="s">
        <v>305</v>
      </c>
      <c r="B1092" s="0" t="s">
        <v>59</v>
      </c>
      <c r="C1092" s="0" t="s">
        <v>60</v>
      </c>
      <c r="D1092" s="0" t="n">
        <v>2</v>
      </c>
      <c r="E1092" s="5" t="n">
        <v>45946.4293634259</v>
      </c>
      <c r="F1092" s="0" t="n">
        <v>0.42</v>
      </c>
      <c r="G1092" s="0" t="n">
        <v>17147</v>
      </c>
      <c r="H1092" s="6" t="s">
        <v>74</v>
      </c>
      <c r="I1092" s="6" t="n">
        <f aca="false">D1092*F1092</f>
        <v>0.84</v>
      </c>
      <c r="J1092" s="6" t="n">
        <f aca="false">HOUR(E1092)</f>
        <v>10</v>
      </c>
      <c r="K1092" s="6" t="n">
        <f aca="false">IF(COUNTIF($A$2:$A1092,A1092)=1,1,0)</f>
        <v>0</v>
      </c>
    </row>
    <row r="1093" customFormat="false" ht="15" hidden="false" customHeight="false" outlineLevel="0" collapsed="false">
      <c r="A1093" s="0" t="s">
        <v>305</v>
      </c>
      <c r="B1093" s="0" t="s">
        <v>65</v>
      </c>
      <c r="C1093" s="0" t="s">
        <v>66</v>
      </c>
      <c r="D1093" s="0" t="n">
        <v>18</v>
      </c>
      <c r="E1093" s="5" t="n">
        <v>45946.4293634259</v>
      </c>
      <c r="F1093" s="0" t="n">
        <v>1.65</v>
      </c>
      <c r="G1093" s="0" t="n">
        <v>17147</v>
      </c>
      <c r="H1093" s="6" t="s">
        <v>74</v>
      </c>
      <c r="I1093" s="6" t="n">
        <f aca="false">D1093*F1093</f>
        <v>29.7</v>
      </c>
      <c r="J1093" s="6" t="n">
        <f aca="false">HOUR(E1093)</f>
        <v>10</v>
      </c>
      <c r="K1093" s="6" t="n">
        <f aca="false">IF(COUNTIF($A$2:$A1093,A1093)=1,1,0)</f>
        <v>0</v>
      </c>
    </row>
    <row r="1094" customFormat="false" ht="15" hidden="false" customHeight="false" outlineLevel="0" collapsed="false">
      <c r="A1094" s="0" t="s">
        <v>305</v>
      </c>
      <c r="B1094" s="0" t="s">
        <v>93</v>
      </c>
      <c r="C1094" s="0" t="s">
        <v>94</v>
      </c>
      <c r="D1094" s="0" t="n">
        <v>7</v>
      </c>
      <c r="E1094" s="5" t="n">
        <v>45946.4293634259</v>
      </c>
      <c r="F1094" s="0" t="n">
        <v>1.69</v>
      </c>
      <c r="G1094" s="0" t="n">
        <v>17147</v>
      </c>
      <c r="H1094" s="6" t="s">
        <v>74</v>
      </c>
      <c r="I1094" s="6" t="n">
        <f aca="false">D1094*F1094</f>
        <v>11.83</v>
      </c>
      <c r="J1094" s="6" t="n">
        <f aca="false">HOUR(E1094)</f>
        <v>10</v>
      </c>
      <c r="K1094" s="6" t="n">
        <f aca="false">IF(COUNTIF($A$2:$A1094,A1094)=1,1,0)</f>
        <v>0</v>
      </c>
    </row>
    <row r="1095" customFormat="false" ht="15" hidden="false" customHeight="false" outlineLevel="0" collapsed="false">
      <c r="A1095" s="0" t="s">
        <v>306</v>
      </c>
      <c r="B1095" s="0" t="s">
        <v>137</v>
      </c>
      <c r="C1095" s="0" t="s">
        <v>138</v>
      </c>
      <c r="D1095" s="0" t="n">
        <v>13</v>
      </c>
      <c r="E1095" s="5" t="n">
        <v>45946.4718171296</v>
      </c>
      <c r="F1095" s="0" t="n">
        <v>2.1</v>
      </c>
      <c r="G1095" s="0" t="n">
        <v>17133</v>
      </c>
      <c r="H1095" s="6" t="s">
        <v>74</v>
      </c>
      <c r="I1095" s="6" t="n">
        <f aca="false">D1095*F1095</f>
        <v>27.3</v>
      </c>
      <c r="J1095" s="6" t="n">
        <f aca="false">HOUR(E1095)</f>
        <v>11</v>
      </c>
      <c r="K1095" s="6" t="n">
        <f aca="false">IF(COUNTIF($A$2:$A1095,A1095)=1,1,0)</f>
        <v>1</v>
      </c>
    </row>
    <row r="1096" customFormat="false" ht="15" hidden="false" customHeight="false" outlineLevel="0" collapsed="false">
      <c r="A1096" s="0" t="s">
        <v>306</v>
      </c>
      <c r="B1096" s="0" t="s">
        <v>125</v>
      </c>
      <c r="C1096" s="0" t="s">
        <v>126</v>
      </c>
      <c r="D1096" s="0" t="n">
        <v>4</v>
      </c>
      <c r="E1096" s="5" t="n">
        <v>45946.4718171296</v>
      </c>
      <c r="F1096" s="0" t="n">
        <v>1.25</v>
      </c>
      <c r="G1096" s="0" t="n">
        <v>17133</v>
      </c>
      <c r="H1096" s="6" t="s">
        <v>74</v>
      </c>
      <c r="I1096" s="6" t="n">
        <f aca="false">D1096*F1096</f>
        <v>5</v>
      </c>
      <c r="J1096" s="6" t="n">
        <f aca="false">HOUR(E1096)</f>
        <v>11</v>
      </c>
      <c r="K1096" s="6" t="n">
        <f aca="false">IF(COUNTIF($A$2:$A1096,A1096)=1,1,0)</f>
        <v>0</v>
      </c>
    </row>
    <row r="1097" customFormat="false" ht="15" hidden="false" customHeight="false" outlineLevel="0" collapsed="false">
      <c r="A1097" s="0" t="s">
        <v>306</v>
      </c>
      <c r="B1097" s="0" t="s">
        <v>104</v>
      </c>
      <c r="C1097" s="0" t="s">
        <v>105</v>
      </c>
      <c r="D1097" s="0" t="n">
        <v>14</v>
      </c>
      <c r="E1097" s="5" t="n">
        <v>45946.4718171296</v>
      </c>
      <c r="F1097" s="0" t="n">
        <v>1.65</v>
      </c>
      <c r="G1097" s="0" t="n">
        <v>17133</v>
      </c>
      <c r="H1097" s="6" t="s">
        <v>74</v>
      </c>
      <c r="I1097" s="6" t="n">
        <f aca="false">D1097*F1097</f>
        <v>23.1</v>
      </c>
      <c r="J1097" s="6" t="n">
        <f aca="false">HOUR(E1097)</f>
        <v>11</v>
      </c>
      <c r="K1097" s="6" t="n">
        <f aca="false">IF(COUNTIF($A$2:$A1097,A1097)=1,1,0)</f>
        <v>0</v>
      </c>
    </row>
    <row r="1098" customFormat="false" ht="15" hidden="false" customHeight="false" outlineLevel="0" collapsed="false">
      <c r="A1098" s="0" t="s">
        <v>306</v>
      </c>
      <c r="B1098" s="0" t="s">
        <v>121</v>
      </c>
      <c r="C1098" s="0" t="s">
        <v>122</v>
      </c>
      <c r="D1098" s="0" t="n">
        <v>10</v>
      </c>
      <c r="E1098" s="5" t="n">
        <v>45946.4718171296</v>
      </c>
      <c r="F1098" s="0" t="n">
        <v>2.1</v>
      </c>
      <c r="G1098" s="0" t="n">
        <v>17133</v>
      </c>
      <c r="H1098" s="6" t="s">
        <v>74</v>
      </c>
      <c r="I1098" s="6" t="n">
        <f aca="false">D1098*F1098</f>
        <v>21</v>
      </c>
      <c r="J1098" s="6" t="n">
        <f aca="false">HOUR(E1098)</f>
        <v>11</v>
      </c>
      <c r="K1098" s="6" t="n">
        <f aca="false">IF(COUNTIF($A$2:$A1098,A1098)=1,1,0)</f>
        <v>0</v>
      </c>
    </row>
    <row r="1099" customFormat="false" ht="15" hidden="false" customHeight="false" outlineLevel="0" collapsed="false">
      <c r="A1099" s="0" t="s">
        <v>306</v>
      </c>
      <c r="B1099" s="0" t="s">
        <v>55</v>
      </c>
      <c r="C1099" s="0" t="s">
        <v>56</v>
      </c>
      <c r="D1099" s="0" t="n">
        <v>19</v>
      </c>
      <c r="E1099" s="5" t="n">
        <v>45946.4718171296</v>
      </c>
      <c r="F1099" s="0" t="n">
        <v>1.65</v>
      </c>
      <c r="G1099" s="0" t="n">
        <v>17133</v>
      </c>
      <c r="H1099" s="6" t="s">
        <v>74</v>
      </c>
      <c r="I1099" s="6" t="n">
        <f aca="false">D1099*F1099</f>
        <v>31.35</v>
      </c>
      <c r="J1099" s="6" t="n">
        <f aca="false">HOUR(E1099)</f>
        <v>11</v>
      </c>
      <c r="K1099" s="6" t="n">
        <f aca="false">IF(COUNTIF($A$2:$A1099,A1099)=1,1,0)</f>
        <v>0</v>
      </c>
    </row>
    <row r="1100" customFormat="false" ht="15" hidden="false" customHeight="false" outlineLevel="0" collapsed="false">
      <c r="A1100" s="0" t="s">
        <v>306</v>
      </c>
      <c r="B1100" s="0" t="s">
        <v>79</v>
      </c>
      <c r="C1100" s="0" t="s">
        <v>80</v>
      </c>
      <c r="D1100" s="0" t="n">
        <v>22</v>
      </c>
      <c r="E1100" s="5" t="n">
        <v>45946.4718171296</v>
      </c>
      <c r="F1100" s="0" t="n">
        <v>3.39</v>
      </c>
      <c r="G1100" s="0" t="n">
        <v>17133</v>
      </c>
      <c r="H1100" s="6" t="s">
        <v>74</v>
      </c>
      <c r="I1100" s="6" t="n">
        <f aca="false">D1100*F1100</f>
        <v>74.58</v>
      </c>
      <c r="J1100" s="6" t="n">
        <f aca="false">HOUR(E1100)</f>
        <v>11</v>
      </c>
      <c r="K1100" s="6" t="n">
        <f aca="false">IF(COUNTIF($A$2:$A1100,A1100)=1,1,0)</f>
        <v>0</v>
      </c>
    </row>
    <row r="1101" customFormat="false" ht="15" hidden="false" customHeight="false" outlineLevel="0" collapsed="false">
      <c r="A1101" s="0" t="s">
        <v>306</v>
      </c>
      <c r="B1101" s="0" t="s">
        <v>93</v>
      </c>
      <c r="C1101" s="0" t="s">
        <v>94</v>
      </c>
      <c r="D1101" s="0" t="n">
        <v>19</v>
      </c>
      <c r="E1101" s="5" t="n">
        <v>45946.4718171296</v>
      </c>
      <c r="F1101" s="0" t="n">
        <v>1.69</v>
      </c>
      <c r="G1101" s="0" t="n">
        <v>17133</v>
      </c>
      <c r="H1101" s="6" t="s">
        <v>74</v>
      </c>
      <c r="I1101" s="6" t="n">
        <f aca="false">D1101*F1101</f>
        <v>32.11</v>
      </c>
      <c r="J1101" s="6" t="n">
        <f aca="false">HOUR(E1101)</f>
        <v>11</v>
      </c>
      <c r="K1101" s="6" t="n">
        <f aca="false">IF(COUNTIF($A$2:$A1101,A1101)=1,1,0)</f>
        <v>0</v>
      </c>
    </row>
    <row r="1102" customFormat="false" ht="15" hidden="false" customHeight="false" outlineLevel="0" collapsed="false">
      <c r="A1102" s="0" t="s">
        <v>306</v>
      </c>
      <c r="B1102" s="0" t="s">
        <v>127</v>
      </c>
      <c r="C1102" s="0" t="s">
        <v>128</v>
      </c>
      <c r="D1102" s="0" t="n">
        <v>22</v>
      </c>
      <c r="E1102" s="5" t="n">
        <v>45946.4718171296</v>
      </c>
      <c r="F1102" s="0" t="n">
        <v>1.45</v>
      </c>
      <c r="G1102" s="0" t="n">
        <v>17133</v>
      </c>
      <c r="H1102" s="6" t="s">
        <v>74</v>
      </c>
      <c r="I1102" s="6" t="n">
        <f aca="false">D1102*F1102</f>
        <v>31.9</v>
      </c>
      <c r="J1102" s="6" t="n">
        <f aca="false">HOUR(E1102)</f>
        <v>11</v>
      </c>
      <c r="K1102" s="6" t="n">
        <f aca="false">IF(COUNTIF($A$2:$A1102,A1102)=1,1,0)</f>
        <v>0</v>
      </c>
    </row>
    <row r="1103" customFormat="false" ht="15" hidden="false" customHeight="false" outlineLevel="0" collapsed="false">
      <c r="A1103" s="0" t="s">
        <v>306</v>
      </c>
      <c r="B1103" s="0" t="s">
        <v>134</v>
      </c>
      <c r="C1103" s="0" t="s">
        <v>135</v>
      </c>
      <c r="D1103" s="0" t="n">
        <v>18</v>
      </c>
      <c r="E1103" s="5" t="n">
        <v>45946.4718171296</v>
      </c>
      <c r="F1103" s="0" t="n">
        <v>5.95</v>
      </c>
      <c r="G1103" s="0" t="n">
        <v>17133</v>
      </c>
      <c r="H1103" s="6" t="s">
        <v>74</v>
      </c>
      <c r="I1103" s="6" t="n">
        <f aca="false">D1103*F1103</f>
        <v>107.1</v>
      </c>
      <c r="J1103" s="6" t="n">
        <f aca="false">HOUR(E1103)</f>
        <v>11</v>
      </c>
      <c r="K1103" s="6" t="n">
        <f aca="false">IF(COUNTIF($A$2:$A1103,A1103)=1,1,0)</f>
        <v>0</v>
      </c>
    </row>
    <row r="1104" customFormat="false" ht="15" hidden="false" customHeight="false" outlineLevel="0" collapsed="false">
      <c r="A1104" s="0" t="s">
        <v>306</v>
      </c>
      <c r="B1104" s="0" t="s">
        <v>63</v>
      </c>
      <c r="C1104" s="0" t="s">
        <v>64</v>
      </c>
      <c r="D1104" s="0" t="n">
        <v>16</v>
      </c>
      <c r="E1104" s="5" t="n">
        <v>45946.4718171296</v>
      </c>
      <c r="F1104" s="0" t="n">
        <v>1.85</v>
      </c>
      <c r="G1104" s="0" t="n">
        <v>17133</v>
      </c>
      <c r="H1104" s="6" t="s">
        <v>74</v>
      </c>
      <c r="I1104" s="6" t="n">
        <f aca="false">D1104*F1104</f>
        <v>29.6</v>
      </c>
      <c r="J1104" s="6" t="n">
        <f aca="false">HOUR(E1104)</f>
        <v>11</v>
      </c>
      <c r="K1104" s="6" t="n">
        <f aca="false">IF(COUNTIF($A$2:$A1104,A1104)=1,1,0)</f>
        <v>0</v>
      </c>
    </row>
    <row r="1105" customFormat="false" ht="15" hidden="false" customHeight="false" outlineLevel="0" collapsed="false">
      <c r="A1105" s="0" t="s">
        <v>307</v>
      </c>
      <c r="B1105" s="0" t="s">
        <v>72</v>
      </c>
      <c r="C1105" s="0" t="s">
        <v>73</v>
      </c>
      <c r="D1105" s="0" t="n">
        <v>19</v>
      </c>
      <c r="E1105" s="5" t="n">
        <v>45946.5215972222</v>
      </c>
      <c r="F1105" s="0" t="n">
        <v>4.95</v>
      </c>
      <c r="G1105" s="0" t="n">
        <v>17080</v>
      </c>
      <c r="H1105" s="6" t="s">
        <v>74</v>
      </c>
      <c r="I1105" s="6" t="n">
        <f aca="false">D1105*F1105</f>
        <v>94.05</v>
      </c>
      <c r="J1105" s="6" t="n">
        <f aca="false">HOUR(E1105)</f>
        <v>12</v>
      </c>
      <c r="K1105" s="6" t="n">
        <f aca="false">IF(COUNTIF($A$2:$A1105,A1105)=1,1,0)</f>
        <v>1</v>
      </c>
    </row>
    <row r="1106" customFormat="false" ht="15" hidden="false" customHeight="false" outlineLevel="0" collapsed="false">
      <c r="A1106" s="0" t="s">
        <v>307</v>
      </c>
      <c r="B1106" s="0" t="s">
        <v>114</v>
      </c>
      <c r="C1106" s="0" t="s">
        <v>115</v>
      </c>
      <c r="D1106" s="0" t="n">
        <v>3</v>
      </c>
      <c r="E1106" s="5" t="n">
        <v>45946.5215972222</v>
      </c>
      <c r="F1106" s="0" t="n">
        <v>2.08</v>
      </c>
      <c r="G1106" s="0" t="n">
        <v>17080</v>
      </c>
      <c r="H1106" s="6" t="s">
        <v>74</v>
      </c>
      <c r="I1106" s="6" t="n">
        <f aca="false">D1106*F1106</f>
        <v>6.24</v>
      </c>
      <c r="J1106" s="6" t="n">
        <f aca="false">HOUR(E1106)</f>
        <v>12</v>
      </c>
      <c r="K1106" s="6" t="n">
        <f aca="false">IF(COUNTIF($A$2:$A1106,A1106)=1,1,0)</f>
        <v>0</v>
      </c>
    </row>
    <row r="1107" customFormat="false" ht="15" hidden="false" customHeight="false" outlineLevel="0" collapsed="false">
      <c r="A1107" s="0" t="s">
        <v>307</v>
      </c>
      <c r="B1107" s="0" t="s">
        <v>91</v>
      </c>
      <c r="C1107" s="0" t="s">
        <v>92</v>
      </c>
      <c r="D1107" s="0" t="n">
        <v>18</v>
      </c>
      <c r="E1107" s="5" t="n">
        <v>45946.5215972222</v>
      </c>
      <c r="F1107" s="0" t="n">
        <v>7.65</v>
      </c>
      <c r="G1107" s="0" t="n">
        <v>17080</v>
      </c>
      <c r="H1107" s="6" t="s">
        <v>74</v>
      </c>
      <c r="I1107" s="6" t="n">
        <f aca="false">D1107*F1107</f>
        <v>137.7</v>
      </c>
      <c r="J1107" s="6" t="n">
        <f aca="false">HOUR(E1107)</f>
        <v>12</v>
      </c>
      <c r="K1107" s="6" t="n">
        <f aca="false">IF(COUNTIF($A$2:$A1107,A1107)=1,1,0)</f>
        <v>0</v>
      </c>
    </row>
    <row r="1108" customFormat="false" ht="15" hidden="false" customHeight="false" outlineLevel="0" collapsed="false">
      <c r="A1108" s="0" t="s">
        <v>307</v>
      </c>
      <c r="B1108" s="0" t="s">
        <v>61</v>
      </c>
      <c r="C1108" s="0" t="s">
        <v>62</v>
      </c>
      <c r="D1108" s="0" t="n">
        <v>6</v>
      </c>
      <c r="E1108" s="5" t="n">
        <v>45946.5215972222</v>
      </c>
      <c r="F1108" s="0" t="n">
        <v>1.65</v>
      </c>
      <c r="G1108" s="0" t="n">
        <v>17080</v>
      </c>
      <c r="H1108" s="6" t="s">
        <v>74</v>
      </c>
      <c r="I1108" s="6" t="n">
        <f aca="false">D1108*F1108</f>
        <v>9.9</v>
      </c>
      <c r="J1108" s="6" t="n">
        <f aca="false">HOUR(E1108)</f>
        <v>12</v>
      </c>
      <c r="K1108" s="6" t="n">
        <f aca="false">IF(COUNTIF($A$2:$A1108,A1108)=1,1,0)</f>
        <v>0</v>
      </c>
    </row>
    <row r="1109" customFormat="false" ht="15" hidden="false" customHeight="false" outlineLevel="0" collapsed="false">
      <c r="A1109" s="0" t="s">
        <v>307</v>
      </c>
      <c r="B1109" s="0" t="s">
        <v>88</v>
      </c>
      <c r="C1109" s="0" t="s">
        <v>89</v>
      </c>
      <c r="D1109" s="0" t="n">
        <v>13</v>
      </c>
      <c r="E1109" s="5" t="n">
        <v>45946.5215972222</v>
      </c>
      <c r="F1109" s="0" t="n">
        <v>2.75</v>
      </c>
      <c r="G1109" s="0" t="n">
        <v>17080</v>
      </c>
      <c r="H1109" s="6" t="s">
        <v>74</v>
      </c>
      <c r="I1109" s="6" t="n">
        <f aca="false">D1109*F1109</f>
        <v>35.75</v>
      </c>
      <c r="J1109" s="6" t="n">
        <f aca="false">HOUR(E1109)</f>
        <v>12</v>
      </c>
      <c r="K1109" s="6" t="n">
        <f aca="false">IF(COUNTIF($A$2:$A1109,A1109)=1,1,0)</f>
        <v>0</v>
      </c>
    </row>
    <row r="1110" customFormat="false" ht="15" hidden="false" customHeight="false" outlineLevel="0" collapsed="false">
      <c r="A1110" s="0" t="s">
        <v>307</v>
      </c>
      <c r="B1110" s="0" t="s">
        <v>59</v>
      </c>
      <c r="C1110" s="0" t="s">
        <v>60</v>
      </c>
      <c r="D1110" s="0" t="n">
        <v>9</v>
      </c>
      <c r="E1110" s="5" t="n">
        <v>45946.5215972222</v>
      </c>
      <c r="F1110" s="0" t="n">
        <v>0.42</v>
      </c>
      <c r="G1110" s="0" t="n">
        <v>17080</v>
      </c>
      <c r="H1110" s="6" t="s">
        <v>74</v>
      </c>
      <c r="I1110" s="6" t="n">
        <f aca="false">D1110*F1110</f>
        <v>3.78</v>
      </c>
      <c r="J1110" s="6" t="n">
        <f aca="false">HOUR(E1110)</f>
        <v>12</v>
      </c>
      <c r="K1110" s="6" t="n">
        <f aca="false">IF(COUNTIF($A$2:$A1110,A1110)=1,1,0)</f>
        <v>0</v>
      </c>
    </row>
    <row r="1111" customFormat="false" ht="15" hidden="false" customHeight="false" outlineLevel="0" collapsed="false">
      <c r="A1111" s="0" t="s">
        <v>307</v>
      </c>
      <c r="B1111" s="0" t="s">
        <v>63</v>
      </c>
      <c r="C1111" s="0" t="s">
        <v>64</v>
      </c>
      <c r="D1111" s="0" t="n">
        <v>6</v>
      </c>
      <c r="E1111" s="5" t="n">
        <v>45946.5215972222</v>
      </c>
      <c r="F1111" s="0" t="n">
        <v>1.85</v>
      </c>
      <c r="G1111" s="0" t="n">
        <v>17080</v>
      </c>
      <c r="H1111" s="6" t="s">
        <v>74</v>
      </c>
      <c r="I1111" s="6" t="n">
        <f aca="false">D1111*F1111</f>
        <v>11.1</v>
      </c>
      <c r="J1111" s="6" t="n">
        <f aca="false">HOUR(E1111)</f>
        <v>12</v>
      </c>
      <c r="K1111" s="6" t="n">
        <f aca="false">IF(COUNTIF($A$2:$A1111,A1111)=1,1,0)</f>
        <v>0</v>
      </c>
    </row>
    <row r="1112" customFormat="false" ht="15" hidden="false" customHeight="false" outlineLevel="0" collapsed="false">
      <c r="A1112" s="0" t="s">
        <v>307</v>
      </c>
      <c r="B1112" s="0" t="s">
        <v>65</v>
      </c>
      <c r="C1112" s="0" t="s">
        <v>66</v>
      </c>
      <c r="D1112" s="0" t="n">
        <v>19</v>
      </c>
      <c r="E1112" s="5" t="n">
        <v>45946.5215972222</v>
      </c>
      <c r="F1112" s="0" t="n">
        <v>1.65</v>
      </c>
      <c r="G1112" s="0" t="n">
        <v>17080</v>
      </c>
      <c r="H1112" s="6" t="s">
        <v>74</v>
      </c>
      <c r="I1112" s="6" t="n">
        <f aca="false">D1112*F1112</f>
        <v>31.35</v>
      </c>
      <c r="J1112" s="6" t="n">
        <f aca="false">HOUR(E1112)</f>
        <v>12</v>
      </c>
      <c r="K1112" s="6" t="n">
        <f aca="false">IF(COUNTIF($A$2:$A1112,A1112)=1,1,0)</f>
        <v>0</v>
      </c>
    </row>
    <row r="1113" customFormat="false" ht="15" hidden="false" customHeight="false" outlineLevel="0" collapsed="false">
      <c r="A1113" s="0" t="s">
        <v>307</v>
      </c>
      <c r="B1113" s="0" t="s">
        <v>118</v>
      </c>
      <c r="C1113" s="0" t="s">
        <v>119</v>
      </c>
      <c r="D1113" s="0" t="n">
        <v>12</v>
      </c>
      <c r="E1113" s="5" t="n">
        <v>45946.5215972222</v>
      </c>
      <c r="F1113" s="0" t="n">
        <v>4.95</v>
      </c>
      <c r="G1113" s="0" t="n">
        <v>17080</v>
      </c>
      <c r="H1113" s="6" t="s">
        <v>74</v>
      </c>
      <c r="I1113" s="6" t="n">
        <f aca="false">D1113*F1113</f>
        <v>59.4</v>
      </c>
      <c r="J1113" s="6" t="n">
        <f aca="false">HOUR(E1113)</f>
        <v>12</v>
      </c>
      <c r="K1113" s="6" t="n">
        <f aca="false">IF(COUNTIF($A$2:$A1113,A1113)=1,1,0)</f>
        <v>0</v>
      </c>
    </row>
    <row r="1114" customFormat="false" ht="15" hidden="false" customHeight="false" outlineLevel="0" collapsed="false">
      <c r="A1114" s="0" t="s">
        <v>307</v>
      </c>
      <c r="B1114" s="0" t="s">
        <v>77</v>
      </c>
      <c r="C1114" s="0" t="s">
        <v>78</v>
      </c>
      <c r="D1114" s="0" t="n">
        <v>14</v>
      </c>
      <c r="E1114" s="5" t="n">
        <v>45946.5215972222</v>
      </c>
      <c r="F1114" s="0" t="n">
        <v>1.65</v>
      </c>
      <c r="G1114" s="0" t="n">
        <v>17080</v>
      </c>
      <c r="H1114" s="6" t="s">
        <v>74</v>
      </c>
      <c r="I1114" s="6" t="n">
        <f aca="false">D1114*F1114</f>
        <v>23.1</v>
      </c>
      <c r="J1114" s="6" t="n">
        <f aca="false">HOUR(E1114)</f>
        <v>12</v>
      </c>
      <c r="K1114" s="6" t="n">
        <f aca="false">IF(COUNTIF($A$2:$A1114,A1114)=1,1,0)</f>
        <v>0</v>
      </c>
    </row>
    <row r="1115" customFormat="false" ht="15" hidden="false" customHeight="false" outlineLevel="0" collapsed="false">
      <c r="A1115" s="0" t="s">
        <v>308</v>
      </c>
      <c r="B1115" s="0" t="s">
        <v>81</v>
      </c>
      <c r="C1115" s="0" t="s">
        <v>82</v>
      </c>
      <c r="D1115" s="0" t="n">
        <v>8</v>
      </c>
      <c r="E1115" s="5" t="n">
        <v>45946.5220717593</v>
      </c>
      <c r="F1115" s="0" t="n">
        <v>1.65</v>
      </c>
      <c r="G1115" s="0" t="n">
        <v>17018</v>
      </c>
      <c r="H1115" s="6" t="s">
        <v>74</v>
      </c>
      <c r="I1115" s="6" t="n">
        <f aca="false">D1115*F1115</f>
        <v>13.2</v>
      </c>
      <c r="J1115" s="6" t="n">
        <f aca="false">HOUR(E1115)</f>
        <v>12</v>
      </c>
      <c r="K1115" s="6" t="n">
        <f aca="false">IF(COUNTIF($A$2:$A1115,A1115)=1,1,0)</f>
        <v>1</v>
      </c>
    </row>
    <row r="1116" customFormat="false" ht="15" hidden="false" customHeight="false" outlineLevel="0" collapsed="false">
      <c r="A1116" s="0" t="s">
        <v>308</v>
      </c>
      <c r="B1116" s="0" t="s">
        <v>95</v>
      </c>
      <c r="C1116" s="0" t="s">
        <v>96</v>
      </c>
      <c r="D1116" s="0" t="n">
        <v>41</v>
      </c>
      <c r="E1116" s="5" t="n">
        <v>45946.5220717593</v>
      </c>
      <c r="F1116" s="0" t="n">
        <v>2.55</v>
      </c>
      <c r="G1116" s="0" t="n">
        <v>17018</v>
      </c>
      <c r="H1116" s="6" t="s">
        <v>74</v>
      </c>
      <c r="I1116" s="6" t="n">
        <f aca="false">D1116*F1116</f>
        <v>104.55</v>
      </c>
      <c r="J1116" s="6" t="n">
        <f aca="false">HOUR(E1116)</f>
        <v>12</v>
      </c>
      <c r="K1116" s="6" t="n">
        <f aca="false">IF(COUNTIF($A$2:$A1116,A1116)=1,1,0)</f>
        <v>0</v>
      </c>
    </row>
    <row r="1117" customFormat="false" ht="15" hidden="false" customHeight="false" outlineLevel="0" collapsed="false">
      <c r="A1117" s="0" t="s">
        <v>308</v>
      </c>
      <c r="B1117" s="0" t="s">
        <v>57</v>
      </c>
      <c r="C1117" s="0" t="s">
        <v>58</v>
      </c>
      <c r="D1117" s="0" t="n">
        <v>22</v>
      </c>
      <c r="E1117" s="5" t="n">
        <v>45946.5220717593</v>
      </c>
      <c r="F1117" s="0" t="n">
        <v>2.08</v>
      </c>
      <c r="G1117" s="0" t="n">
        <v>17018</v>
      </c>
      <c r="H1117" s="6" t="s">
        <v>74</v>
      </c>
      <c r="I1117" s="6" t="n">
        <f aca="false">D1117*F1117</f>
        <v>45.76</v>
      </c>
      <c r="J1117" s="6" t="n">
        <f aca="false">HOUR(E1117)</f>
        <v>12</v>
      </c>
      <c r="K1117" s="6" t="n">
        <f aca="false">IF(COUNTIF($A$2:$A1117,A1117)=1,1,0)</f>
        <v>0</v>
      </c>
    </row>
    <row r="1118" customFormat="false" ht="15" hidden="false" customHeight="false" outlineLevel="0" collapsed="false">
      <c r="A1118" s="0" t="s">
        <v>308</v>
      </c>
      <c r="B1118" s="0" t="s">
        <v>40</v>
      </c>
      <c r="C1118" s="0" t="s">
        <v>41</v>
      </c>
      <c r="D1118" s="0" t="n">
        <v>15</v>
      </c>
      <c r="E1118" s="5" t="n">
        <v>45946.5220717593</v>
      </c>
      <c r="F1118" s="0" t="n">
        <v>1.06</v>
      </c>
      <c r="G1118" s="0" t="n">
        <v>17018</v>
      </c>
      <c r="H1118" s="6" t="s">
        <v>74</v>
      </c>
      <c r="I1118" s="6" t="n">
        <f aca="false">D1118*F1118</f>
        <v>15.9</v>
      </c>
      <c r="J1118" s="6" t="n">
        <f aca="false">HOUR(E1118)</f>
        <v>12</v>
      </c>
      <c r="K1118" s="6" t="n">
        <f aca="false">IF(COUNTIF($A$2:$A1118,A1118)=1,1,0)</f>
        <v>0</v>
      </c>
    </row>
    <row r="1119" customFormat="false" ht="15" hidden="false" customHeight="false" outlineLevel="0" collapsed="false">
      <c r="A1119" s="0" t="s">
        <v>308</v>
      </c>
      <c r="B1119" s="0" t="s">
        <v>45</v>
      </c>
      <c r="C1119" s="0" t="s">
        <v>46</v>
      </c>
      <c r="D1119" s="0" t="n">
        <v>22</v>
      </c>
      <c r="E1119" s="5" t="n">
        <v>45946.5220717593</v>
      </c>
      <c r="F1119" s="0" t="n">
        <v>2.1</v>
      </c>
      <c r="G1119" s="0" t="n">
        <v>17018</v>
      </c>
      <c r="H1119" s="6" t="s">
        <v>74</v>
      </c>
      <c r="I1119" s="6" t="n">
        <f aca="false">D1119*F1119</f>
        <v>46.2</v>
      </c>
      <c r="J1119" s="6" t="n">
        <f aca="false">HOUR(E1119)</f>
        <v>12</v>
      </c>
      <c r="K1119" s="6" t="n">
        <f aca="false">IF(COUNTIF($A$2:$A1119,A1119)=1,1,0)</f>
        <v>0</v>
      </c>
    </row>
    <row r="1120" customFormat="false" ht="15" hidden="false" customHeight="false" outlineLevel="0" collapsed="false">
      <c r="A1120" s="0" t="s">
        <v>308</v>
      </c>
      <c r="B1120" s="0" t="s">
        <v>50</v>
      </c>
      <c r="C1120" s="0" t="s">
        <v>51</v>
      </c>
      <c r="D1120" s="0" t="n">
        <v>11</v>
      </c>
      <c r="E1120" s="5" t="n">
        <v>45946.5220717593</v>
      </c>
      <c r="F1120" s="0" t="n">
        <v>5.95</v>
      </c>
      <c r="G1120" s="0" t="n">
        <v>17018</v>
      </c>
      <c r="H1120" s="6" t="s">
        <v>74</v>
      </c>
      <c r="I1120" s="6" t="n">
        <f aca="false">D1120*F1120</f>
        <v>65.45</v>
      </c>
      <c r="J1120" s="6" t="n">
        <f aca="false">HOUR(E1120)</f>
        <v>12</v>
      </c>
      <c r="K1120" s="6" t="n">
        <f aca="false">IF(COUNTIF($A$2:$A1120,A1120)=1,1,0)</f>
        <v>0</v>
      </c>
    </row>
    <row r="1121" customFormat="false" ht="15" hidden="false" customHeight="false" outlineLevel="0" collapsed="false">
      <c r="A1121" s="0" t="s">
        <v>308</v>
      </c>
      <c r="B1121" s="0" t="s">
        <v>99</v>
      </c>
      <c r="C1121" s="0" t="s">
        <v>100</v>
      </c>
      <c r="D1121" s="0" t="n">
        <v>21</v>
      </c>
      <c r="E1121" s="5" t="n">
        <v>45946.5220717593</v>
      </c>
      <c r="F1121" s="0" t="n">
        <v>2.08</v>
      </c>
      <c r="G1121" s="0" t="n">
        <v>17018</v>
      </c>
      <c r="H1121" s="6" t="s">
        <v>74</v>
      </c>
      <c r="I1121" s="6" t="n">
        <f aca="false">D1121*F1121</f>
        <v>43.68</v>
      </c>
      <c r="J1121" s="6" t="n">
        <f aca="false">HOUR(E1121)</f>
        <v>12</v>
      </c>
      <c r="K1121" s="6" t="n">
        <f aca="false">IF(COUNTIF($A$2:$A1121,A1121)=1,1,0)</f>
        <v>0</v>
      </c>
    </row>
    <row r="1122" customFormat="false" ht="15" hidden="false" customHeight="false" outlineLevel="0" collapsed="false">
      <c r="A1122" s="0" t="s">
        <v>308</v>
      </c>
      <c r="B1122" s="0" t="s">
        <v>72</v>
      </c>
      <c r="C1122" s="0" t="s">
        <v>73</v>
      </c>
      <c r="D1122" s="0" t="n">
        <v>41</v>
      </c>
      <c r="E1122" s="5" t="n">
        <v>45946.5220717593</v>
      </c>
      <c r="F1122" s="0" t="n">
        <v>4.95</v>
      </c>
      <c r="G1122" s="0" t="n">
        <v>17018</v>
      </c>
      <c r="H1122" s="6" t="s">
        <v>74</v>
      </c>
      <c r="I1122" s="6" t="n">
        <f aca="false">D1122*F1122</f>
        <v>202.95</v>
      </c>
      <c r="J1122" s="6" t="n">
        <f aca="false">HOUR(E1122)</f>
        <v>12</v>
      </c>
      <c r="K1122" s="6" t="n">
        <f aca="false">IF(COUNTIF($A$2:$A1122,A1122)=1,1,0)</f>
        <v>0</v>
      </c>
    </row>
    <row r="1123" customFormat="false" ht="15" hidden="false" customHeight="false" outlineLevel="0" collapsed="false">
      <c r="A1123" s="0" t="s">
        <v>308</v>
      </c>
      <c r="B1123" s="0" t="s">
        <v>91</v>
      </c>
      <c r="C1123" s="0" t="s">
        <v>92</v>
      </c>
      <c r="D1123" s="0" t="n">
        <v>20</v>
      </c>
      <c r="E1123" s="5" t="n">
        <v>45946.5220717593</v>
      </c>
      <c r="F1123" s="0" t="n">
        <v>7.65</v>
      </c>
      <c r="G1123" s="0" t="n">
        <v>17018</v>
      </c>
      <c r="H1123" s="6" t="s">
        <v>74</v>
      </c>
      <c r="I1123" s="6" t="n">
        <f aca="false">D1123*F1123</f>
        <v>153</v>
      </c>
      <c r="J1123" s="6" t="n">
        <f aca="false">HOUR(E1123)</f>
        <v>12</v>
      </c>
      <c r="K1123" s="6" t="n">
        <f aca="false">IF(COUNTIF($A$2:$A1123,A1123)=1,1,0)</f>
        <v>0</v>
      </c>
    </row>
    <row r="1124" customFormat="false" ht="15" hidden="false" customHeight="false" outlineLevel="0" collapsed="false">
      <c r="A1124" s="0" t="s">
        <v>309</v>
      </c>
      <c r="B1124" s="0" t="s">
        <v>125</v>
      </c>
      <c r="C1124" s="0" t="s">
        <v>126</v>
      </c>
      <c r="D1124" s="0" t="n">
        <v>7</v>
      </c>
      <c r="E1124" s="5" t="n">
        <v>45946.5264814815</v>
      </c>
      <c r="F1124" s="0" t="n">
        <v>1.25</v>
      </c>
      <c r="G1124" s="0" t="n">
        <v>17065</v>
      </c>
      <c r="H1124" s="6" t="s">
        <v>74</v>
      </c>
      <c r="I1124" s="6" t="n">
        <f aca="false">D1124*F1124</f>
        <v>8.75</v>
      </c>
      <c r="J1124" s="6" t="n">
        <f aca="false">HOUR(E1124)</f>
        <v>12</v>
      </c>
      <c r="K1124" s="6" t="n">
        <f aca="false">IF(COUNTIF($A$2:$A1124,A1124)=1,1,0)</f>
        <v>1</v>
      </c>
    </row>
    <row r="1125" customFormat="false" ht="15" hidden="false" customHeight="false" outlineLevel="0" collapsed="false">
      <c r="A1125" s="0" t="s">
        <v>309</v>
      </c>
      <c r="B1125" s="0" t="s">
        <v>75</v>
      </c>
      <c r="C1125" s="0" t="s">
        <v>76</v>
      </c>
      <c r="D1125" s="0" t="n">
        <v>11</v>
      </c>
      <c r="E1125" s="5" t="n">
        <v>45946.5264814815</v>
      </c>
      <c r="F1125" s="0" t="n">
        <v>3.39</v>
      </c>
      <c r="G1125" s="0" t="n">
        <v>17065</v>
      </c>
      <c r="H1125" s="6" t="s">
        <v>74</v>
      </c>
      <c r="I1125" s="6" t="n">
        <f aca="false">D1125*F1125</f>
        <v>37.29</v>
      </c>
      <c r="J1125" s="6" t="n">
        <f aca="false">HOUR(E1125)</f>
        <v>12</v>
      </c>
      <c r="K1125" s="6" t="n">
        <f aca="false">IF(COUNTIF($A$2:$A1125,A1125)=1,1,0)</f>
        <v>0</v>
      </c>
    </row>
    <row r="1126" customFormat="false" ht="15" hidden="false" customHeight="false" outlineLevel="0" collapsed="false">
      <c r="A1126" s="0" t="s">
        <v>309</v>
      </c>
      <c r="B1126" s="0" t="s">
        <v>83</v>
      </c>
      <c r="C1126" s="0" t="s">
        <v>84</v>
      </c>
      <c r="D1126" s="0" t="n">
        <v>23</v>
      </c>
      <c r="E1126" s="5" t="n">
        <v>45946.5264814815</v>
      </c>
      <c r="F1126" s="0" t="n">
        <v>2.95</v>
      </c>
      <c r="G1126" s="0" t="n">
        <v>17065</v>
      </c>
      <c r="H1126" s="6" t="s">
        <v>74</v>
      </c>
      <c r="I1126" s="6" t="n">
        <f aca="false">D1126*F1126</f>
        <v>67.85</v>
      </c>
      <c r="J1126" s="6" t="n">
        <f aca="false">HOUR(E1126)</f>
        <v>12</v>
      </c>
      <c r="K1126" s="6" t="n">
        <f aca="false">IF(COUNTIF($A$2:$A1126,A1126)=1,1,0)</f>
        <v>0</v>
      </c>
    </row>
    <row r="1127" customFormat="false" ht="15" hidden="false" customHeight="false" outlineLevel="0" collapsed="false">
      <c r="A1127" s="0" t="s">
        <v>309</v>
      </c>
      <c r="B1127" s="0" t="s">
        <v>72</v>
      </c>
      <c r="C1127" s="0" t="s">
        <v>73</v>
      </c>
      <c r="D1127" s="0" t="n">
        <v>18</v>
      </c>
      <c r="E1127" s="5" t="n">
        <v>45946.5264814815</v>
      </c>
      <c r="F1127" s="0" t="n">
        <v>4.95</v>
      </c>
      <c r="G1127" s="0" t="n">
        <v>17065</v>
      </c>
      <c r="H1127" s="6" t="s">
        <v>74</v>
      </c>
      <c r="I1127" s="6" t="n">
        <f aca="false">D1127*F1127</f>
        <v>89.1</v>
      </c>
      <c r="J1127" s="6" t="n">
        <f aca="false">HOUR(E1127)</f>
        <v>12</v>
      </c>
      <c r="K1127" s="6" t="n">
        <f aca="false">IF(COUNTIF($A$2:$A1127,A1127)=1,1,0)</f>
        <v>0</v>
      </c>
    </row>
    <row r="1128" customFormat="false" ht="15" hidden="false" customHeight="false" outlineLevel="0" collapsed="false">
      <c r="A1128" s="0" t="s">
        <v>309</v>
      </c>
      <c r="B1128" s="0" t="s">
        <v>79</v>
      </c>
      <c r="C1128" s="0" t="s">
        <v>80</v>
      </c>
      <c r="D1128" s="0" t="n">
        <v>16</v>
      </c>
      <c r="E1128" s="5" t="n">
        <v>45946.5264814815</v>
      </c>
      <c r="F1128" s="0" t="n">
        <v>3.39</v>
      </c>
      <c r="G1128" s="0" t="n">
        <v>17065</v>
      </c>
      <c r="H1128" s="6" t="s">
        <v>74</v>
      </c>
      <c r="I1128" s="6" t="n">
        <f aca="false">D1128*F1128</f>
        <v>54.24</v>
      </c>
      <c r="J1128" s="6" t="n">
        <f aca="false">HOUR(E1128)</f>
        <v>12</v>
      </c>
      <c r="K1128" s="6" t="n">
        <f aca="false">IF(COUNTIF($A$2:$A1128,A1128)=1,1,0)</f>
        <v>0</v>
      </c>
    </row>
    <row r="1129" customFormat="false" ht="15" hidden="false" customHeight="false" outlineLevel="0" collapsed="false">
      <c r="A1129" s="0" t="s">
        <v>309</v>
      </c>
      <c r="B1129" s="0" t="s">
        <v>134</v>
      </c>
      <c r="C1129" s="0" t="s">
        <v>135</v>
      </c>
      <c r="D1129" s="0" t="n">
        <v>18</v>
      </c>
      <c r="E1129" s="5" t="n">
        <v>45946.5264814815</v>
      </c>
      <c r="F1129" s="0" t="n">
        <v>5.95</v>
      </c>
      <c r="G1129" s="0" t="n">
        <v>17065</v>
      </c>
      <c r="H1129" s="6" t="s">
        <v>74</v>
      </c>
      <c r="I1129" s="6" t="n">
        <f aca="false">D1129*F1129</f>
        <v>107.1</v>
      </c>
      <c r="J1129" s="6" t="n">
        <f aca="false">HOUR(E1129)</f>
        <v>12</v>
      </c>
      <c r="K1129" s="6" t="n">
        <f aca="false">IF(COUNTIF($A$2:$A1129,A1129)=1,1,0)</f>
        <v>0</v>
      </c>
    </row>
    <row r="1130" customFormat="false" ht="15" hidden="false" customHeight="false" outlineLevel="0" collapsed="false">
      <c r="A1130" s="0" t="s">
        <v>310</v>
      </c>
      <c r="B1130" s="0" t="s">
        <v>61</v>
      </c>
      <c r="C1130" s="0" t="s">
        <v>62</v>
      </c>
      <c r="D1130" s="0" t="n">
        <v>20</v>
      </c>
      <c r="E1130" s="5" t="n">
        <v>45946.5298726852</v>
      </c>
      <c r="F1130" s="0" t="n">
        <v>1.65</v>
      </c>
      <c r="G1130" s="0" t="n">
        <v>17090</v>
      </c>
      <c r="H1130" s="6" t="s">
        <v>113</v>
      </c>
      <c r="I1130" s="6" t="n">
        <f aca="false">D1130*F1130</f>
        <v>33</v>
      </c>
      <c r="J1130" s="6" t="n">
        <f aca="false">HOUR(E1130)</f>
        <v>12</v>
      </c>
      <c r="K1130" s="6" t="n">
        <f aca="false">IF(COUNTIF($A$2:$A1130,A1130)=1,1,0)</f>
        <v>1</v>
      </c>
    </row>
    <row r="1131" customFormat="false" ht="15" hidden="false" customHeight="false" outlineLevel="0" collapsed="false">
      <c r="A1131" s="0" t="s">
        <v>310</v>
      </c>
      <c r="B1131" s="0" t="s">
        <v>91</v>
      </c>
      <c r="D1131" s="0" t="n">
        <v>5</v>
      </c>
      <c r="E1131" s="5" t="n">
        <v>45946.5298726852</v>
      </c>
      <c r="F1131" s="0" t="n">
        <v>7.65</v>
      </c>
      <c r="G1131" s="0" t="n">
        <v>17090</v>
      </c>
      <c r="H1131" s="6" t="s">
        <v>113</v>
      </c>
      <c r="I1131" s="6" t="n">
        <f aca="false">D1131*F1131</f>
        <v>38.25</v>
      </c>
      <c r="J1131" s="6" t="n">
        <f aca="false">HOUR(E1131)</f>
        <v>12</v>
      </c>
      <c r="K1131" s="6" t="n">
        <f aca="false">IF(COUNTIF($A$2:$A1131,A1131)=1,1,0)</f>
        <v>0</v>
      </c>
    </row>
    <row r="1132" customFormat="false" ht="15" hidden="false" customHeight="false" outlineLevel="0" collapsed="false">
      <c r="A1132" s="0" t="s">
        <v>310</v>
      </c>
      <c r="B1132" s="0" t="s">
        <v>55</v>
      </c>
      <c r="C1132" s="0" t="s">
        <v>56</v>
      </c>
      <c r="D1132" s="0" t="n">
        <v>22</v>
      </c>
      <c r="E1132" s="5" t="n">
        <v>45946.5298726852</v>
      </c>
      <c r="F1132" s="0" t="n">
        <v>1.65</v>
      </c>
      <c r="G1132" s="0" t="n">
        <v>17090</v>
      </c>
      <c r="H1132" s="6" t="s">
        <v>113</v>
      </c>
      <c r="I1132" s="6" t="n">
        <f aca="false">D1132*F1132</f>
        <v>36.3</v>
      </c>
      <c r="J1132" s="6" t="n">
        <f aca="false">HOUR(E1132)</f>
        <v>12</v>
      </c>
      <c r="K1132" s="6" t="n">
        <f aca="false">IF(COUNTIF($A$2:$A1132,A1132)=1,1,0)</f>
        <v>0</v>
      </c>
    </row>
    <row r="1133" customFormat="false" ht="15" hidden="false" customHeight="false" outlineLevel="0" collapsed="false">
      <c r="A1133" s="0" t="s">
        <v>310</v>
      </c>
      <c r="B1133" s="0" t="s">
        <v>121</v>
      </c>
      <c r="C1133" s="0" t="s">
        <v>122</v>
      </c>
      <c r="D1133" s="0" t="n">
        <v>17</v>
      </c>
      <c r="E1133" s="5" t="n">
        <v>45946.5298726852</v>
      </c>
      <c r="F1133" s="0" t="n">
        <v>2.1</v>
      </c>
      <c r="G1133" s="0" t="n">
        <v>17090</v>
      </c>
      <c r="H1133" s="6" t="s">
        <v>113</v>
      </c>
      <c r="I1133" s="6" t="n">
        <f aca="false">D1133*F1133</f>
        <v>35.7</v>
      </c>
      <c r="J1133" s="6" t="n">
        <f aca="false">HOUR(E1133)</f>
        <v>12</v>
      </c>
      <c r="K1133" s="6" t="n">
        <f aca="false">IF(COUNTIF($A$2:$A1133,A1133)=1,1,0)</f>
        <v>0</v>
      </c>
    </row>
    <row r="1134" customFormat="false" ht="15" hidden="false" customHeight="false" outlineLevel="0" collapsed="false">
      <c r="A1134" s="0" t="s">
        <v>310</v>
      </c>
      <c r="B1134" s="0" t="s">
        <v>116</v>
      </c>
      <c r="C1134" s="0" t="s">
        <v>117</v>
      </c>
      <c r="D1134" s="0" t="n">
        <v>9</v>
      </c>
      <c r="E1134" s="5" t="n">
        <v>45946.5298726852</v>
      </c>
      <c r="F1134" s="0" t="n">
        <v>1.95</v>
      </c>
      <c r="G1134" s="0" t="n">
        <v>17090</v>
      </c>
      <c r="H1134" s="6" t="s">
        <v>113</v>
      </c>
      <c r="I1134" s="6" t="n">
        <f aca="false">D1134*F1134</f>
        <v>17.55</v>
      </c>
      <c r="J1134" s="6" t="n">
        <f aca="false">HOUR(E1134)</f>
        <v>12</v>
      </c>
      <c r="K1134" s="6" t="n">
        <f aca="false">IF(COUNTIF($A$2:$A1134,A1134)=1,1,0)</f>
        <v>0</v>
      </c>
    </row>
    <row r="1135" customFormat="false" ht="15" hidden="false" customHeight="false" outlineLevel="0" collapsed="false">
      <c r="A1135" s="0" t="s">
        <v>310</v>
      </c>
      <c r="B1135" s="0" t="s">
        <v>47</v>
      </c>
      <c r="C1135" s="0" t="s">
        <v>48</v>
      </c>
      <c r="D1135" s="0" t="n">
        <v>20</v>
      </c>
      <c r="E1135" s="5" t="n">
        <v>45946.5298726852</v>
      </c>
      <c r="F1135" s="0" t="n">
        <v>12.75</v>
      </c>
      <c r="G1135" s="0" t="n">
        <v>17090</v>
      </c>
      <c r="H1135" s="6" t="s">
        <v>113</v>
      </c>
      <c r="I1135" s="6" t="n">
        <f aca="false">D1135*F1135</f>
        <v>255</v>
      </c>
      <c r="J1135" s="6" t="n">
        <f aca="false">HOUR(E1135)</f>
        <v>12</v>
      </c>
      <c r="K1135" s="6" t="n">
        <f aca="false">IF(COUNTIF($A$2:$A1135,A1135)=1,1,0)</f>
        <v>0</v>
      </c>
    </row>
    <row r="1136" customFormat="false" ht="15" hidden="false" customHeight="false" outlineLevel="0" collapsed="false">
      <c r="A1136" s="0" t="s">
        <v>310</v>
      </c>
      <c r="B1136" s="0" t="s">
        <v>81</v>
      </c>
      <c r="C1136" s="0" t="s">
        <v>82</v>
      </c>
      <c r="D1136" s="0" t="n">
        <v>7</v>
      </c>
      <c r="E1136" s="5" t="n">
        <v>45946.5298726852</v>
      </c>
      <c r="F1136" s="0" t="n">
        <v>1.65</v>
      </c>
      <c r="G1136" s="0" t="n">
        <v>17090</v>
      </c>
      <c r="H1136" s="6" t="s">
        <v>113</v>
      </c>
      <c r="I1136" s="6" t="n">
        <f aca="false">D1136*F1136</f>
        <v>11.55</v>
      </c>
      <c r="J1136" s="6" t="n">
        <f aca="false">HOUR(E1136)</f>
        <v>12</v>
      </c>
      <c r="K1136" s="6" t="n">
        <f aca="false">IF(COUNTIF($A$2:$A1136,A1136)=1,1,0)</f>
        <v>0</v>
      </c>
    </row>
    <row r="1137" customFormat="false" ht="15" hidden="false" customHeight="false" outlineLevel="0" collapsed="false">
      <c r="A1137" s="0" t="s">
        <v>310</v>
      </c>
      <c r="B1137" s="0" t="s">
        <v>102</v>
      </c>
      <c r="C1137" s="0" t="s">
        <v>103</v>
      </c>
      <c r="D1137" s="0" t="n">
        <v>16</v>
      </c>
      <c r="E1137" s="5" t="n">
        <v>45946.5298726852</v>
      </c>
      <c r="F1137" s="0" t="n">
        <v>8.5</v>
      </c>
      <c r="G1137" s="0" t="n">
        <v>17090</v>
      </c>
      <c r="H1137" s="6" t="s">
        <v>113</v>
      </c>
      <c r="I1137" s="6" t="n">
        <f aca="false">D1137*F1137</f>
        <v>136</v>
      </c>
      <c r="J1137" s="6" t="n">
        <f aca="false">HOUR(E1137)</f>
        <v>12</v>
      </c>
      <c r="K1137" s="6" t="n">
        <f aca="false">IF(COUNTIF($A$2:$A1137,A1137)=1,1,0)</f>
        <v>0</v>
      </c>
    </row>
    <row r="1138" customFormat="false" ht="15" hidden="false" customHeight="false" outlineLevel="0" collapsed="false">
      <c r="A1138" s="0" t="s">
        <v>311</v>
      </c>
      <c r="B1138" s="0" t="s">
        <v>57</v>
      </c>
      <c r="C1138" s="0" t="s">
        <v>58</v>
      </c>
      <c r="D1138" s="0" t="n">
        <v>8</v>
      </c>
      <c r="E1138" s="5" t="n">
        <v>45946.5599768519</v>
      </c>
      <c r="F1138" s="0" t="n">
        <v>2.08</v>
      </c>
      <c r="G1138" s="0" t="n">
        <v>17026</v>
      </c>
      <c r="H1138" s="6" t="s">
        <v>208</v>
      </c>
      <c r="I1138" s="6" t="n">
        <f aca="false">D1138*F1138</f>
        <v>16.64</v>
      </c>
      <c r="J1138" s="6" t="n">
        <f aca="false">HOUR(E1138)</f>
        <v>13</v>
      </c>
      <c r="K1138" s="6" t="n">
        <f aca="false">IF(COUNTIF($A$2:$A1138,A1138)=1,1,0)</f>
        <v>1</v>
      </c>
    </row>
    <row r="1139" customFormat="false" ht="15" hidden="false" customHeight="false" outlineLevel="0" collapsed="false">
      <c r="A1139" s="0" t="s">
        <v>311</v>
      </c>
      <c r="B1139" s="0" t="s">
        <v>47</v>
      </c>
      <c r="C1139" s="0" t="s">
        <v>48</v>
      </c>
      <c r="D1139" s="0" t="n">
        <v>41</v>
      </c>
      <c r="E1139" s="5" t="n">
        <v>45946.5599768519</v>
      </c>
      <c r="F1139" s="0" t="n">
        <v>12.75</v>
      </c>
      <c r="G1139" s="0" t="n">
        <v>17026</v>
      </c>
      <c r="H1139" s="6" t="s">
        <v>208</v>
      </c>
      <c r="I1139" s="6" t="n">
        <f aca="false">D1139*F1139</f>
        <v>522.75</v>
      </c>
      <c r="J1139" s="6" t="n">
        <f aca="false">HOUR(E1139)</f>
        <v>13</v>
      </c>
      <c r="K1139" s="6" t="n">
        <f aca="false">IF(COUNTIF($A$2:$A1139,A1139)=1,1,0)</f>
        <v>0</v>
      </c>
    </row>
    <row r="1140" customFormat="false" ht="15" hidden="false" customHeight="false" outlineLevel="0" collapsed="false">
      <c r="A1140" s="0" t="s">
        <v>311</v>
      </c>
      <c r="B1140" s="0" t="s">
        <v>114</v>
      </c>
      <c r="C1140" s="0" t="s">
        <v>115</v>
      </c>
      <c r="D1140" s="0" t="n">
        <v>5</v>
      </c>
      <c r="E1140" s="5" t="n">
        <v>45946.5599768519</v>
      </c>
      <c r="F1140" s="0" t="n">
        <v>2.08</v>
      </c>
      <c r="G1140" s="0" t="n">
        <v>17026</v>
      </c>
      <c r="H1140" s="6" t="s">
        <v>208</v>
      </c>
      <c r="I1140" s="6" t="n">
        <f aca="false">D1140*F1140</f>
        <v>10.4</v>
      </c>
      <c r="J1140" s="6" t="n">
        <f aca="false">HOUR(E1140)</f>
        <v>13</v>
      </c>
      <c r="K1140" s="6" t="n">
        <f aca="false">IF(COUNTIF($A$2:$A1140,A1140)=1,1,0)</f>
        <v>0</v>
      </c>
    </row>
    <row r="1141" customFormat="false" ht="15" hidden="false" customHeight="false" outlineLevel="0" collapsed="false">
      <c r="A1141" s="0" t="s">
        <v>311</v>
      </c>
      <c r="B1141" s="0" t="s">
        <v>86</v>
      </c>
      <c r="C1141" s="0" t="s">
        <v>87</v>
      </c>
      <c r="D1141" s="0" t="n">
        <v>9</v>
      </c>
      <c r="E1141" s="5" t="n">
        <v>45946.5599768519</v>
      </c>
      <c r="F1141" s="0" t="n">
        <v>4.25</v>
      </c>
      <c r="G1141" s="0" t="n">
        <v>17026</v>
      </c>
      <c r="H1141" s="6" t="s">
        <v>208</v>
      </c>
      <c r="I1141" s="6" t="n">
        <f aca="false">D1141*F1141</f>
        <v>38.25</v>
      </c>
      <c r="J1141" s="6" t="n">
        <f aca="false">HOUR(E1141)</f>
        <v>13</v>
      </c>
      <c r="K1141" s="6" t="n">
        <f aca="false">IF(COUNTIF($A$2:$A1141,A1141)=1,1,0)</f>
        <v>0</v>
      </c>
    </row>
    <row r="1142" customFormat="false" ht="15" hidden="false" customHeight="false" outlineLevel="0" collapsed="false">
      <c r="A1142" s="0" t="s">
        <v>311</v>
      </c>
      <c r="B1142" s="0" t="s">
        <v>125</v>
      </c>
      <c r="C1142" s="0" t="s">
        <v>126</v>
      </c>
      <c r="D1142" s="0" t="n">
        <v>14</v>
      </c>
      <c r="E1142" s="5" t="n">
        <v>45946.5599768519</v>
      </c>
      <c r="F1142" s="0" t="n">
        <v>1.25</v>
      </c>
      <c r="G1142" s="0" t="n">
        <v>17026</v>
      </c>
      <c r="H1142" s="6" t="s">
        <v>208</v>
      </c>
      <c r="I1142" s="6" t="n">
        <f aca="false">D1142*F1142</f>
        <v>17.5</v>
      </c>
      <c r="J1142" s="6" t="n">
        <f aca="false">HOUR(E1142)</f>
        <v>13</v>
      </c>
      <c r="K1142" s="6" t="n">
        <f aca="false">IF(COUNTIF($A$2:$A1142,A1142)=1,1,0)</f>
        <v>0</v>
      </c>
    </row>
    <row r="1143" customFormat="false" ht="15" hidden="false" customHeight="false" outlineLevel="0" collapsed="false">
      <c r="A1143" s="0" t="s">
        <v>312</v>
      </c>
      <c r="B1143" s="0" t="s">
        <v>65</v>
      </c>
      <c r="C1143" s="0" t="s">
        <v>66</v>
      </c>
      <c r="D1143" s="0" t="n">
        <v>12</v>
      </c>
      <c r="E1143" s="5" t="n">
        <v>45946.6143171296</v>
      </c>
      <c r="F1143" s="0" t="n">
        <v>1.65</v>
      </c>
      <c r="H1143" s="6" t="s">
        <v>68</v>
      </c>
      <c r="I1143" s="6" t="n">
        <f aca="false">D1143*F1143</f>
        <v>19.8</v>
      </c>
      <c r="J1143" s="6" t="n">
        <f aca="false">HOUR(E1143)</f>
        <v>14</v>
      </c>
      <c r="K1143" s="6" t="n">
        <f aca="false">IF(COUNTIF($A$2:$A1143,A1143)=1,1,0)</f>
        <v>1</v>
      </c>
    </row>
    <row r="1144" customFormat="false" ht="15" hidden="false" customHeight="false" outlineLevel="0" collapsed="false">
      <c r="A1144" s="0" t="s">
        <v>312</v>
      </c>
      <c r="B1144" s="0" t="s">
        <v>83</v>
      </c>
      <c r="C1144" s="0" t="s">
        <v>84</v>
      </c>
      <c r="D1144" s="0" t="n">
        <v>8</v>
      </c>
      <c r="E1144" s="5" t="n">
        <v>45946.6143171296</v>
      </c>
      <c r="F1144" s="0" t="n">
        <v>2.95</v>
      </c>
      <c r="H1144" s="6" t="s">
        <v>68</v>
      </c>
      <c r="I1144" s="6" t="n">
        <f aca="false">D1144*F1144</f>
        <v>23.6</v>
      </c>
      <c r="J1144" s="6" t="n">
        <f aca="false">HOUR(E1144)</f>
        <v>14</v>
      </c>
      <c r="K1144" s="6" t="n">
        <f aca="false">IF(COUNTIF($A$2:$A1144,A1144)=1,1,0)</f>
        <v>0</v>
      </c>
    </row>
    <row r="1145" customFormat="false" ht="15" hidden="false" customHeight="false" outlineLevel="0" collapsed="false">
      <c r="A1145" s="0" t="s">
        <v>312</v>
      </c>
      <c r="B1145" s="0" t="s">
        <v>95</v>
      </c>
      <c r="C1145" s="0" t="s">
        <v>96</v>
      </c>
      <c r="D1145" s="0" t="n">
        <v>41</v>
      </c>
      <c r="E1145" s="5" t="n">
        <v>45946.6143171296</v>
      </c>
      <c r="F1145" s="0" t="n">
        <v>2.55</v>
      </c>
      <c r="H1145" s="6" t="s">
        <v>68</v>
      </c>
      <c r="I1145" s="6" t="n">
        <f aca="false">D1145*F1145</f>
        <v>104.55</v>
      </c>
      <c r="J1145" s="6" t="n">
        <f aca="false">HOUR(E1145)</f>
        <v>14</v>
      </c>
      <c r="K1145" s="6" t="n">
        <f aca="false">IF(COUNTIF($A$2:$A1145,A1145)=1,1,0)</f>
        <v>0</v>
      </c>
    </row>
    <row r="1146" customFormat="false" ht="15" hidden="false" customHeight="false" outlineLevel="0" collapsed="false">
      <c r="A1146" s="0" t="s">
        <v>313</v>
      </c>
      <c r="B1146" s="0" t="s">
        <v>83</v>
      </c>
      <c r="C1146" s="0" t="s">
        <v>84</v>
      </c>
      <c r="D1146" s="0" t="n">
        <v>21</v>
      </c>
      <c r="E1146" s="5" t="n">
        <v>45946.7043287037</v>
      </c>
      <c r="F1146" s="0" t="n">
        <v>2.95</v>
      </c>
      <c r="G1146" s="0" t="n">
        <v>17037</v>
      </c>
      <c r="H1146" s="6" t="s">
        <v>74</v>
      </c>
      <c r="I1146" s="6" t="n">
        <f aca="false">D1146*F1146</f>
        <v>61.95</v>
      </c>
      <c r="J1146" s="6" t="n">
        <f aca="false">HOUR(E1146)</f>
        <v>16</v>
      </c>
      <c r="K1146" s="6" t="n">
        <f aca="false">IF(COUNTIF($A$2:$A1146,A1146)=1,1,0)</f>
        <v>1</v>
      </c>
    </row>
    <row r="1147" customFormat="false" ht="15" hidden="false" customHeight="false" outlineLevel="0" collapsed="false">
      <c r="A1147" s="0" t="s">
        <v>314</v>
      </c>
      <c r="B1147" s="0" t="s">
        <v>114</v>
      </c>
      <c r="C1147" s="0" t="s">
        <v>115</v>
      </c>
      <c r="D1147" s="0" t="n">
        <v>24</v>
      </c>
      <c r="E1147" s="5" t="n">
        <v>45946.8095601852</v>
      </c>
      <c r="F1147" s="0" t="n">
        <v>2.08</v>
      </c>
      <c r="G1147" s="0" t="n">
        <v>17046</v>
      </c>
      <c r="H1147" s="6" t="s">
        <v>74</v>
      </c>
      <c r="I1147" s="6" t="n">
        <f aca="false">D1147*F1147</f>
        <v>49.92</v>
      </c>
      <c r="J1147" s="6" t="n">
        <f aca="false">HOUR(E1147)</f>
        <v>19</v>
      </c>
      <c r="K1147" s="6" t="n">
        <f aca="false">IF(COUNTIF($A$2:$A1147,A1147)=1,1,0)</f>
        <v>1</v>
      </c>
    </row>
    <row r="1148" customFormat="false" ht="15" hidden="false" customHeight="false" outlineLevel="0" collapsed="false">
      <c r="A1148" s="0" t="s">
        <v>314</v>
      </c>
      <c r="B1148" s="0" t="s">
        <v>50</v>
      </c>
      <c r="C1148" s="0" t="s">
        <v>51</v>
      </c>
      <c r="D1148" s="0" t="n">
        <v>4</v>
      </c>
      <c r="E1148" s="5" t="n">
        <v>45946.8095601852</v>
      </c>
      <c r="F1148" s="0" t="n">
        <v>5.95</v>
      </c>
      <c r="G1148" s="0" t="n">
        <v>17046</v>
      </c>
      <c r="H1148" s="6" t="s">
        <v>74</v>
      </c>
      <c r="I1148" s="6" t="n">
        <f aca="false">D1148*F1148</f>
        <v>23.8</v>
      </c>
      <c r="J1148" s="6" t="n">
        <f aca="false">HOUR(E1148)</f>
        <v>19</v>
      </c>
      <c r="K1148" s="6" t="n">
        <f aca="false">IF(COUNTIF($A$2:$A1148,A1148)=1,1,0)</f>
        <v>0</v>
      </c>
    </row>
    <row r="1149" customFormat="false" ht="15" hidden="false" customHeight="false" outlineLevel="0" collapsed="false">
      <c r="A1149" s="0" t="s">
        <v>315</v>
      </c>
      <c r="B1149" s="0" t="s">
        <v>69</v>
      </c>
      <c r="C1149" s="0" t="s">
        <v>70</v>
      </c>
      <c r="D1149" s="0" t="n">
        <v>31</v>
      </c>
      <c r="E1149" s="5" t="n">
        <v>45946.8814236111</v>
      </c>
      <c r="F1149" s="0" t="n">
        <v>2.08</v>
      </c>
      <c r="G1149" s="0" t="n">
        <v>17246</v>
      </c>
      <c r="H1149" s="6" t="s">
        <v>74</v>
      </c>
      <c r="I1149" s="6" t="n">
        <f aca="false">D1149*F1149</f>
        <v>64.48</v>
      </c>
      <c r="J1149" s="6" t="n">
        <f aca="false">HOUR(E1149)</f>
        <v>21</v>
      </c>
      <c r="K1149" s="6" t="n">
        <f aca="false">IF(COUNTIF($A$2:$A1149,A1149)=1,1,0)</f>
        <v>1</v>
      </c>
    </row>
    <row r="1150" customFormat="false" ht="15" hidden="false" customHeight="false" outlineLevel="0" collapsed="false">
      <c r="A1150" s="0" t="s">
        <v>315</v>
      </c>
      <c r="B1150" s="0" t="s">
        <v>75</v>
      </c>
      <c r="C1150" s="0" t="s">
        <v>76</v>
      </c>
      <c r="D1150" s="0" t="n">
        <v>3</v>
      </c>
      <c r="E1150" s="5" t="n">
        <v>45946.8814236111</v>
      </c>
      <c r="F1150" s="0" t="n">
        <v>3.39</v>
      </c>
      <c r="G1150" s="0" t="n">
        <v>17246</v>
      </c>
      <c r="H1150" s="6" t="s">
        <v>74</v>
      </c>
      <c r="I1150" s="6" t="n">
        <f aca="false">D1150*F1150</f>
        <v>10.17</v>
      </c>
      <c r="J1150" s="6" t="n">
        <f aca="false">HOUR(E1150)</f>
        <v>21</v>
      </c>
      <c r="K1150" s="6" t="n">
        <f aca="false">IF(COUNTIF($A$2:$A1150,A1150)=1,1,0)</f>
        <v>0</v>
      </c>
    </row>
    <row r="1151" customFormat="false" ht="15" hidden="false" customHeight="false" outlineLevel="0" collapsed="false">
      <c r="A1151" s="0" t="s">
        <v>315</v>
      </c>
      <c r="B1151" s="0" t="s">
        <v>102</v>
      </c>
      <c r="C1151" s="0" t="s">
        <v>103</v>
      </c>
      <c r="D1151" s="0" t="n">
        <v>19</v>
      </c>
      <c r="E1151" s="5" t="n">
        <v>45946.8814236111</v>
      </c>
      <c r="F1151" s="0" t="n">
        <v>8.5</v>
      </c>
      <c r="G1151" s="0" t="n">
        <v>17246</v>
      </c>
      <c r="H1151" s="6" t="s">
        <v>74</v>
      </c>
      <c r="I1151" s="6" t="n">
        <f aca="false">D1151*F1151</f>
        <v>161.5</v>
      </c>
      <c r="J1151" s="6" t="n">
        <f aca="false">HOUR(E1151)</f>
        <v>21</v>
      </c>
      <c r="K1151" s="6" t="n">
        <f aca="false">IF(COUNTIF($A$2:$A1151,A1151)=1,1,0)</f>
        <v>0</v>
      </c>
    </row>
    <row r="1152" customFormat="false" ht="15" hidden="false" customHeight="false" outlineLevel="0" collapsed="false">
      <c r="A1152" s="0" t="s">
        <v>315</v>
      </c>
      <c r="B1152" s="0" t="s">
        <v>57</v>
      </c>
      <c r="C1152" s="0" t="s">
        <v>58</v>
      </c>
      <c r="D1152" s="0" t="n">
        <v>9</v>
      </c>
      <c r="E1152" s="5" t="n">
        <v>45946.8814236111</v>
      </c>
      <c r="F1152" s="0" t="n">
        <v>2.08</v>
      </c>
      <c r="G1152" s="0" t="n">
        <v>17246</v>
      </c>
      <c r="H1152" s="6" t="s">
        <v>74</v>
      </c>
      <c r="I1152" s="6" t="n">
        <f aca="false">D1152*F1152</f>
        <v>18.72</v>
      </c>
      <c r="J1152" s="6" t="n">
        <f aca="false">HOUR(E1152)</f>
        <v>21</v>
      </c>
      <c r="K1152" s="6" t="n">
        <f aca="false">IF(COUNTIF($A$2:$A1152,A1152)=1,1,0)</f>
        <v>0</v>
      </c>
    </row>
    <row r="1153" customFormat="false" ht="15" hidden="false" customHeight="false" outlineLevel="0" collapsed="false">
      <c r="A1153" s="0" t="s">
        <v>315</v>
      </c>
      <c r="B1153" s="0" t="s">
        <v>121</v>
      </c>
      <c r="C1153" s="0" t="s">
        <v>122</v>
      </c>
      <c r="D1153" s="0" t="n">
        <v>6</v>
      </c>
      <c r="E1153" s="5" t="n">
        <v>45946.8814236111</v>
      </c>
      <c r="F1153" s="0" t="n">
        <v>2.1</v>
      </c>
      <c r="G1153" s="0" t="n">
        <v>17246</v>
      </c>
      <c r="H1153" s="6" t="s">
        <v>74</v>
      </c>
      <c r="I1153" s="6" t="n">
        <f aca="false">D1153*F1153</f>
        <v>12.6</v>
      </c>
      <c r="J1153" s="6" t="n">
        <f aca="false">HOUR(E1153)</f>
        <v>21</v>
      </c>
      <c r="K1153" s="6" t="n">
        <f aca="false">IF(COUNTIF($A$2:$A1153,A1153)=1,1,0)</f>
        <v>0</v>
      </c>
    </row>
    <row r="1154" customFormat="false" ht="15" hidden="false" customHeight="false" outlineLevel="0" collapsed="false">
      <c r="A1154" s="0" t="s">
        <v>315</v>
      </c>
      <c r="B1154" s="0" t="s">
        <v>95</v>
      </c>
      <c r="C1154" s="0" t="s">
        <v>96</v>
      </c>
      <c r="D1154" s="0" t="n">
        <v>36</v>
      </c>
      <c r="E1154" s="5" t="n">
        <v>45946.8814236111</v>
      </c>
      <c r="F1154" s="0" t="n">
        <v>2.55</v>
      </c>
      <c r="G1154" s="0" t="n">
        <v>17246</v>
      </c>
      <c r="H1154" s="6" t="s">
        <v>74</v>
      </c>
      <c r="I1154" s="6" t="n">
        <f aca="false">D1154*F1154</f>
        <v>91.8</v>
      </c>
      <c r="J1154" s="6" t="n">
        <f aca="false">HOUR(E1154)</f>
        <v>21</v>
      </c>
      <c r="K1154" s="6" t="n">
        <f aca="false">IF(COUNTIF($A$2:$A1154,A1154)=1,1,0)</f>
        <v>0</v>
      </c>
    </row>
    <row r="1155" customFormat="false" ht="15" hidden="false" customHeight="false" outlineLevel="0" collapsed="false">
      <c r="A1155" s="0" t="s">
        <v>315</v>
      </c>
      <c r="B1155" s="0" t="s">
        <v>65</v>
      </c>
      <c r="C1155" s="0" t="s">
        <v>66</v>
      </c>
      <c r="D1155" s="0" t="n">
        <v>4</v>
      </c>
      <c r="E1155" s="5" t="n">
        <v>45946.8814236111</v>
      </c>
      <c r="F1155" s="0" t="n">
        <v>1.65</v>
      </c>
      <c r="G1155" s="0" t="n">
        <v>17246</v>
      </c>
      <c r="H1155" s="6" t="s">
        <v>74</v>
      </c>
      <c r="I1155" s="6" t="n">
        <f aca="false">D1155*F1155</f>
        <v>6.6</v>
      </c>
      <c r="J1155" s="6" t="n">
        <f aca="false">HOUR(E1155)</f>
        <v>21</v>
      </c>
      <c r="K1155" s="6" t="n">
        <f aca="false">IF(COUNTIF($A$2:$A1155,A1155)=1,1,0)</f>
        <v>0</v>
      </c>
    </row>
    <row r="1156" customFormat="false" ht="15" hidden="false" customHeight="false" outlineLevel="0" collapsed="false">
      <c r="A1156" s="0" t="s">
        <v>315</v>
      </c>
      <c r="B1156" s="0" t="s">
        <v>72</v>
      </c>
      <c r="C1156" s="0" t="s">
        <v>73</v>
      </c>
      <c r="D1156" s="0" t="n">
        <v>45</v>
      </c>
      <c r="E1156" s="5" t="n">
        <v>45946.8814236111</v>
      </c>
      <c r="F1156" s="0" t="n">
        <v>4.95</v>
      </c>
      <c r="G1156" s="0" t="n">
        <v>17246</v>
      </c>
      <c r="H1156" s="6" t="s">
        <v>74</v>
      </c>
      <c r="I1156" s="6" t="n">
        <f aca="false">D1156*F1156</f>
        <v>222.75</v>
      </c>
      <c r="J1156" s="6" t="n">
        <f aca="false">HOUR(E1156)</f>
        <v>21</v>
      </c>
      <c r="K1156" s="6" t="n">
        <f aca="false">IF(COUNTIF($A$2:$A1156,A1156)=1,1,0)</f>
        <v>0</v>
      </c>
    </row>
    <row r="1157" customFormat="false" ht="15" hidden="false" customHeight="false" outlineLevel="0" collapsed="false">
      <c r="A1157" s="0" t="s">
        <v>316</v>
      </c>
      <c r="B1157" s="0" t="s">
        <v>69</v>
      </c>
      <c r="C1157" s="0" t="s">
        <v>70</v>
      </c>
      <c r="D1157" s="0" t="n">
        <v>6</v>
      </c>
      <c r="E1157" s="5" t="n">
        <v>45946.8927893519</v>
      </c>
      <c r="F1157" s="0" t="n">
        <v>2.08</v>
      </c>
      <c r="G1157" s="0" t="n">
        <v>17195</v>
      </c>
      <c r="H1157" s="6" t="s">
        <v>74</v>
      </c>
      <c r="I1157" s="6" t="n">
        <f aca="false">D1157*F1157</f>
        <v>12.48</v>
      </c>
      <c r="J1157" s="6" t="n">
        <f aca="false">HOUR(E1157)</f>
        <v>21</v>
      </c>
      <c r="K1157" s="6" t="n">
        <f aca="false">IF(COUNTIF($A$2:$A1157,A1157)=1,1,0)</f>
        <v>1</v>
      </c>
    </row>
    <row r="1158" customFormat="false" ht="15" hidden="false" customHeight="false" outlineLevel="0" collapsed="false">
      <c r="A1158" s="0" t="s">
        <v>316</v>
      </c>
      <c r="B1158" s="0" t="s">
        <v>116</v>
      </c>
      <c r="C1158" s="0" t="s">
        <v>117</v>
      </c>
      <c r="D1158" s="0" t="n">
        <v>21</v>
      </c>
      <c r="E1158" s="5" t="n">
        <v>45946.8927893519</v>
      </c>
      <c r="F1158" s="0" t="n">
        <v>1.95</v>
      </c>
      <c r="G1158" s="0" t="n">
        <v>17195</v>
      </c>
      <c r="H1158" s="6" t="s">
        <v>74</v>
      </c>
      <c r="I1158" s="6" t="n">
        <f aca="false">D1158*F1158</f>
        <v>40.95</v>
      </c>
      <c r="J1158" s="6" t="n">
        <f aca="false">HOUR(E1158)</f>
        <v>21</v>
      </c>
      <c r="K1158" s="6" t="n">
        <f aca="false">IF(COUNTIF($A$2:$A1158,A1158)=1,1,0)</f>
        <v>0</v>
      </c>
    </row>
    <row r="1159" customFormat="false" ht="15" hidden="false" customHeight="false" outlineLevel="0" collapsed="false">
      <c r="A1159" s="0" t="s">
        <v>316</v>
      </c>
      <c r="B1159" s="0" t="s">
        <v>50</v>
      </c>
      <c r="C1159" s="0" t="s">
        <v>51</v>
      </c>
      <c r="D1159" s="0" t="n">
        <v>12</v>
      </c>
      <c r="E1159" s="5" t="n">
        <v>45946.8927893519</v>
      </c>
      <c r="F1159" s="0" t="n">
        <v>5.95</v>
      </c>
      <c r="G1159" s="0" t="n">
        <v>17195</v>
      </c>
      <c r="H1159" s="6" t="s">
        <v>74</v>
      </c>
      <c r="I1159" s="6" t="n">
        <f aca="false">D1159*F1159</f>
        <v>71.4</v>
      </c>
      <c r="J1159" s="6" t="n">
        <f aca="false">HOUR(E1159)</f>
        <v>21</v>
      </c>
      <c r="K1159" s="6" t="n">
        <f aca="false">IF(COUNTIF($A$2:$A1159,A1159)=1,1,0)</f>
        <v>0</v>
      </c>
    </row>
    <row r="1160" customFormat="false" ht="15" hidden="false" customHeight="false" outlineLevel="0" collapsed="false">
      <c r="A1160" s="0" t="s">
        <v>316</v>
      </c>
      <c r="B1160" s="0" t="s">
        <v>47</v>
      </c>
      <c r="C1160" s="0" t="s">
        <v>48</v>
      </c>
      <c r="D1160" s="0" t="n">
        <v>13</v>
      </c>
      <c r="E1160" s="5" t="n">
        <v>45946.8927893519</v>
      </c>
      <c r="F1160" s="0" t="n">
        <v>12.75</v>
      </c>
      <c r="G1160" s="0" t="n">
        <v>17195</v>
      </c>
      <c r="H1160" s="6" t="s">
        <v>74</v>
      </c>
      <c r="I1160" s="6" t="n">
        <f aca="false">D1160*F1160</f>
        <v>165.75</v>
      </c>
      <c r="J1160" s="6" t="n">
        <f aca="false">HOUR(E1160)</f>
        <v>21</v>
      </c>
      <c r="K1160" s="6" t="n">
        <f aca="false">IF(COUNTIF($A$2:$A1160,A1160)=1,1,0)</f>
        <v>0</v>
      </c>
    </row>
    <row r="1161" customFormat="false" ht="15" hidden="false" customHeight="false" outlineLevel="0" collapsed="false">
      <c r="A1161" s="0" t="s">
        <v>316</v>
      </c>
      <c r="B1161" s="0" t="s">
        <v>79</v>
      </c>
      <c r="C1161" s="0" t="s">
        <v>80</v>
      </c>
      <c r="D1161" s="0" t="n">
        <v>13</v>
      </c>
      <c r="E1161" s="5" t="n">
        <v>45946.8927893519</v>
      </c>
      <c r="F1161" s="0" t="n">
        <v>3.39</v>
      </c>
      <c r="G1161" s="0" t="n">
        <v>17195</v>
      </c>
      <c r="H1161" s="6" t="s">
        <v>74</v>
      </c>
      <c r="I1161" s="6" t="n">
        <f aca="false">D1161*F1161</f>
        <v>44.07</v>
      </c>
      <c r="J1161" s="6" t="n">
        <f aca="false">HOUR(E1161)</f>
        <v>21</v>
      </c>
      <c r="K1161" s="6" t="n">
        <f aca="false">IF(COUNTIF($A$2:$A1161,A1161)=1,1,0)</f>
        <v>0</v>
      </c>
    </row>
    <row r="1162" customFormat="false" ht="15" hidden="false" customHeight="false" outlineLevel="0" collapsed="false">
      <c r="A1162" s="0" t="s">
        <v>316</v>
      </c>
      <c r="B1162" s="0" t="s">
        <v>83</v>
      </c>
      <c r="C1162" s="0" t="s">
        <v>84</v>
      </c>
      <c r="D1162" s="0" t="n">
        <v>10</v>
      </c>
      <c r="E1162" s="5" t="n">
        <v>45946.8927893519</v>
      </c>
      <c r="F1162" s="0" t="n">
        <v>2.95</v>
      </c>
      <c r="G1162" s="0" t="n">
        <v>17195</v>
      </c>
      <c r="H1162" s="6" t="s">
        <v>74</v>
      </c>
      <c r="I1162" s="6" t="n">
        <f aca="false">D1162*F1162</f>
        <v>29.5</v>
      </c>
      <c r="J1162" s="6" t="n">
        <f aca="false">HOUR(E1162)</f>
        <v>21</v>
      </c>
      <c r="K1162" s="6" t="n">
        <f aca="false">IF(COUNTIF($A$2:$A1162,A1162)=1,1,0)</f>
        <v>0</v>
      </c>
    </row>
    <row r="1163" customFormat="false" ht="15" hidden="false" customHeight="false" outlineLevel="0" collapsed="false">
      <c r="A1163" s="0" t="s">
        <v>316</v>
      </c>
      <c r="B1163" s="0" t="s">
        <v>118</v>
      </c>
      <c r="C1163" s="0" t="s">
        <v>119</v>
      </c>
      <c r="D1163" s="0" t="n">
        <v>13</v>
      </c>
      <c r="E1163" s="5" t="n">
        <v>45946.8927893519</v>
      </c>
      <c r="F1163" s="0" t="n">
        <v>4.95</v>
      </c>
      <c r="G1163" s="0" t="n">
        <v>17195</v>
      </c>
      <c r="H1163" s="6" t="s">
        <v>74</v>
      </c>
      <c r="I1163" s="6" t="n">
        <f aca="false">D1163*F1163</f>
        <v>64.35</v>
      </c>
      <c r="J1163" s="6" t="n">
        <f aca="false">HOUR(E1163)</f>
        <v>21</v>
      </c>
      <c r="K1163" s="6" t="n">
        <f aca="false">IF(COUNTIF($A$2:$A1163,A1163)=1,1,0)</f>
        <v>0</v>
      </c>
    </row>
    <row r="1164" customFormat="false" ht="15" hidden="false" customHeight="false" outlineLevel="0" collapsed="false">
      <c r="A1164" s="0" t="s">
        <v>316</v>
      </c>
      <c r="B1164" s="0" t="s">
        <v>55</v>
      </c>
      <c r="C1164" s="0" t="s">
        <v>56</v>
      </c>
      <c r="D1164" s="0" t="n">
        <v>5</v>
      </c>
      <c r="E1164" s="5" t="n">
        <v>45946.8927893519</v>
      </c>
      <c r="F1164" s="0" t="n">
        <v>1.65</v>
      </c>
      <c r="G1164" s="0" t="n">
        <v>17195</v>
      </c>
      <c r="H1164" s="6" t="s">
        <v>74</v>
      </c>
      <c r="I1164" s="6" t="n">
        <f aca="false">D1164*F1164</f>
        <v>8.25</v>
      </c>
      <c r="J1164" s="6" t="n">
        <f aca="false">HOUR(E1164)</f>
        <v>21</v>
      </c>
      <c r="K1164" s="6" t="n">
        <f aca="false">IF(COUNTIF($A$2:$A1164,A1164)=1,1,0)</f>
        <v>0</v>
      </c>
    </row>
    <row r="1165" customFormat="false" ht="15" hidden="false" customHeight="false" outlineLevel="0" collapsed="false">
      <c r="A1165" s="0" t="s">
        <v>316</v>
      </c>
      <c r="B1165" s="0" t="s">
        <v>134</v>
      </c>
      <c r="C1165" s="0" t="s">
        <v>135</v>
      </c>
      <c r="D1165" s="0" t="n">
        <v>12</v>
      </c>
      <c r="E1165" s="5" t="n">
        <v>45946.8927893519</v>
      </c>
      <c r="F1165" s="0" t="n">
        <v>5.95</v>
      </c>
      <c r="G1165" s="0" t="n">
        <v>17195</v>
      </c>
      <c r="H1165" s="6" t="s">
        <v>74</v>
      </c>
      <c r="I1165" s="6" t="n">
        <f aca="false">D1165*F1165</f>
        <v>71.4</v>
      </c>
      <c r="J1165" s="6" t="n">
        <f aca="false">HOUR(E1165)</f>
        <v>21</v>
      </c>
      <c r="K1165" s="6" t="n">
        <f aca="false">IF(COUNTIF($A$2:$A1165,A1165)=1,1,0)</f>
        <v>0</v>
      </c>
    </row>
    <row r="1166" customFormat="false" ht="15" hidden="false" customHeight="false" outlineLevel="0" collapsed="false">
      <c r="A1166" s="0" t="s">
        <v>317</v>
      </c>
      <c r="B1166" s="0" t="s">
        <v>43</v>
      </c>
      <c r="C1166" s="0" t="s">
        <v>44</v>
      </c>
      <c r="D1166" s="0" t="n">
        <v>12</v>
      </c>
      <c r="E1166" s="5" t="n">
        <v>45946.9399189815</v>
      </c>
      <c r="F1166" s="0" t="n">
        <v>4.25</v>
      </c>
      <c r="G1166" s="0" t="n">
        <v>17177</v>
      </c>
      <c r="H1166" s="6" t="s">
        <v>74</v>
      </c>
      <c r="I1166" s="6" t="n">
        <f aca="false">D1166*F1166</f>
        <v>51</v>
      </c>
      <c r="J1166" s="6" t="n">
        <f aca="false">HOUR(E1166)</f>
        <v>22</v>
      </c>
      <c r="K1166" s="6" t="n">
        <f aca="false">IF(COUNTIF($A$2:$A1166,A1166)=1,1,0)</f>
        <v>1</v>
      </c>
    </row>
    <row r="1167" customFormat="false" ht="15" hidden="false" customHeight="false" outlineLevel="0" collapsed="false">
      <c r="A1167" s="0" t="s">
        <v>317</v>
      </c>
      <c r="B1167" s="0" t="s">
        <v>131</v>
      </c>
      <c r="C1167" s="0" t="s">
        <v>132</v>
      </c>
      <c r="D1167" s="0" t="n">
        <v>20</v>
      </c>
      <c r="E1167" s="5" t="n">
        <v>45946.9399189815</v>
      </c>
      <c r="F1167" s="0" t="n">
        <v>3.39</v>
      </c>
      <c r="G1167" s="0" t="n">
        <v>17177</v>
      </c>
      <c r="H1167" s="6" t="s">
        <v>74</v>
      </c>
      <c r="I1167" s="6" t="n">
        <f aca="false">D1167*F1167</f>
        <v>67.8</v>
      </c>
      <c r="J1167" s="6" t="n">
        <f aca="false">HOUR(E1167)</f>
        <v>22</v>
      </c>
      <c r="K1167" s="6" t="n">
        <f aca="false">IF(COUNTIF($A$2:$A1167,A1167)=1,1,0)</f>
        <v>0</v>
      </c>
    </row>
    <row r="1168" customFormat="false" ht="15" hidden="false" customHeight="false" outlineLevel="0" collapsed="false">
      <c r="A1168" s="0" t="s">
        <v>317</v>
      </c>
      <c r="B1168" s="0" t="s">
        <v>75</v>
      </c>
      <c r="C1168" s="0" t="s">
        <v>76</v>
      </c>
      <c r="D1168" s="0" t="n">
        <v>23</v>
      </c>
      <c r="E1168" s="5" t="n">
        <v>45946.9399189815</v>
      </c>
      <c r="F1168" s="0" t="n">
        <v>3.39</v>
      </c>
      <c r="G1168" s="0" t="n">
        <v>17177</v>
      </c>
      <c r="H1168" s="6" t="s">
        <v>74</v>
      </c>
      <c r="I1168" s="6" t="n">
        <f aca="false">D1168*F1168</f>
        <v>77.97</v>
      </c>
      <c r="J1168" s="6" t="n">
        <f aca="false">HOUR(E1168)</f>
        <v>22</v>
      </c>
      <c r="K1168" s="6" t="n">
        <f aca="false">IF(COUNTIF($A$2:$A1168,A1168)=1,1,0)</f>
        <v>0</v>
      </c>
    </row>
    <row r="1169" customFormat="false" ht="15" hidden="false" customHeight="false" outlineLevel="0" collapsed="false">
      <c r="A1169" s="0" t="s">
        <v>317</v>
      </c>
      <c r="B1169" s="0" t="s">
        <v>109</v>
      </c>
      <c r="C1169" s="0" t="s">
        <v>110</v>
      </c>
      <c r="D1169" s="0" t="n">
        <v>6</v>
      </c>
      <c r="E1169" s="5" t="n">
        <v>45946.9399189815</v>
      </c>
      <c r="F1169" s="0" t="n">
        <v>0.85</v>
      </c>
      <c r="G1169" s="0" t="n">
        <v>17177</v>
      </c>
      <c r="H1169" s="6" t="s">
        <v>74</v>
      </c>
      <c r="I1169" s="6" t="n">
        <f aca="false">D1169*F1169</f>
        <v>5.1</v>
      </c>
      <c r="J1169" s="6" t="n">
        <f aca="false">HOUR(E1169)</f>
        <v>22</v>
      </c>
      <c r="K1169" s="6" t="n">
        <f aca="false">IF(COUNTIF($A$2:$A1169,A1169)=1,1,0)</f>
        <v>0</v>
      </c>
    </row>
    <row r="1170" customFormat="false" ht="15" hidden="false" customHeight="false" outlineLevel="0" collapsed="false">
      <c r="A1170" s="0" t="s">
        <v>317</v>
      </c>
      <c r="B1170" s="0" t="s">
        <v>61</v>
      </c>
      <c r="C1170" s="0" t="s">
        <v>62</v>
      </c>
      <c r="D1170" s="0" t="n">
        <v>16</v>
      </c>
      <c r="E1170" s="5" t="n">
        <v>45946.9399189815</v>
      </c>
      <c r="F1170" s="0" t="n">
        <v>1.65</v>
      </c>
      <c r="G1170" s="0" t="n">
        <v>17177</v>
      </c>
      <c r="H1170" s="6" t="s">
        <v>74</v>
      </c>
      <c r="I1170" s="6" t="n">
        <f aca="false">D1170*F1170</f>
        <v>26.4</v>
      </c>
      <c r="J1170" s="6" t="n">
        <f aca="false">HOUR(E1170)</f>
        <v>22</v>
      </c>
      <c r="K1170" s="6" t="n">
        <f aca="false">IF(COUNTIF($A$2:$A1170,A1170)=1,1,0)</f>
        <v>0</v>
      </c>
    </row>
    <row r="1171" customFormat="false" ht="15" hidden="false" customHeight="false" outlineLevel="0" collapsed="false">
      <c r="A1171" s="0" t="s">
        <v>317</v>
      </c>
      <c r="B1171" s="0" t="s">
        <v>50</v>
      </c>
      <c r="C1171" s="0" t="s">
        <v>51</v>
      </c>
      <c r="D1171" s="0" t="n">
        <v>20</v>
      </c>
      <c r="E1171" s="5" t="n">
        <v>45946.9399189815</v>
      </c>
      <c r="F1171" s="0" t="n">
        <v>5.95</v>
      </c>
      <c r="G1171" s="0" t="n">
        <v>17177</v>
      </c>
      <c r="H1171" s="6" t="s">
        <v>74</v>
      </c>
      <c r="I1171" s="6" t="n">
        <f aca="false">D1171*F1171</f>
        <v>119</v>
      </c>
      <c r="J1171" s="6" t="n">
        <f aca="false">HOUR(E1171)</f>
        <v>22</v>
      </c>
      <c r="K1171" s="6" t="n">
        <f aca="false">IF(COUNTIF($A$2:$A1171,A1171)=1,1,0)</f>
        <v>0</v>
      </c>
    </row>
    <row r="1172" customFormat="false" ht="15" hidden="false" customHeight="false" outlineLevel="0" collapsed="false">
      <c r="A1172" s="0" t="s">
        <v>317</v>
      </c>
      <c r="B1172" s="0" t="s">
        <v>114</v>
      </c>
      <c r="C1172" s="0" t="s">
        <v>115</v>
      </c>
      <c r="D1172" s="0" t="n">
        <v>4</v>
      </c>
      <c r="E1172" s="5" t="n">
        <v>45946.9399189815</v>
      </c>
      <c r="F1172" s="0" t="n">
        <v>2.08</v>
      </c>
      <c r="G1172" s="0" t="n">
        <v>17177</v>
      </c>
      <c r="H1172" s="6" t="s">
        <v>74</v>
      </c>
      <c r="I1172" s="6" t="n">
        <f aca="false">D1172*F1172</f>
        <v>8.32</v>
      </c>
      <c r="J1172" s="6" t="n">
        <f aca="false">HOUR(E1172)</f>
        <v>22</v>
      </c>
      <c r="K1172" s="6" t="n">
        <f aca="false">IF(COUNTIF($A$2:$A1172,A1172)=1,1,0)</f>
        <v>0</v>
      </c>
    </row>
    <row r="1173" customFormat="false" ht="15" hidden="false" customHeight="false" outlineLevel="0" collapsed="false">
      <c r="A1173" s="0" t="s">
        <v>317</v>
      </c>
      <c r="B1173" s="0" t="s">
        <v>88</v>
      </c>
      <c r="C1173" s="0" t="s">
        <v>89</v>
      </c>
      <c r="D1173" s="0" t="n">
        <v>24</v>
      </c>
      <c r="E1173" s="5" t="n">
        <v>45946.9399189815</v>
      </c>
      <c r="F1173" s="0" t="n">
        <v>2.75</v>
      </c>
      <c r="G1173" s="0" t="n">
        <v>17177</v>
      </c>
      <c r="H1173" s="6" t="s">
        <v>74</v>
      </c>
      <c r="I1173" s="6" t="n">
        <f aca="false">D1173*F1173</f>
        <v>66</v>
      </c>
      <c r="J1173" s="6" t="n">
        <f aca="false">HOUR(E1173)</f>
        <v>22</v>
      </c>
      <c r="K1173" s="6" t="n">
        <f aca="false">IF(COUNTIF($A$2:$A1173,A1173)=1,1,0)</f>
        <v>0</v>
      </c>
    </row>
    <row r="1174" customFormat="false" ht="15" hidden="false" customHeight="false" outlineLevel="0" collapsed="false">
      <c r="A1174" s="0" t="s">
        <v>317</v>
      </c>
      <c r="B1174" s="0" t="s">
        <v>59</v>
      </c>
      <c r="C1174" s="0" t="s">
        <v>60</v>
      </c>
      <c r="D1174" s="0" t="n">
        <v>8</v>
      </c>
      <c r="E1174" s="5" t="n">
        <v>45946.9399189815</v>
      </c>
      <c r="F1174" s="0" t="n">
        <v>0.42</v>
      </c>
      <c r="G1174" s="0" t="n">
        <v>17177</v>
      </c>
      <c r="H1174" s="6" t="s">
        <v>74</v>
      </c>
      <c r="I1174" s="6" t="n">
        <f aca="false">D1174*F1174</f>
        <v>3.36</v>
      </c>
      <c r="J1174" s="6" t="n">
        <f aca="false">HOUR(E1174)</f>
        <v>22</v>
      </c>
      <c r="K1174" s="6" t="n">
        <f aca="false">IF(COUNTIF($A$2:$A1174,A1174)=1,1,0)</f>
        <v>0</v>
      </c>
    </row>
    <row r="1175" customFormat="false" ht="15" hidden="false" customHeight="false" outlineLevel="0" collapsed="false">
      <c r="A1175" s="0" t="s">
        <v>318</v>
      </c>
      <c r="B1175" s="0" t="s">
        <v>102</v>
      </c>
      <c r="C1175" s="0" t="s">
        <v>103</v>
      </c>
      <c r="D1175" s="0" t="n">
        <v>10</v>
      </c>
      <c r="E1175" s="5" t="n">
        <v>45947.3901041667</v>
      </c>
      <c r="F1175" s="0" t="n">
        <v>8.5</v>
      </c>
      <c r="H1175" s="6" t="s">
        <v>74</v>
      </c>
      <c r="I1175" s="6" t="n">
        <f aca="false">D1175*F1175</f>
        <v>85</v>
      </c>
      <c r="J1175" s="6" t="n">
        <f aca="false">HOUR(E1175)</f>
        <v>9</v>
      </c>
      <c r="K1175" s="6" t="n">
        <f aca="false">IF(COUNTIF($A$2:$A1175,A1175)=1,1,0)</f>
        <v>1</v>
      </c>
    </row>
    <row r="1176" customFormat="false" ht="15" hidden="false" customHeight="false" outlineLevel="0" collapsed="false">
      <c r="A1176" s="0" t="s">
        <v>318</v>
      </c>
      <c r="B1176" s="0" t="s">
        <v>93</v>
      </c>
      <c r="C1176" s="0" t="s">
        <v>94</v>
      </c>
      <c r="D1176" s="0" t="n">
        <v>22</v>
      </c>
      <c r="E1176" s="5" t="n">
        <v>45947.3901041667</v>
      </c>
      <c r="F1176" s="0" t="n">
        <v>1.69</v>
      </c>
      <c r="H1176" s="6" t="s">
        <v>74</v>
      </c>
      <c r="I1176" s="6" t="n">
        <f aca="false">D1176*F1176</f>
        <v>37.18</v>
      </c>
      <c r="J1176" s="6" t="n">
        <f aca="false">HOUR(E1176)</f>
        <v>9</v>
      </c>
      <c r="K1176" s="6" t="n">
        <f aca="false">IF(COUNTIF($A$2:$A1176,A1176)=1,1,0)</f>
        <v>0</v>
      </c>
    </row>
    <row r="1177" customFormat="false" ht="15" hidden="false" customHeight="false" outlineLevel="0" collapsed="false">
      <c r="A1177" s="0" t="s">
        <v>318</v>
      </c>
      <c r="B1177" s="0" t="s">
        <v>63</v>
      </c>
      <c r="C1177" s="0" t="s">
        <v>64</v>
      </c>
      <c r="D1177" s="0" t="n">
        <v>4</v>
      </c>
      <c r="E1177" s="5" t="n">
        <v>45947.3901041667</v>
      </c>
      <c r="F1177" s="0" t="n">
        <v>1.85</v>
      </c>
      <c r="H1177" s="6" t="s">
        <v>74</v>
      </c>
      <c r="I1177" s="6" t="n">
        <f aca="false">D1177*F1177</f>
        <v>7.4</v>
      </c>
      <c r="J1177" s="6" t="n">
        <f aca="false">HOUR(E1177)</f>
        <v>9</v>
      </c>
      <c r="K1177" s="6" t="n">
        <f aca="false">IF(COUNTIF($A$2:$A1177,A1177)=1,1,0)</f>
        <v>0</v>
      </c>
    </row>
    <row r="1178" customFormat="false" ht="15" hidden="false" customHeight="false" outlineLevel="0" collapsed="false">
      <c r="A1178" s="0" t="s">
        <v>319</v>
      </c>
      <c r="B1178" s="0" t="s">
        <v>43</v>
      </c>
      <c r="C1178" s="0" t="s">
        <v>44</v>
      </c>
      <c r="D1178" s="0" t="n">
        <v>8</v>
      </c>
      <c r="E1178" s="5" t="n">
        <v>45947.4665393519</v>
      </c>
      <c r="F1178" s="0" t="n">
        <v>4.25</v>
      </c>
      <c r="G1178" s="0" t="n">
        <v>17246</v>
      </c>
      <c r="H1178" s="6" t="s">
        <v>74</v>
      </c>
      <c r="I1178" s="6" t="n">
        <f aca="false">D1178*F1178</f>
        <v>34</v>
      </c>
      <c r="J1178" s="6" t="n">
        <f aca="false">HOUR(E1178)</f>
        <v>11</v>
      </c>
      <c r="K1178" s="6" t="n">
        <f aca="false">IF(COUNTIF($A$2:$A1178,A1178)=1,1,0)</f>
        <v>1</v>
      </c>
    </row>
    <row r="1179" customFormat="false" ht="15" hidden="false" customHeight="false" outlineLevel="0" collapsed="false">
      <c r="A1179" s="0" t="s">
        <v>319</v>
      </c>
      <c r="B1179" s="0" t="s">
        <v>104</v>
      </c>
      <c r="C1179" s="0" t="s">
        <v>105</v>
      </c>
      <c r="D1179" s="0" t="n">
        <v>17</v>
      </c>
      <c r="E1179" s="5" t="n">
        <v>45947.4665393519</v>
      </c>
      <c r="F1179" s="0" t="n">
        <v>1.65</v>
      </c>
      <c r="G1179" s="0" t="n">
        <v>17246</v>
      </c>
      <c r="H1179" s="6" t="s">
        <v>74</v>
      </c>
      <c r="I1179" s="6" t="n">
        <f aca="false">D1179*F1179</f>
        <v>28.05</v>
      </c>
      <c r="J1179" s="6" t="n">
        <f aca="false">HOUR(E1179)</f>
        <v>11</v>
      </c>
      <c r="K1179" s="6" t="n">
        <f aca="false">IF(COUNTIF($A$2:$A1179,A1179)=1,1,0)</f>
        <v>0</v>
      </c>
    </row>
    <row r="1180" customFormat="false" ht="15" hidden="false" customHeight="false" outlineLevel="0" collapsed="false">
      <c r="A1180" s="0" t="s">
        <v>319</v>
      </c>
      <c r="B1180" s="0" t="s">
        <v>109</v>
      </c>
      <c r="C1180" s="0" t="s">
        <v>110</v>
      </c>
      <c r="D1180" s="0" t="n">
        <v>7</v>
      </c>
      <c r="E1180" s="5" t="n">
        <v>45947.4665393519</v>
      </c>
      <c r="F1180" s="0" t="n">
        <v>0.85</v>
      </c>
      <c r="G1180" s="0" t="n">
        <v>17246</v>
      </c>
      <c r="H1180" s="6" t="s">
        <v>74</v>
      </c>
      <c r="I1180" s="6" t="n">
        <f aca="false">D1180*F1180</f>
        <v>5.95</v>
      </c>
      <c r="J1180" s="6" t="n">
        <f aca="false">HOUR(E1180)</f>
        <v>11</v>
      </c>
      <c r="K1180" s="6" t="n">
        <f aca="false">IF(COUNTIF($A$2:$A1180,A1180)=1,1,0)</f>
        <v>0</v>
      </c>
    </row>
    <row r="1181" customFormat="false" ht="15" hidden="false" customHeight="false" outlineLevel="0" collapsed="false">
      <c r="A1181" s="0" t="s">
        <v>319</v>
      </c>
      <c r="B1181" s="0" t="s">
        <v>114</v>
      </c>
      <c r="C1181" s="0" t="s">
        <v>115</v>
      </c>
      <c r="D1181" s="0" t="n">
        <v>16</v>
      </c>
      <c r="E1181" s="5" t="n">
        <v>45947.4665393519</v>
      </c>
      <c r="F1181" s="0" t="n">
        <v>2.08</v>
      </c>
      <c r="G1181" s="0" t="n">
        <v>17246</v>
      </c>
      <c r="H1181" s="6" t="s">
        <v>74</v>
      </c>
      <c r="I1181" s="6" t="n">
        <f aca="false">D1181*F1181</f>
        <v>33.28</v>
      </c>
      <c r="J1181" s="6" t="n">
        <f aca="false">HOUR(E1181)</f>
        <v>11</v>
      </c>
      <c r="K1181" s="6" t="n">
        <f aca="false">IF(COUNTIF($A$2:$A1181,A1181)=1,1,0)</f>
        <v>0</v>
      </c>
    </row>
    <row r="1182" customFormat="false" ht="15" hidden="false" customHeight="false" outlineLevel="0" collapsed="false">
      <c r="A1182" s="0" t="s">
        <v>319</v>
      </c>
      <c r="B1182" s="0" t="s">
        <v>99</v>
      </c>
      <c r="C1182" s="0" t="s">
        <v>100</v>
      </c>
      <c r="D1182" s="0" t="n">
        <v>8</v>
      </c>
      <c r="E1182" s="5" t="n">
        <v>45947.4665393519</v>
      </c>
      <c r="F1182" s="0" t="n">
        <v>2.08</v>
      </c>
      <c r="G1182" s="0" t="n">
        <v>17246</v>
      </c>
      <c r="H1182" s="6" t="s">
        <v>74</v>
      </c>
      <c r="I1182" s="6" t="n">
        <f aca="false">D1182*F1182</f>
        <v>16.64</v>
      </c>
      <c r="J1182" s="6" t="n">
        <f aca="false">HOUR(E1182)</f>
        <v>11</v>
      </c>
      <c r="K1182" s="6" t="n">
        <f aca="false">IF(COUNTIF($A$2:$A1182,A1182)=1,1,0)</f>
        <v>0</v>
      </c>
    </row>
    <row r="1183" customFormat="false" ht="15" hidden="false" customHeight="false" outlineLevel="0" collapsed="false">
      <c r="A1183" s="0" t="s">
        <v>319</v>
      </c>
      <c r="B1183" s="0" t="s">
        <v>145</v>
      </c>
      <c r="C1183" s="0" t="s">
        <v>146</v>
      </c>
      <c r="D1183" s="0" t="n">
        <v>19</v>
      </c>
      <c r="E1183" s="5" t="n">
        <v>45947.4665393519</v>
      </c>
      <c r="F1183" s="0" t="n">
        <v>1.85</v>
      </c>
      <c r="G1183" s="0" t="n">
        <v>17246</v>
      </c>
      <c r="H1183" s="6" t="s">
        <v>74</v>
      </c>
      <c r="I1183" s="6" t="n">
        <f aca="false">D1183*F1183</f>
        <v>35.15</v>
      </c>
      <c r="J1183" s="6" t="n">
        <f aca="false">HOUR(E1183)</f>
        <v>11</v>
      </c>
      <c r="K1183" s="6" t="n">
        <f aca="false">IF(COUNTIF($A$2:$A1183,A1183)=1,1,0)</f>
        <v>0</v>
      </c>
    </row>
    <row r="1184" customFormat="false" ht="15" hidden="false" customHeight="false" outlineLevel="0" collapsed="false">
      <c r="A1184" s="0" t="s">
        <v>319</v>
      </c>
      <c r="B1184" s="0" t="s">
        <v>69</v>
      </c>
      <c r="C1184" s="0" t="s">
        <v>70</v>
      </c>
      <c r="D1184" s="0" t="n">
        <v>20</v>
      </c>
      <c r="E1184" s="5" t="n">
        <v>45947.4665393519</v>
      </c>
      <c r="F1184" s="0" t="n">
        <v>2.08</v>
      </c>
      <c r="G1184" s="0" t="n">
        <v>17246</v>
      </c>
      <c r="H1184" s="6" t="s">
        <v>74</v>
      </c>
      <c r="I1184" s="6" t="n">
        <f aca="false">D1184*F1184</f>
        <v>41.6</v>
      </c>
      <c r="J1184" s="6" t="n">
        <f aca="false">HOUR(E1184)</f>
        <v>11</v>
      </c>
      <c r="K1184" s="6" t="n">
        <f aca="false">IF(COUNTIF($A$2:$A1184,A1184)=1,1,0)</f>
        <v>0</v>
      </c>
    </row>
    <row r="1185" customFormat="false" ht="15" hidden="false" customHeight="false" outlineLevel="0" collapsed="false">
      <c r="A1185" s="0" t="s">
        <v>320</v>
      </c>
      <c r="B1185" s="0" t="s">
        <v>121</v>
      </c>
      <c r="C1185" s="0" t="s">
        <v>122</v>
      </c>
      <c r="D1185" s="0" t="n">
        <v>14</v>
      </c>
      <c r="E1185" s="5" t="n">
        <v>45947.5041319444</v>
      </c>
      <c r="F1185" s="0" t="n">
        <v>2.1</v>
      </c>
      <c r="G1185" s="0" t="n">
        <v>17236</v>
      </c>
      <c r="H1185" s="6" t="s">
        <v>74</v>
      </c>
      <c r="I1185" s="6" t="n">
        <f aca="false">D1185*F1185</f>
        <v>29.4</v>
      </c>
      <c r="J1185" s="6" t="n">
        <f aca="false">HOUR(E1185)</f>
        <v>12</v>
      </c>
      <c r="K1185" s="6" t="n">
        <f aca="false">IF(COUNTIF($A$2:$A1185,A1185)=1,1,0)</f>
        <v>1</v>
      </c>
    </row>
    <row r="1186" customFormat="false" ht="15" hidden="false" customHeight="false" outlineLevel="0" collapsed="false">
      <c r="A1186" s="0" t="s">
        <v>321</v>
      </c>
      <c r="B1186" s="0" t="s">
        <v>95</v>
      </c>
      <c r="C1186" s="0" t="s">
        <v>96</v>
      </c>
      <c r="D1186" s="0" t="n">
        <v>7</v>
      </c>
      <c r="E1186" s="5" t="n">
        <v>45947.5253125</v>
      </c>
      <c r="F1186" s="0" t="n">
        <v>2.55</v>
      </c>
      <c r="G1186" s="0" t="n">
        <v>17099</v>
      </c>
      <c r="H1186" s="6" t="s">
        <v>74</v>
      </c>
      <c r="I1186" s="6" t="n">
        <f aca="false">D1186*F1186</f>
        <v>17.85</v>
      </c>
      <c r="J1186" s="6" t="n">
        <f aca="false">HOUR(E1186)</f>
        <v>12</v>
      </c>
      <c r="K1186" s="6" t="n">
        <f aca="false">IF(COUNTIF($A$2:$A1186,A1186)=1,1,0)</f>
        <v>1</v>
      </c>
    </row>
    <row r="1187" customFormat="false" ht="15" hidden="false" customHeight="false" outlineLevel="0" collapsed="false">
      <c r="A1187" s="0" t="s">
        <v>321</v>
      </c>
      <c r="B1187" s="0" t="s">
        <v>63</v>
      </c>
      <c r="C1187" s="0" t="s">
        <v>64</v>
      </c>
      <c r="D1187" s="0" t="n">
        <v>12</v>
      </c>
      <c r="E1187" s="5" t="n">
        <v>45947.5253125</v>
      </c>
      <c r="F1187" s="0" t="n">
        <v>1.85</v>
      </c>
      <c r="G1187" s="0" t="n">
        <v>17099</v>
      </c>
      <c r="H1187" s="6" t="s">
        <v>74</v>
      </c>
      <c r="I1187" s="6" t="n">
        <f aca="false">D1187*F1187</f>
        <v>22.2</v>
      </c>
      <c r="J1187" s="6" t="n">
        <f aca="false">HOUR(E1187)</f>
        <v>12</v>
      </c>
      <c r="K1187" s="6" t="n">
        <f aca="false">IF(COUNTIF($A$2:$A1187,A1187)=1,1,0)</f>
        <v>0</v>
      </c>
    </row>
    <row r="1188" customFormat="false" ht="15" hidden="false" customHeight="false" outlineLevel="0" collapsed="false">
      <c r="A1188" s="0" t="s">
        <v>321</v>
      </c>
      <c r="B1188" s="0" t="s">
        <v>65</v>
      </c>
      <c r="C1188" s="0" t="s">
        <v>66</v>
      </c>
      <c r="D1188" s="0" t="n">
        <v>17</v>
      </c>
      <c r="E1188" s="5" t="n">
        <v>45947.5253125</v>
      </c>
      <c r="F1188" s="0" t="n">
        <v>1.65</v>
      </c>
      <c r="G1188" s="0" t="n">
        <v>17099</v>
      </c>
      <c r="H1188" s="6" t="s">
        <v>74</v>
      </c>
      <c r="I1188" s="6" t="n">
        <f aca="false">D1188*F1188</f>
        <v>28.05</v>
      </c>
      <c r="J1188" s="6" t="n">
        <f aca="false">HOUR(E1188)</f>
        <v>12</v>
      </c>
      <c r="K1188" s="6" t="n">
        <f aca="false">IF(COUNTIF($A$2:$A1188,A1188)=1,1,0)</f>
        <v>0</v>
      </c>
    </row>
    <row r="1189" customFormat="false" ht="15" hidden="false" customHeight="false" outlineLevel="0" collapsed="false">
      <c r="A1189" s="0" t="s">
        <v>321</v>
      </c>
      <c r="B1189" s="0" t="s">
        <v>134</v>
      </c>
      <c r="C1189" s="0" t="s">
        <v>135</v>
      </c>
      <c r="D1189" s="0" t="n">
        <v>11</v>
      </c>
      <c r="E1189" s="5" t="n">
        <v>45947.5253125</v>
      </c>
      <c r="F1189" s="0" t="n">
        <v>5.95</v>
      </c>
      <c r="G1189" s="0" t="n">
        <v>17099</v>
      </c>
      <c r="H1189" s="6" t="s">
        <v>74</v>
      </c>
      <c r="I1189" s="6" t="n">
        <f aca="false">D1189*F1189</f>
        <v>65.45</v>
      </c>
      <c r="J1189" s="6" t="n">
        <f aca="false">HOUR(E1189)</f>
        <v>12</v>
      </c>
      <c r="K1189" s="6" t="n">
        <f aca="false">IF(COUNTIF($A$2:$A1189,A1189)=1,1,0)</f>
        <v>0</v>
      </c>
    </row>
    <row r="1190" customFormat="false" ht="15" hidden="false" customHeight="false" outlineLevel="0" collapsed="false">
      <c r="A1190" s="0" t="s">
        <v>321</v>
      </c>
      <c r="B1190" s="0" t="s">
        <v>93</v>
      </c>
      <c r="C1190" s="0" t="s">
        <v>94</v>
      </c>
      <c r="D1190" s="0" t="n">
        <v>3</v>
      </c>
      <c r="E1190" s="5" t="n">
        <v>45947.5253125</v>
      </c>
      <c r="F1190" s="0" t="n">
        <v>1.69</v>
      </c>
      <c r="G1190" s="0" t="n">
        <v>17099</v>
      </c>
      <c r="H1190" s="6" t="s">
        <v>74</v>
      </c>
      <c r="I1190" s="6" t="n">
        <f aca="false">D1190*F1190</f>
        <v>5.07</v>
      </c>
      <c r="J1190" s="6" t="n">
        <f aca="false">HOUR(E1190)</f>
        <v>12</v>
      </c>
      <c r="K1190" s="6" t="n">
        <f aca="false">IF(COUNTIF($A$2:$A1190,A1190)=1,1,0)</f>
        <v>0</v>
      </c>
    </row>
    <row r="1191" customFormat="false" ht="15" hidden="false" customHeight="false" outlineLevel="0" collapsed="false">
      <c r="A1191" s="0" t="s">
        <v>321</v>
      </c>
      <c r="B1191" s="0" t="s">
        <v>47</v>
      </c>
      <c r="C1191" s="0" t="s">
        <v>48</v>
      </c>
      <c r="D1191" s="0" t="n">
        <v>17</v>
      </c>
      <c r="E1191" s="5" t="n">
        <v>45947.5253125</v>
      </c>
      <c r="F1191" s="0" t="n">
        <v>12.75</v>
      </c>
      <c r="G1191" s="0" t="n">
        <v>17099</v>
      </c>
      <c r="H1191" s="6" t="s">
        <v>74</v>
      </c>
      <c r="I1191" s="6" t="n">
        <f aca="false">D1191*F1191</f>
        <v>216.75</v>
      </c>
      <c r="J1191" s="6" t="n">
        <f aca="false">HOUR(E1191)</f>
        <v>12</v>
      </c>
      <c r="K1191" s="6" t="n">
        <f aca="false">IF(COUNTIF($A$2:$A1191,A1191)=1,1,0)</f>
        <v>0</v>
      </c>
    </row>
    <row r="1192" customFormat="false" ht="15" hidden="false" customHeight="false" outlineLevel="0" collapsed="false">
      <c r="A1192" s="0" t="s">
        <v>321</v>
      </c>
      <c r="B1192" s="0" t="s">
        <v>88</v>
      </c>
      <c r="C1192" s="0" t="s">
        <v>89</v>
      </c>
      <c r="D1192" s="0" t="n">
        <v>5</v>
      </c>
      <c r="E1192" s="5" t="n">
        <v>45947.5253125</v>
      </c>
      <c r="F1192" s="0" t="n">
        <v>2.75</v>
      </c>
      <c r="G1192" s="0" t="n">
        <v>17099</v>
      </c>
      <c r="H1192" s="6" t="s">
        <v>74</v>
      </c>
      <c r="I1192" s="6" t="n">
        <f aca="false">D1192*F1192</f>
        <v>13.75</v>
      </c>
      <c r="J1192" s="6" t="n">
        <f aca="false">HOUR(E1192)</f>
        <v>12</v>
      </c>
      <c r="K1192" s="6" t="n">
        <f aca="false">IF(COUNTIF($A$2:$A1192,A1192)=1,1,0)</f>
        <v>0</v>
      </c>
    </row>
    <row r="1193" customFormat="false" ht="15" hidden="false" customHeight="false" outlineLevel="0" collapsed="false">
      <c r="A1193" s="0" t="s">
        <v>321</v>
      </c>
      <c r="B1193" s="0" t="s">
        <v>131</v>
      </c>
      <c r="C1193" s="0" t="s">
        <v>132</v>
      </c>
      <c r="D1193" s="0" t="n">
        <v>2</v>
      </c>
      <c r="E1193" s="5" t="n">
        <v>45947.5253125</v>
      </c>
      <c r="F1193" s="0" t="n">
        <v>3.39</v>
      </c>
      <c r="G1193" s="0" t="n">
        <v>17099</v>
      </c>
      <c r="H1193" s="6" t="s">
        <v>74</v>
      </c>
      <c r="I1193" s="6" t="n">
        <f aca="false">D1193*F1193</f>
        <v>6.78</v>
      </c>
      <c r="J1193" s="6" t="n">
        <f aca="false">HOUR(E1193)</f>
        <v>12</v>
      </c>
      <c r="K1193" s="6" t="n">
        <f aca="false">IF(COUNTIF($A$2:$A1193,A1193)=1,1,0)</f>
        <v>0</v>
      </c>
    </row>
    <row r="1194" customFormat="false" ht="15" hidden="false" customHeight="false" outlineLevel="0" collapsed="false">
      <c r="A1194" s="0" t="s">
        <v>322</v>
      </c>
      <c r="B1194" s="0" t="s">
        <v>114</v>
      </c>
      <c r="C1194" s="0" t="s">
        <v>115</v>
      </c>
      <c r="D1194" s="0" t="n">
        <v>13</v>
      </c>
      <c r="E1194" s="5" t="n">
        <v>45947.5774652778</v>
      </c>
      <c r="F1194" s="0" t="n">
        <v>2.08</v>
      </c>
      <c r="G1194" s="0" t="n">
        <v>17141</v>
      </c>
      <c r="H1194" s="6" t="s">
        <v>144</v>
      </c>
      <c r="I1194" s="6" t="n">
        <f aca="false">D1194*F1194</f>
        <v>27.04</v>
      </c>
      <c r="J1194" s="6" t="n">
        <f aca="false">HOUR(E1194)</f>
        <v>13</v>
      </c>
      <c r="K1194" s="6" t="n">
        <f aca="false">IF(COUNTIF($A$2:$A1194,A1194)=1,1,0)</f>
        <v>1</v>
      </c>
    </row>
    <row r="1195" customFormat="false" ht="15" hidden="false" customHeight="false" outlineLevel="0" collapsed="false">
      <c r="A1195" s="0" t="s">
        <v>322</v>
      </c>
      <c r="B1195" s="0" t="s">
        <v>53</v>
      </c>
      <c r="C1195" s="0" t="s">
        <v>54</v>
      </c>
      <c r="D1195" s="0" t="n">
        <v>3</v>
      </c>
      <c r="E1195" s="5" t="n">
        <v>45947.5774652778</v>
      </c>
      <c r="F1195" s="0" t="n">
        <v>2.95</v>
      </c>
      <c r="G1195" s="0" t="n">
        <v>17141</v>
      </c>
      <c r="H1195" s="6" t="s">
        <v>144</v>
      </c>
      <c r="I1195" s="6" t="n">
        <f aca="false">D1195*F1195</f>
        <v>8.85</v>
      </c>
      <c r="J1195" s="6" t="n">
        <f aca="false">HOUR(E1195)</f>
        <v>13</v>
      </c>
      <c r="K1195" s="6" t="n">
        <f aca="false">IF(COUNTIF($A$2:$A1195,A1195)=1,1,0)</f>
        <v>0</v>
      </c>
    </row>
    <row r="1196" customFormat="false" ht="15" hidden="false" customHeight="false" outlineLevel="0" collapsed="false">
      <c r="A1196" s="0" t="s">
        <v>322</v>
      </c>
      <c r="B1196" s="0" t="s">
        <v>40</v>
      </c>
      <c r="C1196" s="0" t="s">
        <v>41</v>
      </c>
      <c r="D1196" s="0" t="n">
        <v>17</v>
      </c>
      <c r="E1196" s="5" t="n">
        <v>45947.5774652778</v>
      </c>
      <c r="F1196" s="0" t="n">
        <v>1.06</v>
      </c>
      <c r="G1196" s="0" t="n">
        <v>17141</v>
      </c>
      <c r="H1196" s="6" t="s">
        <v>144</v>
      </c>
      <c r="I1196" s="6" t="n">
        <f aca="false">D1196*F1196</f>
        <v>18.02</v>
      </c>
      <c r="J1196" s="6" t="n">
        <f aca="false">HOUR(E1196)</f>
        <v>13</v>
      </c>
      <c r="K1196" s="6" t="n">
        <f aca="false">IF(COUNTIF($A$2:$A1196,A1196)=1,1,0)</f>
        <v>0</v>
      </c>
    </row>
    <row r="1197" customFormat="false" ht="15" hidden="false" customHeight="false" outlineLevel="0" collapsed="false">
      <c r="A1197" s="0" t="s">
        <v>322</v>
      </c>
      <c r="B1197" s="0" t="s">
        <v>93</v>
      </c>
      <c r="C1197" s="0" t="s">
        <v>94</v>
      </c>
      <c r="D1197" s="0" t="n">
        <v>12</v>
      </c>
      <c r="E1197" s="5" t="n">
        <v>45947.5774652778</v>
      </c>
      <c r="F1197" s="0" t="n">
        <v>1.69</v>
      </c>
      <c r="G1197" s="0" t="n">
        <v>17141</v>
      </c>
      <c r="H1197" s="6" t="s">
        <v>144</v>
      </c>
      <c r="I1197" s="6" t="n">
        <f aca="false">D1197*F1197</f>
        <v>20.28</v>
      </c>
      <c r="J1197" s="6" t="n">
        <f aca="false">HOUR(E1197)</f>
        <v>13</v>
      </c>
      <c r="K1197" s="6" t="n">
        <f aca="false">IF(COUNTIF($A$2:$A1197,A1197)=1,1,0)</f>
        <v>0</v>
      </c>
    </row>
    <row r="1198" customFormat="false" ht="15" hidden="false" customHeight="false" outlineLevel="0" collapsed="false">
      <c r="A1198" s="0" t="s">
        <v>322</v>
      </c>
      <c r="B1198" s="0" t="s">
        <v>83</v>
      </c>
      <c r="C1198" s="0" t="s">
        <v>84</v>
      </c>
      <c r="D1198" s="0" t="n">
        <v>1</v>
      </c>
      <c r="E1198" s="5" t="n">
        <v>45947.5774652778</v>
      </c>
      <c r="F1198" s="0" t="n">
        <v>2.95</v>
      </c>
      <c r="G1198" s="0" t="n">
        <v>17141</v>
      </c>
      <c r="H1198" s="6" t="s">
        <v>144</v>
      </c>
      <c r="I1198" s="6" t="n">
        <f aca="false">D1198*F1198</f>
        <v>2.95</v>
      </c>
      <c r="J1198" s="6" t="n">
        <f aca="false">HOUR(E1198)</f>
        <v>13</v>
      </c>
      <c r="K1198" s="6" t="n">
        <f aca="false">IF(COUNTIF($A$2:$A1198,A1198)=1,1,0)</f>
        <v>0</v>
      </c>
    </row>
    <row r="1199" customFormat="false" ht="15" hidden="false" customHeight="false" outlineLevel="0" collapsed="false">
      <c r="A1199" s="0" t="s">
        <v>322</v>
      </c>
      <c r="B1199" s="0" t="s">
        <v>45</v>
      </c>
      <c r="C1199" s="0" t="s">
        <v>46</v>
      </c>
      <c r="D1199" s="0" t="n">
        <v>2</v>
      </c>
      <c r="E1199" s="5" t="n">
        <v>45947.5774652778</v>
      </c>
      <c r="F1199" s="0" t="n">
        <v>2.1</v>
      </c>
      <c r="G1199" s="0" t="n">
        <v>17141</v>
      </c>
      <c r="H1199" s="6" t="s">
        <v>144</v>
      </c>
      <c r="I1199" s="6" t="n">
        <f aca="false">D1199*F1199</f>
        <v>4.2</v>
      </c>
      <c r="J1199" s="6" t="n">
        <f aca="false">HOUR(E1199)</f>
        <v>13</v>
      </c>
      <c r="K1199" s="6" t="n">
        <f aca="false">IF(COUNTIF($A$2:$A1199,A1199)=1,1,0)</f>
        <v>0</v>
      </c>
    </row>
    <row r="1200" customFormat="false" ht="15" hidden="false" customHeight="false" outlineLevel="0" collapsed="false">
      <c r="A1200" s="0" t="s">
        <v>322</v>
      </c>
      <c r="B1200" s="0" t="s">
        <v>95</v>
      </c>
      <c r="C1200" s="0" t="s">
        <v>96</v>
      </c>
      <c r="D1200" s="0" t="n">
        <v>26</v>
      </c>
      <c r="E1200" s="5" t="n">
        <v>45947.5774652778</v>
      </c>
      <c r="F1200" s="0" t="n">
        <v>2.55</v>
      </c>
      <c r="G1200" s="0" t="n">
        <v>17141</v>
      </c>
      <c r="H1200" s="6" t="s">
        <v>144</v>
      </c>
      <c r="I1200" s="6" t="n">
        <f aca="false">D1200*F1200</f>
        <v>66.3</v>
      </c>
      <c r="J1200" s="6" t="n">
        <f aca="false">HOUR(E1200)</f>
        <v>13</v>
      </c>
      <c r="K1200" s="6" t="n">
        <f aca="false">IF(COUNTIF($A$2:$A1200,A1200)=1,1,0)</f>
        <v>0</v>
      </c>
    </row>
    <row r="1201" customFormat="false" ht="15" hidden="false" customHeight="false" outlineLevel="0" collapsed="false">
      <c r="A1201" s="0" t="s">
        <v>322</v>
      </c>
      <c r="B1201" s="0" t="s">
        <v>59</v>
      </c>
      <c r="C1201" s="0" t="s">
        <v>60</v>
      </c>
      <c r="D1201" s="0" t="n">
        <v>4</v>
      </c>
      <c r="E1201" s="5" t="n">
        <v>45947.5774652778</v>
      </c>
      <c r="F1201" s="0" t="n">
        <v>0.42</v>
      </c>
      <c r="G1201" s="0" t="n">
        <v>17141</v>
      </c>
      <c r="H1201" s="6" t="s">
        <v>144</v>
      </c>
      <c r="I1201" s="6" t="n">
        <f aca="false">D1201*F1201</f>
        <v>1.68</v>
      </c>
      <c r="J1201" s="6" t="n">
        <f aca="false">HOUR(E1201)</f>
        <v>13</v>
      </c>
      <c r="K1201" s="6" t="n">
        <f aca="false">IF(COUNTIF($A$2:$A1201,A1201)=1,1,0)</f>
        <v>0</v>
      </c>
    </row>
    <row r="1202" customFormat="false" ht="15" hidden="false" customHeight="false" outlineLevel="0" collapsed="false">
      <c r="A1202" s="0" t="s">
        <v>322</v>
      </c>
      <c r="B1202" s="0" t="s">
        <v>91</v>
      </c>
      <c r="C1202" s="0" t="s">
        <v>92</v>
      </c>
      <c r="D1202" s="0" t="n">
        <v>13</v>
      </c>
      <c r="E1202" s="5" t="n">
        <v>45947.5774652778</v>
      </c>
      <c r="F1202" s="0" t="n">
        <v>7.65</v>
      </c>
      <c r="G1202" s="0" t="n">
        <v>17141</v>
      </c>
      <c r="H1202" s="6" t="s">
        <v>144</v>
      </c>
      <c r="I1202" s="6" t="n">
        <f aca="false">D1202*F1202</f>
        <v>99.45</v>
      </c>
      <c r="J1202" s="6" t="n">
        <f aca="false">HOUR(E1202)</f>
        <v>13</v>
      </c>
      <c r="K1202" s="6" t="n">
        <f aca="false">IF(COUNTIF($A$2:$A1202,A1202)=1,1,0)</f>
        <v>0</v>
      </c>
    </row>
    <row r="1203" customFormat="false" ht="15" hidden="false" customHeight="false" outlineLevel="0" collapsed="false">
      <c r="A1203" s="0" t="s">
        <v>322</v>
      </c>
      <c r="B1203" s="0" t="s">
        <v>121</v>
      </c>
      <c r="C1203" s="0" t="s">
        <v>122</v>
      </c>
      <c r="D1203" s="0" t="n">
        <v>15</v>
      </c>
      <c r="E1203" s="5" t="n">
        <v>45947.5774652778</v>
      </c>
      <c r="F1203" s="0" t="n">
        <v>2.1</v>
      </c>
      <c r="G1203" s="0" t="n">
        <v>17141</v>
      </c>
      <c r="H1203" s="6" t="s">
        <v>144</v>
      </c>
      <c r="I1203" s="6" t="n">
        <f aca="false">D1203*F1203</f>
        <v>31.5</v>
      </c>
      <c r="J1203" s="6" t="n">
        <f aca="false">HOUR(E1203)</f>
        <v>13</v>
      </c>
      <c r="K1203" s="6" t="n">
        <f aca="false">IF(COUNTIF($A$2:$A1203,A1203)=1,1,0)</f>
        <v>0</v>
      </c>
    </row>
    <row r="1204" customFormat="false" ht="15" hidden="false" customHeight="false" outlineLevel="0" collapsed="false">
      <c r="A1204" s="0" t="s">
        <v>323</v>
      </c>
      <c r="B1204" s="0" t="s">
        <v>104</v>
      </c>
      <c r="C1204" s="0" t="s">
        <v>105</v>
      </c>
      <c r="D1204" s="0" t="n">
        <v>7</v>
      </c>
      <c r="E1204" s="5" t="n">
        <v>45947.6917939815</v>
      </c>
      <c r="F1204" s="0" t="n">
        <v>1.65</v>
      </c>
      <c r="G1204" s="0" t="n">
        <v>17127</v>
      </c>
      <c r="H1204" s="6" t="s">
        <v>68</v>
      </c>
      <c r="I1204" s="6" t="n">
        <f aca="false">D1204*F1204</f>
        <v>11.55</v>
      </c>
      <c r="J1204" s="6" t="n">
        <f aca="false">HOUR(E1204)</f>
        <v>16</v>
      </c>
      <c r="K1204" s="6" t="n">
        <f aca="false">IF(COUNTIF($A$2:$A1204,A1204)=1,1,0)</f>
        <v>1</v>
      </c>
    </row>
    <row r="1205" customFormat="false" ht="15" hidden="false" customHeight="false" outlineLevel="0" collapsed="false">
      <c r="A1205" s="0" t="s">
        <v>323</v>
      </c>
      <c r="B1205" s="0" t="s">
        <v>59</v>
      </c>
      <c r="C1205" s="0" t="s">
        <v>60</v>
      </c>
      <c r="D1205" s="0" t="n">
        <v>13</v>
      </c>
      <c r="E1205" s="5" t="n">
        <v>45947.6917939815</v>
      </c>
      <c r="F1205" s="0" t="n">
        <v>0.42</v>
      </c>
      <c r="G1205" s="0" t="n">
        <v>17127</v>
      </c>
      <c r="H1205" s="6" t="s">
        <v>68</v>
      </c>
      <c r="I1205" s="6" t="n">
        <f aca="false">D1205*F1205</f>
        <v>5.46</v>
      </c>
      <c r="J1205" s="6" t="n">
        <f aca="false">HOUR(E1205)</f>
        <v>16</v>
      </c>
      <c r="K1205" s="6" t="n">
        <f aca="false">IF(COUNTIF($A$2:$A1205,A1205)=1,1,0)</f>
        <v>0</v>
      </c>
    </row>
    <row r="1206" customFormat="false" ht="15" hidden="false" customHeight="false" outlineLevel="0" collapsed="false">
      <c r="A1206" s="0" t="s">
        <v>323</v>
      </c>
      <c r="B1206" s="0" t="s">
        <v>88</v>
      </c>
      <c r="C1206" s="0" t="s">
        <v>89</v>
      </c>
      <c r="D1206" s="0" t="n">
        <v>24</v>
      </c>
      <c r="E1206" s="5" t="n">
        <v>45947.6917939815</v>
      </c>
      <c r="F1206" s="0" t="n">
        <v>2.75</v>
      </c>
      <c r="G1206" s="0" t="n">
        <v>17127</v>
      </c>
      <c r="H1206" s="6" t="s">
        <v>68</v>
      </c>
      <c r="I1206" s="6" t="n">
        <f aca="false">D1206*F1206</f>
        <v>66</v>
      </c>
      <c r="J1206" s="6" t="n">
        <f aca="false">HOUR(E1206)</f>
        <v>16</v>
      </c>
      <c r="K1206" s="6" t="n">
        <f aca="false">IF(COUNTIF($A$2:$A1206,A1206)=1,1,0)</f>
        <v>0</v>
      </c>
    </row>
    <row r="1207" customFormat="false" ht="15" hidden="false" customHeight="false" outlineLevel="0" collapsed="false">
      <c r="A1207" s="0" t="s">
        <v>324</v>
      </c>
      <c r="B1207" s="0" t="s">
        <v>72</v>
      </c>
      <c r="C1207" s="0" t="s">
        <v>73</v>
      </c>
      <c r="D1207" s="0" t="n">
        <v>17</v>
      </c>
      <c r="E1207" s="5" t="n">
        <v>45947.7642708333</v>
      </c>
      <c r="F1207" s="0" t="n">
        <v>4.95</v>
      </c>
      <c r="G1207" s="0" t="n">
        <v>17019</v>
      </c>
      <c r="H1207" s="6" t="s">
        <v>42</v>
      </c>
      <c r="I1207" s="6" t="n">
        <f aca="false">D1207*F1207</f>
        <v>84.15</v>
      </c>
      <c r="J1207" s="6" t="n">
        <f aca="false">HOUR(E1207)</f>
        <v>18</v>
      </c>
      <c r="K1207" s="6" t="n">
        <f aca="false">IF(COUNTIF($A$2:$A1207,A1207)=1,1,0)</f>
        <v>1</v>
      </c>
    </row>
    <row r="1208" customFormat="false" ht="15" hidden="false" customHeight="false" outlineLevel="0" collapsed="false">
      <c r="A1208" s="0" t="s">
        <v>324</v>
      </c>
      <c r="B1208" s="0" t="s">
        <v>104</v>
      </c>
      <c r="C1208" s="0" t="s">
        <v>105</v>
      </c>
      <c r="D1208" s="0" t="n">
        <v>6</v>
      </c>
      <c r="E1208" s="5" t="n">
        <v>45947.7642708333</v>
      </c>
      <c r="F1208" s="0" t="n">
        <v>1.65</v>
      </c>
      <c r="G1208" s="0" t="n">
        <v>17019</v>
      </c>
      <c r="H1208" s="6" t="s">
        <v>42</v>
      </c>
      <c r="I1208" s="6" t="n">
        <f aca="false">D1208*F1208</f>
        <v>9.9</v>
      </c>
      <c r="J1208" s="6" t="n">
        <f aca="false">HOUR(E1208)</f>
        <v>18</v>
      </c>
      <c r="K1208" s="6" t="n">
        <f aca="false">IF(COUNTIF($A$2:$A1208,A1208)=1,1,0)</f>
        <v>0</v>
      </c>
    </row>
    <row r="1209" customFormat="false" ht="15" hidden="false" customHeight="false" outlineLevel="0" collapsed="false">
      <c r="A1209" s="0" t="s">
        <v>324</v>
      </c>
      <c r="B1209" s="0" t="s">
        <v>131</v>
      </c>
      <c r="C1209" s="0" t="s">
        <v>132</v>
      </c>
      <c r="D1209" s="0" t="n">
        <v>11</v>
      </c>
      <c r="E1209" s="5" t="n">
        <v>45947.7642708333</v>
      </c>
      <c r="F1209" s="0" t="n">
        <v>3.39</v>
      </c>
      <c r="G1209" s="0" t="n">
        <v>17019</v>
      </c>
      <c r="H1209" s="6" t="s">
        <v>42</v>
      </c>
      <c r="I1209" s="6" t="n">
        <f aca="false">D1209*F1209</f>
        <v>37.29</v>
      </c>
      <c r="J1209" s="6" t="n">
        <f aca="false">HOUR(E1209)</f>
        <v>18</v>
      </c>
      <c r="K1209" s="6" t="n">
        <f aca="false">IF(COUNTIF($A$2:$A1209,A1209)=1,1,0)</f>
        <v>0</v>
      </c>
    </row>
    <row r="1210" customFormat="false" ht="15" hidden="false" customHeight="false" outlineLevel="0" collapsed="false">
      <c r="A1210" s="0" t="s">
        <v>324</v>
      </c>
      <c r="B1210" s="0" t="s">
        <v>65</v>
      </c>
      <c r="C1210" s="0" t="s">
        <v>66</v>
      </c>
      <c r="D1210" s="0" t="n">
        <v>9</v>
      </c>
      <c r="E1210" s="5" t="n">
        <v>45947.7642708333</v>
      </c>
      <c r="F1210" s="0" t="n">
        <v>1.65</v>
      </c>
      <c r="G1210" s="0" t="n">
        <v>17019</v>
      </c>
      <c r="H1210" s="6" t="s">
        <v>42</v>
      </c>
      <c r="I1210" s="6" t="n">
        <f aca="false">D1210*F1210</f>
        <v>14.85</v>
      </c>
      <c r="J1210" s="6" t="n">
        <f aca="false">HOUR(E1210)</f>
        <v>18</v>
      </c>
      <c r="K1210" s="6" t="n">
        <f aca="false">IF(COUNTIF($A$2:$A1210,A1210)=1,1,0)</f>
        <v>0</v>
      </c>
    </row>
    <row r="1211" customFormat="false" ht="15" hidden="false" customHeight="false" outlineLevel="0" collapsed="false">
      <c r="A1211" s="0" t="s">
        <v>324</v>
      </c>
      <c r="B1211" s="0" t="s">
        <v>137</v>
      </c>
      <c r="C1211" s="0" t="s">
        <v>138</v>
      </c>
      <c r="D1211" s="0" t="n">
        <v>1</v>
      </c>
      <c r="E1211" s="5" t="n">
        <v>45947.7642708333</v>
      </c>
      <c r="F1211" s="0" t="n">
        <v>2.1</v>
      </c>
      <c r="G1211" s="0" t="n">
        <v>17019</v>
      </c>
      <c r="H1211" s="6" t="s">
        <v>42</v>
      </c>
      <c r="I1211" s="6" t="n">
        <f aca="false">D1211*F1211</f>
        <v>2.1</v>
      </c>
      <c r="J1211" s="6" t="n">
        <f aca="false">HOUR(E1211)</f>
        <v>18</v>
      </c>
      <c r="K1211" s="6" t="n">
        <f aca="false">IF(COUNTIF($A$2:$A1211,A1211)=1,1,0)</f>
        <v>0</v>
      </c>
    </row>
    <row r="1212" customFormat="false" ht="15" hidden="false" customHeight="false" outlineLevel="0" collapsed="false">
      <c r="A1212" s="0" t="s">
        <v>324</v>
      </c>
      <c r="B1212" s="0" t="s">
        <v>95</v>
      </c>
      <c r="C1212" s="0" t="s">
        <v>96</v>
      </c>
      <c r="D1212" s="0" t="n">
        <v>30</v>
      </c>
      <c r="E1212" s="5" t="n">
        <v>45947.7642708333</v>
      </c>
      <c r="F1212" s="0" t="n">
        <v>2.55</v>
      </c>
      <c r="G1212" s="0" t="n">
        <v>17019</v>
      </c>
      <c r="H1212" s="6" t="s">
        <v>42</v>
      </c>
      <c r="I1212" s="6" t="n">
        <f aca="false">D1212*F1212</f>
        <v>76.5</v>
      </c>
      <c r="J1212" s="6" t="n">
        <f aca="false">HOUR(E1212)</f>
        <v>18</v>
      </c>
      <c r="K1212" s="6" t="n">
        <f aca="false">IF(COUNTIF($A$2:$A1212,A1212)=1,1,0)</f>
        <v>0</v>
      </c>
    </row>
    <row r="1213" customFormat="false" ht="15" hidden="false" customHeight="false" outlineLevel="0" collapsed="false">
      <c r="A1213" s="0" t="s">
        <v>324</v>
      </c>
      <c r="B1213" s="0" t="s">
        <v>118</v>
      </c>
      <c r="C1213" s="0" t="s">
        <v>119</v>
      </c>
      <c r="D1213" s="0" t="n">
        <v>35</v>
      </c>
      <c r="E1213" s="5" t="n">
        <v>45947.7642708333</v>
      </c>
      <c r="F1213" s="0" t="n">
        <v>4.95</v>
      </c>
      <c r="G1213" s="0" t="n">
        <v>17019</v>
      </c>
      <c r="H1213" s="6" t="s">
        <v>42</v>
      </c>
      <c r="I1213" s="6" t="n">
        <f aca="false">D1213*F1213</f>
        <v>173.25</v>
      </c>
      <c r="J1213" s="6" t="n">
        <f aca="false">HOUR(E1213)</f>
        <v>18</v>
      </c>
      <c r="K1213" s="6" t="n">
        <f aca="false">IF(COUNTIF($A$2:$A1213,A1213)=1,1,0)</f>
        <v>0</v>
      </c>
    </row>
    <row r="1214" customFormat="false" ht="15" hidden="false" customHeight="false" outlineLevel="0" collapsed="false">
      <c r="A1214" s="0" t="s">
        <v>324</v>
      </c>
      <c r="B1214" s="0" t="s">
        <v>140</v>
      </c>
      <c r="C1214" s="0" t="s">
        <v>141</v>
      </c>
      <c r="D1214" s="0" t="n">
        <v>22</v>
      </c>
      <c r="E1214" s="5" t="n">
        <v>45947.7642708333</v>
      </c>
      <c r="F1214" s="0" t="n">
        <v>2.08</v>
      </c>
      <c r="G1214" s="0" t="n">
        <v>17019</v>
      </c>
      <c r="H1214" s="6" t="s">
        <v>42</v>
      </c>
      <c r="I1214" s="6" t="n">
        <f aca="false">D1214*F1214</f>
        <v>45.76</v>
      </c>
      <c r="J1214" s="6" t="n">
        <f aca="false">HOUR(E1214)</f>
        <v>18</v>
      </c>
      <c r="K1214" s="6" t="n">
        <f aca="false">IF(COUNTIF($A$2:$A1214,A1214)=1,1,0)</f>
        <v>0</v>
      </c>
    </row>
    <row r="1215" customFormat="false" ht="15" hidden="false" customHeight="false" outlineLevel="0" collapsed="false">
      <c r="A1215" s="0" t="s">
        <v>324</v>
      </c>
      <c r="B1215" s="0" t="s">
        <v>53</v>
      </c>
      <c r="C1215" s="0" t="s">
        <v>54</v>
      </c>
      <c r="D1215" s="0" t="n">
        <v>12</v>
      </c>
      <c r="E1215" s="5" t="n">
        <v>45947.7642708333</v>
      </c>
      <c r="F1215" s="0" t="n">
        <v>2.95</v>
      </c>
      <c r="G1215" s="0" t="n">
        <v>17019</v>
      </c>
      <c r="H1215" s="6" t="s">
        <v>42</v>
      </c>
      <c r="I1215" s="6" t="n">
        <f aca="false">D1215*F1215</f>
        <v>35.4</v>
      </c>
      <c r="J1215" s="6" t="n">
        <f aca="false">HOUR(E1215)</f>
        <v>18</v>
      </c>
      <c r="K1215" s="6" t="n">
        <f aca="false">IF(COUNTIF($A$2:$A1215,A1215)=1,1,0)</f>
        <v>0</v>
      </c>
    </row>
    <row r="1216" customFormat="false" ht="15" hidden="false" customHeight="false" outlineLevel="0" collapsed="false">
      <c r="A1216" s="0" t="s">
        <v>325</v>
      </c>
      <c r="B1216" s="0" t="s">
        <v>104</v>
      </c>
      <c r="C1216" s="0" t="s">
        <v>105</v>
      </c>
      <c r="D1216" s="0" t="n">
        <v>12</v>
      </c>
      <c r="E1216" s="5" t="n">
        <v>45947.8369328704</v>
      </c>
      <c r="F1216" s="0" t="n">
        <v>1.65</v>
      </c>
      <c r="G1216" s="0" t="n">
        <v>17040</v>
      </c>
      <c r="H1216" s="6" t="s">
        <v>74</v>
      </c>
      <c r="I1216" s="6" t="n">
        <f aca="false">D1216*F1216</f>
        <v>19.8</v>
      </c>
      <c r="J1216" s="6" t="n">
        <f aca="false">HOUR(E1216)</f>
        <v>20</v>
      </c>
      <c r="K1216" s="6" t="n">
        <f aca="false">IF(COUNTIF($A$2:$A1216,A1216)=1,1,0)</f>
        <v>1</v>
      </c>
    </row>
    <row r="1217" customFormat="false" ht="15" hidden="false" customHeight="false" outlineLevel="0" collapsed="false">
      <c r="A1217" s="0" t="s">
        <v>325</v>
      </c>
      <c r="B1217" s="0" t="s">
        <v>107</v>
      </c>
      <c r="C1217" s="0" t="s">
        <v>108</v>
      </c>
      <c r="D1217" s="0" t="n">
        <v>16</v>
      </c>
      <c r="E1217" s="5" t="n">
        <v>45947.8369328704</v>
      </c>
      <c r="F1217" s="0" t="n">
        <v>3.75</v>
      </c>
      <c r="G1217" s="0" t="n">
        <v>17040</v>
      </c>
      <c r="H1217" s="6" t="s">
        <v>74</v>
      </c>
      <c r="I1217" s="6" t="n">
        <f aca="false">D1217*F1217</f>
        <v>60</v>
      </c>
      <c r="J1217" s="6" t="n">
        <f aca="false">HOUR(E1217)</f>
        <v>20</v>
      </c>
      <c r="K1217" s="6" t="n">
        <f aca="false">IF(COUNTIF($A$2:$A1217,A1217)=1,1,0)</f>
        <v>0</v>
      </c>
    </row>
    <row r="1218" customFormat="false" ht="15" hidden="false" customHeight="false" outlineLevel="0" collapsed="false">
      <c r="A1218" s="0" t="s">
        <v>325</v>
      </c>
      <c r="B1218" s="0" t="s">
        <v>57</v>
      </c>
      <c r="C1218" s="0" t="s">
        <v>58</v>
      </c>
      <c r="D1218" s="0" t="n">
        <v>15</v>
      </c>
      <c r="E1218" s="5" t="n">
        <v>45947.8369328704</v>
      </c>
      <c r="F1218" s="0" t="n">
        <v>2.08</v>
      </c>
      <c r="G1218" s="0" t="n">
        <v>17040</v>
      </c>
      <c r="H1218" s="6" t="s">
        <v>74</v>
      </c>
      <c r="I1218" s="6" t="n">
        <f aca="false">D1218*F1218</f>
        <v>31.2</v>
      </c>
      <c r="J1218" s="6" t="n">
        <f aca="false">HOUR(E1218)</f>
        <v>20</v>
      </c>
      <c r="K1218" s="6" t="n">
        <f aca="false">IF(COUNTIF($A$2:$A1218,A1218)=1,1,0)</f>
        <v>0</v>
      </c>
    </row>
    <row r="1219" customFormat="false" ht="15" hidden="false" customHeight="false" outlineLevel="0" collapsed="false">
      <c r="A1219" s="0" t="s">
        <v>325</v>
      </c>
      <c r="B1219" s="0" t="s">
        <v>127</v>
      </c>
      <c r="C1219" s="0" t="s">
        <v>128</v>
      </c>
      <c r="D1219" s="0" t="n">
        <v>6</v>
      </c>
      <c r="E1219" s="5" t="n">
        <v>45947.8369328704</v>
      </c>
      <c r="F1219" s="0" t="n">
        <v>1.45</v>
      </c>
      <c r="G1219" s="0" t="n">
        <v>17040</v>
      </c>
      <c r="H1219" s="6" t="s">
        <v>74</v>
      </c>
      <c r="I1219" s="6" t="n">
        <f aca="false">D1219*F1219</f>
        <v>8.7</v>
      </c>
      <c r="J1219" s="6" t="n">
        <f aca="false">HOUR(E1219)</f>
        <v>20</v>
      </c>
      <c r="K1219" s="6" t="n">
        <f aca="false">IF(COUNTIF($A$2:$A1219,A1219)=1,1,0)</f>
        <v>0</v>
      </c>
    </row>
    <row r="1220" customFormat="false" ht="15" hidden="false" customHeight="false" outlineLevel="0" collapsed="false">
      <c r="A1220" s="0" t="s">
        <v>325</v>
      </c>
      <c r="B1220" s="0" t="s">
        <v>121</v>
      </c>
      <c r="C1220" s="0" t="s">
        <v>122</v>
      </c>
      <c r="D1220" s="0" t="n">
        <v>7</v>
      </c>
      <c r="E1220" s="5" t="n">
        <v>45947.8369328704</v>
      </c>
      <c r="F1220" s="0" t="n">
        <v>2.1</v>
      </c>
      <c r="G1220" s="0" t="n">
        <v>17040</v>
      </c>
      <c r="H1220" s="6" t="s">
        <v>74</v>
      </c>
      <c r="I1220" s="6" t="n">
        <f aca="false">D1220*F1220</f>
        <v>14.7</v>
      </c>
      <c r="J1220" s="6" t="n">
        <f aca="false">HOUR(E1220)</f>
        <v>20</v>
      </c>
      <c r="K1220" s="6" t="n">
        <f aca="false">IF(COUNTIF($A$2:$A1220,A1220)=1,1,0)</f>
        <v>0</v>
      </c>
    </row>
    <row r="1221" customFormat="false" ht="15" hidden="false" customHeight="false" outlineLevel="0" collapsed="false">
      <c r="A1221" s="0" t="s">
        <v>325</v>
      </c>
      <c r="B1221" s="0" t="s">
        <v>137</v>
      </c>
      <c r="C1221" s="0" t="s">
        <v>138</v>
      </c>
      <c r="D1221" s="0" t="n">
        <v>14</v>
      </c>
      <c r="E1221" s="5" t="n">
        <v>45947.8369328704</v>
      </c>
      <c r="F1221" s="0" t="n">
        <v>2.1</v>
      </c>
      <c r="G1221" s="0" t="n">
        <v>17040</v>
      </c>
      <c r="H1221" s="6" t="s">
        <v>74</v>
      </c>
      <c r="I1221" s="6" t="n">
        <f aca="false">D1221*F1221</f>
        <v>29.4</v>
      </c>
      <c r="J1221" s="6" t="n">
        <f aca="false">HOUR(E1221)</f>
        <v>20</v>
      </c>
      <c r="K1221" s="6" t="n">
        <f aca="false">IF(COUNTIF($A$2:$A1221,A1221)=1,1,0)</f>
        <v>0</v>
      </c>
    </row>
    <row r="1222" customFormat="false" ht="15" hidden="false" customHeight="false" outlineLevel="0" collapsed="false">
      <c r="A1222" s="0" t="s">
        <v>325</v>
      </c>
      <c r="B1222" s="0" t="s">
        <v>50</v>
      </c>
      <c r="C1222" s="0" t="s">
        <v>51</v>
      </c>
      <c r="D1222" s="0" t="n">
        <v>10</v>
      </c>
      <c r="E1222" s="5" t="n">
        <v>45947.8369328704</v>
      </c>
      <c r="F1222" s="0" t="n">
        <v>5.95</v>
      </c>
      <c r="G1222" s="0" t="n">
        <v>17040</v>
      </c>
      <c r="H1222" s="6" t="s">
        <v>74</v>
      </c>
      <c r="I1222" s="6" t="n">
        <f aca="false">D1222*F1222</f>
        <v>59.5</v>
      </c>
      <c r="J1222" s="6" t="n">
        <f aca="false">HOUR(E1222)</f>
        <v>20</v>
      </c>
      <c r="K1222" s="6" t="n">
        <f aca="false">IF(COUNTIF($A$2:$A1222,A1222)=1,1,0)</f>
        <v>0</v>
      </c>
    </row>
    <row r="1223" customFormat="false" ht="15" hidden="false" customHeight="false" outlineLevel="0" collapsed="false">
      <c r="A1223" s="0" t="s">
        <v>326</v>
      </c>
      <c r="B1223" s="0" t="s">
        <v>86</v>
      </c>
      <c r="C1223" s="0" t="s">
        <v>87</v>
      </c>
      <c r="D1223" s="0" t="n">
        <v>11</v>
      </c>
      <c r="E1223" s="5" t="n">
        <v>45947.8443171296</v>
      </c>
      <c r="F1223" s="0" t="n">
        <v>4.25</v>
      </c>
      <c r="G1223" s="0" t="n">
        <v>17006</v>
      </c>
      <c r="H1223" s="6" t="s">
        <v>74</v>
      </c>
      <c r="I1223" s="6" t="n">
        <f aca="false">D1223*F1223</f>
        <v>46.75</v>
      </c>
      <c r="J1223" s="6" t="n">
        <f aca="false">HOUR(E1223)</f>
        <v>20</v>
      </c>
      <c r="K1223" s="6" t="n">
        <f aca="false">IF(COUNTIF($A$2:$A1223,A1223)=1,1,0)</f>
        <v>1</v>
      </c>
    </row>
    <row r="1224" customFormat="false" ht="15" hidden="false" customHeight="false" outlineLevel="0" collapsed="false">
      <c r="A1224" s="0" t="s">
        <v>327</v>
      </c>
      <c r="B1224" s="0" t="s">
        <v>134</v>
      </c>
      <c r="C1224" s="0" t="s">
        <v>135</v>
      </c>
      <c r="D1224" s="0" t="n">
        <v>22</v>
      </c>
      <c r="E1224" s="5" t="n">
        <v>45948.3959375</v>
      </c>
      <c r="F1224" s="0" t="n">
        <v>5.95</v>
      </c>
      <c r="G1224" s="0" t="n">
        <v>17241</v>
      </c>
      <c r="H1224" s="6" t="s">
        <v>151</v>
      </c>
      <c r="I1224" s="6" t="n">
        <f aca="false">D1224*F1224</f>
        <v>130.9</v>
      </c>
      <c r="J1224" s="6" t="n">
        <f aca="false">HOUR(E1224)</f>
        <v>9</v>
      </c>
      <c r="K1224" s="6" t="n">
        <f aca="false">IF(COUNTIF($A$2:$A1224,A1224)=1,1,0)</f>
        <v>1</v>
      </c>
    </row>
    <row r="1225" customFormat="false" ht="15" hidden="false" customHeight="false" outlineLevel="0" collapsed="false">
      <c r="A1225" s="0" t="s">
        <v>327</v>
      </c>
      <c r="B1225" s="0" t="s">
        <v>45</v>
      </c>
      <c r="C1225" s="0" t="s">
        <v>46</v>
      </c>
      <c r="D1225" s="0" t="n">
        <v>18</v>
      </c>
      <c r="E1225" s="5" t="n">
        <v>45948.3959375</v>
      </c>
      <c r="F1225" s="0" t="n">
        <v>2.1</v>
      </c>
      <c r="G1225" s="0" t="n">
        <v>17241</v>
      </c>
      <c r="H1225" s="6" t="s">
        <v>151</v>
      </c>
      <c r="I1225" s="6" t="n">
        <f aca="false">D1225*F1225</f>
        <v>37.8</v>
      </c>
      <c r="J1225" s="6" t="n">
        <f aca="false">HOUR(E1225)</f>
        <v>9</v>
      </c>
      <c r="K1225" s="6" t="n">
        <f aca="false">IF(COUNTIF($A$2:$A1225,A1225)=1,1,0)</f>
        <v>0</v>
      </c>
    </row>
    <row r="1226" customFormat="false" ht="15" hidden="false" customHeight="false" outlineLevel="0" collapsed="false">
      <c r="A1226" s="0" t="s">
        <v>327</v>
      </c>
      <c r="B1226" s="0" t="s">
        <v>72</v>
      </c>
      <c r="C1226" s="0" t="s">
        <v>73</v>
      </c>
      <c r="D1226" s="0" t="n">
        <v>34</v>
      </c>
      <c r="E1226" s="5" t="n">
        <v>45948.3959375</v>
      </c>
      <c r="F1226" s="0" t="n">
        <v>4.95</v>
      </c>
      <c r="G1226" s="0" t="n">
        <v>17241</v>
      </c>
      <c r="H1226" s="6" t="s">
        <v>151</v>
      </c>
      <c r="I1226" s="6" t="n">
        <f aca="false">D1226*F1226</f>
        <v>168.3</v>
      </c>
      <c r="J1226" s="6" t="n">
        <f aca="false">HOUR(E1226)</f>
        <v>9</v>
      </c>
      <c r="K1226" s="6" t="n">
        <f aca="false">IF(COUNTIF($A$2:$A1226,A1226)=1,1,0)</f>
        <v>0</v>
      </c>
    </row>
    <row r="1227" customFormat="false" ht="15" hidden="false" customHeight="false" outlineLevel="0" collapsed="false">
      <c r="A1227" s="0" t="s">
        <v>327</v>
      </c>
      <c r="B1227" s="0" t="s">
        <v>53</v>
      </c>
      <c r="C1227" s="0" t="s">
        <v>54</v>
      </c>
      <c r="D1227" s="0" t="n">
        <v>17</v>
      </c>
      <c r="E1227" s="5" t="n">
        <v>45948.3959375</v>
      </c>
      <c r="F1227" s="0" t="n">
        <v>2.95</v>
      </c>
      <c r="G1227" s="0" t="n">
        <v>17241</v>
      </c>
      <c r="H1227" s="6" t="s">
        <v>151</v>
      </c>
      <c r="I1227" s="6" t="n">
        <f aca="false">D1227*F1227</f>
        <v>50.15</v>
      </c>
      <c r="J1227" s="6" t="n">
        <f aca="false">HOUR(E1227)</f>
        <v>9</v>
      </c>
      <c r="K1227" s="6" t="n">
        <f aca="false">IF(COUNTIF($A$2:$A1227,A1227)=1,1,0)</f>
        <v>0</v>
      </c>
    </row>
    <row r="1228" customFormat="false" ht="15" hidden="false" customHeight="false" outlineLevel="0" collapsed="false">
      <c r="A1228" s="0" t="s">
        <v>327</v>
      </c>
      <c r="B1228" s="0" t="s">
        <v>125</v>
      </c>
      <c r="C1228" s="0" t="s">
        <v>126</v>
      </c>
      <c r="D1228" s="0" t="n">
        <v>19</v>
      </c>
      <c r="E1228" s="5" t="n">
        <v>45948.3959375</v>
      </c>
      <c r="F1228" s="0" t="n">
        <v>1.25</v>
      </c>
      <c r="G1228" s="0" t="n">
        <v>17241</v>
      </c>
      <c r="H1228" s="6" t="s">
        <v>151</v>
      </c>
      <c r="I1228" s="6" t="n">
        <f aca="false">D1228*F1228</f>
        <v>23.75</v>
      </c>
      <c r="J1228" s="6" t="n">
        <f aca="false">HOUR(E1228)</f>
        <v>9</v>
      </c>
      <c r="K1228" s="6" t="n">
        <f aca="false">IF(COUNTIF($A$2:$A1228,A1228)=1,1,0)</f>
        <v>0</v>
      </c>
    </row>
    <row r="1229" customFormat="false" ht="15" hidden="false" customHeight="false" outlineLevel="0" collapsed="false">
      <c r="A1229" s="0" t="s">
        <v>327</v>
      </c>
      <c r="B1229" s="0" t="s">
        <v>91</v>
      </c>
      <c r="C1229" s="0" t="s">
        <v>92</v>
      </c>
      <c r="D1229" s="0" t="n">
        <v>5</v>
      </c>
      <c r="E1229" s="5" t="n">
        <v>45948.3959375</v>
      </c>
      <c r="F1229" s="0" t="n">
        <v>7.65</v>
      </c>
      <c r="G1229" s="0" t="n">
        <v>17241</v>
      </c>
      <c r="H1229" s="6" t="s">
        <v>151</v>
      </c>
      <c r="I1229" s="6" t="n">
        <f aca="false">D1229*F1229</f>
        <v>38.25</v>
      </c>
      <c r="J1229" s="6" t="n">
        <f aca="false">HOUR(E1229)</f>
        <v>9</v>
      </c>
      <c r="K1229" s="6" t="n">
        <f aca="false">IF(COUNTIF($A$2:$A1229,A1229)=1,1,0)</f>
        <v>0</v>
      </c>
    </row>
    <row r="1230" customFormat="false" ht="15" hidden="false" customHeight="false" outlineLevel="0" collapsed="false">
      <c r="A1230" s="0" t="s">
        <v>327</v>
      </c>
      <c r="B1230" s="0" t="s">
        <v>63</v>
      </c>
      <c r="C1230" s="0" t="s">
        <v>64</v>
      </c>
      <c r="D1230" s="0" t="n">
        <v>14</v>
      </c>
      <c r="E1230" s="5" t="n">
        <v>45948.3959375</v>
      </c>
      <c r="F1230" s="0" t="n">
        <v>1.85</v>
      </c>
      <c r="G1230" s="0" t="n">
        <v>17241</v>
      </c>
      <c r="H1230" s="6" t="s">
        <v>151</v>
      </c>
      <c r="I1230" s="6" t="n">
        <f aca="false">D1230*F1230</f>
        <v>25.9</v>
      </c>
      <c r="J1230" s="6" t="n">
        <f aca="false">HOUR(E1230)</f>
        <v>9</v>
      </c>
      <c r="K1230" s="6" t="n">
        <f aca="false">IF(COUNTIF($A$2:$A1230,A1230)=1,1,0)</f>
        <v>0</v>
      </c>
    </row>
    <row r="1231" customFormat="false" ht="15" hidden="false" customHeight="false" outlineLevel="0" collapsed="false">
      <c r="A1231" s="0" t="s">
        <v>327</v>
      </c>
      <c r="B1231" s="0" t="s">
        <v>75</v>
      </c>
      <c r="C1231" s="0" t="s">
        <v>76</v>
      </c>
      <c r="D1231" s="0" t="n">
        <v>15</v>
      </c>
      <c r="E1231" s="5" t="n">
        <v>45948.3959375</v>
      </c>
      <c r="F1231" s="0" t="n">
        <v>3.39</v>
      </c>
      <c r="G1231" s="0" t="n">
        <v>17241</v>
      </c>
      <c r="H1231" s="6" t="s">
        <v>151</v>
      </c>
      <c r="I1231" s="6" t="n">
        <f aca="false">D1231*F1231</f>
        <v>50.85</v>
      </c>
      <c r="J1231" s="6" t="n">
        <f aca="false">HOUR(E1231)</f>
        <v>9</v>
      </c>
      <c r="K1231" s="6" t="n">
        <f aca="false">IF(COUNTIF($A$2:$A1231,A1231)=1,1,0)</f>
        <v>0</v>
      </c>
    </row>
    <row r="1232" customFormat="false" ht="15" hidden="false" customHeight="false" outlineLevel="0" collapsed="false">
      <c r="A1232" s="0" t="s">
        <v>327</v>
      </c>
      <c r="B1232" s="0" t="s">
        <v>104</v>
      </c>
      <c r="C1232" s="0" t="s">
        <v>105</v>
      </c>
      <c r="D1232" s="0" t="n">
        <v>7</v>
      </c>
      <c r="E1232" s="5" t="n">
        <v>45948.3959375</v>
      </c>
      <c r="F1232" s="0" t="n">
        <v>1.65</v>
      </c>
      <c r="G1232" s="0" t="n">
        <v>17241</v>
      </c>
      <c r="H1232" s="6" t="s">
        <v>151</v>
      </c>
      <c r="I1232" s="6" t="n">
        <f aca="false">D1232*F1232</f>
        <v>11.55</v>
      </c>
      <c r="J1232" s="6" t="n">
        <f aca="false">HOUR(E1232)</f>
        <v>9</v>
      </c>
      <c r="K1232" s="6" t="n">
        <f aca="false">IF(COUNTIF($A$2:$A1232,A1232)=1,1,0)</f>
        <v>0</v>
      </c>
    </row>
    <row r="1233" customFormat="false" ht="15" hidden="false" customHeight="false" outlineLevel="0" collapsed="false">
      <c r="A1233" s="0" t="s">
        <v>328</v>
      </c>
      <c r="B1233" s="0" t="s">
        <v>145</v>
      </c>
      <c r="C1233" s="0" t="s">
        <v>146</v>
      </c>
      <c r="D1233" s="0" t="n">
        <v>19</v>
      </c>
      <c r="E1233" s="5" t="n">
        <v>45948.3980208333</v>
      </c>
      <c r="F1233" s="0" t="n">
        <v>1.85</v>
      </c>
      <c r="H1233" s="6" t="s">
        <v>74</v>
      </c>
      <c r="I1233" s="6" t="n">
        <f aca="false">D1233*F1233</f>
        <v>35.15</v>
      </c>
      <c r="J1233" s="6" t="n">
        <f aca="false">HOUR(E1233)</f>
        <v>9</v>
      </c>
      <c r="K1233" s="6" t="n">
        <f aca="false">IF(COUNTIF($A$2:$A1233,A1233)=1,1,0)</f>
        <v>1</v>
      </c>
    </row>
    <row r="1234" customFormat="false" ht="15" hidden="false" customHeight="false" outlineLevel="0" collapsed="false">
      <c r="A1234" s="0" t="s">
        <v>329</v>
      </c>
      <c r="B1234" s="0" t="s">
        <v>57</v>
      </c>
      <c r="C1234" s="0" t="s">
        <v>58</v>
      </c>
      <c r="D1234" s="0" t="n">
        <v>20</v>
      </c>
      <c r="E1234" s="5" t="n">
        <v>45948.4272800926</v>
      </c>
      <c r="F1234" s="0" t="n">
        <v>2.08</v>
      </c>
      <c r="G1234" s="0" t="n">
        <v>17145</v>
      </c>
      <c r="H1234" s="6" t="s">
        <v>74</v>
      </c>
      <c r="I1234" s="6" t="n">
        <f aca="false">D1234*F1234</f>
        <v>41.6</v>
      </c>
      <c r="J1234" s="6" t="n">
        <f aca="false">HOUR(E1234)</f>
        <v>10</v>
      </c>
      <c r="K1234" s="6" t="n">
        <f aca="false">IF(COUNTIF($A$2:$A1234,A1234)=1,1,0)</f>
        <v>1</v>
      </c>
    </row>
    <row r="1235" customFormat="false" ht="15" hidden="false" customHeight="false" outlineLevel="0" collapsed="false">
      <c r="A1235" s="0" t="s">
        <v>330</v>
      </c>
      <c r="B1235" s="0" t="s">
        <v>118</v>
      </c>
      <c r="C1235" s="0" t="s">
        <v>119</v>
      </c>
      <c r="D1235" s="0" t="n">
        <v>46</v>
      </c>
      <c r="E1235" s="5" t="n">
        <v>45948.4716782407</v>
      </c>
      <c r="F1235" s="0" t="n">
        <v>4.95</v>
      </c>
      <c r="G1235" s="0" t="n">
        <v>17175</v>
      </c>
      <c r="H1235" s="6" t="s">
        <v>74</v>
      </c>
      <c r="I1235" s="6" t="n">
        <f aca="false">D1235*F1235</f>
        <v>227.7</v>
      </c>
      <c r="J1235" s="6" t="n">
        <f aca="false">HOUR(E1235)</f>
        <v>11</v>
      </c>
      <c r="K1235" s="6" t="n">
        <f aca="false">IF(COUNTIF($A$2:$A1235,A1235)=1,1,0)</f>
        <v>1</v>
      </c>
    </row>
    <row r="1236" customFormat="false" ht="15" hidden="false" customHeight="false" outlineLevel="0" collapsed="false">
      <c r="A1236" s="0" t="s">
        <v>330</v>
      </c>
      <c r="B1236" s="0" t="s">
        <v>134</v>
      </c>
      <c r="C1236" s="0" t="s">
        <v>135</v>
      </c>
      <c r="D1236" s="0" t="n">
        <v>14</v>
      </c>
      <c r="E1236" s="5" t="n">
        <v>45948.4716782407</v>
      </c>
      <c r="F1236" s="0" t="n">
        <v>5.95</v>
      </c>
      <c r="G1236" s="0" t="n">
        <v>17175</v>
      </c>
      <c r="H1236" s="6" t="s">
        <v>74</v>
      </c>
      <c r="I1236" s="6" t="n">
        <f aca="false">D1236*F1236</f>
        <v>83.3</v>
      </c>
      <c r="J1236" s="6" t="n">
        <f aca="false">HOUR(E1236)</f>
        <v>11</v>
      </c>
      <c r="K1236" s="6" t="n">
        <f aca="false">IF(COUNTIF($A$2:$A1236,A1236)=1,1,0)</f>
        <v>0</v>
      </c>
    </row>
    <row r="1237" customFormat="false" ht="15" hidden="false" customHeight="false" outlineLevel="0" collapsed="false">
      <c r="A1237" s="0" t="s">
        <v>330</v>
      </c>
      <c r="B1237" s="0" t="s">
        <v>69</v>
      </c>
      <c r="C1237" s="0" t="s">
        <v>70</v>
      </c>
      <c r="D1237" s="0" t="n">
        <v>45</v>
      </c>
      <c r="E1237" s="5" t="n">
        <v>45948.4716782407</v>
      </c>
      <c r="F1237" s="0" t="n">
        <v>2.08</v>
      </c>
      <c r="G1237" s="0" t="n">
        <v>17175</v>
      </c>
      <c r="H1237" s="6" t="s">
        <v>74</v>
      </c>
      <c r="I1237" s="6" t="n">
        <f aca="false">D1237*F1237</f>
        <v>93.6</v>
      </c>
      <c r="J1237" s="6" t="n">
        <f aca="false">HOUR(E1237)</f>
        <v>11</v>
      </c>
      <c r="K1237" s="6" t="n">
        <f aca="false">IF(COUNTIF($A$2:$A1237,A1237)=1,1,0)</f>
        <v>0</v>
      </c>
    </row>
    <row r="1238" customFormat="false" ht="15" hidden="false" customHeight="false" outlineLevel="0" collapsed="false">
      <c r="A1238" s="0" t="s">
        <v>330</v>
      </c>
      <c r="B1238" s="0" t="s">
        <v>109</v>
      </c>
      <c r="C1238" s="0" t="s">
        <v>110</v>
      </c>
      <c r="D1238" s="0" t="n">
        <v>20</v>
      </c>
      <c r="E1238" s="5" t="n">
        <v>45948.4716782407</v>
      </c>
      <c r="F1238" s="0" t="n">
        <v>0.85</v>
      </c>
      <c r="G1238" s="0" t="n">
        <v>17175</v>
      </c>
      <c r="H1238" s="6" t="s">
        <v>74</v>
      </c>
      <c r="I1238" s="6" t="n">
        <f aca="false">D1238*F1238</f>
        <v>17</v>
      </c>
      <c r="J1238" s="6" t="n">
        <f aca="false">HOUR(E1238)</f>
        <v>11</v>
      </c>
      <c r="K1238" s="6" t="n">
        <f aca="false">IF(COUNTIF($A$2:$A1238,A1238)=1,1,0)</f>
        <v>0</v>
      </c>
    </row>
    <row r="1239" customFormat="false" ht="15" hidden="false" customHeight="false" outlineLevel="0" collapsed="false">
      <c r="A1239" s="0" t="s">
        <v>330</v>
      </c>
      <c r="B1239" s="0" t="s">
        <v>45</v>
      </c>
      <c r="C1239" s="0" t="s">
        <v>46</v>
      </c>
      <c r="D1239" s="0" t="n">
        <v>8</v>
      </c>
      <c r="E1239" s="5" t="n">
        <v>45948.4716782407</v>
      </c>
      <c r="F1239" s="0" t="n">
        <v>2.1</v>
      </c>
      <c r="G1239" s="0" t="n">
        <v>17175</v>
      </c>
      <c r="H1239" s="6" t="s">
        <v>74</v>
      </c>
      <c r="I1239" s="6" t="n">
        <f aca="false">D1239*F1239</f>
        <v>16.8</v>
      </c>
      <c r="J1239" s="6" t="n">
        <f aca="false">HOUR(E1239)</f>
        <v>11</v>
      </c>
      <c r="K1239" s="6" t="n">
        <f aca="false">IF(COUNTIF($A$2:$A1239,A1239)=1,1,0)</f>
        <v>0</v>
      </c>
    </row>
    <row r="1240" customFormat="false" ht="15" hidden="false" customHeight="false" outlineLevel="0" collapsed="false">
      <c r="A1240" s="0" t="s">
        <v>330</v>
      </c>
      <c r="B1240" s="0" t="s">
        <v>114</v>
      </c>
      <c r="C1240" s="0" t="s">
        <v>115</v>
      </c>
      <c r="D1240" s="0" t="n">
        <v>15</v>
      </c>
      <c r="E1240" s="5" t="n">
        <v>45948.4716782407</v>
      </c>
      <c r="F1240" s="0" t="n">
        <v>2.08</v>
      </c>
      <c r="G1240" s="0" t="n">
        <v>17175</v>
      </c>
      <c r="H1240" s="6" t="s">
        <v>74</v>
      </c>
      <c r="I1240" s="6" t="n">
        <f aca="false">D1240*F1240</f>
        <v>31.2</v>
      </c>
      <c r="J1240" s="6" t="n">
        <f aca="false">HOUR(E1240)</f>
        <v>11</v>
      </c>
      <c r="K1240" s="6" t="n">
        <f aca="false">IF(COUNTIF($A$2:$A1240,A1240)=1,1,0)</f>
        <v>0</v>
      </c>
    </row>
    <row r="1241" customFormat="false" ht="15" hidden="false" customHeight="false" outlineLevel="0" collapsed="false">
      <c r="A1241" s="0" t="s">
        <v>330</v>
      </c>
      <c r="B1241" s="0" t="s">
        <v>47</v>
      </c>
      <c r="C1241" s="0" t="s">
        <v>48</v>
      </c>
      <c r="D1241" s="0" t="n">
        <v>47</v>
      </c>
      <c r="E1241" s="5" t="n">
        <v>45948.4716782407</v>
      </c>
      <c r="F1241" s="0" t="n">
        <v>12.75</v>
      </c>
      <c r="G1241" s="0" t="n">
        <v>17175</v>
      </c>
      <c r="H1241" s="6" t="s">
        <v>74</v>
      </c>
      <c r="I1241" s="6" t="n">
        <f aca="false">D1241*F1241</f>
        <v>599.25</v>
      </c>
      <c r="J1241" s="6" t="n">
        <f aca="false">HOUR(E1241)</f>
        <v>11</v>
      </c>
      <c r="K1241" s="6" t="n">
        <f aca="false">IF(COUNTIF($A$2:$A1241,A1241)=1,1,0)</f>
        <v>0</v>
      </c>
    </row>
    <row r="1242" customFormat="false" ht="15" hidden="false" customHeight="false" outlineLevel="0" collapsed="false">
      <c r="A1242" s="0" t="s">
        <v>330</v>
      </c>
      <c r="B1242" s="0" t="s">
        <v>91</v>
      </c>
      <c r="C1242" s="0" t="s">
        <v>92</v>
      </c>
      <c r="D1242" s="0" t="n">
        <v>21</v>
      </c>
      <c r="E1242" s="5" t="n">
        <v>45948.4716782407</v>
      </c>
      <c r="F1242" s="0" t="n">
        <v>7.65</v>
      </c>
      <c r="G1242" s="0" t="n">
        <v>17175</v>
      </c>
      <c r="H1242" s="6" t="s">
        <v>74</v>
      </c>
      <c r="I1242" s="6" t="n">
        <f aca="false">D1242*F1242</f>
        <v>160.65</v>
      </c>
      <c r="J1242" s="6" t="n">
        <f aca="false">HOUR(E1242)</f>
        <v>11</v>
      </c>
      <c r="K1242" s="6" t="n">
        <f aca="false">IF(COUNTIF($A$2:$A1242,A1242)=1,1,0)</f>
        <v>0</v>
      </c>
    </row>
    <row r="1243" customFormat="false" ht="15" hidden="false" customHeight="false" outlineLevel="0" collapsed="false">
      <c r="A1243" s="0" t="s">
        <v>330</v>
      </c>
      <c r="B1243" s="0" t="s">
        <v>145</v>
      </c>
      <c r="C1243" s="0" t="s">
        <v>146</v>
      </c>
      <c r="D1243" s="0" t="n">
        <v>11</v>
      </c>
      <c r="E1243" s="5" t="n">
        <v>45948.4716782407</v>
      </c>
      <c r="F1243" s="0" t="n">
        <v>1.85</v>
      </c>
      <c r="G1243" s="0" t="n">
        <v>17175</v>
      </c>
      <c r="H1243" s="6" t="s">
        <v>74</v>
      </c>
      <c r="I1243" s="6" t="n">
        <f aca="false">D1243*F1243</f>
        <v>20.35</v>
      </c>
      <c r="J1243" s="6" t="n">
        <f aca="false">HOUR(E1243)</f>
        <v>11</v>
      </c>
      <c r="K1243" s="6" t="n">
        <f aca="false">IF(COUNTIF($A$2:$A1243,A1243)=1,1,0)</f>
        <v>0</v>
      </c>
    </row>
    <row r="1244" customFormat="false" ht="15" hidden="false" customHeight="false" outlineLevel="0" collapsed="false">
      <c r="A1244" s="0" t="s">
        <v>331</v>
      </c>
      <c r="B1244" s="0" t="s">
        <v>95</v>
      </c>
      <c r="C1244" s="0" t="s">
        <v>96</v>
      </c>
      <c r="D1244" s="0" t="n">
        <v>11</v>
      </c>
      <c r="E1244" s="5" t="n">
        <v>45948.5011342593</v>
      </c>
      <c r="F1244" s="0" t="n">
        <v>2.55</v>
      </c>
      <c r="G1244" s="0" t="n">
        <v>17127</v>
      </c>
      <c r="H1244" s="6" t="s">
        <v>42</v>
      </c>
      <c r="I1244" s="6" t="n">
        <f aca="false">D1244*F1244</f>
        <v>28.05</v>
      </c>
      <c r="J1244" s="6" t="n">
        <f aca="false">HOUR(E1244)</f>
        <v>12</v>
      </c>
      <c r="K1244" s="6" t="n">
        <f aca="false">IF(COUNTIF($A$2:$A1244,A1244)=1,1,0)</f>
        <v>1</v>
      </c>
    </row>
    <row r="1245" customFormat="false" ht="15" hidden="false" customHeight="false" outlineLevel="0" collapsed="false">
      <c r="A1245" s="0" t="s">
        <v>331</v>
      </c>
      <c r="B1245" s="0" t="s">
        <v>134</v>
      </c>
      <c r="C1245" s="0" t="s">
        <v>135</v>
      </c>
      <c r="D1245" s="0" t="n">
        <v>11</v>
      </c>
      <c r="E1245" s="5" t="n">
        <v>45948.5011342593</v>
      </c>
      <c r="F1245" s="0" t="n">
        <v>5.95</v>
      </c>
      <c r="G1245" s="0" t="n">
        <v>17127</v>
      </c>
      <c r="H1245" s="6" t="s">
        <v>42</v>
      </c>
      <c r="I1245" s="6" t="n">
        <f aca="false">D1245*F1245</f>
        <v>65.45</v>
      </c>
      <c r="J1245" s="6" t="n">
        <f aca="false">HOUR(E1245)</f>
        <v>12</v>
      </c>
      <c r="K1245" s="6" t="n">
        <f aca="false">IF(COUNTIF($A$2:$A1245,A1245)=1,1,0)</f>
        <v>0</v>
      </c>
    </row>
    <row r="1246" customFormat="false" ht="15" hidden="false" customHeight="false" outlineLevel="0" collapsed="false">
      <c r="A1246" s="0" t="s">
        <v>331</v>
      </c>
      <c r="B1246" s="0" t="s">
        <v>83</v>
      </c>
      <c r="D1246" s="0" t="n">
        <v>12</v>
      </c>
      <c r="E1246" s="5" t="n">
        <v>45948.5011342593</v>
      </c>
      <c r="F1246" s="0" t="n">
        <v>2.95</v>
      </c>
      <c r="G1246" s="0" t="n">
        <v>17127</v>
      </c>
      <c r="H1246" s="6" t="s">
        <v>42</v>
      </c>
      <c r="I1246" s="6" t="n">
        <f aca="false">D1246*F1246</f>
        <v>35.4</v>
      </c>
      <c r="J1246" s="6" t="n">
        <f aca="false">HOUR(E1246)</f>
        <v>12</v>
      </c>
      <c r="K1246" s="6" t="n">
        <f aca="false">IF(COUNTIF($A$2:$A1246,A1246)=1,1,0)</f>
        <v>0</v>
      </c>
    </row>
    <row r="1247" customFormat="false" ht="15" hidden="false" customHeight="false" outlineLevel="0" collapsed="false">
      <c r="A1247" s="0" t="s">
        <v>331</v>
      </c>
      <c r="B1247" s="0" t="s">
        <v>40</v>
      </c>
      <c r="C1247" s="0" t="s">
        <v>41</v>
      </c>
      <c r="D1247" s="0" t="n">
        <v>24</v>
      </c>
      <c r="E1247" s="5" t="n">
        <v>45948.5011342593</v>
      </c>
      <c r="F1247" s="0" t="n">
        <v>1.06</v>
      </c>
      <c r="G1247" s="0" t="n">
        <v>17127</v>
      </c>
      <c r="H1247" s="6" t="s">
        <v>42</v>
      </c>
      <c r="I1247" s="6" t="n">
        <f aca="false">D1247*F1247</f>
        <v>25.44</v>
      </c>
      <c r="J1247" s="6" t="n">
        <f aca="false">HOUR(E1247)</f>
        <v>12</v>
      </c>
      <c r="K1247" s="6" t="n">
        <f aca="false">IF(COUNTIF($A$2:$A1247,A1247)=1,1,0)</f>
        <v>0</v>
      </c>
    </row>
    <row r="1248" customFormat="false" ht="15" hidden="false" customHeight="false" outlineLevel="0" collapsed="false">
      <c r="A1248" s="0" t="s">
        <v>331</v>
      </c>
      <c r="B1248" s="0" t="s">
        <v>43</v>
      </c>
      <c r="C1248" s="0" t="s">
        <v>44</v>
      </c>
      <c r="D1248" s="0" t="n">
        <v>15</v>
      </c>
      <c r="E1248" s="5" t="n">
        <v>45948.5011342593</v>
      </c>
      <c r="F1248" s="0" t="n">
        <v>4.25</v>
      </c>
      <c r="G1248" s="0" t="n">
        <v>17127</v>
      </c>
      <c r="H1248" s="6" t="s">
        <v>42</v>
      </c>
      <c r="I1248" s="6" t="n">
        <f aca="false">D1248*F1248</f>
        <v>63.75</v>
      </c>
      <c r="J1248" s="6" t="n">
        <f aca="false">HOUR(E1248)</f>
        <v>12</v>
      </c>
      <c r="K1248" s="6" t="n">
        <f aca="false">IF(COUNTIF($A$2:$A1248,A1248)=1,1,0)</f>
        <v>0</v>
      </c>
    </row>
    <row r="1249" customFormat="false" ht="15" hidden="false" customHeight="false" outlineLevel="0" collapsed="false">
      <c r="A1249" s="0" t="s">
        <v>331</v>
      </c>
      <c r="B1249" s="0" t="s">
        <v>107</v>
      </c>
      <c r="C1249" s="0" t="s">
        <v>108</v>
      </c>
      <c r="D1249" s="0" t="n">
        <v>16</v>
      </c>
      <c r="E1249" s="5" t="n">
        <v>45948.5011342593</v>
      </c>
      <c r="F1249" s="0" t="n">
        <v>3.75</v>
      </c>
      <c r="G1249" s="0" t="n">
        <v>17127</v>
      </c>
      <c r="H1249" s="6" t="s">
        <v>42</v>
      </c>
      <c r="I1249" s="6" t="n">
        <f aca="false">D1249*F1249</f>
        <v>60</v>
      </c>
      <c r="J1249" s="6" t="n">
        <f aca="false">HOUR(E1249)</f>
        <v>12</v>
      </c>
      <c r="K1249" s="6" t="n">
        <f aca="false">IF(COUNTIF($A$2:$A1249,A1249)=1,1,0)</f>
        <v>0</v>
      </c>
    </row>
    <row r="1250" customFormat="false" ht="15" hidden="false" customHeight="false" outlineLevel="0" collapsed="false">
      <c r="A1250" s="0" t="s">
        <v>332</v>
      </c>
      <c r="B1250" s="0" t="s">
        <v>69</v>
      </c>
      <c r="C1250" s="0" t="s">
        <v>70</v>
      </c>
      <c r="D1250" s="0" t="n">
        <v>8</v>
      </c>
      <c r="E1250" s="5" t="n">
        <v>45948.5021643519</v>
      </c>
      <c r="F1250" s="0" t="n">
        <v>2.08</v>
      </c>
      <c r="G1250" s="0" t="n">
        <v>17059</v>
      </c>
      <c r="H1250" s="6" t="s">
        <v>208</v>
      </c>
      <c r="I1250" s="6" t="n">
        <f aca="false">D1250*F1250</f>
        <v>16.64</v>
      </c>
      <c r="J1250" s="6" t="n">
        <f aca="false">HOUR(E1250)</f>
        <v>12</v>
      </c>
      <c r="K1250" s="6" t="n">
        <f aca="false">IF(COUNTIF($A$2:$A1250,A1250)=1,1,0)</f>
        <v>1</v>
      </c>
    </row>
    <row r="1251" customFormat="false" ht="15" hidden="false" customHeight="false" outlineLevel="0" collapsed="false">
      <c r="A1251" s="0" t="s">
        <v>332</v>
      </c>
      <c r="B1251" s="0" t="s">
        <v>118</v>
      </c>
      <c r="C1251" s="0" t="s">
        <v>119</v>
      </c>
      <c r="D1251" s="0" t="n">
        <v>8</v>
      </c>
      <c r="E1251" s="5" t="n">
        <v>45948.5021643519</v>
      </c>
      <c r="F1251" s="0" t="n">
        <v>4.95</v>
      </c>
      <c r="G1251" s="0" t="n">
        <v>17059</v>
      </c>
      <c r="H1251" s="6" t="s">
        <v>208</v>
      </c>
      <c r="I1251" s="6" t="n">
        <f aca="false">D1251*F1251</f>
        <v>39.6</v>
      </c>
      <c r="J1251" s="6" t="n">
        <f aca="false">HOUR(E1251)</f>
        <v>12</v>
      </c>
      <c r="K1251" s="6" t="n">
        <f aca="false">IF(COUNTIF($A$2:$A1251,A1251)=1,1,0)</f>
        <v>0</v>
      </c>
    </row>
    <row r="1252" customFormat="false" ht="15" hidden="false" customHeight="false" outlineLevel="0" collapsed="false">
      <c r="A1252" s="0" t="s">
        <v>333</v>
      </c>
      <c r="B1252" s="0" t="s">
        <v>77</v>
      </c>
      <c r="C1252" s="0" t="s">
        <v>78</v>
      </c>
      <c r="D1252" s="0" t="n">
        <v>11</v>
      </c>
      <c r="E1252" s="5" t="n">
        <v>45948.5412152778</v>
      </c>
      <c r="F1252" s="0" t="n">
        <v>1.65</v>
      </c>
      <c r="G1252" s="0" t="n">
        <v>17029</v>
      </c>
      <c r="H1252" s="6" t="s">
        <v>144</v>
      </c>
      <c r="I1252" s="6" t="n">
        <f aca="false">D1252*F1252</f>
        <v>18.15</v>
      </c>
      <c r="J1252" s="6" t="n">
        <f aca="false">HOUR(E1252)</f>
        <v>12</v>
      </c>
      <c r="K1252" s="6" t="n">
        <f aca="false">IF(COUNTIF($A$2:$A1252,A1252)=1,1,0)</f>
        <v>1</v>
      </c>
    </row>
    <row r="1253" customFormat="false" ht="15" hidden="false" customHeight="false" outlineLevel="0" collapsed="false">
      <c r="A1253" s="0" t="s">
        <v>333</v>
      </c>
      <c r="B1253" s="0" t="s">
        <v>102</v>
      </c>
      <c r="C1253" s="0" t="s">
        <v>103</v>
      </c>
      <c r="D1253" s="0" t="n">
        <v>14</v>
      </c>
      <c r="E1253" s="5" t="n">
        <v>45948.5412152778</v>
      </c>
      <c r="F1253" s="0" t="n">
        <v>8.5</v>
      </c>
      <c r="G1253" s="0" t="n">
        <v>17029</v>
      </c>
      <c r="H1253" s="6" t="s">
        <v>144</v>
      </c>
      <c r="I1253" s="6" t="n">
        <f aca="false">D1253*F1253</f>
        <v>119</v>
      </c>
      <c r="J1253" s="6" t="n">
        <f aca="false">HOUR(E1253)</f>
        <v>12</v>
      </c>
      <c r="K1253" s="6" t="n">
        <f aca="false">IF(COUNTIF($A$2:$A1253,A1253)=1,1,0)</f>
        <v>0</v>
      </c>
    </row>
    <row r="1254" customFormat="false" ht="15" hidden="false" customHeight="false" outlineLevel="0" collapsed="false">
      <c r="A1254" s="0" t="s">
        <v>333</v>
      </c>
      <c r="B1254" s="0" t="s">
        <v>40</v>
      </c>
      <c r="C1254" s="0" t="s">
        <v>41</v>
      </c>
      <c r="D1254" s="0" t="n">
        <v>11</v>
      </c>
      <c r="E1254" s="5" t="n">
        <v>45948.5412152778</v>
      </c>
      <c r="F1254" s="0" t="n">
        <v>1.06</v>
      </c>
      <c r="G1254" s="0" t="n">
        <v>17029</v>
      </c>
      <c r="H1254" s="6" t="s">
        <v>144</v>
      </c>
      <c r="I1254" s="6" t="n">
        <f aca="false">D1254*F1254</f>
        <v>11.66</v>
      </c>
      <c r="J1254" s="6" t="n">
        <f aca="false">HOUR(E1254)</f>
        <v>12</v>
      </c>
      <c r="K1254" s="6" t="n">
        <f aca="false">IF(COUNTIF($A$2:$A1254,A1254)=1,1,0)</f>
        <v>0</v>
      </c>
    </row>
    <row r="1255" customFormat="false" ht="15" hidden="false" customHeight="false" outlineLevel="0" collapsed="false">
      <c r="A1255" s="0" t="s">
        <v>333</v>
      </c>
      <c r="B1255" s="0" t="s">
        <v>43</v>
      </c>
      <c r="C1255" s="0" t="s">
        <v>44</v>
      </c>
      <c r="D1255" s="0" t="n">
        <v>24</v>
      </c>
      <c r="E1255" s="5" t="n">
        <v>45948.5412152778</v>
      </c>
      <c r="F1255" s="0" t="n">
        <v>4.25</v>
      </c>
      <c r="G1255" s="0" t="n">
        <v>17029</v>
      </c>
      <c r="H1255" s="6" t="s">
        <v>144</v>
      </c>
      <c r="I1255" s="6" t="n">
        <f aca="false">D1255*F1255</f>
        <v>102</v>
      </c>
      <c r="J1255" s="6" t="n">
        <f aca="false">HOUR(E1255)</f>
        <v>12</v>
      </c>
      <c r="K1255" s="6" t="n">
        <f aca="false">IF(COUNTIF($A$2:$A1255,A1255)=1,1,0)</f>
        <v>0</v>
      </c>
    </row>
    <row r="1256" customFormat="false" ht="15" hidden="false" customHeight="false" outlineLevel="0" collapsed="false">
      <c r="A1256" s="0" t="s">
        <v>333</v>
      </c>
      <c r="B1256" s="0" t="s">
        <v>134</v>
      </c>
      <c r="C1256" s="0" t="s">
        <v>135</v>
      </c>
      <c r="D1256" s="0" t="n">
        <v>9</v>
      </c>
      <c r="E1256" s="5" t="n">
        <v>45948.5412152778</v>
      </c>
      <c r="F1256" s="0" t="n">
        <v>5.95</v>
      </c>
      <c r="G1256" s="0" t="n">
        <v>17029</v>
      </c>
      <c r="H1256" s="6" t="s">
        <v>144</v>
      </c>
      <c r="I1256" s="6" t="n">
        <f aca="false">D1256*F1256</f>
        <v>53.55</v>
      </c>
      <c r="J1256" s="6" t="n">
        <f aca="false">HOUR(E1256)</f>
        <v>12</v>
      </c>
      <c r="K1256" s="6" t="n">
        <f aca="false">IF(COUNTIF($A$2:$A1256,A1256)=1,1,0)</f>
        <v>0</v>
      </c>
    </row>
    <row r="1257" customFormat="false" ht="15" hidden="false" customHeight="false" outlineLevel="0" collapsed="false">
      <c r="A1257" s="0" t="s">
        <v>333</v>
      </c>
      <c r="B1257" s="0" t="s">
        <v>125</v>
      </c>
      <c r="C1257" s="0" t="s">
        <v>126</v>
      </c>
      <c r="D1257" s="0" t="n">
        <v>14</v>
      </c>
      <c r="E1257" s="5" t="n">
        <v>45948.5412152778</v>
      </c>
      <c r="F1257" s="0" t="n">
        <v>1.25</v>
      </c>
      <c r="G1257" s="0" t="n">
        <v>17029</v>
      </c>
      <c r="H1257" s="6" t="s">
        <v>144</v>
      </c>
      <c r="I1257" s="6" t="n">
        <f aca="false">D1257*F1257</f>
        <v>17.5</v>
      </c>
      <c r="J1257" s="6" t="n">
        <f aca="false">HOUR(E1257)</f>
        <v>12</v>
      </c>
      <c r="K1257" s="6" t="n">
        <f aca="false">IF(COUNTIF($A$2:$A1257,A1257)=1,1,0)</f>
        <v>0</v>
      </c>
    </row>
    <row r="1258" customFormat="false" ht="15" hidden="false" customHeight="false" outlineLevel="0" collapsed="false">
      <c r="A1258" s="0" t="s">
        <v>334</v>
      </c>
      <c r="B1258" s="0" t="s">
        <v>127</v>
      </c>
      <c r="C1258" s="0" t="s">
        <v>128</v>
      </c>
      <c r="D1258" s="0" t="n">
        <v>13</v>
      </c>
      <c r="E1258" s="5" t="n">
        <v>45948.549849537</v>
      </c>
      <c r="F1258" s="0" t="n">
        <v>1.45</v>
      </c>
      <c r="G1258" s="0" t="n">
        <v>17243</v>
      </c>
      <c r="H1258" s="6" t="s">
        <v>74</v>
      </c>
      <c r="I1258" s="6" t="n">
        <f aca="false">D1258*F1258</f>
        <v>18.85</v>
      </c>
      <c r="J1258" s="6" t="n">
        <f aca="false">HOUR(E1258)</f>
        <v>13</v>
      </c>
      <c r="K1258" s="6" t="n">
        <f aca="false">IF(COUNTIF($A$2:$A1258,A1258)=1,1,0)</f>
        <v>1</v>
      </c>
    </row>
    <row r="1259" customFormat="false" ht="15" hidden="false" customHeight="false" outlineLevel="0" collapsed="false">
      <c r="A1259" s="0" t="s">
        <v>334</v>
      </c>
      <c r="B1259" s="0" t="s">
        <v>77</v>
      </c>
      <c r="C1259" s="0" t="s">
        <v>78</v>
      </c>
      <c r="D1259" s="0" t="n">
        <v>17</v>
      </c>
      <c r="E1259" s="5" t="n">
        <v>45948.549849537</v>
      </c>
      <c r="F1259" s="0" t="n">
        <v>1.65</v>
      </c>
      <c r="G1259" s="0" t="n">
        <v>17243</v>
      </c>
      <c r="H1259" s="6" t="s">
        <v>74</v>
      </c>
      <c r="I1259" s="6" t="n">
        <f aca="false">D1259*F1259</f>
        <v>28.05</v>
      </c>
      <c r="J1259" s="6" t="n">
        <f aca="false">HOUR(E1259)</f>
        <v>13</v>
      </c>
      <c r="K1259" s="6" t="n">
        <f aca="false">IF(COUNTIF($A$2:$A1259,A1259)=1,1,0)</f>
        <v>0</v>
      </c>
    </row>
    <row r="1260" customFormat="false" ht="15" hidden="false" customHeight="false" outlineLevel="0" collapsed="false">
      <c r="A1260" s="0" t="s">
        <v>334</v>
      </c>
      <c r="B1260" s="0" t="s">
        <v>125</v>
      </c>
      <c r="C1260" s="0" t="s">
        <v>126</v>
      </c>
      <c r="D1260" s="0" t="n">
        <v>23</v>
      </c>
      <c r="E1260" s="5" t="n">
        <v>45948.549849537</v>
      </c>
      <c r="F1260" s="0" t="n">
        <v>1.25</v>
      </c>
      <c r="G1260" s="0" t="n">
        <v>17243</v>
      </c>
      <c r="H1260" s="6" t="s">
        <v>74</v>
      </c>
      <c r="I1260" s="6" t="n">
        <f aca="false">D1260*F1260</f>
        <v>28.75</v>
      </c>
      <c r="J1260" s="6" t="n">
        <f aca="false">HOUR(E1260)</f>
        <v>13</v>
      </c>
      <c r="K1260" s="6" t="n">
        <f aca="false">IF(COUNTIF($A$2:$A1260,A1260)=1,1,0)</f>
        <v>0</v>
      </c>
    </row>
    <row r="1261" customFormat="false" ht="15" hidden="false" customHeight="false" outlineLevel="0" collapsed="false">
      <c r="A1261" s="0" t="s">
        <v>334</v>
      </c>
      <c r="B1261" s="0" t="s">
        <v>134</v>
      </c>
      <c r="C1261" s="0" t="s">
        <v>135</v>
      </c>
      <c r="D1261" s="0" t="n">
        <v>6</v>
      </c>
      <c r="E1261" s="5" t="n">
        <v>45948.549849537</v>
      </c>
      <c r="F1261" s="0" t="n">
        <v>5.95</v>
      </c>
      <c r="G1261" s="0" t="n">
        <v>17243</v>
      </c>
      <c r="H1261" s="6" t="s">
        <v>74</v>
      </c>
      <c r="I1261" s="6" t="n">
        <f aca="false">D1261*F1261</f>
        <v>35.7</v>
      </c>
      <c r="J1261" s="6" t="n">
        <f aca="false">HOUR(E1261)</f>
        <v>13</v>
      </c>
      <c r="K1261" s="6" t="n">
        <f aca="false">IF(COUNTIF($A$2:$A1261,A1261)=1,1,0)</f>
        <v>0</v>
      </c>
    </row>
    <row r="1262" customFormat="false" ht="15" hidden="false" customHeight="false" outlineLevel="0" collapsed="false">
      <c r="A1262" s="0" t="s">
        <v>334</v>
      </c>
      <c r="B1262" s="0" t="s">
        <v>40</v>
      </c>
      <c r="C1262" s="0" t="s">
        <v>41</v>
      </c>
      <c r="D1262" s="0" t="n">
        <v>7</v>
      </c>
      <c r="E1262" s="5" t="n">
        <v>45948.549849537</v>
      </c>
      <c r="F1262" s="0" t="n">
        <v>1.06</v>
      </c>
      <c r="G1262" s="0" t="n">
        <v>17243</v>
      </c>
      <c r="H1262" s="6" t="s">
        <v>74</v>
      </c>
      <c r="I1262" s="6" t="n">
        <f aca="false">D1262*F1262</f>
        <v>7.42</v>
      </c>
      <c r="J1262" s="6" t="n">
        <f aca="false">HOUR(E1262)</f>
        <v>13</v>
      </c>
      <c r="K1262" s="6" t="n">
        <f aca="false">IF(COUNTIF($A$2:$A1262,A1262)=1,1,0)</f>
        <v>0</v>
      </c>
    </row>
    <row r="1263" customFormat="false" ht="15" hidden="false" customHeight="false" outlineLevel="0" collapsed="false">
      <c r="A1263" s="0" t="s">
        <v>334</v>
      </c>
      <c r="B1263" s="0" t="s">
        <v>86</v>
      </c>
      <c r="C1263" s="0" t="s">
        <v>87</v>
      </c>
      <c r="D1263" s="0" t="n">
        <v>21</v>
      </c>
      <c r="E1263" s="5" t="n">
        <v>45948.549849537</v>
      </c>
      <c r="F1263" s="0" t="n">
        <v>4.25</v>
      </c>
      <c r="G1263" s="0" t="n">
        <v>17243</v>
      </c>
      <c r="H1263" s="6" t="s">
        <v>74</v>
      </c>
      <c r="I1263" s="6" t="n">
        <f aca="false">D1263*F1263</f>
        <v>89.25</v>
      </c>
      <c r="J1263" s="6" t="n">
        <f aca="false">HOUR(E1263)</f>
        <v>13</v>
      </c>
      <c r="K1263" s="6" t="n">
        <f aca="false">IF(COUNTIF($A$2:$A1263,A1263)=1,1,0)</f>
        <v>0</v>
      </c>
    </row>
    <row r="1264" customFormat="false" ht="15" hidden="false" customHeight="false" outlineLevel="0" collapsed="false">
      <c r="A1264" s="0" t="s">
        <v>334</v>
      </c>
      <c r="B1264" s="0" t="s">
        <v>79</v>
      </c>
      <c r="C1264" s="0" t="s">
        <v>80</v>
      </c>
      <c r="D1264" s="0" t="n">
        <v>7</v>
      </c>
      <c r="E1264" s="5" t="n">
        <v>45948.549849537</v>
      </c>
      <c r="F1264" s="0" t="n">
        <v>3.39</v>
      </c>
      <c r="G1264" s="0" t="n">
        <v>17243</v>
      </c>
      <c r="H1264" s="6" t="s">
        <v>74</v>
      </c>
      <c r="I1264" s="6" t="n">
        <f aca="false">D1264*F1264</f>
        <v>23.73</v>
      </c>
      <c r="J1264" s="6" t="n">
        <f aca="false">HOUR(E1264)</f>
        <v>13</v>
      </c>
      <c r="K1264" s="6" t="n">
        <f aca="false">IF(COUNTIF($A$2:$A1264,A1264)=1,1,0)</f>
        <v>0</v>
      </c>
    </row>
    <row r="1265" customFormat="false" ht="15" hidden="false" customHeight="false" outlineLevel="0" collapsed="false">
      <c r="A1265" s="0" t="s">
        <v>334</v>
      </c>
      <c r="B1265" s="0" t="s">
        <v>91</v>
      </c>
      <c r="C1265" s="0" t="s">
        <v>92</v>
      </c>
      <c r="D1265" s="0" t="n">
        <v>2</v>
      </c>
      <c r="E1265" s="5" t="n">
        <v>45948.549849537</v>
      </c>
      <c r="F1265" s="0" t="n">
        <v>7.65</v>
      </c>
      <c r="G1265" s="0" t="n">
        <v>17243</v>
      </c>
      <c r="H1265" s="6" t="s">
        <v>74</v>
      </c>
      <c r="I1265" s="6" t="n">
        <f aca="false">D1265*F1265</f>
        <v>15.3</v>
      </c>
      <c r="J1265" s="6" t="n">
        <f aca="false">HOUR(E1265)</f>
        <v>13</v>
      </c>
      <c r="K1265" s="6" t="n">
        <f aca="false">IF(COUNTIF($A$2:$A1265,A1265)=1,1,0)</f>
        <v>0</v>
      </c>
    </row>
    <row r="1266" customFormat="false" ht="15" hidden="false" customHeight="false" outlineLevel="0" collapsed="false">
      <c r="A1266" s="0" t="s">
        <v>334</v>
      </c>
      <c r="B1266" s="0" t="s">
        <v>65</v>
      </c>
      <c r="C1266" s="0" t="s">
        <v>66</v>
      </c>
      <c r="D1266" s="0" t="n">
        <v>11</v>
      </c>
      <c r="E1266" s="5" t="n">
        <v>45948.549849537</v>
      </c>
      <c r="F1266" s="0" t="n">
        <v>1.65</v>
      </c>
      <c r="G1266" s="0" t="n">
        <v>17243</v>
      </c>
      <c r="H1266" s="6" t="s">
        <v>74</v>
      </c>
      <c r="I1266" s="6" t="n">
        <f aca="false">D1266*F1266</f>
        <v>18.15</v>
      </c>
      <c r="J1266" s="6" t="n">
        <f aca="false">HOUR(E1266)</f>
        <v>13</v>
      </c>
      <c r="K1266" s="6" t="n">
        <f aca="false">IF(COUNTIF($A$2:$A1266,A1266)=1,1,0)</f>
        <v>0</v>
      </c>
    </row>
    <row r="1267" customFormat="false" ht="15" hidden="false" customHeight="false" outlineLevel="0" collapsed="false">
      <c r="A1267" s="0" t="s">
        <v>334</v>
      </c>
      <c r="B1267" s="0" t="s">
        <v>99</v>
      </c>
      <c r="C1267" s="0" t="s">
        <v>100</v>
      </c>
      <c r="D1267" s="0" t="n">
        <v>11</v>
      </c>
      <c r="E1267" s="5" t="n">
        <v>45948.549849537</v>
      </c>
      <c r="F1267" s="0" t="n">
        <v>2.08</v>
      </c>
      <c r="G1267" s="0" t="n">
        <v>17243</v>
      </c>
      <c r="H1267" s="6" t="s">
        <v>74</v>
      </c>
      <c r="I1267" s="6" t="n">
        <f aca="false">D1267*F1267</f>
        <v>22.88</v>
      </c>
      <c r="J1267" s="6" t="n">
        <f aca="false">HOUR(E1267)</f>
        <v>13</v>
      </c>
      <c r="K1267" s="6" t="n">
        <f aca="false">IF(COUNTIF($A$2:$A1267,A1267)=1,1,0)</f>
        <v>0</v>
      </c>
    </row>
    <row r="1268" customFormat="false" ht="15" hidden="false" customHeight="false" outlineLevel="0" collapsed="false">
      <c r="A1268" s="0" t="s">
        <v>335</v>
      </c>
      <c r="B1268" s="0" t="s">
        <v>134</v>
      </c>
      <c r="C1268" s="0" t="s">
        <v>135</v>
      </c>
      <c r="D1268" s="0" t="n">
        <v>7</v>
      </c>
      <c r="E1268" s="5" t="n">
        <v>45948.5516898148</v>
      </c>
      <c r="F1268" s="0" t="n">
        <v>5.95</v>
      </c>
      <c r="G1268" s="0" t="n">
        <v>17037</v>
      </c>
      <c r="H1268" s="6" t="s">
        <v>74</v>
      </c>
      <c r="I1268" s="6" t="n">
        <f aca="false">D1268*F1268</f>
        <v>41.65</v>
      </c>
      <c r="J1268" s="6" t="n">
        <f aca="false">HOUR(E1268)</f>
        <v>13</v>
      </c>
      <c r="K1268" s="6" t="n">
        <f aca="false">IF(COUNTIF($A$2:$A1268,A1268)=1,1,0)</f>
        <v>1</v>
      </c>
    </row>
    <row r="1269" customFormat="false" ht="15" hidden="false" customHeight="false" outlineLevel="0" collapsed="false">
      <c r="A1269" s="0" t="s">
        <v>335</v>
      </c>
      <c r="B1269" s="0" t="s">
        <v>81</v>
      </c>
      <c r="C1269" s="0" t="s">
        <v>82</v>
      </c>
      <c r="D1269" s="0" t="n">
        <v>8</v>
      </c>
      <c r="E1269" s="5" t="n">
        <v>45948.5516898148</v>
      </c>
      <c r="F1269" s="0" t="n">
        <v>1.65</v>
      </c>
      <c r="G1269" s="0" t="n">
        <v>17037</v>
      </c>
      <c r="H1269" s="6" t="s">
        <v>74</v>
      </c>
      <c r="I1269" s="6" t="n">
        <f aca="false">D1269*F1269</f>
        <v>13.2</v>
      </c>
      <c r="J1269" s="6" t="n">
        <f aca="false">HOUR(E1269)</f>
        <v>13</v>
      </c>
      <c r="K1269" s="6" t="n">
        <f aca="false">IF(COUNTIF($A$2:$A1269,A1269)=1,1,0)</f>
        <v>0</v>
      </c>
    </row>
    <row r="1270" customFormat="false" ht="15" hidden="false" customHeight="false" outlineLevel="0" collapsed="false">
      <c r="A1270" s="0" t="s">
        <v>336</v>
      </c>
      <c r="B1270" s="0" t="s">
        <v>79</v>
      </c>
      <c r="C1270" s="0" t="s">
        <v>80</v>
      </c>
      <c r="D1270" s="0" t="n">
        <v>13</v>
      </c>
      <c r="E1270" s="5" t="n">
        <v>45948.5904976852</v>
      </c>
      <c r="F1270" s="0" t="n">
        <v>3.39</v>
      </c>
      <c r="H1270" s="6" t="s">
        <v>74</v>
      </c>
      <c r="I1270" s="6" t="n">
        <f aca="false">D1270*F1270</f>
        <v>44.07</v>
      </c>
      <c r="J1270" s="6" t="n">
        <f aca="false">HOUR(E1270)</f>
        <v>14</v>
      </c>
      <c r="K1270" s="6" t="n">
        <f aca="false">IF(COUNTIF($A$2:$A1270,A1270)=1,1,0)</f>
        <v>1</v>
      </c>
    </row>
    <row r="1271" customFormat="false" ht="15" hidden="false" customHeight="false" outlineLevel="0" collapsed="false">
      <c r="A1271" s="0" t="s">
        <v>336</v>
      </c>
      <c r="B1271" s="0" t="s">
        <v>53</v>
      </c>
      <c r="C1271" s="0" t="s">
        <v>54</v>
      </c>
      <c r="D1271" s="0" t="n">
        <v>23</v>
      </c>
      <c r="E1271" s="5" t="n">
        <v>45948.5904976852</v>
      </c>
      <c r="F1271" s="0" t="n">
        <v>2.95</v>
      </c>
      <c r="H1271" s="6" t="s">
        <v>74</v>
      </c>
      <c r="I1271" s="6" t="n">
        <f aca="false">D1271*F1271</f>
        <v>67.85</v>
      </c>
      <c r="J1271" s="6" t="n">
        <f aca="false">HOUR(E1271)</f>
        <v>14</v>
      </c>
      <c r="K1271" s="6" t="n">
        <f aca="false">IF(COUNTIF($A$2:$A1271,A1271)=1,1,0)</f>
        <v>0</v>
      </c>
    </row>
    <row r="1272" customFormat="false" ht="15" hidden="false" customHeight="false" outlineLevel="0" collapsed="false">
      <c r="A1272" s="0" t="s">
        <v>336</v>
      </c>
      <c r="B1272" s="0" t="s">
        <v>93</v>
      </c>
      <c r="C1272" s="0" t="s">
        <v>94</v>
      </c>
      <c r="D1272" s="0" t="n">
        <v>12</v>
      </c>
      <c r="E1272" s="5" t="n">
        <v>45948.5904976852</v>
      </c>
      <c r="F1272" s="0" t="n">
        <v>1.69</v>
      </c>
      <c r="H1272" s="6" t="s">
        <v>74</v>
      </c>
      <c r="I1272" s="6" t="n">
        <f aca="false">D1272*F1272</f>
        <v>20.28</v>
      </c>
      <c r="J1272" s="6" t="n">
        <f aca="false">HOUR(E1272)</f>
        <v>14</v>
      </c>
      <c r="K1272" s="6" t="n">
        <f aca="false">IF(COUNTIF($A$2:$A1272,A1272)=1,1,0)</f>
        <v>0</v>
      </c>
    </row>
    <row r="1273" customFormat="false" ht="15" hidden="false" customHeight="false" outlineLevel="0" collapsed="false">
      <c r="A1273" s="0" t="s">
        <v>336</v>
      </c>
      <c r="B1273" s="0" t="s">
        <v>50</v>
      </c>
      <c r="D1273" s="0" t="n">
        <v>19</v>
      </c>
      <c r="E1273" s="5" t="n">
        <v>45948.5904976852</v>
      </c>
      <c r="F1273" s="0" t="n">
        <v>5.95</v>
      </c>
      <c r="H1273" s="6" t="s">
        <v>74</v>
      </c>
      <c r="I1273" s="6" t="n">
        <f aca="false">D1273*F1273</f>
        <v>113.05</v>
      </c>
      <c r="J1273" s="6" t="n">
        <f aca="false">HOUR(E1273)</f>
        <v>14</v>
      </c>
      <c r="K1273" s="6" t="n">
        <f aca="false">IF(COUNTIF($A$2:$A1273,A1273)=1,1,0)</f>
        <v>0</v>
      </c>
    </row>
    <row r="1274" customFormat="false" ht="15" hidden="false" customHeight="false" outlineLevel="0" collapsed="false">
      <c r="A1274" s="0" t="s">
        <v>336</v>
      </c>
      <c r="B1274" s="0" t="s">
        <v>95</v>
      </c>
      <c r="C1274" s="0" t="s">
        <v>96</v>
      </c>
      <c r="D1274" s="0" t="n">
        <v>32</v>
      </c>
      <c r="E1274" s="5" t="n">
        <v>45948.5904976852</v>
      </c>
      <c r="F1274" s="0" t="n">
        <v>2.55</v>
      </c>
      <c r="H1274" s="6" t="s">
        <v>74</v>
      </c>
      <c r="I1274" s="6" t="n">
        <f aca="false">D1274*F1274</f>
        <v>81.6</v>
      </c>
      <c r="J1274" s="6" t="n">
        <f aca="false">HOUR(E1274)</f>
        <v>14</v>
      </c>
      <c r="K1274" s="6" t="n">
        <f aca="false">IF(COUNTIF($A$2:$A1274,A1274)=1,1,0)</f>
        <v>0</v>
      </c>
    </row>
    <row r="1275" customFormat="false" ht="15" hidden="false" customHeight="false" outlineLevel="0" collapsed="false">
      <c r="A1275" s="0" t="s">
        <v>336</v>
      </c>
      <c r="B1275" s="0" t="s">
        <v>69</v>
      </c>
      <c r="C1275" s="0" t="s">
        <v>70</v>
      </c>
      <c r="D1275" s="0" t="n">
        <v>13</v>
      </c>
      <c r="E1275" s="5" t="n">
        <v>45948.5904976852</v>
      </c>
      <c r="F1275" s="0" t="n">
        <v>2.08</v>
      </c>
      <c r="H1275" s="6" t="s">
        <v>74</v>
      </c>
      <c r="I1275" s="6" t="n">
        <f aca="false">D1275*F1275</f>
        <v>27.04</v>
      </c>
      <c r="J1275" s="6" t="n">
        <f aca="false">HOUR(E1275)</f>
        <v>14</v>
      </c>
      <c r="K1275" s="6" t="n">
        <f aca="false">IF(COUNTIF($A$2:$A1275,A1275)=1,1,0)</f>
        <v>0</v>
      </c>
    </row>
    <row r="1276" customFormat="false" ht="15" hidden="false" customHeight="false" outlineLevel="0" collapsed="false">
      <c r="A1276" s="0" t="s">
        <v>336</v>
      </c>
      <c r="B1276" s="0" t="s">
        <v>88</v>
      </c>
      <c r="C1276" s="0" t="s">
        <v>89</v>
      </c>
      <c r="D1276" s="0" t="n">
        <v>2</v>
      </c>
      <c r="E1276" s="5" t="n">
        <v>45948.5904976852</v>
      </c>
      <c r="F1276" s="0" t="n">
        <v>2.75</v>
      </c>
      <c r="H1276" s="6" t="s">
        <v>74</v>
      </c>
      <c r="I1276" s="6" t="n">
        <f aca="false">D1276*F1276</f>
        <v>5.5</v>
      </c>
      <c r="J1276" s="6" t="n">
        <f aca="false">HOUR(E1276)</f>
        <v>14</v>
      </c>
      <c r="K1276" s="6" t="n">
        <f aca="false">IF(COUNTIF($A$2:$A1276,A1276)=1,1,0)</f>
        <v>0</v>
      </c>
    </row>
    <row r="1277" customFormat="false" ht="15" hidden="false" customHeight="false" outlineLevel="0" collapsed="false">
      <c r="A1277" s="0" t="s">
        <v>336</v>
      </c>
      <c r="B1277" s="0" t="s">
        <v>43</v>
      </c>
      <c r="C1277" s="0" t="s">
        <v>44</v>
      </c>
      <c r="D1277" s="0" t="n">
        <v>14</v>
      </c>
      <c r="E1277" s="5" t="n">
        <v>45948.5904976852</v>
      </c>
      <c r="F1277" s="0" t="n">
        <v>4.25</v>
      </c>
      <c r="H1277" s="6" t="s">
        <v>74</v>
      </c>
      <c r="I1277" s="6" t="n">
        <f aca="false">D1277*F1277</f>
        <v>59.5</v>
      </c>
      <c r="J1277" s="6" t="n">
        <f aca="false">HOUR(E1277)</f>
        <v>14</v>
      </c>
      <c r="K1277" s="6" t="n">
        <f aca="false">IF(COUNTIF($A$2:$A1277,A1277)=1,1,0)</f>
        <v>0</v>
      </c>
    </row>
    <row r="1278" customFormat="false" ht="15" hidden="false" customHeight="false" outlineLevel="0" collapsed="false">
      <c r="A1278" s="0" t="s">
        <v>336</v>
      </c>
      <c r="B1278" s="0" t="s">
        <v>59</v>
      </c>
      <c r="C1278" s="0" t="s">
        <v>60</v>
      </c>
      <c r="D1278" s="0" t="n">
        <v>11</v>
      </c>
      <c r="E1278" s="5" t="n">
        <v>45948.5904976852</v>
      </c>
      <c r="F1278" s="0" t="n">
        <v>0.42</v>
      </c>
      <c r="H1278" s="6" t="s">
        <v>74</v>
      </c>
      <c r="I1278" s="6" t="n">
        <f aca="false">D1278*F1278</f>
        <v>4.62</v>
      </c>
      <c r="J1278" s="6" t="n">
        <f aca="false">HOUR(E1278)</f>
        <v>14</v>
      </c>
      <c r="K1278" s="6" t="n">
        <f aca="false">IF(COUNTIF($A$2:$A1278,A1278)=1,1,0)</f>
        <v>0</v>
      </c>
    </row>
    <row r="1279" customFormat="false" ht="15" hidden="false" customHeight="false" outlineLevel="0" collapsed="false">
      <c r="A1279" s="0" t="s">
        <v>336</v>
      </c>
      <c r="B1279" s="0" t="s">
        <v>104</v>
      </c>
      <c r="C1279" s="0" t="s">
        <v>105</v>
      </c>
      <c r="D1279" s="0" t="n">
        <v>15</v>
      </c>
      <c r="E1279" s="5" t="n">
        <v>45948.5904976852</v>
      </c>
      <c r="F1279" s="0" t="n">
        <v>1.65</v>
      </c>
      <c r="H1279" s="6" t="s">
        <v>74</v>
      </c>
      <c r="I1279" s="6" t="n">
        <f aca="false">D1279*F1279</f>
        <v>24.75</v>
      </c>
      <c r="J1279" s="6" t="n">
        <f aca="false">HOUR(E1279)</f>
        <v>14</v>
      </c>
      <c r="K1279" s="6" t="n">
        <f aca="false">IF(COUNTIF($A$2:$A1279,A1279)=1,1,0)</f>
        <v>0</v>
      </c>
    </row>
    <row r="1280" customFormat="false" ht="15" hidden="false" customHeight="false" outlineLevel="0" collapsed="false">
      <c r="A1280" s="0" t="s">
        <v>337</v>
      </c>
      <c r="B1280" s="0" t="s">
        <v>118</v>
      </c>
      <c r="C1280" s="0" t="s">
        <v>119</v>
      </c>
      <c r="D1280" s="0" t="n">
        <v>9</v>
      </c>
      <c r="E1280" s="5" t="n">
        <v>45948.6627430556</v>
      </c>
      <c r="F1280" s="0" t="n">
        <v>4.95</v>
      </c>
      <c r="G1280" s="0" t="n">
        <v>17220</v>
      </c>
      <c r="H1280" s="6" t="s">
        <v>74</v>
      </c>
      <c r="I1280" s="6" t="n">
        <f aca="false">D1280*F1280</f>
        <v>44.55</v>
      </c>
      <c r="J1280" s="6" t="n">
        <f aca="false">HOUR(E1280)</f>
        <v>15</v>
      </c>
      <c r="K1280" s="6" t="n">
        <f aca="false">IF(COUNTIF($A$2:$A1280,A1280)=1,1,0)</f>
        <v>1</v>
      </c>
    </row>
    <row r="1281" customFormat="false" ht="15" hidden="false" customHeight="false" outlineLevel="0" collapsed="false">
      <c r="A1281" s="0" t="s">
        <v>337</v>
      </c>
      <c r="B1281" s="0" t="s">
        <v>109</v>
      </c>
      <c r="C1281" s="0" t="s">
        <v>110</v>
      </c>
      <c r="D1281" s="0" t="n">
        <v>12</v>
      </c>
      <c r="E1281" s="5" t="n">
        <v>45948.6627430556</v>
      </c>
      <c r="F1281" s="0" t="n">
        <v>0.85</v>
      </c>
      <c r="G1281" s="0" t="n">
        <v>17220</v>
      </c>
      <c r="H1281" s="6" t="s">
        <v>74</v>
      </c>
      <c r="I1281" s="6" t="n">
        <f aca="false">D1281*F1281</f>
        <v>10.2</v>
      </c>
      <c r="J1281" s="6" t="n">
        <f aca="false">HOUR(E1281)</f>
        <v>15</v>
      </c>
      <c r="K1281" s="6" t="n">
        <f aca="false">IF(COUNTIF($A$2:$A1281,A1281)=1,1,0)</f>
        <v>0</v>
      </c>
    </row>
    <row r="1282" customFormat="false" ht="15" hidden="false" customHeight="false" outlineLevel="0" collapsed="false">
      <c r="A1282" s="0" t="s">
        <v>337</v>
      </c>
      <c r="B1282" s="0" t="s">
        <v>91</v>
      </c>
      <c r="C1282" s="0" t="s">
        <v>92</v>
      </c>
      <c r="D1282" s="0" t="n">
        <v>21</v>
      </c>
      <c r="E1282" s="5" t="n">
        <v>45948.6627430556</v>
      </c>
      <c r="F1282" s="0" t="n">
        <v>7.65</v>
      </c>
      <c r="G1282" s="0" t="n">
        <v>17220</v>
      </c>
      <c r="H1282" s="6" t="s">
        <v>74</v>
      </c>
      <c r="I1282" s="6" t="n">
        <f aca="false">D1282*F1282</f>
        <v>160.65</v>
      </c>
      <c r="J1282" s="6" t="n">
        <f aca="false">HOUR(E1282)</f>
        <v>15</v>
      </c>
      <c r="K1282" s="6" t="n">
        <f aca="false">IF(COUNTIF($A$2:$A1282,A1282)=1,1,0)</f>
        <v>0</v>
      </c>
    </row>
    <row r="1283" customFormat="false" ht="15" hidden="false" customHeight="false" outlineLevel="0" collapsed="false">
      <c r="A1283" s="0" t="s">
        <v>337</v>
      </c>
      <c r="B1283" s="0" t="s">
        <v>137</v>
      </c>
      <c r="C1283" s="0" t="s">
        <v>138</v>
      </c>
      <c r="D1283" s="0" t="n">
        <v>15</v>
      </c>
      <c r="E1283" s="5" t="n">
        <v>45948.6627430556</v>
      </c>
      <c r="F1283" s="0" t="n">
        <v>2.1</v>
      </c>
      <c r="G1283" s="0" t="n">
        <v>17220</v>
      </c>
      <c r="H1283" s="6" t="s">
        <v>74</v>
      </c>
      <c r="I1283" s="6" t="n">
        <f aca="false">D1283*F1283</f>
        <v>31.5</v>
      </c>
      <c r="J1283" s="6" t="n">
        <f aca="false">HOUR(E1283)</f>
        <v>15</v>
      </c>
      <c r="K1283" s="6" t="n">
        <f aca="false">IF(COUNTIF($A$2:$A1283,A1283)=1,1,0)</f>
        <v>0</v>
      </c>
    </row>
    <row r="1284" customFormat="false" ht="15" hidden="false" customHeight="false" outlineLevel="0" collapsed="false">
      <c r="A1284" s="0" t="s">
        <v>337</v>
      </c>
      <c r="B1284" s="0" t="s">
        <v>55</v>
      </c>
      <c r="C1284" s="0" t="s">
        <v>56</v>
      </c>
      <c r="D1284" s="0" t="n">
        <v>17</v>
      </c>
      <c r="E1284" s="5" t="n">
        <v>45948.6627430556</v>
      </c>
      <c r="F1284" s="0" t="n">
        <v>1.65</v>
      </c>
      <c r="G1284" s="0" t="n">
        <v>17220</v>
      </c>
      <c r="H1284" s="6" t="s">
        <v>74</v>
      </c>
      <c r="I1284" s="6" t="n">
        <f aca="false">D1284*F1284</f>
        <v>28.05</v>
      </c>
      <c r="J1284" s="6" t="n">
        <f aca="false">HOUR(E1284)</f>
        <v>15</v>
      </c>
      <c r="K1284" s="6" t="n">
        <f aca="false">IF(COUNTIF($A$2:$A1284,A1284)=1,1,0)</f>
        <v>0</v>
      </c>
    </row>
    <row r="1285" customFormat="false" ht="15" hidden="false" customHeight="false" outlineLevel="0" collapsed="false">
      <c r="A1285" s="0" t="s">
        <v>338</v>
      </c>
      <c r="B1285" s="0" t="s">
        <v>72</v>
      </c>
      <c r="D1285" s="0" t="n">
        <v>40</v>
      </c>
      <c r="E1285" s="5" t="n">
        <v>45948.7262731482</v>
      </c>
      <c r="F1285" s="0" t="n">
        <v>4.95</v>
      </c>
      <c r="G1285" s="0" t="n">
        <v>17203</v>
      </c>
      <c r="H1285" s="6" t="s">
        <v>263</v>
      </c>
      <c r="I1285" s="6" t="n">
        <f aca="false">D1285*F1285</f>
        <v>198</v>
      </c>
      <c r="J1285" s="6" t="n">
        <f aca="false">HOUR(E1285)</f>
        <v>17</v>
      </c>
      <c r="K1285" s="6" t="n">
        <f aca="false">IF(COUNTIF($A$2:$A1285,A1285)=1,1,0)</f>
        <v>1</v>
      </c>
    </row>
    <row r="1286" customFormat="false" ht="15" hidden="false" customHeight="false" outlineLevel="0" collapsed="false">
      <c r="A1286" s="0" t="s">
        <v>338</v>
      </c>
      <c r="B1286" s="0" t="s">
        <v>57</v>
      </c>
      <c r="C1286" s="0" t="s">
        <v>58</v>
      </c>
      <c r="D1286" s="0" t="n">
        <v>24</v>
      </c>
      <c r="E1286" s="5" t="n">
        <v>45948.7262731482</v>
      </c>
      <c r="F1286" s="0" t="n">
        <v>2.08</v>
      </c>
      <c r="G1286" s="0" t="n">
        <v>17203</v>
      </c>
      <c r="H1286" s="6" t="s">
        <v>263</v>
      </c>
      <c r="I1286" s="6" t="n">
        <f aca="false">D1286*F1286</f>
        <v>49.92</v>
      </c>
      <c r="J1286" s="6" t="n">
        <f aca="false">HOUR(E1286)</f>
        <v>17</v>
      </c>
      <c r="K1286" s="6" t="n">
        <f aca="false">IF(COUNTIF($A$2:$A1286,A1286)=1,1,0)</f>
        <v>0</v>
      </c>
    </row>
    <row r="1287" customFormat="false" ht="15" hidden="false" customHeight="false" outlineLevel="0" collapsed="false">
      <c r="A1287" s="0" t="s">
        <v>338</v>
      </c>
      <c r="B1287" s="0" t="s">
        <v>45</v>
      </c>
      <c r="C1287" s="0" t="s">
        <v>46</v>
      </c>
      <c r="D1287" s="0" t="n">
        <v>21</v>
      </c>
      <c r="E1287" s="5" t="n">
        <v>45948.7262731482</v>
      </c>
      <c r="F1287" s="0" t="n">
        <v>2.1</v>
      </c>
      <c r="G1287" s="0" t="n">
        <v>17203</v>
      </c>
      <c r="H1287" s="6" t="s">
        <v>263</v>
      </c>
      <c r="I1287" s="6" t="n">
        <f aca="false">D1287*F1287</f>
        <v>44.1</v>
      </c>
      <c r="J1287" s="6" t="n">
        <f aca="false">HOUR(E1287)</f>
        <v>17</v>
      </c>
      <c r="K1287" s="6" t="n">
        <f aca="false">IF(COUNTIF($A$2:$A1287,A1287)=1,1,0)</f>
        <v>0</v>
      </c>
    </row>
    <row r="1288" customFormat="false" ht="15" hidden="false" customHeight="false" outlineLevel="0" collapsed="false">
      <c r="A1288" s="0" t="s">
        <v>338</v>
      </c>
      <c r="B1288" s="0" t="s">
        <v>102</v>
      </c>
      <c r="C1288" s="0" t="s">
        <v>103</v>
      </c>
      <c r="D1288" s="0" t="n">
        <v>16</v>
      </c>
      <c r="E1288" s="5" t="n">
        <v>45948.7262731482</v>
      </c>
      <c r="F1288" s="0" t="n">
        <v>8.5</v>
      </c>
      <c r="G1288" s="0" t="n">
        <v>17203</v>
      </c>
      <c r="H1288" s="6" t="s">
        <v>263</v>
      </c>
      <c r="I1288" s="6" t="n">
        <f aca="false">D1288*F1288</f>
        <v>136</v>
      </c>
      <c r="J1288" s="6" t="n">
        <f aca="false">HOUR(E1288)</f>
        <v>17</v>
      </c>
      <c r="K1288" s="6" t="n">
        <f aca="false">IF(COUNTIF($A$2:$A1288,A1288)=1,1,0)</f>
        <v>0</v>
      </c>
    </row>
    <row r="1289" customFormat="false" ht="15" hidden="false" customHeight="false" outlineLevel="0" collapsed="false">
      <c r="A1289" s="0" t="s">
        <v>338</v>
      </c>
      <c r="B1289" s="0" t="s">
        <v>125</v>
      </c>
      <c r="C1289" s="0" t="s">
        <v>126</v>
      </c>
      <c r="D1289" s="0" t="n">
        <v>18</v>
      </c>
      <c r="E1289" s="5" t="n">
        <v>45948.7262731482</v>
      </c>
      <c r="F1289" s="0" t="n">
        <v>1.25</v>
      </c>
      <c r="G1289" s="0" t="n">
        <v>17203</v>
      </c>
      <c r="H1289" s="6" t="s">
        <v>263</v>
      </c>
      <c r="I1289" s="6" t="n">
        <f aca="false">D1289*F1289</f>
        <v>22.5</v>
      </c>
      <c r="J1289" s="6" t="n">
        <f aca="false">HOUR(E1289)</f>
        <v>17</v>
      </c>
      <c r="K1289" s="6" t="n">
        <f aca="false">IF(COUNTIF($A$2:$A1289,A1289)=1,1,0)</f>
        <v>0</v>
      </c>
    </row>
    <row r="1290" customFormat="false" ht="15" hidden="false" customHeight="false" outlineLevel="0" collapsed="false">
      <c r="A1290" s="0" t="s">
        <v>338</v>
      </c>
      <c r="B1290" s="0" t="s">
        <v>145</v>
      </c>
      <c r="C1290" s="0" t="s">
        <v>146</v>
      </c>
      <c r="D1290" s="0" t="n">
        <v>19</v>
      </c>
      <c r="E1290" s="5" t="n">
        <v>45948.7262731482</v>
      </c>
      <c r="F1290" s="0" t="n">
        <v>1.85</v>
      </c>
      <c r="G1290" s="0" t="n">
        <v>17203</v>
      </c>
      <c r="H1290" s="6" t="s">
        <v>263</v>
      </c>
      <c r="I1290" s="6" t="n">
        <f aca="false">D1290*F1290</f>
        <v>35.15</v>
      </c>
      <c r="J1290" s="6" t="n">
        <f aca="false">HOUR(E1290)</f>
        <v>17</v>
      </c>
      <c r="K1290" s="6" t="n">
        <f aca="false">IF(COUNTIF($A$2:$A1290,A1290)=1,1,0)</f>
        <v>0</v>
      </c>
    </row>
    <row r="1291" customFormat="false" ht="15" hidden="false" customHeight="false" outlineLevel="0" collapsed="false">
      <c r="A1291" s="0" t="s">
        <v>338</v>
      </c>
      <c r="B1291" s="0" t="s">
        <v>121</v>
      </c>
      <c r="C1291" s="0" t="s">
        <v>122</v>
      </c>
      <c r="D1291" s="0" t="n">
        <v>12</v>
      </c>
      <c r="E1291" s="5" t="n">
        <v>45948.7262731482</v>
      </c>
      <c r="F1291" s="0" t="n">
        <v>2.1</v>
      </c>
      <c r="G1291" s="0" t="n">
        <v>17203</v>
      </c>
      <c r="H1291" s="6" t="s">
        <v>263</v>
      </c>
      <c r="I1291" s="6" t="n">
        <f aca="false">D1291*F1291</f>
        <v>25.2</v>
      </c>
      <c r="J1291" s="6" t="n">
        <f aca="false">HOUR(E1291)</f>
        <v>17</v>
      </c>
      <c r="K1291" s="6" t="n">
        <f aca="false">IF(COUNTIF($A$2:$A1291,A1291)=1,1,0)</f>
        <v>0</v>
      </c>
    </row>
    <row r="1292" customFormat="false" ht="15" hidden="false" customHeight="false" outlineLevel="0" collapsed="false">
      <c r="A1292" s="0" t="s">
        <v>338</v>
      </c>
      <c r="B1292" s="0" t="s">
        <v>140</v>
      </c>
      <c r="C1292" s="0" t="s">
        <v>141</v>
      </c>
      <c r="D1292" s="0" t="n">
        <v>10</v>
      </c>
      <c r="E1292" s="5" t="n">
        <v>45948.7262731482</v>
      </c>
      <c r="F1292" s="0" t="n">
        <v>2.08</v>
      </c>
      <c r="G1292" s="0" t="n">
        <v>17203</v>
      </c>
      <c r="H1292" s="6" t="s">
        <v>263</v>
      </c>
      <c r="I1292" s="6" t="n">
        <f aca="false">D1292*F1292</f>
        <v>20.8</v>
      </c>
      <c r="J1292" s="6" t="n">
        <f aca="false">HOUR(E1292)</f>
        <v>17</v>
      </c>
      <c r="K1292" s="6" t="n">
        <f aca="false">IF(COUNTIF($A$2:$A1292,A1292)=1,1,0)</f>
        <v>0</v>
      </c>
    </row>
    <row r="1293" customFormat="false" ht="15" hidden="false" customHeight="false" outlineLevel="0" collapsed="false">
      <c r="A1293" s="0" t="s">
        <v>339</v>
      </c>
      <c r="B1293" s="0" t="s">
        <v>134</v>
      </c>
      <c r="C1293" s="0" t="s">
        <v>135</v>
      </c>
      <c r="D1293" s="0" t="n">
        <v>1</v>
      </c>
      <c r="E1293" s="5" t="n">
        <v>45948.7440625</v>
      </c>
      <c r="F1293" s="0" t="n">
        <v>5.95</v>
      </c>
      <c r="G1293" s="0" t="n">
        <v>17185</v>
      </c>
      <c r="H1293" s="6" t="s">
        <v>74</v>
      </c>
      <c r="I1293" s="6" t="n">
        <f aca="false">D1293*F1293</f>
        <v>5.95</v>
      </c>
      <c r="J1293" s="6" t="n">
        <f aca="false">HOUR(E1293)</f>
        <v>17</v>
      </c>
      <c r="K1293" s="6" t="n">
        <f aca="false">IF(COUNTIF($A$2:$A1293,A1293)=1,1,0)</f>
        <v>1</v>
      </c>
    </row>
    <row r="1294" customFormat="false" ht="15" hidden="false" customHeight="false" outlineLevel="0" collapsed="false">
      <c r="A1294" s="0" t="s">
        <v>340</v>
      </c>
      <c r="B1294" s="0" t="s">
        <v>63</v>
      </c>
      <c r="C1294" s="0" t="s">
        <v>64</v>
      </c>
      <c r="D1294" s="0" t="n">
        <v>8</v>
      </c>
      <c r="E1294" s="5" t="n">
        <v>45948.746712963</v>
      </c>
      <c r="F1294" s="0" t="n">
        <v>1.85</v>
      </c>
      <c r="G1294" s="0" t="n">
        <v>17052</v>
      </c>
      <c r="H1294" s="6" t="s">
        <v>113</v>
      </c>
      <c r="I1294" s="6" t="n">
        <f aca="false">D1294*F1294</f>
        <v>14.8</v>
      </c>
      <c r="J1294" s="6" t="n">
        <f aca="false">HOUR(E1294)</f>
        <v>17</v>
      </c>
      <c r="K1294" s="6" t="n">
        <f aca="false">IF(COUNTIF($A$2:$A1294,A1294)=1,1,0)</f>
        <v>1</v>
      </c>
    </row>
    <row r="1295" customFormat="false" ht="15" hidden="false" customHeight="false" outlineLevel="0" collapsed="false">
      <c r="A1295" s="0" t="s">
        <v>340</v>
      </c>
      <c r="B1295" s="0" t="s">
        <v>61</v>
      </c>
      <c r="C1295" s="0" t="s">
        <v>62</v>
      </c>
      <c r="D1295" s="0" t="n">
        <v>12</v>
      </c>
      <c r="E1295" s="5" t="n">
        <v>45948.746712963</v>
      </c>
      <c r="F1295" s="0" t="n">
        <v>1.65</v>
      </c>
      <c r="G1295" s="0" t="n">
        <v>17052</v>
      </c>
      <c r="H1295" s="6" t="s">
        <v>113</v>
      </c>
      <c r="I1295" s="6" t="n">
        <f aca="false">D1295*F1295</f>
        <v>19.8</v>
      </c>
      <c r="J1295" s="6" t="n">
        <f aca="false">HOUR(E1295)</f>
        <v>17</v>
      </c>
      <c r="K1295" s="6" t="n">
        <f aca="false">IF(COUNTIF($A$2:$A1295,A1295)=1,1,0)</f>
        <v>0</v>
      </c>
    </row>
    <row r="1296" customFormat="false" ht="15" hidden="false" customHeight="false" outlineLevel="0" collapsed="false">
      <c r="A1296" s="0" t="s">
        <v>340</v>
      </c>
      <c r="B1296" s="0" t="s">
        <v>91</v>
      </c>
      <c r="C1296" s="0" t="s">
        <v>92</v>
      </c>
      <c r="D1296" s="0" t="n">
        <v>14</v>
      </c>
      <c r="E1296" s="5" t="n">
        <v>45948.746712963</v>
      </c>
      <c r="F1296" s="0" t="n">
        <v>7.65</v>
      </c>
      <c r="G1296" s="0" t="n">
        <v>17052</v>
      </c>
      <c r="H1296" s="6" t="s">
        <v>113</v>
      </c>
      <c r="I1296" s="6" t="n">
        <f aca="false">D1296*F1296</f>
        <v>107.1</v>
      </c>
      <c r="J1296" s="6" t="n">
        <f aca="false">HOUR(E1296)</f>
        <v>17</v>
      </c>
      <c r="K1296" s="6" t="n">
        <f aca="false">IF(COUNTIF($A$2:$A1296,A1296)=1,1,0)</f>
        <v>0</v>
      </c>
    </row>
    <row r="1297" customFormat="false" ht="15" hidden="false" customHeight="false" outlineLevel="0" collapsed="false">
      <c r="A1297" s="0" t="s">
        <v>340</v>
      </c>
      <c r="B1297" s="0" t="s">
        <v>121</v>
      </c>
      <c r="C1297" s="0" t="s">
        <v>122</v>
      </c>
      <c r="D1297" s="0" t="n">
        <v>17</v>
      </c>
      <c r="E1297" s="5" t="n">
        <v>45948.746712963</v>
      </c>
      <c r="F1297" s="0" t="n">
        <v>2.1</v>
      </c>
      <c r="G1297" s="0" t="n">
        <v>17052</v>
      </c>
      <c r="H1297" s="6" t="s">
        <v>113</v>
      </c>
      <c r="I1297" s="6" t="n">
        <f aca="false">D1297*F1297</f>
        <v>35.7</v>
      </c>
      <c r="J1297" s="6" t="n">
        <f aca="false">HOUR(E1297)</f>
        <v>17</v>
      </c>
      <c r="K1297" s="6" t="n">
        <f aca="false">IF(COUNTIF($A$2:$A1297,A1297)=1,1,0)</f>
        <v>0</v>
      </c>
    </row>
    <row r="1298" customFormat="false" ht="15" hidden="false" customHeight="false" outlineLevel="0" collapsed="false">
      <c r="A1298" s="0" t="s">
        <v>340</v>
      </c>
      <c r="B1298" s="0" t="s">
        <v>65</v>
      </c>
      <c r="C1298" s="0" t="s">
        <v>66</v>
      </c>
      <c r="D1298" s="0" t="n">
        <v>13</v>
      </c>
      <c r="E1298" s="5" t="n">
        <v>45948.746712963</v>
      </c>
      <c r="F1298" s="0" t="n">
        <v>1.65</v>
      </c>
      <c r="G1298" s="0" t="n">
        <v>17052</v>
      </c>
      <c r="H1298" s="6" t="s">
        <v>113</v>
      </c>
      <c r="I1298" s="6" t="n">
        <f aca="false">D1298*F1298</f>
        <v>21.45</v>
      </c>
      <c r="J1298" s="6" t="n">
        <f aca="false">HOUR(E1298)</f>
        <v>17</v>
      </c>
      <c r="K1298" s="6" t="n">
        <f aca="false">IF(COUNTIF($A$2:$A1298,A1298)=1,1,0)</f>
        <v>0</v>
      </c>
    </row>
    <row r="1299" customFormat="false" ht="15" hidden="false" customHeight="false" outlineLevel="0" collapsed="false">
      <c r="A1299" s="0" t="s">
        <v>340</v>
      </c>
      <c r="B1299" s="0" t="s">
        <v>134</v>
      </c>
      <c r="C1299" s="0" t="s">
        <v>135</v>
      </c>
      <c r="D1299" s="0" t="n">
        <v>12</v>
      </c>
      <c r="E1299" s="5" t="n">
        <v>45948.746712963</v>
      </c>
      <c r="F1299" s="0" t="n">
        <v>5.95</v>
      </c>
      <c r="G1299" s="0" t="n">
        <v>17052</v>
      </c>
      <c r="H1299" s="6" t="s">
        <v>113</v>
      </c>
      <c r="I1299" s="6" t="n">
        <f aca="false">D1299*F1299</f>
        <v>71.4</v>
      </c>
      <c r="J1299" s="6" t="n">
        <f aca="false">HOUR(E1299)</f>
        <v>17</v>
      </c>
      <c r="K1299" s="6" t="n">
        <f aca="false">IF(COUNTIF($A$2:$A1299,A1299)=1,1,0)</f>
        <v>0</v>
      </c>
    </row>
    <row r="1300" customFormat="false" ht="15" hidden="false" customHeight="false" outlineLevel="0" collapsed="false">
      <c r="A1300" s="0" t="s">
        <v>340</v>
      </c>
      <c r="B1300" s="0" t="s">
        <v>40</v>
      </c>
      <c r="C1300" s="0" t="s">
        <v>41</v>
      </c>
      <c r="D1300" s="0" t="n">
        <v>11</v>
      </c>
      <c r="E1300" s="5" t="n">
        <v>45948.746712963</v>
      </c>
      <c r="F1300" s="0" t="n">
        <v>1.06</v>
      </c>
      <c r="G1300" s="0" t="n">
        <v>17052</v>
      </c>
      <c r="H1300" s="6" t="s">
        <v>113</v>
      </c>
      <c r="I1300" s="6" t="n">
        <f aca="false">D1300*F1300</f>
        <v>11.66</v>
      </c>
      <c r="J1300" s="6" t="n">
        <f aca="false">HOUR(E1300)</f>
        <v>17</v>
      </c>
      <c r="K1300" s="6" t="n">
        <f aca="false">IF(COUNTIF($A$2:$A1300,A1300)=1,1,0)</f>
        <v>0</v>
      </c>
    </row>
    <row r="1301" customFormat="false" ht="15" hidden="false" customHeight="false" outlineLevel="0" collapsed="false">
      <c r="A1301" s="0" t="s">
        <v>340</v>
      </c>
      <c r="B1301" s="0" t="s">
        <v>93</v>
      </c>
      <c r="C1301" s="0" t="s">
        <v>94</v>
      </c>
      <c r="D1301" s="0" t="n">
        <v>23</v>
      </c>
      <c r="E1301" s="5" t="n">
        <v>45948.746712963</v>
      </c>
      <c r="F1301" s="0" t="n">
        <v>1.69</v>
      </c>
      <c r="G1301" s="0" t="n">
        <v>17052</v>
      </c>
      <c r="H1301" s="6" t="s">
        <v>113</v>
      </c>
      <c r="I1301" s="6" t="n">
        <f aca="false">D1301*F1301</f>
        <v>38.87</v>
      </c>
      <c r="J1301" s="6" t="n">
        <f aca="false">HOUR(E1301)</f>
        <v>17</v>
      </c>
      <c r="K1301" s="6" t="n">
        <f aca="false">IF(COUNTIF($A$2:$A1301,A1301)=1,1,0)</f>
        <v>0</v>
      </c>
    </row>
    <row r="1302" customFormat="false" ht="15" hidden="false" customHeight="false" outlineLevel="0" collapsed="false">
      <c r="A1302" s="0" t="s">
        <v>340</v>
      </c>
      <c r="B1302" s="0" t="s">
        <v>127</v>
      </c>
      <c r="C1302" s="0" t="s">
        <v>128</v>
      </c>
      <c r="D1302" s="0" t="n">
        <v>5</v>
      </c>
      <c r="E1302" s="5" t="n">
        <v>45948.746712963</v>
      </c>
      <c r="F1302" s="0" t="n">
        <v>1.45</v>
      </c>
      <c r="G1302" s="0" t="n">
        <v>17052</v>
      </c>
      <c r="H1302" s="6" t="s">
        <v>113</v>
      </c>
      <c r="I1302" s="6" t="n">
        <f aca="false">D1302*F1302</f>
        <v>7.25</v>
      </c>
      <c r="J1302" s="6" t="n">
        <f aca="false">HOUR(E1302)</f>
        <v>17</v>
      </c>
      <c r="K1302" s="6" t="n">
        <f aca="false">IF(COUNTIF($A$2:$A1302,A1302)=1,1,0)</f>
        <v>0</v>
      </c>
    </row>
    <row r="1303" customFormat="false" ht="15" hidden="false" customHeight="false" outlineLevel="0" collapsed="false">
      <c r="A1303" s="0" t="s">
        <v>341</v>
      </c>
      <c r="B1303" s="0" t="s">
        <v>125</v>
      </c>
      <c r="C1303" s="0" t="s">
        <v>126</v>
      </c>
      <c r="D1303" s="0" t="n">
        <v>24</v>
      </c>
      <c r="E1303" s="5" t="n">
        <v>45948.7623842593</v>
      </c>
      <c r="F1303" s="0" t="n">
        <v>1.25</v>
      </c>
      <c r="G1303" s="0" t="n">
        <v>17034</v>
      </c>
      <c r="H1303" s="6" t="s">
        <v>74</v>
      </c>
      <c r="I1303" s="6" t="n">
        <f aca="false">D1303*F1303</f>
        <v>30</v>
      </c>
      <c r="J1303" s="6" t="n">
        <f aca="false">HOUR(E1303)</f>
        <v>18</v>
      </c>
      <c r="K1303" s="6" t="n">
        <f aca="false">IF(COUNTIF($A$2:$A1303,A1303)=1,1,0)</f>
        <v>1</v>
      </c>
    </row>
    <row r="1304" customFormat="false" ht="15" hidden="false" customHeight="false" outlineLevel="0" collapsed="false">
      <c r="A1304" s="0" t="s">
        <v>341</v>
      </c>
      <c r="B1304" s="0" t="s">
        <v>83</v>
      </c>
      <c r="C1304" s="0" t="s">
        <v>84</v>
      </c>
      <c r="D1304" s="0" t="n">
        <v>20</v>
      </c>
      <c r="E1304" s="5" t="n">
        <v>45948.7623842593</v>
      </c>
      <c r="F1304" s="0" t="n">
        <v>2.95</v>
      </c>
      <c r="G1304" s="0" t="n">
        <v>17034</v>
      </c>
      <c r="H1304" s="6" t="s">
        <v>74</v>
      </c>
      <c r="I1304" s="6" t="n">
        <f aca="false">D1304*F1304</f>
        <v>59</v>
      </c>
      <c r="J1304" s="6" t="n">
        <f aca="false">HOUR(E1304)</f>
        <v>18</v>
      </c>
      <c r="K1304" s="6" t="n">
        <f aca="false">IF(COUNTIF($A$2:$A1304,A1304)=1,1,0)</f>
        <v>0</v>
      </c>
    </row>
    <row r="1305" customFormat="false" ht="15" hidden="false" customHeight="false" outlineLevel="0" collapsed="false">
      <c r="A1305" s="0" t="s">
        <v>341</v>
      </c>
      <c r="B1305" s="0" t="s">
        <v>53</v>
      </c>
      <c r="C1305" s="0" t="s">
        <v>54</v>
      </c>
      <c r="D1305" s="0" t="n">
        <v>16</v>
      </c>
      <c r="E1305" s="5" t="n">
        <v>45948.7623842593</v>
      </c>
      <c r="F1305" s="0" t="n">
        <v>2.95</v>
      </c>
      <c r="G1305" s="0" t="n">
        <v>17034</v>
      </c>
      <c r="H1305" s="6" t="s">
        <v>74</v>
      </c>
      <c r="I1305" s="6" t="n">
        <f aca="false">D1305*F1305</f>
        <v>47.2</v>
      </c>
      <c r="J1305" s="6" t="n">
        <f aca="false">HOUR(E1305)</f>
        <v>18</v>
      </c>
      <c r="K1305" s="6" t="n">
        <f aca="false">IF(COUNTIF($A$2:$A1305,A1305)=1,1,0)</f>
        <v>0</v>
      </c>
    </row>
    <row r="1306" customFormat="false" ht="15" hidden="false" customHeight="false" outlineLevel="0" collapsed="false">
      <c r="A1306" s="0" t="s">
        <v>341</v>
      </c>
      <c r="B1306" s="0" t="s">
        <v>40</v>
      </c>
      <c r="C1306" s="0" t="s">
        <v>41</v>
      </c>
      <c r="D1306" s="0" t="n">
        <v>4</v>
      </c>
      <c r="E1306" s="5" t="n">
        <v>45948.7623842593</v>
      </c>
      <c r="F1306" s="0" t="n">
        <v>1.06</v>
      </c>
      <c r="G1306" s="0" t="n">
        <v>17034</v>
      </c>
      <c r="H1306" s="6" t="s">
        <v>74</v>
      </c>
      <c r="I1306" s="6" t="n">
        <f aca="false">D1306*F1306</f>
        <v>4.24</v>
      </c>
      <c r="J1306" s="6" t="n">
        <f aca="false">HOUR(E1306)</f>
        <v>18</v>
      </c>
      <c r="K1306" s="6" t="n">
        <f aca="false">IF(COUNTIF($A$2:$A1306,A1306)=1,1,0)</f>
        <v>0</v>
      </c>
    </row>
    <row r="1307" customFormat="false" ht="15" hidden="false" customHeight="false" outlineLevel="0" collapsed="false">
      <c r="A1307" s="0" t="s">
        <v>341</v>
      </c>
      <c r="B1307" s="0" t="s">
        <v>69</v>
      </c>
      <c r="C1307" s="0" t="s">
        <v>70</v>
      </c>
      <c r="D1307" s="0" t="n">
        <v>43</v>
      </c>
      <c r="E1307" s="5" t="n">
        <v>45948.7623842593</v>
      </c>
      <c r="F1307" s="0" t="n">
        <v>2.08</v>
      </c>
      <c r="G1307" s="0" t="n">
        <v>17034</v>
      </c>
      <c r="H1307" s="6" t="s">
        <v>74</v>
      </c>
      <c r="I1307" s="6" t="n">
        <f aca="false">D1307*F1307</f>
        <v>89.44</v>
      </c>
      <c r="J1307" s="6" t="n">
        <f aca="false">HOUR(E1307)</f>
        <v>18</v>
      </c>
      <c r="K1307" s="6" t="n">
        <f aca="false">IF(COUNTIF($A$2:$A1307,A1307)=1,1,0)</f>
        <v>0</v>
      </c>
    </row>
    <row r="1308" customFormat="false" ht="15" hidden="false" customHeight="false" outlineLevel="0" collapsed="false">
      <c r="A1308" s="0" t="s">
        <v>341</v>
      </c>
      <c r="B1308" s="0" t="s">
        <v>145</v>
      </c>
      <c r="C1308" s="0" t="s">
        <v>146</v>
      </c>
      <c r="D1308" s="0" t="n">
        <v>8</v>
      </c>
      <c r="E1308" s="5" t="n">
        <v>45948.7623842593</v>
      </c>
      <c r="F1308" s="0" t="n">
        <v>1.85</v>
      </c>
      <c r="G1308" s="0" t="n">
        <v>17034</v>
      </c>
      <c r="H1308" s="6" t="s">
        <v>74</v>
      </c>
      <c r="I1308" s="6" t="n">
        <f aca="false">D1308*F1308</f>
        <v>14.8</v>
      </c>
      <c r="J1308" s="6" t="n">
        <f aca="false">HOUR(E1308)</f>
        <v>18</v>
      </c>
      <c r="K1308" s="6" t="n">
        <f aca="false">IF(COUNTIF($A$2:$A1308,A1308)=1,1,0)</f>
        <v>0</v>
      </c>
    </row>
    <row r="1309" customFormat="false" ht="15" hidden="false" customHeight="false" outlineLevel="0" collapsed="false">
      <c r="A1309" s="0" t="s">
        <v>341</v>
      </c>
      <c r="B1309" s="0" t="s">
        <v>55</v>
      </c>
      <c r="C1309" s="0" t="s">
        <v>56</v>
      </c>
      <c r="D1309" s="0" t="n">
        <v>16</v>
      </c>
      <c r="E1309" s="5" t="n">
        <v>45948.7623842593</v>
      </c>
      <c r="F1309" s="0" t="n">
        <v>1.65</v>
      </c>
      <c r="G1309" s="0" t="n">
        <v>17034</v>
      </c>
      <c r="H1309" s="6" t="s">
        <v>74</v>
      </c>
      <c r="I1309" s="6" t="n">
        <f aca="false">D1309*F1309</f>
        <v>26.4</v>
      </c>
      <c r="J1309" s="6" t="n">
        <f aca="false">HOUR(E1309)</f>
        <v>18</v>
      </c>
      <c r="K1309" s="6" t="n">
        <f aca="false">IF(COUNTIF($A$2:$A1309,A1309)=1,1,0)</f>
        <v>0</v>
      </c>
    </row>
    <row r="1310" customFormat="false" ht="15" hidden="false" customHeight="false" outlineLevel="0" collapsed="false">
      <c r="A1310" s="0" t="s">
        <v>341</v>
      </c>
      <c r="B1310" s="0" t="s">
        <v>137</v>
      </c>
      <c r="C1310" s="0" t="s">
        <v>138</v>
      </c>
      <c r="D1310" s="0" t="n">
        <v>3</v>
      </c>
      <c r="E1310" s="5" t="n">
        <v>45948.7623842593</v>
      </c>
      <c r="F1310" s="0" t="n">
        <v>2.1</v>
      </c>
      <c r="G1310" s="0" t="n">
        <v>17034</v>
      </c>
      <c r="H1310" s="6" t="s">
        <v>74</v>
      </c>
      <c r="I1310" s="6" t="n">
        <f aca="false">D1310*F1310</f>
        <v>6.3</v>
      </c>
      <c r="J1310" s="6" t="n">
        <f aca="false">HOUR(E1310)</f>
        <v>18</v>
      </c>
      <c r="K1310" s="6" t="n">
        <f aca="false">IF(COUNTIF($A$2:$A1310,A1310)=1,1,0)</f>
        <v>0</v>
      </c>
    </row>
    <row r="1311" customFormat="false" ht="15" hidden="false" customHeight="false" outlineLevel="0" collapsed="false">
      <c r="A1311" s="0" t="s">
        <v>342</v>
      </c>
      <c r="B1311" s="0" t="s">
        <v>91</v>
      </c>
      <c r="C1311" s="0" t="s">
        <v>92</v>
      </c>
      <c r="D1311" s="0" t="n">
        <v>1</v>
      </c>
      <c r="E1311" s="5" t="n">
        <v>45948.8271296296</v>
      </c>
      <c r="F1311" s="0" t="n">
        <v>7.65</v>
      </c>
      <c r="G1311" s="0" t="n">
        <v>17036</v>
      </c>
      <c r="H1311" s="6" t="s">
        <v>151</v>
      </c>
      <c r="I1311" s="6" t="n">
        <f aca="false">D1311*F1311</f>
        <v>7.65</v>
      </c>
      <c r="J1311" s="6" t="n">
        <f aca="false">HOUR(E1311)</f>
        <v>19</v>
      </c>
      <c r="K1311" s="6" t="n">
        <f aca="false">IF(COUNTIF($A$2:$A1311,A1311)=1,1,0)</f>
        <v>1</v>
      </c>
    </row>
    <row r="1312" customFormat="false" ht="15" hidden="false" customHeight="false" outlineLevel="0" collapsed="false">
      <c r="A1312" s="0" t="s">
        <v>342</v>
      </c>
      <c r="B1312" s="0" t="s">
        <v>57</v>
      </c>
      <c r="C1312" s="0" t="s">
        <v>58</v>
      </c>
      <c r="D1312" s="0" t="n">
        <v>12</v>
      </c>
      <c r="E1312" s="5" t="n">
        <v>45948.8271296296</v>
      </c>
      <c r="F1312" s="0" t="n">
        <v>2.08</v>
      </c>
      <c r="G1312" s="0" t="n">
        <v>17036</v>
      </c>
      <c r="H1312" s="6" t="s">
        <v>151</v>
      </c>
      <c r="I1312" s="6" t="n">
        <f aca="false">D1312*F1312</f>
        <v>24.96</v>
      </c>
      <c r="J1312" s="6" t="n">
        <f aca="false">HOUR(E1312)</f>
        <v>19</v>
      </c>
      <c r="K1312" s="6" t="n">
        <f aca="false">IF(COUNTIF($A$2:$A1312,A1312)=1,1,0)</f>
        <v>0</v>
      </c>
    </row>
    <row r="1313" customFormat="false" ht="15" hidden="false" customHeight="false" outlineLevel="0" collapsed="false">
      <c r="A1313" s="0" t="s">
        <v>342</v>
      </c>
      <c r="B1313" s="0" t="s">
        <v>131</v>
      </c>
      <c r="C1313" s="0" t="s">
        <v>132</v>
      </c>
      <c r="D1313" s="0" t="n">
        <v>13</v>
      </c>
      <c r="E1313" s="5" t="n">
        <v>45948.8271296296</v>
      </c>
      <c r="F1313" s="0" t="n">
        <v>3.39</v>
      </c>
      <c r="G1313" s="0" t="n">
        <v>17036</v>
      </c>
      <c r="H1313" s="6" t="s">
        <v>151</v>
      </c>
      <c r="I1313" s="6" t="n">
        <f aca="false">D1313*F1313</f>
        <v>44.07</v>
      </c>
      <c r="J1313" s="6" t="n">
        <f aca="false">HOUR(E1313)</f>
        <v>19</v>
      </c>
      <c r="K1313" s="6" t="n">
        <f aca="false">IF(COUNTIF($A$2:$A1313,A1313)=1,1,0)</f>
        <v>0</v>
      </c>
    </row>
    <row r="1314" customFormat="false" ht="15" hidden="false" customHeight="false" outlineLevel="0" collapsed="false">
      <c r="A1314" s="0" t="s">
        <v>342</v>
      </c>
      <c r="B1314" s="0" t="s">
        <v>53</v>
      </c>
      <c r="C1314" s="0" t="s">
        <v>54</v>
      </c>
      <c r="D1314" s="0" t="n">
        <v>9</v>
      </c>
      <c r="E1314" s="5" t="n">
        <v>45948.8271296296</v>
      </c>
      <c r="F1314" s="0" t="n">
        <v>2.95</v>
      </c>
      <c r="G1314" s="0" t="n">
        <v>17036</v>
      </c>
      <c r="H1314" s="6" t="s">
        <v>151</v>
      </c>
      <c r="I1314" s="6" t="n">
        <f aca="false">D1314*F1314</f>
        <v>26.55</v>
      </c>
      <c r="J1314" s="6" t="n">
        <f aca="false">HOUR(E1314)</f>
        <v>19</v>
      </c>
      <c r="K1314" s="6" t="n">
        <f aca="false">IF(COUNTIF($A$2:$A1314,A1314)=1,1,0)</f>
        <v>0</v>
      </c>
    </row>
    <row r="1315" customFormat="false" ht="15" hidden="false" customHeight="false" outlineLevel="0" collapsed="false">
      <c r="A1315" s="0" t="s">
        <v>342</v>
      </c>
      <c r="B1315" s="0" t="s">
        <v>125</v>
      </c>
      <c r="C1315" s="0" t="s">
        <v>126</v>
      </c>
      <c r="D1315" s="0" t="n">
        <v>18</v>
      </c>
      <c r="E1315" s="5" t="n">
        <v>45948.8271296296</v>
      </c>
      <c r="F1315" s="0" t="n">
        <v>1.25</v>
      </c>
      <c r="G1315" s="0" t="n">
        <v>17036</v>
      </c>
      <c r="H1315" s="6" t="s">
        <v>151</v>
      </c>
      <c r="I1315" s="6" t="n">
        <f aca="false">D1315*F1315</f>
        <v>22.5</v>
      </c>
      <c r="J1315" s="6" t="n">
        <f aca="false">HOUR(E1315)</f>
        <v>19</v>
      </c>
      <c r="K1315" s="6" t="n">
        <f aca="false">IF(COUNTIF($A$2:$A1315,A1315)=1,1,0)</f>
        <v>0</v>
      </c>
    </row>
    <row r="1316" customFormat="false" ht="15" hidden="false" customHeight="false" outlineLevel="0" collapsed="false">
      <c r="A1316" s="0" t="s">
        <v>342</v>
      </c>
      <c r="B1316" s="0" t="s">
        <v>145</v>
      </c>
      <c r="C1316" s="0" t="s">
        <v>146</v>
      </c>
      <c r="D1316" s="0" t="n">
        <v>10</v>
      </c>
      <c r="E1316" s="5" t="n">
        <v>45948.8271296296</v>
      </c>
      <c r="F1316" s="0" t="n">
        <v>1.85</v>
      </c>
      <c r="G1316" s="0" t="n">
        <v>17036</v>
      </c>
      <c r="H1316" s="6" t="s">
        <v>151</v>
      </c>
      <c r="I1316" s="6" t="n">
        <f aca="false">D1316*F1316</f>
        <v>18.5</v>
      </c>
      <c r="J1316" s="6" t="n">
        <f aca="false">HOUR(E1316)</f>
        <v>19</v>
      </c>
      <c r="K1316" s="6" t="n">
        <f aca="false">IF(COUNTIF($A$2:$A1316,A1316)=1,1,0)</f>
        <v>0</v>
      </c>
    </row>
    <row r="1317" customFormat="false" ht="15" hidden="false" customHeight="false" outlineLevel="0" collapsed="false">
      <c r="A1317" s="0" t="s">
        <v>342</v>
      </c>
      <c r="B1317" s="0" t="s">
        <v>109</v>
      </c>
      <c r="C1317" s="0" t="s">
        <v>110</v>
      </c>
      <c r="D1317" s="0" t="n">
        <v>8</v>
      </c>
      <c r="E1317" s="5" t="n">
        <v>45948.8271296296</v>
      </c>
      <c r="F1317" s="0" t="n">
        <v>0.85</v>
      </c>
      <c r="G1317" s="0" t="n">
        <v>17036</v>
      </c>
      <c r="H1317" s="6" t="s">
        <v>151</v>
      </c>
      <c r="I1317" s="6" t="n">
        <f aca="false">D1317*F1317</f>
        <v>6.8</v>
      </c>
      <c r="J1317" s="6" t="n">
        <f aca="false">HOUR(E1317)</f>
        <v>19</v>
      </c>
      <c r="K1317" s="6" t="n">
        <f aca="false">IF(COUNTIF($A$2:$A1317,A1317)=1,1,0)</f>
        <v>0</v>
      </c>
    </row>
    <row r="1318" customFormat="false" ht="15" hidden="false" customHeight="false" outlineLevel="0" collapsed="false">
      <c r="A1318" s="0" t="s">
        <v>342</v>
      </c>
      <c r="B1318" s="0" t="s">
        <v>59</v>
      </c>
      <c r="C1318" s="0" t="s">
        <v>60</v>
      </c>
      <c r="D1318" s="0" t="n">
        <v>20</v>
      </c>
      <c r="E1318" s="5" t="n">
        <v>45948.8271296296</v>
      </c>
      <c r="F1318" s="0" t="n">
        <v>0.42</v>
      </c>
      <c r="G1318" s="0" t="n">
        <v>17036</v>
      </c>
      <c r="H1318" s="6" t="s">
        <v>151</v>
      </c>
      <c r="I1318" s="6" t="n">
        <f aca="false">D1318*F1318</f>
        <v>8.4</v>
      </c>
      <c r="J1318" s="6" t="n">
        <f aca="false">HOUR(E1318)</f>
        <v>19</v>
      </c>
      <c r="K1318" s="6" t="n">
        <f aca="false">IF(COUNTIF($A$2:$A1318,A1318)=1,1,0)</f>
        <v>0</v>
      </c>
    </row>
    <row r="1319" customFormat="false" ht="15" hidden="false" customHeight="false" outlineLevel="0" collapsed="false">
      <c r="A1319" s="0" t="s">
        <v>342</v>
      </c>
      <c r="B1319" s="0" t="s">
        <v>63</v>
      </c>
      <c r="C1319" s="0" t="s">
        <v>64</v>
      </c>
      <c r="D1319" s="0" t="n">
        <v>3</v>
      </c>
      <c r="E1319" s="5" t="n">
        <v>45948.8271296296</v>
      </c>
      <c r="F1319" s="0" t="n">
        <v>1.85</v>
      </c>
      <c r="G1319" s="0" t="n">
        <v>17036</v>
      </c>
      <c r="H1319" s="6" t="s">
        <v>151</v>
      </c>
      <c r="I1319" s="6" t="n">
        <f aca="false">D1319*F1319</f>
        <v>5.55</v>
      </c>
      <c r="J1319" s="6" t="n">
        <f aca="false">HOUR(E1319)</f>
        <v>19</v>
      </c>
      <c r="K1319" s="6" t="n">
        <f aca="false">IF(COUNTIF($A$2:$A1319,A1319)=1,1,0)</f>
        <v>0</v>
      </c>
    </row>
    <row r="1320" customFormat="false" ht="15" hidden="false" customHeight="false" outlineLevel="0" collapsed="false">
      <c r="A1320" s="0" t="s">
        <v>342</v>
      </c>
      <c r="B1320" s="0" t="s">
        <v>86</v>
      </c>
      <c r="C1320" s="0" t="s">
        <v>87</v>
      </c>
      <c r="D1320" s="0" t="n">
        <v>6</v>
      </c>
      <c r="E1320" s="5" t="n">
        <v>45948.8271296296</v>
      </c>
      <c r="F1320" s="0" t="n">
        <v>4.25</v>
      </c>
      <c r="G1320" s="0" t="n">
        <v>17036</v>
      </c>
      <c r="H1320" s="6" t="s">
        <v>151</v>
      </c>
      <c r="I1320" s="6" t="n">
        <f aca="false">D1320*F1320</f>
        <v>25.5</v>
      </c>
      <c r="J1320" s="6" t="n">
        <f aca="false">HOUR(E1320)</f>
        <v>19</v>
      </c>
      <c r="K1320" s="6" t="n">
        <f aca="false">IF(COUNTIF($A$2:$A1320,A1320)=1,1,0)</f>
        <v>0</v>
      </c>
    </row>
    <row r="1321" customFormat="false" ht="15" hidden="false" customHeight="false" outlineLevel="0" collapsed="false">
      <c r="A1321" s="0" t="s">
        <v>343</v>
      </c>
      <c r="B1321" s="0" t="s">
        <v>45</v>
      </c>
      <c r="C1321" s="0" t="s">
        <v>46</v>
      </c>
      <c r="D1321" s="0" t="n">
        <v>8</v>
      </c>
      <c r="E1321" s="5" t="n">
        <v>45948.9658101852</v>
      </c>
      <c r="F1321" s="0" t="n">
        <v>2.1</v>
      </c>
      <c r="H1321" s="6" t="s">
        <v>74</v>
      </c>
      <c r="I1321" s="6" t="n">
        <f aca="false">D1321*F1321</f>
        <v>16.8</v>
      </c>
      <c r="J1321" s="6" t="n">
        <f aca="false">HOUR(E1321)</f>
        <v>23</v>
      </c>
      <c r="K1321" s="6" t="n">
        <f aca="false">IF(COUNTIF($A$2:$A1321,A1321)=1,1,0)</f>
        <v>1</v>
      </c>
    </row>
    <row r="1322" customFormat="false" ht="15" hidden="false" customHeight="false" outlineLevel="0" collapsed="false">
      <c r="A1322" s="0" t="s">
        <v>343</v>
      </c>
      <c r="B1322" s="0" t="s">
        <v>116</v>
      </c>
      <c r="C1322" s="0" t="s">
        <v>117</v>
      </c>
      <c r="D1322" s="0" t="n">
        <v>5</v>
      </c>
      <c r="E1322" s="5" t="n">
        <v>45948.9658101852</v>
      </c>
      <c r="F1322" s="0" t="n">
        <v>1.95</v>
      </c>
      <c r="H1322" s="6" t="s">
        <v>74</v>
      </c>
      <c r="I1322" s="6" t="n">
        <f aca="false">D1322*F1322</f>
        <v>9.75</v>
      </c>
      <c r="J1322" s="6" t="n">
        <f aca="false">HOUR(E1322)</f>
        <v>23</v>
      </c>
      <c r="K1322" s="6" t="n">
        <f aca="false">IF(COUNTIF($A$2:$A1322,A1322)=1,1,0)</f>
        <v>0</v>
      </c>
    </row>
    <row r="1323" customFormat="false" ht="15" hidden="false" customHeight="false" outlineLevel="0" collapsed="false">
      <c r="A1323" s="0" t="s">
        <v>343</v>
      </c>
      <c r="B1323" s="0" t="s">
        <v>81</v>
      </c>
      <c r="C1323" s="0" t="s">
        <v>82</v>
      </c>
      <c r="D1323" s="0" t="n">
        <v>5</v>
      </c>
      <c r="E1323" s="5" t="n">
        <v>45948.9658101852</v>
      </c>
      <c r="F1323" s="0" t="n">
        <v>1.65</v>
      </c>
      <c r="H1323" s="6" t="s">
        <v>74</v>
      </c>
      <c r="I1323" s="6" t="n">
        <f aca="false">D1323*F1323</f>
        <v>8.25</v>
      </c>
      <c r="J1323" s="6" t="n">
        <f aca="false">HOUR(E1323)</f>
        <v>23</v>
      </c>
      <c r="K1323" s="6" t="n">
        <f aca="false">IF(COUNTIF($A$2:$A1323,A1323)=1,1,0)</f>
        <v>0</v>
      </c>
    </row>
    <row r="1324" customFormat="false" ht="15" hidden="false" customHeight="false" outlineLevel="0" collapsed="false">
      <c r="A1324" s="0" t="s">
        <v>344</v>
      </c>
      <c r="B1324" s="0" t="s">
        <v>127</v>
      </c>
      <c r="C1324" s="0" t="s">
        <v>128</v>
      </c>
      <c r="D1324" s="0" t="n">
        <v>12</v>
      </c>
      <c r="E1324" s="5" t="n">
        <v>45949.0089814815</v>
      </c>
      <c r="F1324" s="0" t="n">
        <v>1.45</v>
      </c>
      <c r="H1324" s="6" t="s">
        <v>74</v>
      </c>
      <c r="I1324" s="6" t="n">
        <f aca="false">D1324*F1324</f>
        <v>17.4</v>
      </c>
      <c r="J1324" s="6" t="n">
        <f aca="false">HOUR(E1324)</f>
        <v>0</v>
      </c>
      <c r="K1324" s="6" t="n">
        <f aca="false">IF(COUNTIF($A$2:$A1324,A1324)=1,1,0)</f>
        <v>1</v>
      </c>
    </row>
    <row r="1325" customFormat="false" ht="15" hidden="false" customHeight="false" outlineLevel="0" collapsed="false">
      <c r="A1325" s="0" t="s">
        <v>344</v>
      </c>
      <c r="B1325" s="0" t="s">
        <v>91</v>
      </c>
      <c r="D1325" s="0" t="n">
        <v>6</v>
      </c>
      <c r="E1325" s="5" t="n">
        <v>45949.0089814815</v>
      </c>
      <c r="F1325" s="0" t="n">
        <v>7.65</v>
      </c>
      <c r="H1325" s="6" t="s">
        <v>74</v>
      </c>
      <c r="I1325" s="6" t="n">
        <f aca="false">D1325*F1325</f>
        <v>45.9</v>
      </c>
      <c r="J1325" s="6" t="n">
        <f aca="false">HOUR(E1325)</f>
        <v>0</v>
      </c>
      <c r="K1325" s="6" t="n">
        <f aca="false">IF(COUNTIF($A$2:$A1325,A1325)=1,1,0)</f>
        <v>0</v>
      </c>
    </row>
    <row r="1326" customFormat="false" ht="15" hidden="false" customHeight="false" outlineLevel="0" collapsed="false">
      <c r="A1326" s="0" t="s">
        <v>344</v>
      </c>
      <c r="B1326" s="0" t="s">
        <v>104</v>
      </c>
      <c r="C1326" s="0" t="s">
        <v>105</v>
      </c>
      <c r="D1326" s="0" t="n">
        <v>16</v>
      </c>
      <c r="E1326" s="5" t="n">
        <v>45949.0089814815</v>
      </c>
      <c r="F1326" s="0" t="n">
        <v>1.65</v>
      </c>
      <c r="H1326" s="6" t="s">
        <v>74</v>
      </c>
      <c r="I1326" s="6" t="n">
        <f aca="false">D1326*F1326</f>
        <v>26.4</v>
      </c>
      <c r="J1326" s="6" t="n">
        <f aca="false">HOUR(E1326)</f>
        <v>0</v>
      </c>
      <c r="K1326" s="6" t="n">
        <f aca="false">IF(COUNTIF($A$2:$A1326,A1326)=1,1,0)</f>
        <v>0</v>
      </c>
    </row>
    <row r="1327" customFormat="false" ht="15" hidden="false" customHeight="false" outlineLevel="0" collapsed="false">
      <c r="A1327" s="0" t="s">
        <v>344</v>
      </c>
      <c r="B1327" s="0" t="s">
        <v>45</v>
      </c>
      <c r="C1327" s="0" t="s">
        <v>46</v>
      </c>
      <c r="D1327" s="0" t="n">
        <v>18</v>
      </c>
      <c r="E1327" s="5" t="n">
        <v>45949.0089814815</v>
      </c>
      <c r="F1327" s="0" t="n">
        <v>2.1</v>
      </c>
      <c r="H1327" s="6" t="s">
        <v>74</v>
      </c>
      <c r="I1327" s="6" t="n">
        <f aca="false">D1327*F1327</f>
        <v>37.8</v>
      </c>
      <c r="J1327" s="6" t="n">
        <f aca="false">HOUR(E1327)</f>
        <v>0</v>
      </c>
      <c r="K1327" s="6" t="n">
        <f aca="false">IF(COUNTIF($A$2:$A1327,A1327)=1,1,0)</f>
        <v>0</v>
      </c>
    </row>
    <row r="1328" customFormat="false" ht="15" hidden="false" customHeight="false" outlineLevel="0" collapsed="false">
      <c r="A1328" s="0" t="s">
        <v>345</v>
      </c>
      <c r="B1328" s="0" t="s">
        <v>109</v>
      </c>
      <c r="C1328" s="0" t="s">
        <v>110</v>
      </c>
      <c r="D1328" s="0" t="n">
        <v>7</v>
      </c>
      <c r="E1328" s="5" t="n">
        <v>45949.4423032407</v>
      </c>
      <c r="F1328" s="0" t="n">
        <v>0.85</v>
      </c>
      <c r="G1328" s="0" t="n">
        <v>17025</v>
      </c>
      <c r="H1328" s="6" t="s">
        <v>208</v>
      </c>
      <c r="I1328" s="6" t="n">
        <f aca="false">D1328*F1328</f>
        <v>5.95</v>
      </c>
      <c r="J1328" s="6" t="n">
        <f aca="false">HOUR(E1328)</f>
        <v>10</v>
      </c>
      <c r="K1328" s="6" t="n">
        <f aca="false">IF(COUNTIF($A$2:$A1328,A1328)=1,1,0)</f>
        <v>1</v>
      </c>
    </row>
    <row r="1329" customFormat="false" ht="15" hidden="false" customHeight="false" outlineLevel="0" collapsed="false">
      <c r="A1329" s="0" t="s">
        <v>345</v>
      </c>
      <c r="B1329" s="0" t="s">
        <v>134</v>
      </c>
      <c r="C1329" s="0" t="s">
        <v>135</v>
      </c>
      <c r="D1329" s="0" t="n">
        <v>10</v>
      </c>
      <c r="E1329" s="5" t="n">
        <v>45949.4423032407</v>
      </c>
      <c r="F1329" s="0" t="n">
        <v>5.95</v>
      </c>
      <c r="G1329" s="0" t="n">
        <v>17025</v>
      </c>
      <c r="H1329" s="6" t="s">
        <v>208</v>
      </c>
      <c r="I1329" s="6" t="n">
        <f aca="false">D1329*F1329</f>
        <v>59.5</v>
      </c>
      <c r="J1329" s="6" t="n">
        <f aca="false">HOUR(E1329)</f>
        <v>10</v>
      </c>
      <c r="K1329" s="6" t="n">
        <f aca="false">IF(COUNTIF($A$2:$A1329,A1329)=1,1,0)</f>
        <v>0</v>
      </c>
    </row>
    <row r="1330" customFormat="false" ht="15" hidden="false" customHeight="false" outlineLevel="0" collapsed="false">
      <c r="A1330" s="0" t="s">
        <v>345</v>
      </c>
      <c r="B1330" s="0" t="s">
        <v>91</v>
      </c>
      <c r="C1330" s="0" t="s">
        <v>92</v>
      </c>
      <c r="D1330" s="0" t="n">
        <v>3</v>
      </c>
      <c r="E1330" s="5" t="n">
        <v>45949.4423032407</v>
      </c>
      <c r="F1330" s="0" t="n">
        <v>7.65</v>
      </c>
      <c r="G1330" s="0" t="n">
        <v>17025</v>
      </c>
      <c r="H1330" s="6" t="s">
        <v>208</v>
      </c>
      <c r="I1330" s="6" t="n">
        <f aca="false">D1330*F1330</f>
        <v>22.95</v>
      </c>
      <c r="J1330" s="6" t="n">
        <f aca="false">HOUR(E1330)</f>
        <v>10</v>
      </c>
      <c r="K1330" s="6" t="n">
        <f aca="false">IF(COUNTIF($A$2:$A1330,A1330)=1,1,0)</f>
        <v>0</v>
      </c>
    </row>
    <row r="1331" customFormat="false" ht="15" hidden="false" customHeight="false" outlineLevel="0" collapsed="false">
      <c r="A1331" s="0" t="s">
        <v>346</v>
      </c>
      <c r="B1331" s="0" t="s">
        <v>134</v>
      </c>
      <c r="C1331" s="0" t="s">
        <v>135</v>
      </c>
      <c r="D1331" s="0" t="n">
        <v>1</v>
      </c>
      <c r="E1331" s="5" t="n">
        <v>45949.4524189815</v>
      </c>
      <c r="F1331" s="0" t="n">
        <v>5.95</v>
      </c>
      <c r="G1331" s="0" t="n">
        <v>17213</v>
      </c>
      <c r="H1331" s="6" t="s">
        <v>68</v>
      </c>
      <c r="I1331" s="6" t="n">
        <f aca="false">D1331*F1331</f>
        <v>5.95</v>
      </c>
      <c r="J1331" s="6" t="n">
        <f aca="false">HOUR(E1331)</f>
        <v>10</v>
      </c>
      <c r="K1331" s="6" t="n">
        <f aca="false">IF(COUNTIF($A$2:$A1331,A1331)=1,1,0)</f>
        <v>1</v>
      </c>
    </row>
    <row r="1332" customFormat="false" ht="15" hidden="false" customHeight="false" outlineLevel="0" collapsed="false">
      <c r="A1332" s="0" t="s">
        <v>346</v>
      </c>
      <c r="B1332" s="0" t="s">
        <v>91</v>
      </c>
      <c r="C1332" s="0" t="s">
        <v>92</v>
      </c>
      <c r="D1332" s="0" t="n">
        <v>11</v>
      </c>
      <c r="E1332" s="5" t="n">
        <v>45949.4524189815</v>
      </c>
      <c r="F1332" s="0" t="n">
        <v>7.65</v>
      </c>
      <c r="G1332" s="0" t="n">
        <v>17213</v>
      </c>
      <c r="H1332" s="6" t="s">
        <v>68</v>
      </c>
      <c r="I1332" s="6" t="n">
        <f aca="false">D1332*F1332</f>
        <v>84.15</v>
      </c>
      <c r="J1332" s="6" t="n">
        <f aca="false">HOUR(E1332)</f>
        <v>10</v>
      </c>
      <c r="K1332" s="6" t="n">
        <f aca="false">IF(COUNTIF($A$2:$A1332,A1332)=1,1,0)</f>
        <v>0</v>
      </c>
    </row>
    <row r="1333" customFormat="false" ht="15" hidden="false" customHeight="false" outlineLevel="0" collapsed="false">
      <c r="A1333" s="0" t="s">
        <v>346</v>
      </c>
      <c r="B1333" s="0" t="s">
        <v>99</v>
      </c>
      <c r="C1333" s="0" t="s">
        <v>100</v>
      </c>
      <c r="D1333" s="0" t="n">
        <v>7</v>
      </c>
      <c r="E1333" s="5" t="n">
        <v>45949.4524189815</v>
      </c>
      <c r="F1333" s="0" t="n">
        <v>2.08</v>
      </c>
      <c r="G1333" s="0" t="n">
        <v>17213</v>
      </c>
      <c r="H1333" s="6" t="s">
        <v>68</v>
      </c>
      <c r="I1333" s="6" t="n">
        <f aca="false">D1333*F1333</f>
        <v>14.56</v>
      </c>
      <c r="J1333" s="6" t="n">
        <f aca="false">HOUR(E1333)</f>
        <v>10</v>
      </c>
      <c r="K1333" s="6" t="n">
        <f aca="false">IF(COUNTIF($A$2:$A1333,A1333)=1,1,0)</f>
        <v>0</v>
      </c>
    </row>
    <row r="1334" customFormat="false" ht="15" hidden="false" customHeight="false" outlineLevel="0" collapsed="false">
      <c r="A1334" s="0" t="s">
        <v>346</v>
      </c>
      <c r="B1334" s="0" t="s">
        <v>45</v>
      </c>
      <c r="C1334" s="0" t="s">
        <v>46</v>
      </c>
      <c r="D1334" s="0" t="n">
        <v>18</v>
      </c>
      <c r="E1334" s="5" t="n">
        <v>45949.4524189815</v>
      </c>
      <c r="F1334" s="0" t="n">
        <v>2.1</v>
      </c>
      <c r="G1334" s="0" t="n">
        <v>17213</v>
      </c>
      <c r="H1334" s="6" t="s">
        <v>68</v>
      </c>
      <c r="I1334" s="6" t="n">
        <f aca="false">D1334*F1334</f>
        <v>37.8</v>
      </c>
      <c r="J1334" s="6" t="n">
        <f aca="false">HOUR(E1334)</f>
        <v>10</v>
      </c>
      <c r="K1334" s="6" t="n">
        <f aca="false">IF(COUNTIF($A$2:$A1334,A1334)=1,1,0)</f>
        <v>0</v>
      </c>
    </row>
    <row r="1335" customFormat="false" ht="15" hidden="false" customHeight="false" outlineLevel="0" collapsed="false">
      <c r="A1335" s="0" t="s">
        <v>346</v>
      </c>
      <c r="B1335" s="0" t="s">
        <v>104</v>
      </c>
      <c r="C1335" s="0" t="s">
        <v>105</v>
      </c>
      <c r="D1335" s="0" t="n">
        <v>3</v>
      </c>
      <c r="E1335" s="5" t="n">
        <v>45949.4524189815</v>
      </c>
      <c r="F1335" s="0" t="n">
        <v>1.65</v>
      </c>
      <c r="G1335" s="0" t="n">
        <v>17213</v>
      </c>
      <c r="H1335" s="6" t="s">
        <v>68</v>
      </c>
      <c r="I1335" s="6" t="n">
        <f aca="false">D1335*F1335</f>
        <v>4.95</v>
      </c>
      <c r="J1335" s="6" t="n">
        <f aca="false">HOUR(E1335)</f>
        <v>10</v>
      </c>
      <c r="K1335" s="6" t="n">
        <f aca="false">IF(COUNTIF($A$2:$A1335,A1335)=1,1,0)</f>
        <v>0</v>
      </c>
    </row>
    <row r="1336" customFormat="false" ht="15" hidden="false" customHeight="false" outlineLevel="0" collapsed="false">
      <c r="A1336" s="0" t="s">
        <v>346</v>
      </c>
      <c r="B1336" s="0" t="s">
        <v>69</v>
      </c>
      <c r="C1336" s="0" t="s">
        <v>70</v>
      </c>
      <c r="D1336" s="0" t="n">
        <v>44</v>
      </c>
      <c r="E1336" s="5" t="n">
        <v>45949.4524189815</v>
      </c>
      <c r="F1336" s="0" t="n">
        <v>2.08</v>
      </c>
      <c r="G1336" s="0" t="n">
        <v>17213</v>
      </c>
      <c r="H1336" s="6" t="s">
        <v>68</v>
      </c>
      <c r="I1336" s="6" t="n">
        <f aca="false">D1336*F1336</f>
        <v>91.52</v>
      </c>
      <c r="J1336" s="6" t="n">
        <f aca="false">HOUR(E1336)</f>
        <v>10</v>
      </c>
      <c r="K1336" s="6" t="n">
        <f aca="false">IF(COUNTIF($A$2:$A1336,A1336)=1,1,0)</f>
        <v>0</v>
      </c>
    </row>
    <row r="1337" customFormat="false" ht="15" hidden="false" customHeight="false" outlineLevel="0" collapsed="false">
      <c r="A1337" s="0" t="s">
        <v>346</v>
      </c>
      <c r="B1337" s="0" t="s">
        <v>145</v>
      </c>
      <c r="C1337" s="0" t="s">
        <v>146</v>
      </c>
      <c r="D1337" s="0" t="n">
        <v>7</v>
      </c>
      <c r="E1337" s="5" t="n">
        <v>45949.4524189815</v>
      </c>
      <c r="F1337" s="0" t="n">
        <v>1.85</v>
      </c>
      <c r="G1337" s="0" t="n">
        <v>17213</v>
      </c>
      <c r="H1337" s="6" t="s">
        <v>68</v>
      </c>
      <c r="I1337" s="6" t="n">
        <f aca="false">D1337*F1337</f>
        <v>12.95</v>
      </c>
      <c r="J1337" s="6" t="n">
        <f aca="false">HOUR(E1337)</f>
        <v>10</v>
      </c>
      <c r="K1337" s="6" t="n">
        <f aca="false">IF(COUNTIF($A$2:$A1337,A1337)=1,1,0)</f>
        <v>0</v>
      </c>
    </row>
    <row r="1338" customFormat="false" ht="15" hidden="false" customHeight="false" outlineLevel="0" collapsed="false">
      <c r="A1338" s="0" t="s">
        <v>346</v>
      </c>
      <c r="B1338" s="0" t="s">
        <v>53</v>
      </c>
      <c r="C1338" s="0" t="s">
        <v>54</v>
      </c>
      <c r="D1338" s="0" t="n">
        <v>3</v>
      </c>
      <c r="E1338" s="5" t="n">
        <v>45949.4524189815</v>
      </c>
      <c r="F1338" s="0" t="n">
        <v>2.95</v>
      </c>
      <c r="G1338" s="0" t="n">
        <v>17213</v>
      </c>
      <c r="H1338" s="6" t="s">
        <v>68</v>
      </c>
      <c r="I1338" s="6" t="n">
        <f aca="false">D1338*F1338</f>
        <v>8.85</v>
      </c>
      <c r="J1338" s="6" t="n">
        <f aca="false">HOUR(E1338)</f>
        <v>10</v>
      </c>
      <c r="K1338" s="6" t="n">
        <f aca="false">IF(COUNTIF($A$2:$A1338,A1338)=1,1,0)</f>
        <v>0</v>
      </c>
    </row>
    <row r="1339" customFormat="false" ht="15" hidden="false" customHeight="false" outlineLevel="0" collapsed="false">
      <c r="A1339" s="0" t="s">
        <v>346</v>
      </c>
      <c r="B1339" s="0" t="s">
        <v>55</v>
      </c>
      <c r="C1339" s="0" t="s">
        <v>56</v>
      </c>
      <c r="D1339" s="0" t="n">
        <v>19</v>
      </c>
      <c r="E1339" s="5" t="n">
        <v>45949.4524189815</v>
      </c>
      <c r="F1339" s="0" t="n">
        <v>1.65</v>
      </c>
      <c r="G1339" s="0" t="n">
        <v>17213</v>
      </c>
      <c r="H1339" s="6" t="s">
        <v>68</v>
      </c>
      <c r="I1339" s="6" t="n">
        <f aca="false">D1339*F1339</f>
        <v>31.35</v>
      </c>
      <c r="J1339" s="6" t="n">
        <f aca="false">HOUR(E1339)</f>
        <v>10</v>
      </c>
      <c r="K1339" s="6" t="n">
        <f aca="false">IF(COUNTIF($A$2:$A1339,A1339)=1,1,0)</f>
        <v>0</v>
      </c>
    </row>
    <row r="1340" customFormat="false" ht="15" hidden="false" customHeight="false" outlineLevel="0" collapsed="false">
      <c r="A1340" s="0" t="s">
        <v>347</v>
      </c>
      <c r="B1340" s="0" t="s">
        <v>59</v>
      </c>
      <c r="C1340" s="0" t="s">
        <v>60</v>
      </c>
      <c r="D1340" s="0" t="n">
        <v>4</v>
      </c>
      <c r="E1340" s="5" t="n">
        <v>45949.4920949074</v>
      </c>
      <c r="F1340" s="0" t="n">
        <v>0.42</v>
      </c>
      <c r="G1340" s="0" t="n">
        <v>17062</v>
      </c>
      <c r="H1340" s="6" t="s">
        <v>74</v>
      </c>
      <c r="I1340" s="6" t="n">
        <f aca="false">D1340*F1340</f>
        <v>1.68</v>
      </c>
      <c r="J1340" s="6" t="n">
        <f aca="false">HOUR(E1340)</f>
        <v>11</v>
      </c>
      <c r="K1340" s="6" t="n">
        <f aca="false">IF(COUNTIF($A$2:$A1340,A1340)=1,1,0)</f>
        <v>1</v>
      </c>
    </row>
    <row r="1341" customFormat="false" ht="15" hidden="false" customHeight="false" outlineLevel="0" collapsed="false">
      <c r="A1341" s="0" t="s">
        <v>347</v>
      </c>
      <c r="B1341" s="0" t="s">
        <v>140</v>
      </c>
      <c r="C1341" s="0" t="s">
        <v>141</v>
      </c>
      <c r="D1341" s="0" t="n">
        <v>1</v>
      </c>
      <c r="E1341" s="5" t="n">
        <v>45949.4920949074</v>
      </c>
      <c r="F1341" s="0" t="n">
        <v>2.08</v>
      </c>
      <c r="G1341" s="0" t="n">
        <v>17062</v>
      </c>
      <c r="H1341" s="6" t="s">
        <v>74</v>
      </c>
      <c r="I1341" s="6" t="n">
        <f aca="false">D1341*F1341</f>
        <v>2.08</v>
      </c>
      <c r="J1341" s="6" t="n">
        <f aca="false">HOUR(E1341)</f>
        <v>11</v>
      </c>
      <c r="K1341" s="6" t="n">
        <f aca="false">IF(COUNTIF($A$2:$A1341,A1341)=1,1,0)</f>
        <v>0</v>
      </c>
    </row>
    <row r="1342" customFormat="false" ht="15" hidden="false" customHeight="false" outlineLevel="0" collapsed="false">
      <c r="A1342" s="0" t="s">
        <v>347</v>
      </c>
      <c r="B1342" s="0" t="s">
        <v>65</v>
      </c>
      <c r="C1342" s="0" t="s">
        <v>66</v>
      </c>
      <c r="D1342" s="0" t="n">
        <v>16</v>
      </c>
      <c r="E1342" s="5" t="n">
        <v>45949.4920949074</v>
      </c>
      <c r="F1342" s="0" t="n">
        <v>1.65</v>
      </c>
      <c r="G1342" s="0" t="n">
        <v>17062</v>
      </c>
      <c r="H1342" s="6" t="s">
        <v>74</v>
      </c>
      <c r="I1342" s="6" t="n">
        <f aca="false">D1342*F1342</f>
        <v>26.4</v>
      </c>
      <c r="J1342" s="6" t="n">
        <f aca="false">HOUR(E1342)</f>
        <v>11</v>
      </c>
      <c r="K1342" s="6" t="n">
        <f aca="false">IF(COUNTIF($A$2:$A1342,A1342)=1,1,0)</f>
        <v>0</v>
      </c>
    </row>
    <row r="1343" customFormat="false" ht="15" hidden="false" customHeight="false" outlineLevel="0" collapsed="false">
      <c r="A1343" s="0" t="s">
        <v>347</v>
      </c>
      <c r="B1343" s="0" t="s">
        <v>109</v>
      </c>
      <c r="C1343" s="0" t="s">
        <v>110</v>
      </c>
      <c r="D1343" s="0" t="n">
        <v>23</v>
      </c>
      <c r="E1343" s="5" t="n">
        <v>45949.4920949074</v>
      </c>
      <c r="F1343" s="0" t="n">
        <v>0.85</v>
      </c>
      <c r="G1343" s="0" t="n">
        <v>17062</v>
      </c>
      <c r="H1343" s="6" t="s">
        <v>74</v>
      </c>
      <c r="I1343" s="6" t="n">
        <f aca="false">D1343*F1343</f>
        <v>19.55</v>
      </c>
      <c r="J1343" s="6" t="n">
        <f aca="false">HOUR(E1343)</f>
        <v>11</v>
      </c>
      <c r="K1343" s="6" t="n">
        <f aca="false">IF(COUNTIF($A$2:$A1343,A1343)=1,1,0)</f>
        <v>0</v>
      </c>
    </row>
    <row r="1344" customFormat="false" ht="15" hidden="false" customHeight="false" outlineLevel="0" collapsed="false">
      <c r="A1344" s="0" t="s">
        <v>347</v>
      </c>
      <c r="B1344" s="0" t="s">
        <v>83</v>
      </c>
      <c r="C1344" s="0" t="s">
        <v>84</v>
      </c>
      <c r="D1344" s="0" t="n">
        <v>24</v>
      </c>
      <c r="E1344" s="5" t="n">
        <v>45949.4920949074</v>
      </c>
      <c r="F1344" s="0" t="n">
        <v>2.95</v>
      </c>
      <c r="G1344" s="0" t="n">
        <v>17062</v>
      </c>
      <c r="H1344" s="6" t="s">
        <v>74</v>
      </c>
      <c r="I1344" s="6" t="n">
        <f aca="false">D1344*F1344</f>
        <v>70.8</v>
      </c>
      <c r="J1344" s="6" t="n">
        <f aca="false">HOUR(E1344)</f>
        <v>11</v>
      </c>
      <c r="K1344" s="6" t="n">
        <f aca="false">IF(COUNTIF($A$2:$A1344,A1344)=1,1,0)</f>
        <v>0</v>
      </c>
    </row>
    <row r="1345" customFormat="false" ht="15" hidden="false" customHeight="false" outlineLevel="0" collapsed="false">
      <c r="A1345" s="0" t="s">
        <v>347</v>
      </c>
      <c r="B1345" s="0" t="s">
        <v>125</v>
      </c>
      <c r="C1345" s="0" t="s">
        <v>126</v>
      </c>
      <c r="D1345" s="0" t="n">
        <v>8</v>
      </c>
      <c r="E1345" s="5" t="n">
        <v>45949.4920949074</v>
      </c>
      <c r="F1345" s="0" t="n">
        <v>1.25</v>
      </c>
      <c r="G1345" s="0" t="n">
        <v>17062</v>
      </c>
      <c r="H1345" s="6" t="s">
        <v>74</v>
      </c>
      <c r="I1345" s="6" t="n">
        <f aca="false">D1345*F1345</f>
        <v>10</v>
      </c>
      <c r="J1345" s="6" t="n">
        <f aca="false">HOUR(E1345)</f>
        <v>11</v>
      </c>
      <c r="K1345" s="6" t="n">
        <f aca="false">IF(COUNTIF($A$2:$A1345,A1345)=1,1,0)</f>
        <v>0</v>
      </c>
    </row>
    <row r="1346" customFormat="false" ht="15" hidden="false" customHeight="false" outlineLevel="0" collapsed="false">
      <c r="A1346" s="0" t="s">
        <v>347</v>
      </c>
      <c r="B1346" s="0" t="s">
        <v>104</v>
      </c>
      <c r="C1346" s="0" t="s">
        <v>105</v>
      </c>
      <c r="D1346" s="0" t="n">
        <v>12</v>
      </c>
      <c r="E1346" s="5" t="n">
        <v>45949.4920949074</v>
      </c>
      <c r="F1346" s="0" t="n">
        <v>1.65</v>
      </c>
      <c r="G1346" s="0" t="n">
        <v>17062</v>
      </c>
      <c r="H1346" s="6" t="s">
        <v>74</v>
      </c>
      <c r="I1346" s="6" t="n">
        <f aca="false">D1346*F1346</f>
        <v>19.8</v>
      </c>
      <c r="J1346" s="6" t="n">
        <f aca="false">HOUR(E1346)</f>
        <v>11</v>
      </c>
      <c r="K1346" s="6" t="n">
        <f aca="false">IF(COUNTIF($A$2:$A1346,A1346)=1,1,0)</f>
        <v>0</v>
      </c>
    </row>
    <row r="1347" customFormat="false" ht="15" hidden="false" customHeight="false" outlineLevel="0" collapsed="false">
      <c r="A1347" s="0" t="s">
        <v>347</v>
      </c>
      <c r="B1347" s="0" t="s">
        <v>53</v>
      </c>
      <c r="C1347" s="0" t="s">
        <v>54</v>
      </c>
      <c r="D1347" s="0" t="n">
        <v>10</v>
      </c>
      <c r="E1347" s="5" t="n">
        <v>45949.4920949074</v>
      </c>
      <c r="F1347" s="0" t="n">
        <v>2.95</v>
      </c>
      <c r="G1347" s="0" t="n">
        <v>17062</v>
      </c>
      <c r="H1347" s="6" t="s">
        <v>74</v>
      </c>
      <c r="I1347" s="6" t="n">
        <f aca="false">D1347*F1347</f>
        <v>29.5</v>
      </c>
      <c r="J1347" s="6" t="n">
        <f aca="false">HOUR(E1347)</f>
        <v>11</v>
      </c>
      <c r="K1347" s="6" t="n">
        <f aca="false">IF(COUNTIF($A$2:$A1347,A1347)=1,1,0)</f>
        <v>0</v>
      </c>
    </row>
    <row r="1348" customFormat="false" ht="15" hidden="false" customHeight="false" outlineLevel="0" collapsed="false">
      <c r="A1348" s="0" t="s">
        <v>347</v>
      </c>
      <c r="B1348" s="0" t="s">
        <v>102</v>
      </c>
      <c r="C1348" s="0" t="s">
        <v>103</v>
      </c>
      <c r="D1348" s="0" t="n">
        <v>30</v>
      </c>
      <c r="E1348" s="5" t="n">
        <v>45949.4920949074</v>
      </c>
      <c r="F1348" s="0" t="n">
        <v>8.5</v>
      </c>
      <c r="G1348" s="0" t="n">
        <v>17062</v>
      </c>
      <c r="H1348" s="6" t="s">
        <v>74</v>
      </c>
      <c r="I1348" s="6" t="n">
        <f aca="false">D1348*F1348</f>
        <v>255</v>
      </c>
      <c r="J1348" s="6" t="n">
        <f aca="false">HOUR(E1348)</f>
        <v>11</v>
      </c>
      <c r="K1348" s="6" t="n">
        <f aca="false">IF(COUNTIF($A$2:$A1348,A1348)=1,1,0)</f>
        <v>0</v>
      </c>
    </row>
    <row r="1349" customFormat="false" ht="15" hidden="false" customHeight="false" outlineLevel="0" collapsed="false">
      <c r="A1349" s="0" t="s">
        <v>348</v>
      </c>
      <c r="B1349" s="0" t="s">
        <v>127</v>
      </c>
      <c r="C1349" s="0" t="s">
        <v>128</v>
      </c>
      <c r="D1349" s="0" t="n">
        <v>6</v>
      </c>
      <c r="E1349" s="5" t="n">
        <v>45949.5528587963</v>
      </c>
      <c r="F1349" s="0" t="n">
        <v>1.45</v>
      </c>
      <c r="G1349" s="0" t="n">
        <v>17143</v>
      </c>
      <c r="H1349" s="6" t="s">
        <v>74</v>
      </c>
      <c r="I1349" s="6" t="n">
        <f aca="false">D1349*F1349</f>
        <v>8.7</v>
      </c>
      <c r="J1349" s="6" t="n">
        <f aca="false">HOUR(E1349)</f>
        <v>13</v>
      </c>
      <c r="K1349" s="6" t="n">
        <f aca="false">IF(COUNTIF($A$2:$A1349,A1349)=1,1,0)</f>
        <v>1</v>
      </c>
    </row>
    <row r="1350" customFormat="false" ht="15" hidden="false" customHeight="false" outlineLevel="0" collapsed="false">
      <c r="A1350" s="0" t="s">
        <v>348</v>
      </c>
      <c r="B1350" s="0" t="s">
        <v>140</v>
      </c>
      <c r="C1350" s="0" t="s">
        <v>141</v>
      </c>
      <c r="D1350" s="0" t="n">
        <v>2</v>
      </c>
      <c r="E1350" s="5" t="n">
        <v>45949.5528587963</v>
      </c>
      <c r="F1350" s="0" t="n">
        <v>2.08</v>
      </c>
      <c r="G1350" s="0" t="n">
        <v>17143</v>
      </c>
      <c r="H1350" s="6" t="s">
        <v>74</v>
      </c>
      <c r="I1350" s="6" t="n">
        <f aca="false">D1350*F1350</f>
        <v>4.16</v>
      </c>
      <c r="J1350" s="6" t="n">
        <f aca="false">HOUR(E1350)</f>
        <v>13</v>
      </c>
      <c r="K1350" s="6" t="n">
        <f aca="false">IF(COUNTIF($A$2:$A1350,A1350)=1,1,0)</f>
        <v>0</v>
      </c>
    </row>
    <row r="1351" customFormat="false" ht="15" hidden="false" customHeight="false" outlineLevel="0" collapsed="false">
      <c r="A1351" s="0" t="s">
        <v>348</v>
      </c>
      <c r="B1351" s="0" t="s">
        <v>53</v>
      </c>
      <c r="C1351" s="0" t="s">
        <v>54</v>
      </c>
      <c r="D1351" s="0" t="n">
        <v>2</v>
      </c>
      <c r="E1351" s="5" t="n">
        <v>45949.5528587963</v>
      </c>
      <c r="F1351" s="0" t="n">
        <v>2.95</v>
      </c>
      <c r="G1351" s="0" t="n">
        <v>17143</v>
      </c>
      <c r="H1351" s="6" t="s">
        <v>74</v>
      </c>
      <c r="I1351" s="6" t="n">
        <f aca="false">D1351*F1351</f>
        <v>5.9</v>
      </c>
      <c r="J1351" s="6" t="n">
        <f aca="false">HOUR(E1351)</f>
        <v>13</v>
      </c>
      <c r="K1351" s="6" t="n">
        <f aca="false">IF(COUNTIF($A$2:$A1351,A1351)=1,1,0)</f>
        <v>0</v>
      </c>
    </row>
    <row r="1352" customFormat="false" ht="15" hidden="false" customHeight="false" outlineLevel="0" collapsed="false">
      <c r="A1352" s="0" t="s">
        <v>348</v>
      </c>
      <c r="B1352" s="0" t="s">
        <v>102</v>
      </c>
      <c r="C1352" s="0" t="s">
        <v>103</v>
      </c>
      <c r="D1352" s="0" t="n">
        <v>46</v>
      </c>
      <c r="E1352" s="5" t="n">
        <v>45949.5528587963</v>
      </c>
      <c r="F1352" s="0" t="n">
        <v>8.5</v>
      </c>
      <c r="G1352" s="0" t="n">
        <v>17143</v>
      </c>
      <c r="H1352" s="6" t="s">
        <v>74</v>
      </c>
      <c r="I1352" s="6" t="n">
        <f aca="false">D1352*F1352</f>
        <v>391</v>
      </c>
      <c r="J1352" s="6" t="n">
        <f aca="false">HOUR(E1352)</f>
        <v>13</v>
      </c>
      <c r="K1352" s="6" t="n">
        <f aca="false">IF(COUNTIF($A$2:$A1352,A1352)=1,1,0)</f>
        <v>0</v>
      </c>
    </row>
    <row r="1353" customFormat="false" ht="15" hidden="false" customHeight="false" outlineLevel="0" collapsed="false">
      <c r="A1353" s="0" t="s">
        <v>348</v>
      </c>
      <c r="B1353" s="0" t="s">
        <v>55</v>
      </c>
      <c r="C1353" s="0" t="s">
        <v>56</v>
      </c>
      <c r="D1353" s="0" t="n">
        <v>5</v>
      </c>
      <c r="E1353" s="5" t="n">
        <v>45949.5528587963</v>
      </c>
      <c r="F1353" s="0" t="n">
        <v>1.65</v>
      </c>
      <c r="G1353" s="0" t="n">
        <v>17143</v>
      </c>
      <c r="H1353" s="6" t="s">
        <v>74</v>
      </c>
      <c r="I1353" s="6" t="n">
        <f aca="false">D1353*F1353</f>
        <v>8.25</v>
      </c>
      <c r="J1353" s="6" t="n">
        <f aca="false">HOUR(E1353)</f>
        <v>13</v>
      </c>
      <c r="K1353" s="6" t="n">
        <f aca="false">IF(COUNTIF($A$2:$A1353,A1353)=1,1,0)</f>
        <v>0</v>
      </c>
    </row>
    <row r="1354" customFormat="false" ht="15" hidden="false" customHeight="false" outlineLevel="0" collapsed="false">
      <c r="A1354" s="0" t="s">
        <v>348</v>
      </c>
      <c r="B1354" s="0" t="s">
        <v>61</v>
      </c>
      <c r="C1354" s="0" t="s">
        <v>62</v>
      </c>
      <c r="D1354" s="0" t="n">
        <v>16</v>
      </c>
      <c r="E1354" s="5" t="n">
        <v>45949.5528587963</v>
      </c>
      <c r="F1354" s="0" t="n">
        <v>1.65</v>
      </c>
      <c r="G1354" s="0" t="n">
        <v>17143</v>
      </c>
      <c r="H1354" s="6" t="s">
        <v>74</v>
      </c>
      <c r="I1354" s="6" t="n">
        <f aca="false">D1354*F1354</f>
        <v>26.4</v>
      </c>
      <c r="J1354" s="6" t="n">
        <f aca="false">HOUR(E1354)</f>
        <v>13</v>
      </c>
      <c r="K1354" s="6" t="n">
        <f aca="false">IF(COUNTIF($A$2:$A1354,A1354)=1,1,0)</f>
        <v>0</v>
      </c>
    </row>
    <row r="1355" customFormat="false" ht="15" hidden="false" customHeight="false" outlineLevel="0" collapsed="false">
      <c r="A1355" s="0" t="s">
        <v>349</v>
      </c>
      <c r="B1355" s="0" t="s">
        <v>102</v>
      </c>
      <c r="C1355" s="0" t="s">
        <v>103</v>
      </c>
      <c r="D1355" s="0" t="n">
        <v>19</v>
      </c>
      <c r="E1355" s="5" t="n">
        <v>45949.5775231482</v>
      </c>
      <c r="F1355" s="0" t="n">
        <v>8.5</v>
      </c>
      <c r="G1355" s="0" t="n">
        <v>17080</v>
      </c>
      <c r="H1355" s="6" t="s">
        <v>98</v>
      </c>
      <c r="I1355" s="6" t="n">
        <f aca="false">D1355*F1355</f>
        <v>161.5</v>
      </c>
      <c r="J1355" s="6" t="n">
        <f aca="false">HOUR(E1355)</f>
        <v>13</v>
      </c>
      <c r="K1355" s="6" t="n">
        <f aca="false">IF(COUNTIF($A$2:$A1355,A1355)=1,1,0)</f>
        <v>1</v>
      </c>
    </row>
    <row r="1356" customFormat="false" ht="15" hidden="false" customHeight="false" outlineLevel="0" collapsed="false">
      <c r="A1356" s="0" t="s">
        <v>349</v>
      </c>
      <c r="B1356" s="0" t="s">
        <v>61</v>
      </c>
      <c r="C1356" s="0" t="s">
        <v>62</v>
      </c>
      <c r="D1356" s="0" t="n">
        <v>19</v>
      </c>
      <c r="E1356" s="5" t="n">
        <v>45949.5775231482</v>
      </c>
      <c r="F1356" s="0" t="n">
        <v>1.65</v>
      </c>
      <c r="G1356" s="0" t="n">
        <v>17080</v>
      </c>
      <c r="H1356" s="6" t="s">
        <v>98</v>
      </c>
      <c r="I1356" s="6" t="n">
        <f aca="false">D1356*F1356</f>
        <v>31.35</v>
      </c>
      <c r="J1356" s="6" t="n">
        <f aca="false">HOUR(E1356)</f>
        <v>13</v>
      </c>
      <c r="K1356" s="6" t="n">
        <f aca="false">IF(COUNTIF($A$2:$A1356,A1356)=1,1,0)</f>
        <v>0</v>
      </c>
    </row>
    <row r="1357" customFormat="false" ht="15" hidden="false" customHeight="false" outlineLevel="0" collapsed="false">
      <c r="A1357" s="0" t="s">
        <v>349</v>
      </c>
      <c r="B1357" s="0" t="s">
        <v>63</v>
      </c>
      <c r="C1357" s="0" t="s">
        <v>64</v>
      </c>
      <c r="D1357" s="0" t="n">
        <v>22</v>
      </c>
      <c r="E1357" s="5" t="n">
        <v>45949.5775231482</v>
      </c>
      <c r="F1357" s="0" t="n">
        <v>1.85</v>
      </c>
      <c r="G1357" s="0" t="n">
        <v>17080</v>
      </c>
      <c r="H1357" s="6" t="s">
        <v>98</v>
      </c>
      <c r="I1357" s="6" t="n">
        <f aca="false">D1357*F1357</f>
        <v>40.7</v>
      </c>
      <c r="J1357" s="6" t="n">
        <f aca="false">HOUR(E1357)</f>
        <v>13</v>
      </c>
      <c r="K1357" s="6" t="n">
        <f aca="false">IF(COUNTIF($A$2:$A1357,A1357)=1,1,0)</f>
        <v>0</v>
      </c>
    </row>
    <row r="1358" customFormat="false" ht="15" hidden="false" customHeight="false" outlineLevel="0" collapsed="false">
      <c r="A1358" s="0" t="s">
        <v>350</v>
      </c>
      <c r="B1358" s="0" t="s">
        <v>43</v>
      </c>
      <c r="C1358" s="0" t="s">
        <v>44</v>
      </c>
      <c r="D1358" s="0" t="n">
        <v>14</v>
      </c>
      <c r="E1358" s="5" t="n">
        <v>45949.6575925926</v>
      </c>
      <c r="F1358" s="0" t="n">
        <v>4.25</v>
      </c>
      <c r="G1358" s="0" t="n">
        <v>17069</v>
      </c>
      <c r="H1358" s="6" t="s">
        <v>113</v>
      </c>
      <c r="I1358" s="6" t="n">
        <f aca="false">D1358*F1358</f>
        <v>59.5</v>
      </c>
      <c r="J1358" s="6" t="n">
        <f aca="false">HOUR(E1358)</f>
        <v>15</v>
      </c>
      <c r="K1358" s="6" t="n">
        <f aca="false">IF(COUNTIF($A$2:$A1358,A1358)=1,1,0)</f>
        <v>1</v>
      </c>
    </row>
    <row r="1359" customFormat="false" ht="15" hidden="false" customHeight="false" outlineLevel="0" collapsed="false">
      <c r="A1359" s="0" t="s">
        <v>350</v>
      </c>
      <c r="B1359" s="0" t="s">
        <v>145</v>
      </c>
      <c r="C1359" s="0" t="s">
        <v>146</v>
      </c>
      <c r="D1359" s="0" t="n">
        <v>23</v>
      </c>
      <c r="E1359" s="5" t="n">
        <v>45949.6575925926</v>
      </c>
      <c r="F1359" s="0" t="n">
        <v>1.85</v>
      </c>
      <c r="G1359" s="0" t="n">
        <v>17069</v>
      </c>
      <c r="H1359" s="6" t="s">
        <v>113</v>
      </c>
      <c r="I1359" s="6" t="n">
        <f aca="false">D1359*F1359</f>
        <v>42.55</v>
      </c>
      <c r="J1359" s="6" t="n">
        <f aca="false">HOUR(E1359)</f>
        <v>15</v>
      </c>
      <c r="K1359" s="6" t="n">
        <f aca="false">IF(COUNTIF($A$2:$A1359,A1359)=1,1,0)</f>
        <v>0</v>
      </c>
    </row>
    <row r="1360" customFormat="false" ht="15" hidden="false" customHeight="false" outlineLevel="0" collapsed="false">
      <c r="A1360" s="0" t="s">
        <v>351</v>
      </c>
      <c r="B1360" s="0" t="s">
        <v>93</v>
      </c>
      <c r="C1360" s="0" t="s">
        <v>94</v>
      </c>
      <c r="D1360" s="0" t="n">
        <v>18</v>
      </c>
      <c r="E1360" s="5" t="n">
        <v>45949.7090509259</v>
      </c>
      <c r="F1360" s="0" t="n">
        <v>1.69</v>
      </c>
      <c r="G1360" s="0" t="n">
        <v>17037</v>
      </c>
      <c r="H1360" s="6" t="s">
        <v>113</v>
      </c>
      <c r="I1360" s="6" t="n">
        <f aca="false">D1360*F1360</f>
        <v>30.42</v>
      </c>
      <c r="J1360" s="6" t="n">
        <f aca="false">HOUR(E1360)</f>
        <v>17</v>
      </c>
      <c r="K1360" s="6" t="n">
        <f aca="false">IF(COUNTIF($A$2:$A1360,A1360)=1,1,0)</f>
        <v>1</v>
      </c>
    </row>
    <row r="1361" customFormat="false" ht="15" hidden="false" customHeight="false" outlineLevel="0" collapsed="false">
      <c r="A1361" s="0" t="s">
        <v>351</v>
      </c>
      <c r="B1361" s="0" t="s">
        <v>109</v>
      </c>
      <c r="C1361" s="0" t="s">
        <v>110</v>
      </c>
      <c r="D1361" s="0" t="n">
        <v>18</v>
      </c>
      <c r="E1361" s="5" t="n">
        <v>45949.7090509259</v>
      </c>
      <c r="F1361" s="0" t="n">
        <v>0.85</v>
      </c>
      <c r="G1361" s="0" t="n">
        <v>17037</v>
      </c>
      <c r="H1361" s="6" t="s">
        <v>113</v>
      </c>
      <c r="I1361" s="6" t="n">
        <f aca="false">D1361*F1361</f>
        <v>15.3</v>
      </c>
      <c r="J1361" s="6" t="n">
        <f aca="false">HOUR(E1361)</f>
        <v>17</v>
      </c>
      <c r="K1361" s="6" t="n">
        <f aca="false">IF(COUNTIF($A$2:$A1361,A1361)=1,1,0)</f>
        <v>0</v>
      </c>
    </row>
    <row r="1362" customFormat="false" ht="15" hidden="false" customHeight="false" outlineLevel="0" collapsed="false">
      <c r="A1362" s="0" t="s">
        <v>351</v>
      </c>
      <c r="B1362" s="0" t="s">
        <v>69</v>
      </c>
      <c r="C1362" s="0" t="s">
        <v>70</v>
      </c>
      <c r="D1362" s="0" t="n">
        <v>39</v>
      </c>
      <c r="E1362" s="5" t="n">
        <v>45949.7090509259</v>
      </c>
      <c r="F1362" s="0" t="n">
        <v>2.08</v>
      </c>
      <c r="G1362" s="0" t="n">
        <v>17037</v>
      </c>
      <c r="H1362" s="6" t="s">
        <v>113</v>
      </c>
      <c r="I1362" s="6" t="n">
        <f aca="false">D1362*F1362</f>
        <v>81.12</v>
      </c>
      <c r="J1362" s="6" t="n">
        <f aca="false">HOUR(E1362)</f>
        <v>17</v>
      </c>
      <c r="K1362" s="6" t="n">
        <f aca="false">IF(COUNTIF($A$2:$A1362,A1362)=1,1,0)</f>
        <v>0</v>
      </c>
    </row>
    <row r="1363" customFormat="false" ht="15" hidden="false" customHeight="false" outlineLevel="0" collapsed="false">
      <c r="A1363" s="0" t="s">
        <v>351</v>
      </c>
      <c r="B1363" s="0" t="s">
        <v>104</v>
      </c>
      <c r="C1363" s="0" t="s">
        <v>105</v>
      </c>
      <c r="D1363" s="0" t="n">
        <v>15</v>
      </c>
      <c r="E1363" s="5" t="n">
        <v>45949.7090509259</v>
      </c>
      <c r="F1363" s="0" t="n">
        <v>1.65</v>
      </c>
      <c r="G1363" s="0" t="n">
        <v>17037</v>
      </c>
      <c r="H1363" s="6" t="s">
        <v>113</v>
      </c>
      <c r="I1363" s="6" t="n">
        <f aca="false">D1363*F1363</f>
        <v>24.75</v>
      </c>
      <c r="J1363" s="6" t="n">
        <f aca="false">HOUR(E1363)</f>
        <v>17</v>
      </c>
      <c r="K1363" s="6" t="n">
        <f aca="false">IF(COUNTIF($A$2:$A1363,A1363)=1,1,0)</f>
        <v>0</v>
      </c>
    </row>
    <row r="1364" customFormat="false" ht="15" hidden="false" customHeight="false" outlineLevel="0" collapsed="false">
      <c r="A1364" s="0" t="s">
        <v>351</v>
      </c>
      <c r="B1364" s="0" t="s">
        <v>118</v>
      </c>
      <c r="C1364" s="0" t="s">
        <v>119</v>
      </c>
      <c r="D1364" s="0" t="n">
        <v>35</v>
      </c>
      <c r="E1364" s="5" t="n">
        <v>45949.7090509259</v>
      </c>
      <c r="F1364" s="0" t="n">
        <v>4.95</v>
      </c>
      <c r="G1364" s="0" t="n">
        <v>17037</v>
      </c>
      <c r="H1364" s="6" t="s">
        <v>113</v>
      </c>
      <c r="I1364" s="6" t="n">
        <f aca="false">D1364*F1364</f>
        <v>173.25</v>
      </c>
      <c r="J1364" s="6" t="n">
        <f aca="false">HOUR(E1364)</f>
        <v>17</v>
      </c>
      <c r="K1364" s="6" t="n">
        <f aca="false">IF(COUNTIF($A$2:$A1364,A1364)=1,1,0)</f>
        <v>0</v>
      </c>
    </row>
    <row r="1365" customFormat="false" ht="15" hidden="false" customHeight="false" outlineLevel="0" collapsed="false">
      <c r="A1365" s="0" t="s">
        <v>351</v>
      </c>
      <c r="B1365" s="0" t="s">
        <v>107</v>
      </c>
      <c r="C1365" s="0" t="s">
        <v>108</v>
      </c>
      <c r="D1365" s="0" t="n">
        <v>8</v>
      </c>
      <c r="E1365" s="5" t="n">
        <v>45949.7090509259</v>
      </c>
      <c r="F1365" s="0" t="n">
        <v>3.75</v>
      </c>
      <c r="G1365" s="0" t="n">
        <v>17037</v>
      </c>
      <c r="H1365" s="6" t="s">
        <v>113</v>
      </c>
      <c r="I1365" s="6" t="n">
        <f aca="false">D1365*F1365</f>
        <v>30</v>
      </c>
      <c r="J1365" s="6" t="n">
        <f aca="false">HOUR(E1365)</f>
        <v>17</v>
      </c>
      <c r="K1365" s="6" t="n">
        <f aca="false">IF(COUNTIF($A$2:$A1365,A1365)=1,1,0)</f>
        <v>0</v>
      </c>
    </row>
    <row r="1366" customFormat="false" ht="15" hidden="false" customHeight="false" outlineLevel="0" collapsed="false">
      <c r="A1366" s="0" t="s">
        <v>351</v>
      </c>
      <c r="B1366" s="0" t="s">
        <v>125</v>
      </c>
      <c r="C1366" s="0" t="s">
        <v>126</v>
      </c>
      <c r="D1366" s="0" t="n">
        <v>4</v>
      </c>
      <c r="E1366" s="5" t="n">
        <v>45949.7090509259</v>
      </c>
      <c r="F1366" s="0" t="n">
        <v>1.25</v>
      </c>
      <c r="G1366" s="0" t="n">
        <v>17037</v>
      </c>
      <c r="H1366" s="6" t="s">
        <v>113</v>
      </c>
      <c r="I1366" s="6" t="n">
        <f aca="false">D1366*F1366</f>
        <v>5</v>
      </c>
      <c r="J1366" s="6" t="n">
        <f aca="false">HOUR(E1366)</f>
        <v>17</v>
      </c>
      <c r="K1366" s="6" t="n">
        <f aca="false">IF(COUNTIF($A$2:$A1366,A1366)=1,1,0)</f>
        <v>0</v>
      </c>
    </row>
    <row r="1367" customFormat="false" ht="15" hidden="false" customHeight="false" outlineLevel="0" collapsed="false">
      <c r="A1367" s="0" t="s">
        <v>351</v>
      </c>
      <c r="B1367" s="0" t="s">
        <v>43</v>
      </c>
      <c r="C1367" s="0" t="s">
        <v>44</v>
      </c>
      <c r="D1367" s="0" t="n">
        <v>1</v>
      </c>
      <c r="E1367" s="5" t="n">
        <v>45949.7090509259</v>
      </c>
      <c r="F1367" s="0" t="n">
        <v>4.25</v>
      </c>
      <c r="G1367" s="0" t="n">
        <v>17037</v>
      </c>
      <c r="H1367" s="6" t="s">
        <v>113</v>
      </c>
      <c r="I1367" s="6" t="n">
        <f aca="false">D1367*F1367</f>
        <v>4.25</v>
      </c>
      <c r="J1367" s="6" t="n">
        <f aca="false">HOUR(E1367)</f>
        <v>17</v>
      </c>
      <c r="K1367" s="6" t="n">
        <f aca="false">IF(COUNTIF($A$2:$A1367,A1367)=1,1,0)</f>
        <v>0</v>
      </c>
    </row>
    <row r="1368" customFormat="false" ht="15" hidden="false" customHeight="false" outlineLevel="0" collapsed="false">
      <c r="A1368" s="0" t="s">
        <v>352</v>
      </c>
      <c r="B1368" s="0" t="s">
        <v>50</v>
      </c>
      <c r="C1368" s="0" t="s">
        <v>51</v>
      </c>
      <c r="D1368" s="0" t="n">
        <v>15</v>
      </c>
      <c r="E1368" s="5" t="n">
        <v>45950.3171296296</v>
      </c>
      <c r="F1368" s="0" t="n">
        <v>5.95</v>
      </c>
      <c r="G1368" s="0" t="n">
        <v>17073</v>
      </c>
      <c r="H1368" s="6" t="s">
        <v>74</v>
      </c>
      <c r="I1368" s="6" t="n">
        <f aca="false">D1368*F1368</f>
        <v>89.25</v>
      </c>
      <c r="J1368" s="6" t="n">
        <f aca="false">HOUR(E1368)</f>
        <v>7</v>
      </c>
      <c r="K1368" s="6" t="n">
        <f aca="false">IF(COUNTIF($A$2:$A1368,A1368)=1,1,0)</f>
        <v>1</v>
      </c>
    </row>
    <row r="1369" customFormat="false" ht="15" hidden="false" customHeight="false" outlineLevel="0" collapsed="false">
      <c r="A1369" s="0" t="s">
        <v>352</v>
      </c>
      <c r="B1369" s="0" t="s">
        <v>81</v>
      </c>
      <c r="C1369" s="0" t="s">
        <v>82</v>
      </c>
      <c r="D1369" s="0" t="n">
        <v>10</v>
      </c>
      <c r="E1369" s="5" t="n">
        <v>45950.3171296296</v>
      </c>
      <c r="F1369" s="0" t="n">
        <v>1.65</v>
      </c>
      <c r="G1369" s="0" t="n">
        <v>17073</v>
      </c>
      <c r="H1369" s="6" t="s">
        <v>74</v>
      </c>
      <c r="I1369" s="6" t="n">
        <f aca="false">D1369*F1369</f>
        <v>16.5</v>
      </c>
      <c r="J1369" s="6" t="n">
        <f aca="false">HOUR(E1369)</f>
        <v>7</v>
      </c>
      <c r="K1369" s="6" t="n">
        <f aca="false">IF(COUNTIF($A$2:$A1369,A1369)=1,1,0)</f>
        <v>0</v>
      </c>
    </row>
    <row r="1370" customFormat="false" ht="15" hidden="false" customHeight="false" outlineLevel="0" collapsed="false">
      <c r="A1370" s="0" t="s">
        <v>352</v>
      </c>
      <c r="B1370" s="0" t="s">
        <v>91</v>
      </c>
      <c r="C1370" s="0" t="s">
        <v>92</v>
      </c>
      <c r="D1370" s="0" t="n">
        <v>9</v>
      </c>
      <c r="E1370" s="5" t="n">
        <v>45950.3171296296</v>
      </c>
      <c r="F1370" s="0" t="n">
        <v>7.65</v>
      </c>
      <c r="G1370" s="0" t="n">
        <v>17073</v>
      </c>
      <c r="H1370" s="6" t="s">
        <v>74</v>
      </c>
      <c r="I1370" s="6" t="n">
        <f aca="false">D1370*F1370</f>
        <v>68.85</v>
      </c>
      <c r="J1370" s="6" t="n">
        <f aca="false">HOUR(E1370)</f>
        <v>7</v>
      </c>
      <c r="K1370" s="6" t="n">
        <f aca="false">IF(COUNTIF($A$2:$A1370,A1370)=1,1,0)</f>
        <v>0</v>
      </c>
    </row>
    <row r="1371" customFormat="false" ht="15" hidden="false" customHeight="false" outlineLevel="0" collapsed="false">
      <c r="A1371" s="0" t="s">
        <v>352</v>
      </c>
      <c r="B1371" s="0" t="s">
        <v>109</v>
      </c>
      <c r="C1371" s="0" t="s">
        <v>110</v>
      </c>
      <c r="D1371" s="0" t="n">
        <v>12</v>
      </c>
      <c r="E1371" s="5" t="n">
        <v>45950.3171296296</v>
      </c>
      <c r="F1371" s="0" t="n">
        <v>0.85</v>
      </c>
      <c r="G1371" s="0" t="n">
        <v>17073</v>
      </c>
      <c r="H1371" s="6" t="s">
        <v>74</v>
      </c>
      <c r="I1371" s="6" t="n">
        <f aca="false">D1371*F1371</f>
        <v>10.2</v>
      </c>
      <c r="J1371" s="6" t="n">
        <f aca="false">HOUR(E1371)</f>
        <v>7</v>
      </c>
      <c r="K1371" s="6" t="n">
        <f aca="false">IF(COUNTIF($A$2:$A1371,A1371)=1,1,0)</f>
        <v>0</v>
      </c>
    </row>
    <row r="1372" customFormat="false" ht="15" hidden="false" customHeight="false" outlineLevel="0" collapsed="false">
      <c r="A1372" s="0" t="s">
        <v>352</v>
      </c>
      <c r="B1372" s="0" t="s">
        <v>86</v>
      </c>
      <c r="C1372" s="0" t="s">
        <v>87</v>
      </c>
      <c r="D1372" s="0" t="n">
        <v>6</v>
      </c>
      <c r="E1372" s="5" t="n">
        <v>45950.3171296296</v>
      </c>
      <c r="F1372" s="0" t="n">
        <v>4.25</v>
      </c>
      <c r="G1372" s="0" t="n">
        <v>17073</v>
      </c>
      <c r="H1372" s="6" t="s">
        <v>74</v>
      </c>
      <c r="I1372" s="6" t="n">
        <f aca="false">D1372*F1372</f>
        <v>25.5</v>
      </c>
      <c r="J1372" s="6" t="n">
        <f aca="false">HOUR(E1372)</f>
        <v>7</v>
      </c>
      <c r="K1372" s="6" t="n">
        <f aca="false">IF(COUNTIF($A$2:$A1372,A1372)=1,1,0)</f>
        <v>0</v>
      </c>
    </row>
    <row r="1373" customFormat="false" ht="15" hidden="false" customHeight="false" outlineLevel="0" collapsed="false">
      <c r="A1373" s="0" t="s">
        <v>353</v>
      </c>
      <c r="B1373" s="0" t="s">
        <v>57</v>
      </c>
      <c r="C1373" s="0" t="s">
        <v>58</v>
      </c>
      <c r="D1373" s="0" t="n">
        <v>5</v>
      </c>
      <c r="E1373" s="5" t="n">
        <v>45950.3614467593</v>
      </c>
      <c r="F1373" s="0" t="n">
        <v>2.08</v>
      </c>
      <c r="G1373" s="0" t="n">
        <v>17236</v>
      </c>
      <c r="H1373" s="6" t="s">
        <v>42</v>
      </c>
      <c r="I1373" s="6" t="n">
        <f aca="false">D1373*F1373</f>
        <v>10.4</v>
      </c>
      <c r="J1373" s="6" t="n">
        <f aca="false">HOUR(E1373)</f>
        <v>8</v>
      </c>
      <c r="K1373" s="6" t="n">
        <f aca="false">IF(COUNTIF($A$2:$A1373,A1373)=1,1,0)</f>
        <v>1</v>
      </c>
    </row>
    <row r="1374" customFormat="false" ht="15" hidden="false" customHeight="false" outlineLevel="0" collapsed="false">
      <c r="A1374" s="0" t="s">
        <v>353</v>
      </c>
      <c r="B1374" s="0" t="s">
        <v>140</v>
      </c>
      <c r="C1374" s="0" t="s">
        <v>141</v>
      </c>
      <c r="D1374" s="0" t="n">
        <v>13</v>
      </c>
      <c r="E1374" s="5" t="n">
        <v>45950.3614467593</v>
      </c>
      <c r="F1374" s="0" t="n">
        <v>2.08</v>
      </c>
      <c r="G1374" s="0" t="n">
        <v>17236</v>
      </c>
      <c r="H1374" s="6" t="s">
        <v>42</v>
      </c>
      <c r="I1374" s="6" t="n">
        <f aca="false">D1374*F1374</f>
        <v>27.04</v>
      </c>
      <c r="J1374" s="6" t="n">
        <f aca="false">HOUR(E1374)</f>
        <v>8</v>
      </c>
      <c r="K1374" s="6" t="n">
        <f aca="false">IF(COUNTIF($A$2:$A1374,A1374)=1,1,0)</f>
        <v>0</v>
      </c>
    </row>
    <row r="1375" customFormat="false" ht="15" hidden="false" customHeight="false" outlineLevel="0" collapsed="false">
      <c r="A1375" s="0" t="s">
        <v>353</v>
      </c>
      <c r="B1375" s="0" t="s">
        <v>53</v>
      </c>
      <c r="C1375" s="0" t="s">
        <v>54</v>
      </c>
      <c r="D1375" s="0" t="n">
        <v>12</v>
      </c>
      <c r="E1375" s="5" t="n">
        <v>45950.3614467593</v>
      </c>
      <c r="F1375" s="0" t="n">
        <v>2.95</v>
      </c>
      <c r="G1375" s="0" t="n">
        <v>17236</v>
      </c>
      <c r="H1375" s="6" t="s">
        <v>42</v>
      </c>
      <c r="I1375" s="6" t="n">
        <f aca="false">D1375*F1375</f>
        <v>35.4</v>
      </c>
      <c r="J1375" s="6" t="n">
        <f aca="false">HOUR(E1375)</f>
        <v>8</v>
      </c>
      <c r="K1375" s="6" t="n">
        <f aca="false">IF(COUNTIF($A$2:$A1375,A1375)=1,1,0)</f>
        <v>0</v>
      </c>
    </row>
    <row r="1376" customFormat="false" ht="15" hidden="false" customHeight="false" outlineLevel="0" collapsed="false">
      <c r="A1376" s="0" t="s">
        <v>353</v>
      </c>
      <c r="B1376" s="0" t="s">
        <v>77</v>
      </c>
      <c r="C1376" s="0" t="s">
        <v>78</v>
      </c>
      <c r="D1376" s="0" t="n">
        <v>6</v>
      </c>
      <c r="E1376" s="5" t="n">
        <v>45950.3614467593</v>
      </c>
      <c r="F1376" s="0" t="n">
        <v>1.65</v>
      </c>
      <c r="G1376" s="0" t="n">
        <v>17236</v>
      </c>
      <c r="H1376" s="6" t="s">
        <v>42</v>
      </c>
      <c r="I1376" s="6" t="n">
        <f aca="false">D1376*F1376</f>
        <v>9.9</v>
      </c>
      <c r="J1376" s="6" t="n">
        <f aca="false">HOUR(E1376)</f>
        <v>8</v>
      </c>
      <c r="K1376" s="6" t="n">
        <f aca="false">IF(COUNTIF($A$2:$A1376,A1376)=1,1,0)</f>
        <v>0</v>
      </c>
    </row>
    <row r="1377" customFormat="false" ht="15" hidden="false" customHeight="false" outlineLevel="0" collapsed="false">
      <c r="A1377" s="0" t="s">
        <v>353</v>
      </c>
      <c r="B1377" s="0" t="s">
        <v>131</v>
      </c>
      <c r="C1377" s="0" t="s">
        <v>132</v>
      </c>
      <c r="D1377" s="0" t="n">
        <v>22</v>
      </c>
      <c r="E1377" s="5" t="n">
        <v>45950.3614467593</v>
      </c>
      <c r="F1377" s="0" t="n">
        <v>3.39</v>
      </c>
      <c r="G1377" s="0" t="n">
        <v>17236</v>
      </c>
      <c r="H1377" s="6" t="s">
        <v>42</v>
      </c>
      <c r="I1377" s="6" t="n">
        <f aca="false">D1377*F1377</f>
        <v>74.58</v>
      </c>
      <c r="J1377" s="6" t="n">
        <f aca="false">HOUR(E1377)</f>
        <v>8</v>
      </c>
      <c r="K1377" s="6" t="n">
        <f aca="false">IF(COUNTIF($A$2:$A1377,A1377)=1,1,0)</f>
        <v>0</v>
      </c>
    </row>
    <row r="1378" customFormat="false" ht="15" hidden="false" customHeight="false" outlineLevel="0" collapsed="false">
      <c r="A1378" s="0" t="s">
        <v>353</v>
      </c>
      <c r="B1378" s="0" t="s">
        <v>79</v>
      </c>
      <c r="C1378" s="0" t="s">
        <v>80</v>
      </c>
      <c r="D1378" s="0" t="n">
        <v>13</v>
      </c>
      <c r="E1378" s="5" t="n">
        <v>45950.3614467593</v>
      </c>
      <c r="F1378" s="0" t="n">
        <v>3.39</v>
      </c>
      <c r="G1378" s="0" t="n">
        <v>17236</v>
      </c>
      <c r="H1378" s="6" t="s">
        <v>42</v>
      </c>
      <c r="I1378" s="6" t="n">
        <f aca="false">D1378*F1378</f>
        <v>44.07</v>
      </c>
      <c r="J1378" s="6" t="n">
        <f aca="false">HOUR(E1378)</f>
        <v>8</v>
      </c>
      <c r="K1378" s="6" t="n">
        <f aca="false">IF(COUNTIF($A$2:$A1378,A1378)=1,1,0)</f>
        <v>0</v>
      </c>
    </row>
    <row r="1379" customFormat="false" ht="15" hidden="false" customHeight="false" outlineLevel="0" collapsed="false">
      <c r="A1379" s="0" t="s">
        <v>353</v>
      </c>
      <c r="B1379" s="0" t="s">
        <v>125</v>
      </c>
      <c r="C1379" s="0" t="s">
        <v>126</v>
      </c>
      <c r="D1379" s="0" t="n">
        <v>1</v>
      </c>
      <c r="E1379" s="5" t="n">
        <v>45950.3614467593</v>
      </c>
      <c r="F1379" s="0" t="n">
        <v>1.25</v>
      </c>
      <c r="G1379" s="0" t="n">
        <v>17236</v>
      </c>
      <c r="H1379" s="6" t="s">
        <v>42</v>
      </c>
      <c r="I1379" s="6" t="n">
        <f aca="false">D1379*F1379</f>
        <v>1.25</v>
      </c>
      <c r="J1379" s="6" t="n">
        <f aca="false">HOUR(E1379)</f>
        <v>8</v>
      </c>
      <c r="K1379" s="6" t="n">
        <f aca="false">IF(COUNTIF($A$2:$A1379,A1379)=1,1,0)</f>
        <v>0</v>
      </c>
    </row>
    <row r="1380" customFormat="false" ht="15" hidden="false" customHeight="false" outlineLevel="0" collapsed="false">
      <c r="A1380" s="0" t="s">
        <v>354</v>
      </c>
      <c r="B1380" s="0" t="s">
        <v>116</v>
      </c>
      <c r="C1380" s="0" t="s">
        <v>117</v>
      </c>
      <c r="D1380" s="0" t="n">
        <v>1</v>
      </c>
      <c r="E1380" s="5" t="n">
        <v>45950.4090509259</v>
      </c>
      <c r="F1380" s="0" t="n">
        <v>1.95</v>
      </c>
      <c r="G1380" s="0" t="n">
        <v>17121</v>
      </c>
      <c r="H1380" s="6" t="s">
        <v>74</v>
      </c>
      <c r="I1380" s="6" t="n">
        <f aca="false">D1380*F1380</f>
        <v>1.95</v>
      </c>
      <c r="J1380" s="6" t="n">
        <f aca="false">HOUR(E1380)</f>
        <v>9</v>
      </c>
      <c r="K1380" s="6" t="n">
        <f aca="false">IF(COUNTIF($A$2:$A1380,A1380)=1,1,0)</f>
        <v>1</v>
      </c>
    </row>
    <row r="1381" customFormat="false" ht="15" hidden="false" customHeight="false" outlineLevel="0" collapsed="false">
      <c r="A1381" s="0" t="s">
        <v>354</v>
      </c>
      <c r="B1381" s="0" t="s">
        <v>43</v>
      </c>
      <c r="C1381" s="0" t="s">
        <v>44</v>
      </c>
      <c r="D1381" s="0" t="n">
        <v>19</v>
      </c>
      <c r="E1381" s="5" t="n">
        <v>45950.4090509259</v>
      </c>
      <c r="F1381" s="0" t="n">
        <v>4.25</v>
      </c>
      <c r="G1381" s="0" t="n">
        <v>17121</v>
      </c>
      <c r="H1381" s="6" t="s">
        <v>74</v>
      </c>
      <c r="I1381" s="6" t="n">
        <f aca="false">D1381*F1381</f>
        <v>80.75</v>
      </c>
      <c r="J1381" s="6" t="n">
        <f aca="false">HOUR(E1381)</f>
        <v>9</v>
      </c>
      <c r="K1381" s="6" t="n">
        <f aca="false">IF(COUNTIF($A$2:$A1381,A1381)=1,1,0)</f>
        <v>0</v>
      </c>
    </row>
    <row r="1382" customFormat="false" ht="15" hidden="false" customHeight="false" outlineLevel="0" collapsed="false">
      <c r="A1382" s="0" t="s">
        <v>354</v>
      </c>
      <c r="B1382" s="0" t="s">
        <v>145</v>
      </c>
      <c r="C1382" s="0" t="s">
        <v>146</v>
      </c>
      <c r="D1382" s="0" t="n">
        <v>11</v>
      </c>
      <c r="E1382" s="5" t="n">
        <v>45950.4090509259</v>
      </c>
      <c r="F1382" s="0" t="n">
        <v>1.85</v>
      </c>
      <c r="G1382" s="0" t="n">
        <v>17121</v>
      </c>
      <c r="H1382" s="6" t="s">
        <v>74</v>
      </c>
      <c r="I1382" s="6" t="n">
        <f aca="false">D1382*F1382</f>
        <v>20.35</v>
      </c>
      <c r="J1382" s="6" t="n">
        <f aca="false">HOUR(E1382)</f>
        <v>9</v>
      </c>
      <c r="K1382" s="6" t="n">
        <f aca="false">IF(COUNTIF($A$2:$A1382,A1382)=1,1,0)</f>
        <v>0</v>
      </c>
    </row>
    <row r="1383" customFormat="false" ht="15" hidden="false" customHeight="false" outlineLevel="0" collapsed="false">
      <c r="A1383" s="0" t="s">
        <v>354</v>
      </c>
      <c r="B1383" s="0" t="s">
        <v>75</v>
      </c>
      <c r="C1383" s="0" t="s">
        <v>76</v>
      </c>
      <c r="D1383" s="0" t="n">
        <v>20</v>
      </c>
      <c r="E1383" s="5" t="n">
        <v>45950.4090509259</v>
      </c>
      <c r="F1383" s="0" t="n">
        <v>3.39</v>
      </c>
      <c r="G1383" s="0" t="n">
        <v>17121</v>
      </c>
      <c r="H1383" s="6" t="s">
        <v>74</v>
      </c>
      <c r="I1383" s="6" t="n">
        <f aca="false">D1383*F1383</f>
        <v>67.8</v>
      </c>
      <c r="J1383" s="6" t="n">
        <f aca="false">HOUR(E1383)</f>
        <v>9</v>
      </c>
      <c r="K1383" s="6" t="n">
        <f aca="false">IF(COUNTIF($A$2:$A1383,A1383)=1,1,0)</f>
        <v>0</v>
      </c>
    </row>
    <row r="1384" customFormat="false" ht="15" hidden="false" customHeight="false" outlineLevel="0" collapsed="false">
      <c r="A1384" s="0" t="s">
        <v>354</v>
      </c>
      <c r="B1384" s="0" t="s">
        <v>125</v>
      </c>
      <c r="C1384" s="0" t="s">
        <v>126</v>
      </c>
      <c r="D1384" s="0" t="n">
        <v>2</v>
      </c>
      <c r="E1384" s="5" t="n">
        <v>45950.4090509259</v>
      </c>
      <c r="F1384" s="0" t="n">
        <v>1.25</v>
      </c>
      <c r="G1384" s="0" t="n">
        <v>17121</v>
      </c>
      <c r="H1384" s="6" t="s">
        <v>74</v>
      </c>
      <c r="I1384" s="6" t="n">
        <f aca="false">D1384*F1384</f>
        <v>2.5</v>
      </c>
      <c r="J1384" s="6" t="n">
        <f aca="false">HOUR(E1384)</f>
        <v>9</v>
      </c>
      <c r="K1384" s="6" t="n">
        <f aca="false">IF(COUNTIF($A$2:$A1384,A1384)=1,1,0)</f>
        <v>0</v>
      </c>
    </row>
    <row r="1385" customFormat="false" ht="15" hidden="false" customHeight="false" outlineLevel="0" collapsed="false">
      <c r="A1385" s="0" t="s">
        <v>354</v>
      </c>
      <c r="B1385" s="0" t="s">
        <v>72</v>
      </c>
      <c r="C1385" s="0" t="s">
        <v>73</v>
      </c>
      <c r="D1385" s="0" t="n">
        <v>14</v>
      </c>
      <c r="E1385" s="5" t="n">
        <v>45950.4090509259</v>
      </c>
      <c r="F1385" s="0" t="n">
        <v>4.95</v>
      </c>
      <c r="G1385" s="0" t="n">
        <v>17121</v>
      </c>
      <c r="H1385" s="6" t="s">
        <v>74</v>
      </c>
      <c r="I1385" s="6" t="n">
        <f aca="false">D1385*F1385</f>
        <v>69.3</v>
      </c>
      <c r="J1385" s="6" t="n">
        <f aca="false">HOUR(E1385)</f>
        <v>9</v>
      </c>
      <c r="K1385" s="6" t="n">
        <f aca="false">IF(COUNTIF($A$2:$A1385,A1385)=1,1,0)</f>
        <v>0</v>
      </c>
    </row>
    <row r="1386" customFormat="false" ht="15" hidden="false" customHeight="false" outlineLevel="0" collapsed="false">
      <c r="A1386" s="0" t="s">
        <v>354</v>
      </c>
      <c r="B1386" s="0" t="s">
        <v>107</v>
      </c>
      <c r="C1386" s="0" t="s">
        <v>108</v>
      </c>
      <c r="D1386" s="0" t="n">
        <v>19</v>
      </c>
      <c r="E1386" s="5" t="n">
        <v>45950.4090509259</v>
      </c>
      <c r="F1386" s="0" t="n">
        <v>3.75</v>
      </c>
      <c r="G1386" s="0" t="n">
        <v>17121</v>
      </c>
      <c r="H1386" s="6" t="s">
        <v>74</v>
      </c>
      <c r="I1386" s="6" t="n">
        <f aca="false">D1386*F1386</f>
        <v>71.25</v>
      </c>
      <c r="J1386" s="6" t="n">
        <f aca="false">HOUR(E1386)</f>
        <v>9</v>
      </c>
      <c r="K1386" s="6" t="n">
        <f aca="false">IF(COUNTIF($A$2:$A1386,A1386)=1,1,0)</f>
        <v>0</v>
      </c>
    </row>
    <row r="1387" customFormat="false" ht="15" hidden="false" customHeight="false" outlineLevel="0" collapsed="false">
      <c r="A1387" s="0" t="s">
        <v>355</v>
      </c>
      <c r="B1387" s="0" t="s">
        <v>91</v>
      </c>
      <c r="C1387" s="0" t="s">
        <v>92</v>
      </c>
      <c r="D1387" s="0" t="n">
        <v>5</v>
      </c>
      <c r="E1387" s="5" t="n">
        <v>45950.4608101852</v>
      </c>
      <c r="F1387" s="0" t="n">
        <v>7.65</v>
      </c>
      <c r="G1387" s="0" t="n">
        <v>17064</v>
      </c>
      <c r="H1387" s="6" t="s">
        <v>74</v>
      </c>
      <c r="I1387" s="6" t="n">
        <f aca="false">D1387*F1387</f>
        <v>38.25</v>
      </c>
      <c r="J1387" s="6" t="n">
        <f aca="false">HOUR(E1387)</f>
        <v>11</v>
      </c>
      <c r="K1387" s="6" t="n">
        <f aca="false">IF(COUNTIF($A$2:$A1387,A1387)=1,1,0)</f>
        <v>1</v>
      </c>
    </row>
    <row r="1388" customFormat="false" ht="15" hidden="false" customHeight="false" outlineLevel="0" collapsed="false">
      <c r="A1388" s="0" t="s">
        <v>355</v>
      </c>
      <c r="B1388" s="0" t="s">
        <v>93</v>
      </c>
      <c r="C1388" s="0" t="s">
        <v>94</v>
      </c>
      <c r="D1388" s="0" t="n">
        <v>13</v>
      </c>
      <c r="E1388" s="5" t="n">
        <v>45950.4608101852</v>
      </c>
      <c r="F1388" s="0" t="n">
        <v>1.69</v>
      </c>
      <c r="G1388" s="0" t="n">
        <v>17064</v>
      </c>
      <c r="H1388" s="6" t="s">
        <v>74</v>
      </c>
      <c r="I1388" s="6" t="n">
        <f aca="false">D1388*F1388</f>
        <v>21.97</v>
      </c>
      <c r="J1388" s="6" t="n">
        <f aca="false">HOUR(E1388)</f>
        <v>11</v>
      </c>
      <c r="K1388" s="6" t="n">
        <f aca="false">IF(COUNTIF($A$2:$A1388,A1388)=1,1,0)</f>
        <v>0</v>
      </c>
    </row>
    <row r="1389" customFormat="false" ht="15" hidden="false" customHeight="false" outlineLevel="0" collapsed="false">
      <c r="A1389" s="0" t="s">
        <v>355</v>
      </c>
      <c r="B1389" s="0" t="s">
        <v>116</v>
      </c>
      <c r="C1389" s="0" t="s">
        <v>117</v>
      </c>
      <c r="D1389" s="0" t="n">
        <v>16</v>
      </c>
      <c r="E1389" s="5" t="n">
        <v>45950.4608101852</v>
      </c>
      <c r="F1389" s="0" t="n">
        <v>1.95</v>
      </c>
      <c r="G1389" s="0" t="n">
        <v>17064</v>
      </c>
      <c r="H1389" s="6" t="s">
        <v>74</v>
      </c>
      <c r="I1389" s="6" t="n">
        <f aca="false">D1389*F1389</f>
        <v>31.2</v>
      </c>
      <c r="J1389" s="6" t="n">
        <f aca="false">HOUR(E1389)</f>
        <v>11</v>
      </c>
      <c r="K1389" s="6" t="n">
        <f aca="false">IF(COUNTIF($A$2:$A1389,A1389)=1,1,0)</f>
        <v>0</v>
      </c>
    </row>
    <row r="1390" customFormat="false" ht="15" hidden="false" customHeight="false" outlineLevel="0" collapsed="false">
      <c r="A1390" s="0" t="s">
        <v>355</v>
      </c>
      <c r="B1390" s="0" t="s">
        <v>109</v>
      </c>
      <c r="C1390" s="0" t="s">
        <v>110</v>
      </c>
      <c r="D1390" s="0" t="n">
        <v>9</v>
      </c>
      <c r="E1390" s="5" t="n">
        <v>45950.4608101852</v>
      </c>
      <c r="F1390" s="0" t="n">
        <v>0.85</v>
      </c>
      <c r="G1390" s="0" t="n">
        <v>17064</v>
      </c>
      <c r="H1390" s="6" t="s">
        <v>74</v>
      </c>
      <c r="I1390" s="6" t="n">
        <f aca="false">D1390*F1390</f>
        <v>7.65</v>
      </c>
      <c r="J1390" s="6" t="n">
        <f aca="false">HOUR(E1390)</f>
        <v>11</v>
      </c>
      <c r="K1390" s="6" t="n">
        <f aca="false">IF(COUNTIF($A$2:$A1390,A1390)=1,1,0)</f>
        <v>0</v>
      </c>
    </row>
    <row r="1391" customFormat="false" ht="15" hidden="false" customHeight="false" outlineLevel="0" collapsed="false">
      <c r="A1391" s="0" t="s">
        <v>355</v>
      </c>
      <c r="B1391" s="0" t="s">
        <v>59</v>
      </c>
      <c r="C1391" s="0" t="s">
        <v>60</v>
      </c>
      <c r="D1391" s="0" t="n">
        <v>2</v>
      </c>
      <c r="E1391" s="5" t="n">
        <v>45950.4608101852</v>
      </c>
      <c r="F1391" s="0" t="n">
        <v>0.42</v>
      </c>
      <c r="G1391" s="0" t="n">
        <v>17064</v>
      </c>
      <c r="H1391" s="6" t="s">
        <v>74</v>
      </c>
      <c r="I1391" s="6" t="n">
        <f aca="false">D1391*F1391</f>
        <v>0.84</v>
      </c>
      <c r="J1391" s="6" t="n">
        <f aca="false">HOUR(E1391)</f>
        <v>11</v>
      </c>
      <c r="K1391" s="6" t="n">
        <f aca="false">IF(COUNTIF($A$2:$A1391,A1391)=1,1,0)</f>
        <v>0</v>
      </c>
    </row>
    <row r="1392" customFormat="false" ht="15" hidden="false" customHeight="false" outlineLevel="0" collapsed="false">
      <c r="A1392" s="0" t="s">
        <v>355</v>
      </c>
      <c r="B1392" s="0" t="s">
        <v>95</v>
      </c>
      <c r="C1392" s="0" t="s">
        <v>96</v>
      </c>
      <c r="D1392" s="0" t="n">
        <v>29</v>
      </c>
      <c r="E1392" s="5" t="n">
        <v>45950.4608101852</v>
      </c>
      <c r="F1392" s="0" t="n">
        <v>2.55</v>
      </c>
      <c r="G1392" s="0" t="n">
        <v>17064</v>
      </c>
      <c r="H1392" s="6" t="s">
        <v>74</v>
      </c>
      <c r="I1392" s="6" t="n">
        <f aca="false">D1392*F1392</f>
        <v>73.95</v>
      </c>
      <c r="J1392" s="6" t="n">
        <f aca="false">HOUR(E1392)</f>
        <v>11</v>
      </c>
      <c r="K1392" s="6" t="n">
        <f aca="false">IF(COUNTIF($A$2:$A1392,A1392)=1,1,0)</f>
        <v>0</v>
      </c>
    </row>
    <row r="1393" customFormat="false" ht="15" hidden="false" customHeight="false" outlineLevel="0" collapsed="false">
      <c r="A1393" s="0" t="s">
        <v>355</v>
      </c>
      <c r="B1393" s="0" t="s">
        <v>45</v>
      </c>
      <c r="C1393" s="0" t="s">
        <v>46</v>
      </c>
      <c r="D1393" s="0" t="n">
        <v>1</v>
      </c>
      <c r="E1393" s="5" t="n">
        <v>45950.4608101852</v>
      </c>
      <c r="F1393" s="0" t="n">
        <v>2.1</v>
      </c>
      <c r="G1393" s="0" t="n">
        <v>17064</v>
      </c>
      <c r="H1393" s="6" t="s">
        <v>74</v>
      </c>
      <c r="I1393" s="6" t="n">
        <f aca="false">D1393*F1393</f>
        <v>2.1</v>
      </c>
      <c r="J1393" s="6" t="n">
        <f aca="false">HOUR(E1393)</f>
        <v>11</v>
      </c>
      <c r="K1393" s="6" t="n">
        <f aca="false">IF(COUNTIF($A$2:$A1393,A1393)=1,1,0)</f>
        <v>0</v>
      </c>
    </row>
    <row r="1394" customFormat="false" ht="15" hidden="false" customHeight="false" outlineLevel="0" collapsed="false">
      <c r="A1394" s="0" t="s">
        <v>355</v>
      </c>
      <c r="B1394" s="0" t="s">
        <v>99</v>
      </c>
      <c r="C1394" s="0" t="s">
        <v>100</v>
      </c>
      <c r="D1394" s="0" t="n">
        <v>23</v>
      </c>
      <c r="E1394" s="5" t="n">
        <v>45950.4608101852</v>
      </c>
      <c r="F1394" s="0" t="n">
        <v>2.08</v>
      </c>
      <c r="G1394" s="0" t="n">
        <v>17064</v>
      </c>
      <c r="H1394" s="6" t="s">
        <v>74</v>
      </c>
      <c r="I1394" s="6" t="n">
        <f aca="false">D1394*F1394</f>
        <v>47.84</v>
      </c>
      <c r="J1394" s="6" t="n">
        <f aca="false">HOUR(E1394)</f>
        <v>11</v>
      </c>
      <c r="K1394" s="6" t="n">
        <f aca="false">IF(COUNTIF($A$2:$A1394,A1394)=1,1,0)</f>
        <v>0</v>
      </c>
    </row>
    <row r="1395" customFormat="false" ht="15" hidden="false" customHeight="false" outlineLevel="0" collapsed="false">
      <c r="A1395" s="0" t="s">
        <v>356</v>
      </c>
      <c r="B1395" s="0" t="s">
        <v>50</v>
      </c>
      <c r="C1395" s="0" t="s">
        <v>51</v>
      </c>
      <c r="D1395" s="0" t="n">
        <v>7</v>
      </c>
      <c r="E1395" s="5" t="n">
        <v>45950.471412037</v>
      </c>
      <c r="F1395" s="0" t="n">
        <v>5.95</v>
      </c>
      <c r="G1395" s="0" t="n">
        <v>17189</v>
      </c>
      <c r="H1395" s="6" t="s">
        <v>208</v>
      </c>
      <c r="I1395" s="6" t="n">
        <f aca="false">D1395*F1395</f>
        <v>41.65</v>
      </c>
      <c r="J1395" s="6" t="n">
        <f aca="false">HOUR(E1395)</f>
        <v>11</v>
      </c>
      <c r="K1395" s="6" t="n">
        <f aca="false">IF(COUNTIF($A$2:$A1395,A1395)=1,1,0)</f>
        <v>1</v>
      </c>
    </row>
    <row r="1396" customFormat="false" ht="15" hidden="false" customHeight="false" outlineLevel="0" collapsed="false">
      <c r="A1396" s="0" t="s">
        <v>356</v>
      </c>
      <c r="B1396" s="0" t="s">
        <v>127</v>
      </c>
      <c r="C1396" s="0" t="s">
        <v>128</v>
      </c>
      <c r="D1396" s="0" t="n">
        <v>4</v>
      </c>
      <c r="E1396" s="5" t="n">
        <v>45950.471412037</v>
      </c>
      <c r="F1396" s="0" t="n">
        <v>1.45</v>
      </c>
      <c r="G1396" s="0" t="n">
        <v>17189</v>
      </c>
      <c r="H1396" s="6" t="s">
        <v>208</v>
      </c>
      <c r="I1396" s="6" t="n">
        <f aca="false">D1396*F1396</f>
        <v>5.8</v>
      </c>
      <c r="J1396" s="6" t="n">
        <f aca="false">HOUR(E1396)</f>
        <v>11</v>
      </c>
      <c r="K1396" s="6" t="n">
        <f aca="false">IF(COUNTIF($A$2:$A1396,A1396)=1,1,0)</f>
        <v>0</v>
      </c>
    </row>
    <row r="1397" customFormat="false" ht="15" hidden="false" customHeight="false" outlineLevel="0" collapsed="false">
      <c r="A1397" s="0" t="s">
        <v>356</v>
      </c>
      <c r="B1397" s="0" t="s">
        <v>47</v>
      </c>
      <c r="C1397" s="0" t="s">
        <v>48</v>
      </c>
      <c r="D1397" s="0" t="n">
        <v>47</v>
      </c>
      <c r="E1397" s="5" t="n">
        <v>45950.471412037</v>
      </c>
      <c r="F1397" s="0" t="n">
        <v>12.75</v>
      </c>
      <c r="G1397" s="0" t="n">
        <v>17189</v>
      </c>
      <c r="H1397" s="6" t="s">
        <v>208</v>
      </c>
      <c r="I1397" s="6" t="n">
        <f aca="false">D1397*F1397</f>
        <v>599.25</v>
      </c>
      <c r="J1397" s="6" t="n">
        <f aca="false">HOUR(E1397)</f>
        <v>11</v>
      </c>
      <c r="K1397" s="6" t="n">
        <f aca="false">IF(COUNTIF($A$2:$A1397,A1397)=1,1,0)</f>
        <v>0</v>
      </c>
    </row>
    <row r="1398" customFormat="false" ht="15" hidden="false" customHeight="false" outlineLevel="0" collapsed="false">
      <c r="A1398" s="0" t="s">
        <v>356</v>
      </c>
      <c r="B1398" s="0" t="s">
        <v>88</v>
      </c>
      <c r="C1398" s="0" t="s">
        <v>89</v>
      </c>
      <c r="D1398" s="0" t="n">
        <v>12</v>
      </c>
      <c r="E1398" s="5" t="n">
        <v>45950.471412037</v>
      </c>
      <c r="F1398" s="0" t="n">
        <v>2.75</v>
      </c>
      <c r="G1398" s="0" t="n">
        <v>17189</v>
      </c>
      <c r="H1398" s="6" t="s">
        <v>208</v>
      </c>
      <c r="I1398" s="6" t="n">
        <f aca="false">D1398*F1398</f>
        <v>33</v>
      </c>
      <c r="J1398" s="6" t="n">
        <f aca="false">HOUR(E1398)</f>
        <v>11</v>
      </c>
      <c r="K1398" s="6" t="n">
        <f aca="false">IF(COUNTIF($A$2:$A1398,A1398)=1,1,0)</f>
        <v>0</v>
      </c>
    </row>
    <row r="1399" customFormat="false" ht="15" hidden="false" customHeight="false" outlineLevel="0" collapsed="false">
      <c r="A1399" s="0" t="s">
        <v>356</v>
      </c>
      <c r="B1399" s="0" t="s">
        <v>93</v>
      </c>
      <c r="C1399" s="0" t="s">
        <v>94</v>
      </c>
      <c r="D1399" s="0" t="n">
        <v>17</v>
      </c>
      <c r="E1399" s="5" t="n">
        <v>45950.471412037</v>
      </c>
      <c r="F1399" s="0" t="n">
        <v>1.69</v>
      </c>
      <c r="G1399" s="0" t="n">
        <v>17189</v>
      </c>
      <c r="H1399" s="6" t="s">
        <v>208</v>
      </c>
      <c r="I1399" s="6" t="n">
        <f aca="false">D1399*F1399</f>
        <v>28.73</v>
      </c>
      <c r="J1399" s="6" t="n">
        <f aca="false">HOUR(E1399)</f>
        <v>11</v>
      </c>
      <c r="K1399" s="6" t="n">
        <f aca="false">IF(COUNTIF($A$2:$A1399,A1399)=1,1,0)</f>
        <v>0</v>
      </c>
    </row>
    <row r="1400" customFormat="false" ht="15" hidden="false" customHeight="false" outlineLevel="0" collapsed="false">
      <c r="A1400" s="0" t="s">
        <v>357</v>
      </c>
      <c r="B1400" s="0" t="s">
        <v>99</v>
      </c>
      <c r="C1400" s="0" t="s">
        <v>100</v>
      </c>
      <c r="D1400" s="0" t="n">
        <v>20</v>
      </c>
      <c r="E1400" s="5" t="n">
        <v>45950.4839236111</v>
      </c>
      <c r="F1400" s="0" t="n">
        <v>2.08</v>
      </c>
      <c r="G1400" s="0" t="n">
        <v>17004</v>
      </c>
      <c r="H1400" s="6" t="s">
        <v>74</v>
      </c>
      <c r="I1400" s="6" t="n">
        <f aca="false">D1400*F1400</f>
        <v>41.6</v>
      </c>
      <c r="J1400" s="6" t="n">
        <f aca="false">HOUR(E1400)</f>
        <v>11</v>
      </c>
      <c r="K1400" s="6" t="n">
        <f aca="false">IF(COUNTIF($A$2:$A1400,A1400)=1,1,0)</f>
        <v>1</v>
      </c>
    </row>
    <row r="1401" customFormat="false" ht="15" hidden="false" customHeight="false" outlineLevel="0" collapsed="false">
      <c r="A1401" s="0" t="s">
        <v>358</v>
      </c>
      <c r="B1401" s="0" t="s">
        <v>83</v>
      </c>
      <c r="C1401" s="0" t="s">
        <v>84</v>
      </c>
      <c r="D1401" s="0" t="n">
        <v>8</v>
      </c>
      <c r="E1401" s="5" t="n">
        <v>45950.5062152778</v>
      </c>
      <c r="F1401" s="0" t="n">
        <v>2.95</v>
      </c>
      <c r="G1401" s="0" t="n">
        <v>17196</v>
      </c>
      <c r="H1401" s="6" t="s">
        <v>151</v>
      </c>
      <c r="I1401" s="6" t="n">
        <f aca="false">D1401*F1401</f>
        <v>23.6</v>
      </c>
      <c r="J1401" s="6" t="n">
        <f aca="false">HOUR(E1401)</f>
        <v>12</v>
      </c>
      <c r="K1401" s="6" t="n">
        <f aca="false">IF(COUNTIF($A$2:$A1401,A1401)=1,1,0)</f>
        <v>1</v>
      </c>
    </row>
    <row r="1402" customFormat="false" ht="15" hidden="false" customHeight="false" outlineLevel="0" collapsed="false">
      <c r="A1402" s="0" t="s">
        <v>358</v>
      </c>
      <c r="B1402" s="0" t="s">
        <v>107</v>
      </c>
      <c r="C1402" s="0" t="s">
        <v>108</v>
      </c>
      <c r="D1402" s="0" t="n">
        <v>10</v>
      </c>
      <c r="E1402" s="5" t="n">
        <v>45950.5062152778</v>
      </c>
      <c r="F1402" s="0" t="n">
        <v>3.75</v>
      </c>
      <c r="G1402" s="0" t="n">
        <v>17196</v>
      </c>
      <c r="H1402" s="6" t="s">
        <v>151</v>
      </c>
      <c r="I1402" s="6" t="n">
        <f aca="false">D1402*F1402</f>
        <v>37.5</v>
      </c>
      <c r="J1402" s="6" t="n">
        <f aca="false">HOUR(E1402)</f>
        <v>12</v>
      </c>
      <c r="K1402" s="6" t="n">
        <f aca="false">IF(COUNTIF($A$2:$A1402,A1402)=1,1,0)</f>
        <v>0</v>
      </c>
    </row>
    <row r="1403" customFormat="false" ht="15" hidden="false" customHeight="false" outlineLevel="0" collapsed="false">
      <c r="A1403" s="0" t="s">
        <v>358</v>
      </c>
      <c r="B1403" s="0" t="s">
        <v>63</v>
      </c>
      <c r="C1403" s="0" t="s">
        <v>64</v>
      </c>
      <c r="D1403" s="0" t="n">
        <v>4</v>
      </c>
      <c r="E1403" s="5" t="n">
        <v>45950.5062152778</v>
      </c>
      <c r="F1403" s="0" t="n">
        <v>1.85</v>
      </c>
      <c r="G1403" s="0" t="n">
        <v>17196</v>
      </c>
      <c r="H1403" s="6" t="s">
        <v>151</v>
      </c>
      <c r="I1403" s="6" t="n">
        <f aca="false">D1403*F1403</f>
        <v>7.4</v>
      </c>
      <c r="J1403" s="6" t="n">
        <f aca="false">HOUR(E1403)</f>
        <v>12</v>
      </c>
      <c r="K1403" s="6" t="n">
        <f aca="false">IF(COUNTIF($A$2:$A1403,A1403)=1,1,0)</f>
        <v>0</v>
      </c>
    </row>
    <row r="1404" customFormat="false" ht="15" hidden="false" customHeight="false" outlineLevel="0" collapsed="false">
      <c r="A1404" s="0" t="s">
        <v>358</v>
      </c>
      <c r="B1404" s="0" t="s">
        <v>77</v>
      </c>
      <c r="C1404" s="0" t="s">
        <v>78</v>
      </c>
      <c r="D1404" s="0" t="n">
        <v>1</v>
      </c>
      <c r="E1404" s="5" t="n">
        <v>45950.5062152778</v>
      </c>
      <c r="F1404" s="0" t="n">
        <v>1.65</v>
      </c>
      <c r="G1404" s="0" t="n">
        <v>17196</v>
      </c>
      <c r="H1404" s="6" t="s">
        <v>151</v>
      </c>
      <c r="I1404" s="6" t="n">
        <f aca="false">D1404*F1404</f>
        <v>1.65</v>
      </c>
      <c r="J1404" s="6" t="n">
        <f aca="false">HOUR(E1404)</f>
        <v>12</v>
      </c>
      <c r="K1404" s="6" t="n">
        <f aca="false">IF(COUNTIF($A$2:$A1404,A1404)=1,1,0)</f>
        <v>0</v>
      </c>
    </row>
    <row r="1405" customFormat="false" ht="15" hidden="false" customHeight="false" outlineLevel="0" collapsed="false">
      <c r="A1405" s="0" t="s">
        <v>358</v>
      </c>
      <c r="B1405" s="0" t="s">
        <v>109</v>
      </c>
      <c r="C1405" s="0" t="s">
        <v>110</v>
      </c>
      <c r="D1405" s="0" t="n">
        <v>14</v>
      </c>
      <c r="E1405" s="5" t="n">
        <v>45950.5062152778</v>
      </c>
      <c r="F1405" s="0" t="n">
        <v>0.85</v>
      </c>
      <c r="G1405" s="0" t="n">
        <v>17196</v>
      </c>
      <c r="H1405" s="6" t="s">
        <v>151</v>
      </c>
      <c r="I1405" s="6" t="n">
        <f aca="false">D1405*F1405</f>
        <v>11.9</v>
      </c>
      <c r="J1405" s="6" t="n">
        <f aca="false">HOUR(E1405)</f>
        <v>12</v>
      </c>
      <c r="K1405" s="6" t="n">
        <f aca="false">IF(COUNTIF($A$2:$A1405,A1405)=1,1,0)</f>
        <v>0</v>
      </c>
    </row>
    <row r="1406" customFormat="false" ht="15" hidden="false" customHeight="false" outlineLevel="0" collapsed="false">
      <c r="A1406" s="0" t="s">
        <v>359</v>
      </c>
      <c r="B1406" s="0" t="s">
        <v>91</v>
      </c>
      <c r="C1406" s="0" t="s">
        <v>92</v>
      </c>
      <c r="D1406" s="0" t="n">
        <v>14</v>
      </c>
      <c r="E1406" s="5" t="n">
        <v>45950.5410416667</v>
      </c>
      <c r="F1406" s="0" t="n">
        <v>7.65</v>
      </c>
      <c r="G1406" s="0" t="n">
        <v>17204</v>
      </c>
      <c r="H1406" s="6" t="s">
        <v>42</v>
      </c>
      <c r="I1406" s="6" t="n">
        <f aca="false">D1406*F1406</f>
        <v>107.1</v>
      </c>
      <c r="J1406" s="6" t="n">
        <f aca="false">HOUR(E1406)</f>
        <v>12</v>
      </c>
      <c r="K1406" s="6" t="n">
        <f aca="false">IF(COUNTIF($A$2:$A1406,A1406)=1,1,0)</f>
        <v>1</v>
      </c>
    </row>
    <row r="1407" customFormat="false" ht="15" hidden="false" customHeight="false" outlineLevel="0" collapsed="false">
      <c r="A1407" s="0" t="s">
        <v>359</v>
      </c>
      <c r="B1407" s="0" t="s">
        <v>121</v>
      </c>
      <c r="C1407" s="0" t="s">
        <v>122</v>
      </c>
      <c r="D1407" s="0" t="n">
        <v>11</v>
      </c>
      <c r="E1407" s="5" t="n">
        <v>45950.5410416667</v>
      </c>
      <c r="F1407" s="0" t="n">
        <v>2.1</v>
      </c>
      <c r="G1407" s="0" t="n">
        <v>17204</v>
      </c>
      <c r="H1407" s="6" t="s">
        <v>42</v>
      </c>
      <c r="I1407" s="6" t="n">
        <f aca="false">D1407*F1407</f>
        <v>23.1</v>
      </c>
      <c r="J1407" s="6" t="n">
        <f aca="false">HOUR(E1407)</f>
        <v>12</v>
      </c>
      <c r="K1407" s="6" t="n">
        <f aca="false">IF(COUNTIF($A$2:$A1407,A1407)=1,1,0)</f>
        <v>0</v>
      </c>
    </row>
    <row r="1408" customFormat="false" ht="15" hidden="false" customHeight="false" outlineLevel="0" collapsed="false">
      <c r="A1408" s="0" t="s">
        <v>359</v>
      </c>
      <c r="B1408" s="0" t="s">
        <v>104</v>
      </c>
      <c r="C1408" s="0" t="s">
        <v>105</v>
      </c>
      <c r="D1408" s="0" t="n">
        <v>16</v>
      </c>
      <c r="E1408" s="5" t="n">
        <v>45950.5410416667</v>
      </c>
      <c r="F1408" s="0" t="n">
        <v>1.65</v>
      </c>
      <c r="G1408" s="0" t="n">
        <v>17204</v>
      </c>
      <c r="H1408" s="6" t="s">
        <v>42</v>
      </c>
      <c r="I1408" s="6" t="n">
        <f aca="false">D1408*F1408</f>
        <v>26.4</v>
      </c>
      <c r="J1408" s="6" t="n">
        <f aca="false">HOUR(E1408)</f>
        <v>12</v>
      </c>
      <c r="K1408" s="6" t="n">
        <f aca="false">IF(COUNTIF($A$2:$A1408,A1408)=1,1,0)</f>
        <v>0</v>
      </c>
    </row>
    <row r="1409" customFormat="false" ht="15" hidden="false" customHeight="false" outlineLevel="0" collapsed="false">
      <c r="A1409" s="0" t="s">
        <v>359</v>
      </c>
      <c r="B1409" s="0" t="s">
        <v>57</v>
      </c>
      <c r="C1409" s="0" t="s">
        <v>58</v>
      </c>
      <c r="D1409" s="0" t="n">
        <v>2</v>
      </c>
      <c r="E1409" s="5" t="n">
        <v>45950.5410416667</v>
      </c>
      <c r="F1409" s="0" t="n">
        <v>2.08</v>
      </c>
      <c r="G1409" s="0" t="n">
        <v>17204</v>
      </c>
      <c r="H1409" s="6" t="s">
        <v>42</v>
      </c>
      <c r="I1409" s="6" t="n">
        <f aca="false">D1409*F1409</f>
        <v>4.16</v>
      </c>
      <c r="J1409" s="6" t="n">
        <f aca="false">HOUR(E1409)</f>
        <v>12</v>
      </c>
      <c r="K1409" s="6" t="n">
        <f aca="false">IF(COUNTIF($A$2:$A1409,A1409)=1,1,0)</f>
        <v>0</v>
      </c>
    </row>
    <row r="1410" customFormat="false" ht="15" hidden="false" customHeight="false" outlineLevel="0" collapsed="false">
      <c r="A1410" s="0" t="s">
        <v>359</v>
      </c>
      <c r="B1410" s="0" t="s">
        <v>99</v>
      </c>
      <c r="C1410" s="0" t="s">
        <v>100</v>
      </c>
      <c r="D1410" s="0" t="n">
        <v>11</v>
      </c>
      <c r="E1410" s="5" t="n">
        <v>45950.5410416667</v>
      </c>
      <c r="F1410" s="0" t="n">
        <v>2.08</v>
      </c>
      <c r="G1410" s="0" t="n">
        <v>17204</v>
      </c>
      <c r="H1410" s="6" t="s">
        <v>42</v>
      </c>
      <c r="I1410" s="6" t="n">
        <f aca="false">D1410*F1410</f>
        <v>22.88</v>
      </c>
      <c r="J1410" s="6" t="n">
        <f aca="false">HOUR(E1410)</f>
        <v>12</v>
      </c>
      <c r="K1410" s="6" t="n">
        <f aca="false">IF(COUNTIF($A$2:$A1410,A1410)=1,1,0)</f>
        <v>0</v>
      </c>
    </row>
    <row r="1411" customFormat="false" ht="15" hidden="false" customHeight="false" outlineLevel="0" collapsed="false">
      <c r="A1411" s="0" t="s">
        <v>359</v>
      </c>
      <c r="B1411" s="0" t="s">
        <v>125</v>
      </c>
      <c r="C1411" s="0" t="s">
        <v>126</v>
      </c>
      <c r="D1411" s="0" t="n">
        <v>22</v>
      </c>
      <c r="E1411" s="5" t="n">
        <v>45950.5410416667</v>
      </c>
      <c r="F1411" s="0" t="n">
        <v>1.25</v>
      </c>
      <c r="G1411" s="0" t="n">
        <v>17204</v>
      </c>
      <c r="H1411" s="6" t="s">
        <v>42</v>
      </c>
      <c r="I1411" s="6" t="n">
        <f aca="false">D1411*F1411</f>
        <v>27.5</v>
      </c>
      <c r="J1411" s="6" t="n">
        <f aca="false">HOUR(E1411)</f>
        <v>12</v>
      </c>
      <c r="K1411" s="6" t="n">
        <f aca="false">IF(COUNTIF($A$2:$A1411,A1411)=1,1,0)</f>
        <v>0</v>
      </c>
    </row>
    <row r="1412" customFormat="false" ht="15" hidden="false" customHeight="false" outlineLevel="0" collapsed="false">
      <c r="A1412" s="0" t="s">
        <v>359</v>
      </c>
      <c r="B1412" s="0" t="s">
        <v>83</v>
      </c>
      <c r="C1412" s="0" t="s">
        <v>84</v>
      </c>
      <c r="D1412" s="0" t="n">
        <v>4</v>
      </c>
      <c r="E1412" s="5" t="n">
        <v>45950.5410416667</v>
      </c>
      <c r="F1412" s="0" t="n">
        <v>2.95</v>
      </c>
      <c r="G1412" s="0" t="n">
        <v>17204</v>
      </c>
      <c r="H1412" s="6" t="s">
        <v>42</v>
      </c>
      <c r="I1412" s="6" t="n">
        <f aca="false">D1412*F1412</f>
        <v>11.8</v>
      </c>
      <c r="J1412" s="6" t="n">
        <f aca="false">HOUR(E1412)</f>
        <v>12</v>
      </c>
      <c r="K1412" s="6" t="n">
        <f aca="false">IF(COUNTIF($A$2:$A1412,A1412)=1,1,0)</f>
        <v>0</v>
      </c>
    </row>
    <row r="1413" customFormat="false" ht="15" hidden="false" customHeight="false" outlineLevel="0" collapsed="false">
      <c r="A1413" s="0" t="s">
        <v>360</v>
      </c>
      <c r="B1413" s="0" t="s">
        <v>125</v>
      </c>
      <c r="C1413" s="0" t="s">
        <v>126</v>
      </c>
      <c r="D1413" s="0" t="n">
        <v>5</v>
      </c>
      <c r="E1413" s="5" t="n">
        <v>45950.5556712963</v>
      </c>
      <c r="F1413" s="0" t="n">
        <v>1.25</v>
      </c>
      <c r="G1413" s="0" t="n">
        <v>17080</v>
      </c>
      <c r="H1413" s="6" t="s">
        <v>74</v>
      </c>
      <c r="I1413" s="6" t="n">
        <f aca="false">D1413*F1413</f>
        <v>6.25</v>
      </c>
      <c r="J1413" s="6" t="n">
        <f aca="false">HOUR(E1413)</f>
        <v>13</v>
      </c>
      <c r="K1413" s="6" t="n">
        <f aca="false">IF(COUNTIF($A$2:$A1413,A1413)=1,1,0)</f>
        <v>1</v>
      </c>
    </row>
    <row r="1414" customFormat="false" ht="15" hidden="false" customHeight="false" outlineLevel="0" collapsed="false">
      <c r="A1414" s="0" t="s">
        <v>360</v>
      </c>
      <c r="B1414" s="0" t="s">
        <v>140</v>
      </c>
      <c r="C1414" s="0" t="s">
        <v>141</v>
      </c>
      <c r="D1414" s="0" t="n">
        <v>10</v>
      </c>
      <c r="E1414" s="5" t="n">
        <v>45950.5556712963</v>
      </c>
      <c r="F1414" s="0" t="n">
        <v>2.08</v>
      </c>
      <c r="G1414" s="0" t="n">
        <v>17080</v>
      </c>
      <c r="H1414" s="6" t="s">
        <v>74</v>
      </c>
      <c r="I1414" s="6" t="n">
        <f aca="false">D1414*F1414</f>
        <v>20.8</v>
      </c>
      <c r="J1414" s="6" t="n">
        <f aca="false">HOUR(E1414)</f>
        <v>13</v>
      </c>
      <c r="K1414" s="6" t="n">
        <f aca="false">IF(COUNTIF($A$2:$A1414,A1414)=1,1,0)</f>
        <v>0</v>
      </c>
    </row>
    <row r="1415" customFormat="false" ht="15" hidden="false" customHeight="false" outlineLevel="0" collapsed="false">
      <c r="A1415" s="0" t="s">
        <v>360</v>
      </c>
      <c r="B1415" s="0" t="s">
        <v>65</v>
      </c>
      <c r="C1415" s="0" t="s">
        <v>66</v>
      </c>
      <c r="D1415" s="0" t="n">
        <v>14</v>
      </c>
      <c r="E1415" s="5" t="n">
        <v>45950.5556712963</v>
      </c>
      <c r="F1415" s="0" t="n">
        <v>1.65</v>
      </c>
      <c r="G1415" s="0" t="n">
        <v>17080</v>
      </c>
      <c r="H1415" s="6" t="s">
        <v>74</v>
      </c>
      <c r="I1415" s="6" t="n">
        <f aca="false">D1415*F1415</f>
        <v>23.1</v>
      </c>
      <c r="J1415" s="6" t="n">
        <f aca="false">HOUR(E1415)</f>
        <v>13</v>
      </c>
      <c r="K1415" s="6" t="n">
        <f aca="false">IF(COUNTIF($A$2:$A1415,A1415)=1,1,0)</f>
        <v>0</v>
      </c>
    </row>
    <row r="1416" customFormat="false" ht="15" hidden="false" customHeight="false" outlineLevel="0" collapsed="false">
      <c r="A1416" s="0" t="s">
        <v>360</v>
      </c>
      <c r="B1416" s="0" t="s">
        <v>59</v>
      </c>
      <c r="D1416" s="0" t="n">
        <v>13</v>
      </c>
      <c r="E1416" s="5" t="n">
        <v>45950.5556712963</v>
      </c>
      <c r="F1416" s="0" t="n">
        <v>0.42</v>
      </c>
      <c r="G1416" s="0" t="n">
        <v>17080</v>
      </c>
      <c r="H1416" s="6" t="s">
        <v>74</v>
      </c>
      <c r="I1416" s="6" t="n">
        <f aca="false">D1416*F1416</f>
        <v>5.46</v>
      </c>
      <c r="J1416" s="6" t="n">
        <f aca="false">HOUR(E1416)</f>
        <v>13</v>
      </c>
      <c r="K1416" s="6" t="n">
        <f aca="false">IF(COUNTIF($A$2:$A1416,A1416)=1,1,0)</f>
        <v>0</v>
      </c>
    </row>
    <row r="1417" customFormat="false" ht="15" hidden="false" customHeight="false" outlineLevel="0" collapsed="false">
      <c r="A1417" s="0" t="s">
        <v>360</v>
      </c>
      <c r="B1417" s="0" t="s">
        <v>121</v>
      </c>
      <c r="C1417" s="0" t="s">
        <v>122</v>
      </c>
      <c r="D1417" s="0" t="n">
        <v>10</v>
      </c>
      <c r="E1417" s="5" t="n">
        <v>45950.5556712963</v>
      </c>
      <c r="F1417" s="0" t="n">
        <v>2.1</v>
      </c>
      <c r="G1417" s="0" t="n">
        <v>17080</v>
      </c>
      <c r="H1417" s="6" t="s">
        <v>74</v>
      </c>
      <c r="I1417" s="6" t="n">
        <f aca="false">D1417*F1417</f>
        <v>21</v>
      </c>
      <c r="J1417" s="6" t="n">
        <f aca="false">HOUR(E1417)</f>
        <v>13</v>
      </c>
      <c r="K1417" s="6" t="n">
        <f aca="false">IF(COUNTIF($A$2:$A1417,A1417)=1,1,0)</f>
        <v>0</v>
      </c>
    </row>
    <row r="1418" customFormat="false" ht="15" hidden="false" customHeight="false" outlineLevel="0" collapsed="false">
      <c r="A1418" s="0" t="s">
        <v>360</v>
      </c>
      <c r="B1418" s="0" t="s">
        <v>43</v>
      </c>
      <c r="C1418" s="0" t="s">
        <v>44</v>
      </c>
      <c r="D1418" s="0" t="n">
        <v>14</v>
      </c>
      <c r="E1418" s="5" t="n">
        <v>45950.5556712963</v>
      </c>
      <c r="F1418" s="0" t="n">
        <v>4.25</v>
      </c>
      <c r="G1418" s="0" t="n">
        <v>17080</v>
      </c>
      <c r="H1418" s="6" t="s">
        <v>74</v>
      </c>
      <c r="I1418" s="6" t="n">
        <f aca="false">D1418*F1418</f>
        <v>59.5</v>
      </c>
      <c r="J1418" s="6" t="n">
        <f aca="false">HOUR(E1418)</f>
        <v>13</v>
      </c>
      <c r="K1418" s="6" t="n">
        <f aca="false">IF(COUNTIF($A$2:$A1418,A1418)=1,1,0)</f>
        <v>0</v>
      </c>
    </row>
    <row r="1419" customFormat="false" ht="15" hidden="false" customHeight="false" outlineLevel="0" collapsed="false">
      <c r="A1419" s="0" t="s">
        <v>360</v>
      </c>
      <c r="B1419" s="0" t="s">
        <v>55</v>
      </c>
      <c r="C1419" s="0" t="s">
        <v>56</v>
      </c>
      <c r="D1419" s="0" t="n">
        <v>14</v>
      </c>
      <c r="E1419" s="5" t="n">
        <v>45950.5556712963</v>
      </c>
      <c r="F1419" s="0" t="n">
        <v>1.65</v>
      </c>
      <c r="G1419" s="0" t="n">
        <v>17080</v>
      </c>
      <c r="H1419" s="6" t="s">
        <v>74</v>
      </c>
      <c r="I1419" s="6" t="n">
        <f aca="false">D1419*F1419</f>
        <v>23.1</v>
      </c>
      <c r="J1419" s="6" t="n">
        <f aca="false">HOUR(E1419)</f>
        <v>13</v>
      </c>
      <c r="K1419" s="6" t="n">
        <f aca="false">IF(COUNTIF($A$2:$A1419,A1419)=1,1,0)</f>
        <v>0</v>
      </c>
    </row>
    <row r="1420" customFormat="false" ht="15" hidden="false" customHeight="false" outlineLevel="0" collapsed="false">
      <c r="A1420" s="0" t="s">
        <v>360</v>
      </c>
      <c r="B1420" s="0" t="s">
        <v>83</v>
      </c>
      <c r="C1420" s="0" t="s">
        <v>84</v>
      </c>
      <c r="D1420" s="0" t="n">
        <v>11</v>
      </c>
      <c r="E1420" s="5" t="n">
        <v>45950.5556712963</v>
      </c>
      <c r="F1420" s="0" t="n">
        <v>2.95</v>
      </c>
      <c r="G1420" s="0" t="n">
        <v>17080</v>
      </c>
      <c r="H1420" s="6" t="s">
        <v>74</v>
      </c>
      <c r="I1420" s="6" t="n">
        <f aca="false">D1420*F1420</f>
        <v>32.45</v>
      </c>
      <c r="J1420" s="6" t="n">
        <f aca="false">HOUR(E1420)</f>
        <v>13</v>
      </c>
      <c r="K1420" s="6" t="n">
        <f aca="false">IF(COUNTIF($A$2:$A1420,A1420)=1,1,0)</f>
        <v>0</v>
      </c>
    </row>
    <row r="1421" customFormat="false" ht="15" hidden="false" customHeight="false" outlineLevel="0" collapsed="false">
      <c r="A1421" s="0" t="s">
        <v>360</v>
      </c>
      <c r="B1421" s="0" t="s">
        <v>50</v>
      </c>
      <c r="C1421" s="0" t="s">
        <v>51</v>
      </c>
      <c r="D1421" s="0" t="n">
        <v>9</v>
      </c>
      <c r="E1421" s="5" t="n">
        <v>45950.5556712963</v>
      </c>
      <c r="F1421" s="0" t="n">
        <v>5.95</v>
      </c>
      <c r="G1421" s="0" t="n">
        <v>17080</v>
      </c>
      <c r="H1421" s="6" t="s">
        <v>74</v>
      </c>
      <c r="I1421" s="6" t="n">
        <f aca="false">D1421*F1421</f>
        <v>53.55</v>
      </c>
      <c r="J1421" s="6" t="n">
        <f aca="false">HOUR(E1421)</f>
        <v>13</v>
      </c>
      <c r="K1421" s="6" t="n">
        <f aca="false">IF(COUNTIF($A$2:$A1421,A1421)=1,1,0)</f>
        <v>0</v>
      </c>
    </row>
    <row r="1422" customFormat="false" ht="15" hidden="false" customHeight="false" outlineLevel="0" collapsed="false">
      <c r="A1422" s="0" t="s">
        <v>360</v>
      </c>
      <c r="B1422" s="0" t="s">
        <v>53</v>
      </c>
      <c r="C1422" s="0" t="s">
        <v>54</v>
      </c>
      <c r="D1422" s="0" t="n">
        <v>12</v>
      </c>
      <c r="E1422" s="5" t="n">
        <v>45950.5556712963</v>
      </c>
      <c r="F1422" s="0" t="n">
        <v>2.95</v>
      </c>
      <c r="G1422" s="0" t="n">
        <v>17080</v>
      </c>
      <c r="H1422" s="6" t="s">
        <v>74</v>
      </c>
      <c r="I1422" s="6" t="n">
        <f aca="false">D1422*F1422</f>
        <v>35.4</v>
      </c>
      <c r="J1422" s="6" t="n">
        <f aca="false">HOUR(E1422)</f>
        <v>13</v>
      </c>
      <c r="K1422" s="6" t="n">
        <f aca="false">IF(COUNTIF($A$2:$A1422,A1422)=1,1,0)</f>
        <v>0</v>
      </c>
    </row>
    <row r="1423" customFormat="false" ht="15" hidden="false" customHeight="false" outlineLevel="0" collapsed="false">
      <c r="A1423" s="0" t="s">
        <v>361</v>
      </c>
      <c r="B1423" s="0" t="s">
        <v>69</v>
      </c>
      <c r="C1423" s="0" t="s">
        <v>70</v>
      </c>
      <c r="D1423" s="0" t="n">
        <v>38</v>
      </c>
      <c r="E1423" s="5" t="n">
        <v>45950.6116435185</v>
      </c>
      <c r="F1423" s="0" t="n">
        <v>2.08</v>
      </c>
      <c r="G1423" s="0" t="n">
        <v>17203</v>
      </c>
      <c r="H1423" s="6" t="s">
        <v>74</v>
      </c>
      <c r="I1423" s="6" t="n">
        <f aca="false">D1423*F1423</f>
        <v>79.04</v>
      </c>
      <c r="J1423" s="6" t="n">
        <f aca="false">HOUR(E1423)</f>
        <v>14</v>
      </c>
      <c r="K1423" s="6" t="n">
        <f aca="false">IF(COUNTIF($A$2:$A1423,A1423)=1,1,0)</f>
        <v>1</v>
      </c>
    </row>
    <row r="1424" customFormat="false" ht="15" hidden="false" customHeight="false" outlineLevel="0" collapsed="false">
      <c r="A1424" s="0" t="s">
        <v>361</v>
      </c>
      <c r="B1424" s="0" t="s">
        <v>137</v>
      </c>
      <c r="C1424" s="0" t="s">
        <v>138</v>
      </c>
      <c r="D1424" s="0" t="n">
        <v>4</v>
      </c>
      <c r="E1424" s="5" t="n">
        <v>45950.6116435185</v>
      </c>
      <c r="F1424" s="0" t="n">
        <v>2.1</v>
      </c>
      <c r="G1424" s="0" t="n">
        <v>17203</v>
      </c>
      <c r="H1424" s="6" t="s">
        <v>74</v>
      </c>
      <c r="I1424" s="6" t="n">
        <f aca="false">D1424*F1424</f>
        <v>8.4</v>
      </c>
      <c r="J1424" s="6" t="n">
        <f aca="false">HOUR(E1424)</f>
        <v>14</v>
      </c>
      <c r="K1424" s="6" t="n">
        <f aca="false">IF(COUNTIF($A$2:$A1424,A1424)=1,1,0)</f>
        <v>0</v>
      </c>
    </row>
    <row r="1425" customFormat="false" ht="15" hidden="false" customHeight="false" outlineLevel="0" collapsed="false">
      <c r="A1425" s="0" t="s">
        <v>361</v>
      </c>
      <c r="B1425" s="0" t="s">
        <v>114</v>
      </c>
      <c r="C1425" s="0" t="s">
        <v>115</v>
      </c>
      <c r="D1425" s="0" t="n">
        <v>4</v>
      </c>
      <c r="E1425" s="5" t="n">
        <v>45950.6116435185</v>
      </c>
      <c r="F1425" s="0" t="n">
        <v>2.08</v>
      </c>
      <c r="G1425" s="0" t="n">
        <v>17203</v>
      </c>
      <c r="H1425" s="6" t="s">
        <v>74</v>
      </c>
      <c r="I1425" s="6" t="n">
        <f aca="false">D1425*F1425</f>
        <v>8.32</v>
      </c>
      <c r="J1425" s="6" t="n">
        <f aca="false">HOUR(E1425)</f>
        <v>14</v>
      </c>
      <c r="K1425" s="6" t="n">
        <f aca="false">IF(COUNTIF($A$2:$A1425,A1425)=1,1,0)</f>
        <v>0</v>
      </c>
    </row>
    <row r="1426" customFormat="false" ht="15" hidden="false" customHeight="false" outlineLevel="0" collapsed="false">
      <c r="A1426" s="0" t="s">
        <v>361</v>
      </c>
      <c r="B1426" s="0" t="s">
        <v>57</v>
      </c>
      <c r="C1426" s="0" t="s">
        <v>58</v>
      </c>
      <c r="D1426" s="0" t="n">
        <v>15</v>
      </c>
      <c r="E1426" s="5" t="n">
        <v>45950.6116435185</v>
      </c>
      <c r="F1426" s="0" t="n">
        <v>2.08</v>
      </c>
      <c r="G1426" s="0" t="n">
        <v>17203</v>
      </c>
      <c r="H1426" s="6" t="s">
        <v>74</v>
      </c>
      <c r="I1426" s="6" t="n">
        <f aca="false">D1426*F1426</f>
        <v>31.2</v>
      </c>
      <c r="J1426" s="6" t="n">
        <f aca="false">HOUR(E1426)</f>
        <v>14</v>
      </c>
      <c r="K1426" s="6" t="n">
        <f aca="false">IF(COUNTIF($A$2:$A1426,A1426)=1,1,0)</f>
        <v>0</v>
      </c>
    </row>
    <row r="1427" customFormat="false" ht="15" hidden="false" customHeight="false" outlineLevel="0" collapsed="false">
      <c r="A1427" s="0" t="s">
        <v>361</v>
      </c>
      <c r="B1427" s="0" t="s">
        <v>50</v>
      </c>
      <c r="C1427" s="0" t="s">
        <v>51</v>
      </c>
      <c r="D1427" s="0" t="n">
        <v>19</v>
      </c>
      <c r="E1427" s="5" t="n">
        <v>45950.6116435185</v>
      </c>
      <c r="F1427" s="0" t="n">
        <v>5.95</v>
      </c>
      <c r="G1427" s="0" t="n">
        <v>17203</v>
      </c>
      <c r="H1427" s="6" t="s">
        <v>74</v>
      </c>
      <c r="I1427" s="6" t="n">
        <f aca="false">D1427*F1427</f>
        <v>113.05</v>
      </c>
      <c r="J1427" s="6" t="n">
        <f aca="false">HOUR(E1427)</f>
        <v>14</v>
      </c>
      <c r="K1427" s="6" t="n">
        <f aca="false">IF(COUNTIF($A$2:$A1427,A1427)=1,1,0)</f>
        <v>0</v>
      </c>
    </row>
    <row r="1428" customFormat="false" ht="15" hidden="false" customHeight="false" outlineLevel="0" collapsed="false">
      <c r="A1428" s="0" t="s">
        <v>361</v>
      </c>
      <c r="B1428" s="0" t="s">
        <v>91</v>
      </c>
      <c r="C1428" s="0" t="s">
        <v>92</v>
      </c>
      <c r="D1428" s="0" t="n">
        <v>19</v>
      </c>
      <c r="E1428" s="5" t="n">
        <v>45950.6116435185</v>
      </c>
      <c r="F1428" s="0" t="n">
        <v>7.65</v>
      </c>
      <c r="G1428" s="0" t="n">
        <v>17203</v>
      </c>
      <c r="H1428" s="6" t="s">
        <v>74</v>
      </c>
      <c r="I1428" s="6" t="n">
        <f aca="false">D1428*F1428</f>
        <v>145.35</v>
      </c>
      <c r="J1428" s="6" t="n">
        <f aca="false">HOUR(E1428)</f>
        <v>14</v>
      </c>
      <c r="K1428" s="6" t="n">
        <f aca="false">IF(COUNTIF($A$2:$A1428,A1428)=1,1,0)</f>
        <v>0</v>
      </c>
    </row>
    <row r="1429" customFormat="false" ht="15" hidden="false" customHeight="false" outlineLevel="0" collapsed="false">
      <c r="A1429" s="0" t="s">
        <v>361</v>
      </c>
      <c r="B1429" s="0" t="s">
        <v>65</v>
      </c>
      <c r="C1429" s="0" t="s">
        <v>66</v>
      </c>
      <c r="D1429" s="0" t="n">
        <v>19</v>
      </c>
      <c r="E1429" s="5" t="n">
        <v>45950.6116435185</v>
      </c>
      <c r="F1429" s="0" t="n">
        <v>1.65</v>
      </c>
      <c r="G1429" s="0" t="n">
        <v>17203</v>
      </c>
      <c r="H1429" s="6" t="s">
        <v>74</v>
      </c>
      <c r="I1429" s="6" t="n">
        <f aca="false">D1429*F1429</f>
        <v>31.35</v>
      </c>
      <c r="J1429" s="6" t="n">
        <f aca="false">HOUR(E1429)</f>
        <v>14</v>
      </c>
      <c r="K1429" s="6" t="n">
        <f aca="false">IF(COUNTIF($A$2:$A1429,A1429)=1,1,0)</f>
        <v>0</v>
      </c>
    </row>
    <row r="1430" customFormat="false" ht="15" hidden="false" customHeight="false" outlineLevel="0" collapsed="false">
      <c r="A1430" s="0" t="s">
        <v>361</v>
      </c>
      <c r="B1430" s="0" t="s">
        <v>125</v>
      </c>
      <c r="C1430" s="0" t="s">
        <v>126</v>
      </c>
      <c r="D1430" s="0" t="n">
        <v>23</v>
      </c>
      <c r="E1430" s="5" t="n">
        <v>45950.6116435185</v>
      </c>
      <c r="F1430" s="0" t="n">
        <v>1.25</v>
      </c>
      <c r="G1430" s="0" t="n">
        <v>17203</v>
      </c>
      <c r="H1430" s="6" t="s">
        <v>74</v>
      </c>
      <c r="I1430" s="6" t="n">
        <f aca="false">D1430*F1430</f>
        <v>28.75</v>
      </c>
      <c r="J1430" s="6" t="n">
        <f aca="false">HOUR(E1430)</f>
        <v>14</v>
      </c>
      <c r="K1430" s="6" t="n">
        <f aca="false">IF(COUNTIF($A$2:$A1430,A1430)=1,1,0)</f>
        <v>0</v>
      </c>
    </row>
    <row r="1431" customFormat="false" ht="15" hidden="false" customHeight="false" outlineLevel="0" collapsed="false">
      <c r="A1431" s="0" t="s">
        <v>362</v>
      </c>
      <c r="B1431" s="0" t="s">
        <v>63</v>
      </c>
      <c r="C1431" s="0" t="s">
        <v>64</v>
      </c>
      <c r="D1431" s="0" t="n">
        <v>14</v>
      </c>
      <c r="E1431" s="5" t="n">
        <v>45950.623912037</v>
      </c>
      <c r="F1431" s="0" t="n">
        <v>1.85</v>
      </c>
      <c r="G1431" s="0" t="n">
        <v>17044</v>
      </c>
      <c r="H1431" s="6" t="s">
        <v>113</v>
      </c>
      <c r="I1431" s="6" t="n">
        <f aca="false">D1431*F1431</f>
        <v>25.9</v>
      </c>
      <c r="J1431" s="6" t="n">
        <f aca="false">HOUR(E1431)</f>
        <v>14</v>
      </c>
      <c r="K1431" s="6" t="n">
        <f aca="false">IF(COUNTIF($A$2:$A1431,A1431)=1,1,0)</f>
        <v>1</v>
      </c>
    </row>
    <row r="1432" customFormat="false" ht="15" hidden="false" customHeight="false" outlineLevel="0" collapsed="false">
      <c r="A1432" s="0" t="s">
        <v>362</v>
      </c>
      <c r="B1432" s="0" t="s">
        <v>145</v>
      </c>
      <c r="C1432" s="0" t="s">
        <v>146</v>
      </c>
      <c r="D1432" s="0" t="n">
        <v>13</v>
      </c>
      <c r="E1432" s="5" t="n">
        <v>45950.623912037</v>
      </c>
      <c r="F1432" s="0" t="n">
        <v>1.85</v>
      </c>
      <c r="G1432" s="0" t="n">
        <v>17044</v>
      </c>
      <c r="H1432" s="6" t="s">
        <v>113</v>
      </c>
      <c r="I1432" s="6" t="n">
        <f aca="false">D1432*F1432</f>
        <v>24.05</v>
      </c>
      <c r="J1432" s="6" t="n">
        <f aca="false">HOUR(E1432)</f>
        <v>14</v>
      </c>
      <c r="K1432" s="6" t="n">
        <f aca="false">IF(COUNTIF($A$2:$A1432,A1432)=1,1,0)</f>
        <v>0</v>
      </c>
    </row>
    <row r="1433" customFormat="false" ht="15" hidden="false" customHeight="false" outlineLevel="0" collapsed="false">
      <c r="A1433" s="0" t="s">
        <v>363</v>
      </c>
      <c r="B1433" s="0" t="s">
        <v>93</v>
      </c>
      <c r="C1433" s="0" t="s">
        <v>94</v>
      </c>
      <c r="D1433" s="0" t="n">
        <v>13</v>
      </c>
      <c r="E1433" s="5" t="n">
        <v>45950.6653703704</v>
      </c>
      <c r="F1433" s="0" t="n">
        <v>1.69</v>
      </c>
      <c r="G1433" s="0" t="n">
        <v>17147</v>
      </c>
      <c r="H1433" s="6" t="s">
        <v>42</v>
      </c>
      <c r="I1433" s="6" t="n">
        <f aca="false">D1433*F1433</f>
        <v>21.97</v>
      </c>
      <c r="J1433" s="6" t="n">
        <f aca="false">HOUR(E1433)</f>
        <v>15</v>
      </c>
      <c r="K1433" s="6" t="n">
        <f aca="false">IF(COUNTIF($A$2:$A1433,A1433)=1,1,0)</f>
        <v>1</v>
      </c>
    </row>
    <row r="1434" customFormat="false" ht="15" hidden="false" customHeight="false" outlineLevel="0" collapsed="false">
      <c r="A1434" s="0" t="s">
        <v>364</v>
      </c>
      <c r="B1434" s="0" t="s">
        <v>59</v>
      </c>
      <c r="C1434" s="0" t="s">
        <v>60</v>
      </c>
      <c r="D1434" s="0" t="n">
        <v>17</v>
      </c>
      <c r="E1434" s="5" t="n">
        <v>45950.7094560185</v>
      </c>
      <c r="F1434" s="0" t="n">
        <v>0.42</v>
      </c>
      <c r="G1434" s="0" t="n">
        <v>17019</v>
      </c>
      <c r="H1434" s="6" t="s">
        <v>113</v>
      </c>
      <c r="I1434" s="6" t="n">
        <f aca="false">D1434*F1434</f>
        <v>7.14</v>
      </c>
      <c r="J1434" s="6" t="n">
        <f aca="false">HOUR(E1434)</f>
        <v>17</v>
      </c>
      <c r="K1434" s="6" t="n">
        <f aca="false">IF(COUNTIF($A$2:$A1434,A1434)=1,1,0)</f>
        <v>1</v>
      </c>
    </row>
    <row r="1435" customFormat="false" ht="15" hidden="false" customHeight="false" outlineLevel="0" collapsed="false">
      <c r="A1435" s="0" t="s">
        <v>364</v>
      </c>
      <c r="B1435" s="0" t="s">
        <v>50</v>
      </c>
      <c r="C1435" s="0" t="s">
        <v>51</v>
      </c>
      <c r="D1435" s="0" t="n">
        <v>17</v>
      </c>
      <c r="E1435" s="5" t="n">
        <v>45950.7094560185</v>
      </c>
      <c r="F1435" s="0" t="n">
        <v>5.95</v>
      </c>
      <c r="G1435" s="0" t="n">
        <v>17019</v>
      </c>
      <c r="H1435" s="6" t="s">
        <v>113</v>
      </c>
      <c r="I1435" s="6" t="n">
        <f aca="false">D1435*F1435</f>
        <v>101.15</v>
      </c>
      <c r="J1435" s="6" t="n">
        <f aca="false">HOUR(E1435)</f>
        <v>17</v>
      </c>
      <c r="K1435" s="6" t="n">
        <f aca="false">IF(COUNTIF($A$2:$A1435,A1435)=1,1,0)</f>
        <v>0</v>
      </c>
    </row>
    <row r="1436" customFormat="false" ht="15" hidden="false" customHeight="false" outlineLevel="0" collapsed="false">
      <c r="A1436" s="0" t="s">
        <v>364</v>
      </c>
      <c r="B1436" s="0" t="s">
        <v>93</v>
      </c>
      <c r="C1436" s="0" t="s">
        <v>94</v>
      </c>
      <c r="D1436" s="0" t="n">
        <v>23</v>
      </c>
      <c r="E1436" s="5" t="n">
        <v>45950.7094560185</v>
      </c>
      <c r="F1436" s="0" t="n">
        <v>1.69</v>
      </c>
      <c r="G1436" s="0" t="n">
        <v>17019</v>
      </c>
      <c r="H1436" s="6" t="s">
        <v>113</v>
      </c>
      <c r="I1436" s="6" t="n">
        <f aca="false">D1436*F1436</f>
        <v>38.87</v>
      </c>
      <c r="J1436" s="6" t="n">
        <f aca="false">HOUR(E1436)</f>
        <v>17</v>
      </c>
      <c r="K1436" s="6" t="n">
        <f aca="false">IF(COUNTIF($A$2:$A1436,A1436)=1,1,0)</f>
        <v>0</v>
      </c>
    </row>
    <row r="1437" customFormat="false" ht="15" hidden="false" customHeight="false" outlineLevel="0" collapsed="false">
      <c r="A1437" s="0" t="s">
        <v>364</v>
      </c>
      <c r="B1437" s="0" t="s">
        <v>121</v>
      </c>
      <c r="C1437" s="0" t="s">
        <v>122</v>
      </c>
      <c r="D1437" s="0" t="n">
        <v>22</v>
      </c>
      <c r="E1437" s="5" t="n">
        <v>45950.7094560185</v>
      </c>
      <c r="F1437" s="0" t="n">
        <v>2.1</v>
      </c>
      <c r="G1437" s="0" t="n">
        <v>17019</v>
      </c>
      <c r="H1437" s="6" t="s">
        <v>113</v>
      </c>
      <c r="I1437" s="6" t="n">
        <f aca="false">D1437*F1437</f>
        <v>46.2</v>
      </c>
      <c r="J1437" s="6" t="n">
        <f aca="false">HOUR(E1437)</f>
        <v>17</v>
      </c>
      <c r="K1437" s="6" t="n">
        <f aca="false">IF(COUNTIF($A$2:$A1437,A1437)=1,1,0)</f>
        <v>0</v>
      </c>
    </row>
    <row r="1438" customFormat="false" ht="15" hidden="false" customHeight="false" outlineLevel="0" collapsed="false">
      <c r="A1438" s="0" t="s">
        <v>364</v>
      </c>
      <c r="B1438" s="0" t="s">
        <v>91</v>
      </c>
      <c r="C1438" s="0" t="s">
        <v>92</v>
      </c>
      <c r="D1438" s="0" t="n">
        <v>24</v>
      </c>
      <c r="E1438" s="5" t="n">
        <v>45950.7094560185</v>
      </c>
      <c r="F1438" s="0" t="n">
        <v>7.65</v>
      </c>
      <c r="G1438" s="0" t="n">
        <v>17019</v>
      </c>
      <c r="H1438" s="6" t="s">
        <v>113</v>
      </c>
      <c r="I1438" s="6" t="n">
        <f aca="false">D1438*F1438</f>
        <v>183.6</v>
      </c>
      <c r="J1438" s="6" t="n">
        <f aca="false">HOUR(E1438)</f>
        <v>17</v>
      </c>
      <c r="K1438" s="6" t="n">
        <f aca="false">IF(COUNTIF($A$2:$A1438,A1438)=1,1,0)</f>
        <v>0</v>
      </c>
    </row>
    <row r="1439" customFormat="false" ht="15" hidden="false" customHeight="false" outlineLevel="0" collapsed="false">
      <c r="A1439" s="0" t="s">
        <v>365</v>
      </c>
      <c r="B1439" s="0" t="s">
        <v>134</v>
      </c>
      <c r="C1439" s="0" t="s">
        <v>135</v>
      </c>
      <c r="D1439" s="0" t="n">
        <v>8</v>
      </c>
      <c r="E1439" s="5" t="n">
        <v>45950.74125</v>
      </c>
      <c r="F1439" s="0" t="n">
        <v>5.95</v>
      </c>
      <c r="G1439" s="0" t="n">
        <v>17157</v>
      </c>
      <c r="H1439" s="6" t="s">
        <v>74</v>
      </c>
      <c r="I1439" s="6" t="n">
        <f aca="false">D1439*F1439</f>
        <v>47.6</v>
      </c>
      <c r="J1439" s="6" t="n">
        <f aca="false">HOUR(E1439)</f>
        <v>17</v>
      </c>
      <c r="K1439" s="6" t="n">
        <f aca="false">IF(COUNTIF($A$2:$A1439,A1439)=1,1,0)</f>
        <v>1</v>
      </c>
    </row>
    <row r="1440" customFormat="false" ht="15" hidden="false" customHeight="false" outlineLevel="0" collapsed="false">
      <c r="A1440" s="0" t="s">
        <v>365</v>
      </c>
      <c r="B1440" s="0" t="s">
        <v>72</v>
      </c>
      <c r="C1440" s="0" t="s">
        <v>73</v>
      </c>
      <c r="D1440" s="0" t="n">
        <v>32</v>
      </c>
      <c r="E1440" s="5" t="n">
        <v>45950.74125</v>
      </c>
      <c r="F1440" s="0" t="n">
        <v>4.95</v>
      </c>
      <c r="G1440" s="0" t="n">
        <v>17157</v>
      </c>
      <c r="H1440" s="6" t="s">
        <v>74</v>
      </c>
      <c r="I1440" s="6" t="n">
        <f aca="false">D1440*F1440</f>
        <v>158.4</v>
      </c>
      <c r="J1440" s="6" t="n">
        <f aca="false">HOUR(E1440)</f>
        <v>17</v>
      </c>
      <c r="K1440" s="6" t="n">
        <f aca="false">IF(COUNTIF($A$2:$A1440,A1440)=1,1,0)</f>
        <v>0</v>
      </c>
    </row>
    <row r="1441" customFormat="false" ht="15" hidden="false" customHeight="false" outlineLevel="0" collapsed="false">
      <c r="A1441" s="0" t="s">
        <v>365</v>
      </c>
      <c r="B1441" s="0" t="s">
        <v>145</v>
      </c>
      <c r="C1441" s="0" t="s">
        <v>146</v>
      </c>
      <c r="D1441" s="0" t="n">
        <v>11</v>
      </c>
      <c r="E1441" s="5" t="n">
        <v>45950.74125</v>
      </c>
      <c r="F1441" s="0" t="n">
        <v>1.85</v>
      </c>
      <c r="G1441" s="0" t="n">
        <v>17157</v>
      </c>
      <c r="H1441" s="6" t="s">
        <v>74</v>
      </c>
      <c r="I1441" s="6" t="n">
        <f aca="false">D1441*F1441</f>
        <v>20.35</v>
      </c>
      <c r="J1441" s="6" t="n">
        <f aca="false">HOUR(E1441)</f>
        <v>17</v>
      </c>
      <c r="K1441" s="6" t="n">
        <f aca="false">IF(COUNTIF($A$2:$A1441,A1441)=1,1,0)</f>
        <v>0</v>
      </c>
    </row>
    <row r="1442" customFormat="false" ht="15" hidden="false" customHeight="false" outlineLevel="0" collapsed="false">
      <c r="A1442" s="0" t="s">
        <v>365</v>
      </c>
      <c r="B1442" s="0" t="s">
        <v>91</v>
      </c>
      <c r="C1442" s="0" t="s">
        <v>92</v>
      </c>
      <c r="D1442" s="0" t="n">
        <v>1</v>
      </c>
      <c r="E1442" s="5" t="n">
        <v>45950.74125</v>
      </c>
      <c r="F1442" s="0" t="n">
        <v>7.65</v>
      </c>
      <c r="G1442" s="0" t="n">
        <v>17157</v>
      </c>
      <c r="H1442" s="6" t="s">
        <v>74</v>
      </c>
      <c r="I1442" s="6" t="n">
        <f aca="false">D1442*F1442</f>
        <v>7.65</v>
      </c>
      <c r="J1442" s="6" t="n">
        <f aca="false">HOUR(E1442)</f>
        <v>17</v>
      </c>
      <c r="K1442" s="6" t="n">
        <f aca="false">IF(COUNTIF($A$2:$A1442,A1442)=1,1,0)</f>
        <v>0</v>
      </c>
    </row>
    <row r="1443" customFormat="false" ht="15" hidden="false" customHeight="false" outlineLevel="0" collapsed="false">
      <c r="A1443" s="0" t="s">
        <v>365</v>
      </c>
      <c r="B1443" s="0" t="s">
        <v>86</v>
      </c>
      <c r="C1443" s="0" t="s">
        <v>87</v>
      </c>
      <c r="D1443" s="0" t="n">
        <v>3</v>
      </c>
      <c r="E1443" s="5" t="n">
        <v>45950.74125</v>
      </c>
      <c r="F1443" s="0" t="n">
        <v>4.25</v>
      </c>
      <c r="G1443" s="0" t="n">
        <v>17157</v>
      </c>
      <c r="H1443" s="6" t="s">
        <v>74</v>
      </c>
      <c r="I1443" s="6" t="n">
        <f aca="false">D1443*F1443</f>
        <v>12.75</v>
      </c>
      <c r="J1443" s="6" t="n">
        <f aca="false">HOUR(E1443)</f>
        <v>17</v>
      </c>
      <c r="K1443" s="6" t="n">
        <f aca="false">IF(COUNTIF($A$2:$A1443,A1443)=1,1,0)</f>
        <v>0</v>
      </c>
    </row>
    <row r="1444" customFormat="false" ht="15" hidden="false" customHeight="false" outlineLevel="0" collapsed="false">
      <c r="A1444" s="0" t="s">
        <v>365</v>
      </c>
      <c r="B1444" s="0" t="s">
        <v>127</v>
      </c>
      <c r="C1444" s="0" t="s">
        <v>128</v>
      </c>
      <c r="D1444" s="0" t="n">
        <v>24</v>
      </c>
      <c r="E1444" s="5" t="n">
        <v>45950.74125</v>
      </c>
      <c r="F1444" s="0" t="n">
        <v>1.45</v>
      </c>
      <c r="G1444" s="0" t="n">
        <v>17157</v>
      </c>
      <c r="H1444" s="6" t="s">
        <v>74</v>
      </c>
      <c r="I1444" s="6" t="n">
        <f aca="false">D1444*F1444</f>
        <v>34.8</v>
      </c>
      <c r="J1444" s="6" t="n">
        <f aca="false">HOUR(E1444)</f>
        <v>17</v>
      </c>
      <c r="K1444" s="6" t="n">
        <f aca="false">IF(COUNTIF($A$2:$A1444,A1444)=1,1,0)</f>
        <v>0</v>
      </c>
    </row>
    <row r="1445" customFormat="false" ht="15" hidden="false" customHeight="false" outlineLevel="0" collapsed="false">
      <c r="A1445" s="0" t="s">
        <v>365</v>
      </c>
      <c r="B1445" s="0" t="s">
        <v>137</v>
      </c>
      <c r="C1445" s="0" t="s">
        <v>138</v>
      </c>
      <c r="D1445" s="0" t="n">
        <v>13</v>
      </c>
      <c r="E1445" s="5" t="n">
        <v>45950.74125</v>
      </c>
      <c r="F1445" s="0" t="n">
        <v>2.1</v>
      </c>
      <c r="G1445" s="0" t="n">
        <v>17157</v>
      </c>
      <c r="H1445" s="6" t="s">
        <v>74</v>
      </c>
      <c r="I1445" s="6" t="n">
        <f aca="false">D1445*F1445</f>
        <v>27.3</v>
      </c>
      <c r="J1445" s="6" t="n">
        <f aca="false">HOUR(E1445)</f>
        <v>17</v>
      </c>
      <c r="K1445" s="6" t="n">
        <f aca="false">IF(COUNTIF($A$2:$A1445,A1445)=1,1,0)</f>
        <v>0</v>
      </c>
    </row>
    <row r="1446" customFormat="false" ht="15" hidden="false" customHeight="false" outlineLevel="0" collapsed="false">
      <c r="A1446" s="0" t="s">
        <v>365</v>
      </c>
      <c r="B1446" s="0" t="s">
        <v>65</v>
      </c>
      <c r="C1446" s="0" t="s">
        <v>66</v>
      </c>
      <c r="D1446" s="0" t="n">
        <v>3</v>
      </c>
      <c r="E1446" s="5" t="n">
        <v>45950.74125</v>
      </c>
      <c r="F1446" s="0" t="n">
        <v>1.65</v>
      </c>
      <c r="G1446" s="0" t="n">
        <v>17157</v>
      </c>
      <c r="H1446" s="6" t="s">
        <v>74</v>
      </c>
      <c r="I1446" s="6" t="n">
        <f aca="false">D1446*F1446</f>
        <v>4.95</v>
      </c>
      <c r="J1446" s="6" t="n">
        <f aca="false">HOUR(E1446)</f>
        <v>17</v>
      </c>
      <c r="K1446" s="6" t="n">
        <f aca="false">IF(COUNTIF($A$2:$A1446,A1446)=1,1,0)</f>
        <v>0</v>
      </c>
    </row>
    <row r="1447" customFormat="false" ht="15" hidden="false" customHeight="false" outlineLevel="0" collapsed="false">
      <c r="A1447" s="0" t="s">
        <v>366</v>
      </c>
      <c r="B1447" s="0" t="s">
        <v>137</v>
      </c>
      <c r="C1447" s="0" t="s">
        <v>138</v>
      </c>
      <c r="D1447" s="0" t="n">
        <v>18</v>
      </c>
      <c r="E1447" s="5" t="n">
        <v>45950.7571180556</v>
      </c>
      <c r="F1447" s="0" t="n">
        <v>2.1</v>
      </c>
      <c r="G1447" s="0" t="n">
        <v>17225</v>
      </c>
      <c r="H1447" s="6" t="s">
        <v>74</v>
      </c>
      <c r="I1447" s="6" t="n">
        <f aca="false">D1447*F1447</f>
        <v>37.8</v>
      </c>
      <c r="J1447" s="6" t="n">
        <f aca="false">HOUR(E1447)</f>
        <v>18</v>
      </c>
      <c r="K1447" s="6" t="n">
        <f aca="false">IF(COUNTIF($A$2:$A1447,A1447)=1,1,0)</f>
        <v>1</v>
      </c>
    </row>
    <row r="1448" customFormat="false" ht="15" hidden="false" customHeight="false" outlineLevel="0" collapsed="false">
      <c r="A1448" s="0" t="s">
        <v>366</v>
      </c>
      <c r="B1448" s="0" t="s">
        <v>45</v>
      </c>
      <c r="C1448" s="0" t="s">
        <v>46</v>
      </c>
      <c r="D1448" s="0" t="n">
        <v>18</v>
      </c>
      <c r="E1448" s="5" t="n">
        <v>45950.7571180556</v>
      </c>
      <c r="F1448" s="0" t="n">
        <v>2.1</v>
      </c>
      <c r="G1448" s="0" t="n">
        <v>17225</v>
      </c>
      <c r="H1448" s="6" t="s">
        <v>74</v>
      </c>
      <c r="I1448" s="6" t="n">
        <f aca="false">D1448*F1448</f>
        <v>37.8</v>
      </c>
      <c r="J1448" s="6" t="n">
        <f aca="false">HOUR(E1448)</f>
        <v>18</v>
      </c>
      <c r="K1448" s="6" t="n">
        <f aca="false">IF(COUNTIF($A$2:$A1448,A1448)=1,1,0)</f>
        <v>0</v>
      </c>
    </row>
    <row r="1449" customFormat="false" ht="15" hidden="false" customHeight="false" outlineLevel="0" collapsed="false">
      <c r="A1449" s="0" t="s">
        <v>366</v>
      </c>
      <c r="B1449" s="0" t="s">
        <v>81</v>
      </c>
      <c r="C1449" s="0" t="s">
        <v>82</v>
      </c>
      <c r="D1449" s="0" t="n">
        <v>1</v>
      </c>
      <c r="E1449" s="5" t="n">
        <v>45950.7571180556</v>
      </c>
      <c r="F1449" s="0" t="n">
        <v>1.65</v>
      </c>
      <c r="G1449" s="0" t="n">
        <v>17225</v>
      </c>
      <c r="H1449" s="6" t="s">
        <v>74</v>
      </c>
      <c r="I1449" s="6" t="n">
        <f aca="false">D1449*F1449</f>
        <v>1.65</v>
      </c>
      <c r="J1449" s="6" t="n">
        <f aca="false">HOUR(E1449)</f>
        <v>18</v>
      </c>
      <c r="K1449" s="6" t="n">
        <f aca="false">IF(COUNTIF($A$2:$A1449,A1449)=1,1,0)</f>
        <v>0</v>
      </c>
    </row>
    <row r="1450" customFormat="false" ht="15" hidden="false" customHeight="false" outlineLevel="0" collapsed="false">
      <c r="A1450" s="0" t="s">
        <v>366</v>
      </c>
      <c r="B1450" s="0" t="s">
        <v>88</v>
      </c>
      <c r="C1450" s="0" t="s">
        <v>89</v>
      </c>
      <c r="D1450" s="0" t="n">
        <v>16</v>
      </c>
      <c r="E1450" s="5" t="n">
        <v>45950.7571180556</v>
      </c>
      <c r="F1450" s="0" t="n">
        <v>2.75</v>
      </c>
      <c r="G1450" s="0" t="n">
        <v>17225</v>
      </c>
      <c r="H1450" s="6" t="s">
        <v>74</v>
      </c>
      <c r="I1450" s="6" t="n">
        <f aca="false">D1450*F1450</f>
        <v>44</v>
      </c>
      <c r="J1450" s="6" t="n">
        <f aca="false">HOUR(E1450)</f>
        <v>18</v>
      </c>
      <c r="K1450" s="6" t="n">
        <f aca="false">IF(COUNTIF($A$2:$A1450,A1450)=1,1,0)</f>
        <v>0</v>
      </c>
    </row>
    <row r="1451" customFormat="false" ht="15" hidden="false" customHeight="false" outlineLevel="0" collapsed="false">
      <c r="A1451" s="0" t="s">
        <v>366</v>
      </c>
      <c r="B1451" s="0" t="s">
        <v>72</v>
      </c>
      <c r="C1451" s="0" t="s">
        <v>73</v>
      </c>
      <c r="D1451" s="0" t="n">
        <v>15</v>
      </c>
      <c r="E1451" s="5" t="n">
        <v>45950.7571180556</v>
      </c>
      <c r="F1451" s="0" t="n">
        <v>4.95</v>
      </c>
      <c r="G1451" s="0" t="n">
        <v>17225</v>
      </c>
      <c r="H1451" s="6" t="s">
        <v>74</v>
      </c>
      <c r="I1451" s="6" t="n">
        <f aca="false">D1451*F1451</f>
        <v>74.25</v>
      </c>
      <c r="J1451" s="6" t="n">
        <f aca="false">HOUR(E1451)</f>
        <v>18</v>
      </c>
      <c r="K1451" s="6" t="n">
        <f aca="false">IF(COUNTIF($A$2:$A1451,A1451)=1,1,0)</f>
        <v>0</v>
      </c>
    </row>
    <row r="1452" customFormat="false" ht="15" hidden="false" customHeight="false" outlineLevel="0" collapsed="false">
      <c r="A1452" s="0" t="s">
        <v>367</v>
      </c>
      <c r="B1452" s="0" t="s">
        <v>53</v>
      </c>
      <c r="C1452" s="0" t="s">
        <v>54</v>
      </c>
      <c r="D1452" s="0" t="n">
        <v>15</v>
      </c>
      <c r="E1452" s="5" t="n">
        <v>45950.955150463</v>
      </c>
      <c r="F1452" s="0" t="n">
        <v>2.95</v>
      </c>
      <c r="G1452" s="0" t="n">
        <v>17242</v>
      </c>
      <c r="H1452" s="6" t="s">
        <v>263</v>
      </c>
      <c r="I1452" s="6" t="n">
        <f aca="false">D1452*F1452</f>
        <v>44.25</v>
      </c>
      <c r="J1452" s="6" t="n">
        <f aca="false">HOUR(E1452)</f>
        <v>22</v>
      </c>
      <c r="K1452" s="6" t="n">
        <f aca="false">IF(COUNTIF($A$2:$A1452,A1452)=1,1,0)</f>
        <v>1</v>
      </c>
    </row>
    <row r="1453" customFormat="false" ht="15" hidden="false" customHeight="false" outlineLevel="0" collapsed="false">
      <c r="A1453" s="0" t="s">
        <v>367</v>
      </c>
      <c r="B1453" s="0" t="s">
        <v>81</v>
      </c>
      <c r="C1453" s="0" t="s">
        <v>82</v>
      </c>
      <c r="D1453" s="0" t="n">
        <v>14</v>
      </c>
      <c r="E1453" s="5" t="n">
        <v>45950.955150463</v>
      </c>
      <c r="F1453" s="0" t="n">
        <v>1.65</v>
      </c>
      <c r="G1453" s="0" t="n">
        <v>17242</v>
      </c>
      <c r="H1453" s="6" t="s">
        <v>263</v>
      </c>
      <c r="I1453" s="6" t="n">
        <f aca="false">D1453*F1453</f>
        <v>23.1</v>
      </c>
      <c r="J1453" s="6" t="n">
        <f aca="false">HOUR(E1453)</f>
        <v>22</v>
      </c>
      <c r="K1453" s="6" t="n">
        <f aca="false">IF(COUNTIF($A$2:$A1453,A1453)=1,1,0)</f>
        <v>0</v>
      </c>
    </row>
    <row r="1454" customFormat="false" ht="15" hidden="false" customHeight="false" outlineLevel="0" collapsed="false">
      <c r="A1454" s="0" t="s">
        <v>367</v>
      </c>
      <c r="B1454" s="0" t="s">
        <v>50</v>
      </c>
      <c r="C1454" s="0" t="s">
        <v>51</v>
      </c>
      <c r="D1454" s="0" t="n">
        <v>23</v>
      </c>
      <c r="E1454" s="5" t="n">
        <v>45950.955150463</v>
      </c>
      <c r="F1454" s="0" t="n">
        <v>5.95</v>
      </c>
      <c r="G1454" s="0" t="n">
        <v>17242</v>
      </c>
      <c r="H1454" s="6" t="s">
        <v>263</v>
      </c>
      <c r="I1454" s="6" t="n">
        <f aca="false">D1454*F1454</f>
        <v>136.85</v>
      </c>
      <c r="J1454" s="6" t="n">
        <f aca="false">HOUR(E1454)</f>
        <v>22</v>
      </c>
      <c r="K1454" s="6" t="n">
        <f aca="false">IF(COUNTIF($A$2:$A1454,A1454)=1,1,0)</f>
        <v>0</v>
      </c>
    </row>
    <row r="1455" customFormat="false" ht="15" hidden="false" customHeight="false" outlineLevel="0" collapsed="false">
      <c r="A1455" s="0" t="s">
        <v>367</v>
      </c>
      <c r="B1455" s="0" t="s">
        <v>102</v>
      </c>
      <c r="C1455" s="0" t="s">
        <v>103</v>
      </c>
      <c r="D1455" s="0" t="n">
        <v>26</v>
      </c>
      <c r="E1455" s="5" t="n">
        <v>45950.955150463</v>
      </c>
      <c r="F1455" s="0" t="n">
        <v>8.5</v>
      </c>
      <c r="G1455" s="0" t="n">
        <v>17242</v>
      </c>
      <c r="H1455" s="6" t="s">
        <v>263</v>
      </c>
      <c r="I1455" s="6" t="n">
        <f aca="false">D1455*F1455</f>
        <v>221</v>
      </c>
      <c r="J1455" s="6" t="n">
        <f aca="false">HOUR(E1455)</f>
        <v>22</v>
      </c>
      <c r="K1455" s="6" t="n">
        <f aca="false">IF(COUNTIF($A$2:$A1455,A1455)=1,1,0)</f>
        <v>0</v>
      </c>
    </row>
    <row r="1456" customFormat="false" ht="15" hidden="false" customHeight="false" outlineLevel="0" collapsed="false">
      <c r="A1456" s="0" t="s">
        <v>368</v>
      </c>
      <c r="B1456" s="0" t="s">
        <v>99</v>
      </c>
      <c r="C1456" s="0" t="s">
        <v>100</v>
      </c>
      <c r="D1456" s="0" t="n">
        <v>15</v>
      </c>
      <c r="E1456" s="5" t="n">
        <v>45951.3424074074</v>
      </c>
      <c r="F1456" s="0" t="n">
        <v>2.08</v>
      </c>
      <c r="G1456" s="0" t="n">
        <v>17085</v>
      </c>
      <c r="H1456" s="6" t="s">
        <v>74</v>
      </c>
      <c r="I1456" s="6" t="n">
        <f aca="false">D1456*F1456</f>
        <v>31.2</v>
      </c>
      <c r="J1456" s="6" t="n">
        <f aca="false">HOUR(E1456)</f>
        <v>8</v>
      </c>
      <c r="K1456" s="6" t="n">
        <f aca="false">IF(COUNTIF($A$2:$A1456,A1456)=1,1,0)</f>
        <v>1</v>
      </c>
    </row>
    <row r="1457" customFormat="false" ht="15" hidden="false" customHeight="false" outlineLevel="0" collapsed="false">
      <c r="A1457" s="0" t="s">
        <v>368</v>
      </c>
      <c r="B1457" s="0" t="s">
        <v>134</v>
      </c>
      <c r="C1457" s="0" t="s">
        <v>135</v>
      </c>
      <c r="D1457" s="0" t="n">
        <v>9</v>
      </c>
      <c r="E1457" s="5" t="n">
        <v>45951.3424074074</v>
      </c>
      <c r="F1457" s="0" t="n">
        <v>5.95</v>
      </c>
      <c r="G1457" s="0" t="n">
        <v>17085</v>
      </c>
      <c r="H1457" s="6" t="s">
        <v>74</v>
      </c>
      <c r="I1457" s="6" t="n">
        <f aca="false">D1457*F1457</f>
        <v>53.55</v>
      </c>
      <c r="J1457" s="6" t="n">
        <f aca="false">HOUR(E1457)</f>
        <v>8</v>
      </c>
      <c r="K1457" s="6" t="n">
        <f aca="false">IF(COUNTIF($A$2:$A1457,A1457)=1,1,0)</f>
        <v>0</v>
      </c>
    </row>
    <row r="1458" customFormat="false" ht="15" hidden="false" customHeight="false" outlineLevel="0" collapsed="false">
      <c r="A1458" s="0" t="s">
        <v>368</v>
      </c>
      <c r="B1458" s="0" t="s">
        <v>53</v>
      </c>
      <c r="C1458" s="0" t="s">
        <v>54</v>
      </c>
      <c r="D1458" s="0" t="n">
        <v>20</v>
      </c>
      <c r="E1458" s="5" t="n">
        <v>45951.3424074074</v>
      </c>
      <c r="F1458" s="0" t="n">
        <v>2.95</v>
      </c>
      <c r="G1458" s="0" t="n">
        <v>17085</v>
      </c>
      <c r="H1458" s="6" t="s">
        <v>74</v>
      </c>
      <c r="I1458" s="6" t="n">
        <f aca="false">D1458*F1458</f>
        <v>59</v>
      </c>
      <c r="J1458" s="6" t="n">
        <f aca="false">HOUR(E1458)</f>
        <v>8</v>
      </c>
      <c r="K1458" s="6" t="n">
        <f aca="false">IF(COUNTIF($A$2:$A1458,A1458)=1,1,0)</f>
        <v>0</v>
      </c>
    </row>
    <row r="1459" customFormat="false" ht="15" hidden="false" customHeight="false" outlineLevel="0" collapsed="false">
      <c r="A1459" s="0" t="s">
        <v>368</v>
      </c>
      <c r="B1459" s="0" t="s">
        <v>81</v>
      </c>
      <c r="C1459" s="0" t="s">
        <v>82</v>
      </c>
      <c r="D1459" s="0" t="n">
        <v>19</v>
      </c>
      <c r="E1459" s="5" t="n">
        <v>45951.3424074074</v>
      </c>
      <c r="F1459" s="0" t="n">
        <v>1.65</v>
      </c>
      <c r="G1459" s="0" t="n">
        <v>17085</v>
      </c>
      <c r="H1459" s="6" t="s">
        <v>74</v>
      </c>
      <c r="I1459" s="6" t="n">
        <f aca="false">D1459*F1459</f>
        <v>31.35</v>
      </c>
      <c r="J1459" s="6" t="n">
        <f aca="false">HOUR(E1459)</f>
        <v>8</v>
      </c>
      <c r="K1459" s="6" t="n">
        <f aca="false">IF(COUNTIF($A$2:$A1459,A1459)=1,1,0)</f>
        <v>0</v>
      </c>
    </row>
    <row r="1460" customFormat="false" ht="15" hidden="false" customHeight="false" outlineLevel="0" collapsed="false">
      <c r="A1460" s="0" t="s">
        <v>368</v>
      </c>
      <c r="B1460" s="0" t="s">
        <v>102</v>
      </c>
      <c r="C1460" s="0" t="s">
        <v>103</v>
      </c>
      <c r="D1460" s="0" t="n">
        <v>33</v>
      </c>
      <c r="E1460" s="5" t="n">
        <v>45951.3424074074</v>
      </c>
      <c r="F1460" s="0" t="n">
        <v>8.5</v>
      </c>
      <c r="G1460" s="0" t="n">
        <v>17085</v>
      </c>
      <c r="H1460" s="6" t="s">
        <v>74</v>
      </c>
      <c r="I1460" s="6" t="n">
        <f aca="false">D1460*F1460</f>
        <v>280.5</v>
      </c>
      <c r="J1460" s="6" t="n">
        <f aca="false">HOUR(E1460)</f>
        <v>8</v>
      </c>
      <c r="K1460" s="6" t="n">
        <f aca="false">IF(COUNTIF($A$2:$A1460,A1460)=1,1,0)</f>
        <v>0</v>
      </c>
    </row>
    <row r="1461" customFormat="false" ht="15" hidden="false" customHeight="false" outlineLevel="0" collapsed="false">
      <c r="A1461" s="0" t="s">
        <v>369</v>
      </c>
      <c r="B1461" s="0" t="s">
        <v>114</v>
      </c>
      <c r="C1461" s="0" t="s">
        <v>115</v>
      </c>
      <c r="D1461" s="0" t="n">
        <v>3</v>
      </c>
      <c r="E1461" s="5" t="n">
        <v>45951.555474537</v>
      </c>
      <c r="F1461" s="0" t="n">
        <v>2.08</v>
      </c>
      <c r="G1461" s="0" t="n">
        <v>17097</v>
      </c>
      <c r="H1461" s="6" t="s">
        <v>42</v>
      </c>
      <c r="I1461" s="6" t="n">
        <f aca="false">D1461*F1461</f>
        <v>6.24</v>
      </c>
      <c r="J1461" s="6" t="n">
        <f aca="false">HOUR(E1461)</f>
        <v>13</v>
      </c>
      <c r="K1461" s="6" t="n">
        <f aca="false">IF(COUNTIF($A$2:$A1461,A1461)=1,1,0)</f>
        <v>1</v>
      </c>
    </row>
    <row r="1462" customFormat="false" ht="15" hidden="false" customHeight="false" outlineLevel="0" collapsed="false">
      <c r="A1462" s="0" t="s">
        <v>369</v>
      </c>
      <c r="B1462" s="0" t="s">
        <v>109</v>
      </c>
      <c r="C1462" s="0" t="s">
        <v>110</v>
      </c>
      <c r="D1462" s="0" t="n">
        <v>23</v>
      </c>
      <c r="E1462" s="5" t="n">
        <v>45951.555474537</v>
      </c>
      <c r="F1462" s="0" t="n">
        <v>0.85</v>
      </c>
      <c r="G1462" s="0" t="n">
        <v>17097</v>
      </c>
      <c r="H1462" s="6" t="s">
        <v>42</v>
      </c>
      <c r="I1462" s="6" t="n">
        <f aca="false">D1462*F1462</f>
        <v>19.55</v>
      </c>
      <c r="J1462" s="6" t="n">
        <f aca="false">HOUR(E1462)</f>
        <v>13</v>
      </c>
      <c r="K1462" s="6" t="n">
        <f aca="false">IF(COUNTIF($A$2:$A1462,A1462)=1,1,0)</f>
        <v>0</v>
      </c>
    </row>
    <row r="1463" customFormat="false" ht="15" hidden="false" customHeight="false" outlineLevel="0" collapsed="false">
      <c r="A1463" s="0" t="s">
        <v>369</v>
      </c>
      <c r="B1463" s="0" t="s">
        <v>127</v>
      </c>
      <c r="C1463" s="0" t="s">
        <v>128</v>
      </c>
      <c r="D1463" s="0" t="n">
        <v>10</v>
      </c>
      <c r="E1463" s="5" t="n">
        <v>45951.555474537</v>
      </c>
      <c r="F1463" s="0" t="n">
        <v>1.45</v>
      </c>
      <c r="G1463" s="0" t="n">
        <v>17097</v>
      </c>
      <c r="H1463" s="6" t="s">
        <v>42</v>
      </c>
      <c r="I1463" s="6" t="n">
        <f aca="false">D1463*F1463</f>
        <v>14.5</v>
      </c>
      <c r="J1463" s="6" t="n">
        <f aca="false">HOUR(E1463)</f>
        <v>13</v>
      </c>
      <c r="K1463" s="6" t="n">
        <f aca="false">IF(COUNTIF($A$2:$A1463,A1463)=1,1,0)</f>
        <v>0</v>
      </c>
    </row>
    <row r="1464" customFormat="false" ht="15" hidden="false" customHeight="false" outlineLevel="0" collapsed="false">
      <c r="A1464" s="0" t="s">
        <v>369</v>
      </c>
      <c r="B1464" s="0" t="s">
        <v>102</v>
      </c>
      <c r="C1464" s="0" t="s">
        <v>103</v>
      </c>
      <c r="D1464" s="0" t="n">
        <v>37</v>
      </c>
      <c r="E1464" s="5" t="n">
        <v>45951.555474537</v>
      </c>
      <c r="F1464" s="0" t="n">
        <v>8.5</v>
      </c>
      <c r="G1464" s="0" t="n">
        <v>17097</v>
      </c>
      <c r="H1464" s="6" t="s">
        <v>42</v>
      </c>
      <c r="I1464" s="6" t="n">
        <f aca="false">D1464*F1464</f>
        <v>314.5</v>
      </c>
      <c r="J1464" s="6" t="n">
        <f aca="false">HOUR(E1464)</f>
        <v>13</v>
      </c>
      <c r="K1464" s="6" t="n">
        <f aca="false">IF(COUNTIF($A$2:$A1464,A1464)=1,1,0)</f>
        <v>0</v>
      </c>
    </row>
    <row r="1465" customFormat="false" ht="15" hidden="false" customHeight="false" outlineLevel="0" collapsed="false">
      <c r="A1465" s="0" t="s">
        <v>369</v>
      </c>
      <c r="B1465" s="0" t="s">
        <v>47</v>
      </c>
      <c r="C1465" s="0" t="s">
        <v>48</v>
      </c>
      <c r="D1465" s="0" t="n">
        <v>45</v>
      </c>
      <c r="E1465" s="5" t="n">
        <v>45951.555474537</v>
      </c>
      <c r="F1465" s="0" t="n">
        <v>12.75</v>
      </c>
      <c r="G1465" s="0" t="n">
        <v>17097</v>
      </c>
      <c r="H1465" s="6" t="s">
        <v>42</v>
      </c>
      <c r="I1465" s="6" t="n">
        <f aca="false">D1465*F1465</f>
        <v>573.75</v>
      </c>
      <c r="J1465" s="6" t="n">
        <f aca="false">HOUR(E1465)</f>
        <v>13</v>
      </c>
      <c r="K1465" s="6" t="n">
        <f aca="false">IF(COUNTIF($A$2:$A1465,A1465)=1,1,0)</f>
        <v>0</v>
      </c>
    </row>
    <row r="1466" customFormat="false" ht="15" hidden="false" customHeight="false" outlineLevel="0" collapsed="false">
      <c r="A1466" s="0" t="s">
        <v>369</v>
      </c>
      <c r="B1466" s="0" t="s">
        <v>121</v>
      </c>
      <c r="C1466" s="0" t="s">
        <v>122</v>
      </c>
      <c r="D1466" s="0" t="n">
        <v>14</v>
      </c>
      <c r="E1466" s="5" t="n">
        <v>45951.555474537</v>
      </c>
      <c r="F1466" s="0" t="n">
        <v>2.1</v>
      </c>
      <c r="G1466" s="0" t="n">
        <v>17097</v>
      </c>
      <c r="H1466" s="6" t="s">
        <v>42</v>
      </c>
      <c r="I1466" s="6" t="n">
        <f aca="false">D1466*F1466</f>
        <v>29.4</v>
      </c>
      <c r="J1466" s="6" t="n">
        <f aca="false">HOUR(E1466)</f>
        <v>13</v>
      </c>
      <c r="K1466" s="6" t="n">
        <f aca="false">IF(COUNTIF($A$2:$A1466,A1466)=1,1,0)</f>
        <v>0</v>
      </c>
    </row>
    <row r="1467" customFormat="false" ht="15" hidden="false" customHeight="false" outlineLevel="0" collapsed="false">
      <c r="A1467" s="0" t="s">
        <v>369</v>
      </c>
      <c r="B1467" s="0" t="s">
        <v>116</v>
      </c>
      <c r="C1467" s="0" t="s">
        <v>117</v>
      </c>
      <c r="D1467" s="0" t="n">
        <v>10</v>
      </c>
      <c r="E1467" s="5" t="n">
        <v>45951.555474537</v>
      </c>
      <c r="F1467" s="0" t="n">
        <v>1.95</v>
      </c>
      <c r="G1467" s="0" t="n">
        <v>17097</v>
      </c>
      <c r="H1467" s="6" t="s">
        <v>42</v>
      </c>
      <c r="I1467" s="6" t="n">
        <f aca="false">D1467*F1467</f>
        <v>19.5</v>
      </c>
      <c r="J1467" s="6" t="n">
        <f aca="false">HOUR(E1467)</f>
        <v>13</v>
      </c>
      <c r="K1467" s="6" t="n">
        <f aca="false">IF(COUNTIF($A$2:$A1467,A1467)=1,1,0)</f>
        <v>0</v>
      </c>
    </row>
    <row r="1468" customFormat="false" ht="15" hidden="false" customHeight="false" outlineLevel="0" collapsed="false">
      <c r="A1468" s="0" t="s">
        <v>369</v>
      </c>
      <c r="B1468" s="0" t="s">
        <v>131</v>
      </c>
      <c r="C1468" s="0" t="s">
        <v>132</v>
      </c>
      <c r="D1468" s="0" t="n">
        <v>11</v>
      </c>
      <c r="E1468" s="5" t="n">
        <v>45951.555474537</v>
      </c>
      <c r="F1468" s="0" t="n">
        <v>3.39</v>
      </c>
      <c r="G1468" s="0" t="n">
        <v>17097</v>
      </c>
      <c r="H1468" s="6" t="s">
        <v>42</v>
      </c>
      <c r="I1468" s="6" t="n">
        <f aca="false">D1468*F1468</f>
        <v>37.29</v>
      </c>
      <c r="J1468" s="6" t="n">
        <f aca="false">HOUR(E1468)</f>
        <v>13</v>
      </c>
      <c r="K1468" s="6" t="n">
        <f aca="false">IF(COUNTIF($A$2:$A1468,A1468)=1,1,0)</f>
        <v>0</v>
      </c>
    </row>
    <row r="1469" customFormat="false" ht="15" hidden="false" customHeight="false" outlineLevel="0" collapsed="false">
      <c r="A1469" s="0" t="s">
        <v>370</v>
      </c>
      <c r="B1469" s="0" t="s">
        <v>57</v>
      </c>
      <c r="C1469" s="0" t="s">
        <v>58</v>
      </c>
      <c r="D1469" s="0" t="n">
        <v>14</v>
      </c>
      <c r="E1469" s="5" t="n">
        <v>45951.5564814815</v>
      </c>
      <c r="F1469" s="0" t="n">
        <v>2.08</v>
      </c>
      <c r="G1469" s="0" t="n">
        <v>17004</v>
      </c>
      <c r="H1469" s="6" t="s">
        <v>74</v>
      </c>
      <c r="I1469" s="6" t="n">
        <f aca="false">D1469*F1469</f>
        <v>29.12</v>
      </c>
      <c r="J1469" s="6" t="n">
        <f aca="false">HOUR(E1469)</f>
        <v>13</v>
      </c>
      <c r="K1469" s="6" t="n">
        <f aca="false">IF(COUNTIF($A$2:$A1469,A1469)=1,1,0)</f>
        <v>1</v>
      </c>
    </row>
    <row r="1470" customFormat="false" ht="15" hidden="false" customHeight="false" outlineLevel="0" collapsed="false">
      <c r="A1470" s="0" t="s">
        <v>370</v>
      </c>
      <c r="B1470" s="0" t="s">
        <v>102</v>
      </c>
      <c r="C1470" s="0" t="s">
        <v>103</v>
      </c>
      <c r="D1470" s="0" t="n">
        <v>42</v>
      </c>
      <c r="E1470" s="5" t="n">
        <v>45951.5564814815</v>
      </c>
      <c r="F1470" s="0" t="n">
        <v>8.5</v>
      </c>
      <c r="G1470" s="0" t="n">
        <v>17004</v>
      </c>
      <c r="H1470" s="6" t="s">
        <v>74</v>
      </c>
      <c r="I1470" s="6" t="n">
        <f aca="false">D1470*F1470</f>
        <v>357</v>
      </c>
      <c r="J1470" s="6" t="n">
        <f aca="false">HOUR(E1470)</f>
        <v>13</v>
      </c>
      <c r="K1470" s="6" t="n">
        <f aca="false">IF(COUNTIF($A$2:$A1470,A1470)=1,1,0)</f>
        <v>0</v>
      </c>
    </row>
    <row r="1471" customFormat="false" ht="15" hidden="false" customHeight="false" outlineLevel="0" collapsed="false">
      <c r="A1471" s="0" t="s">
        <v>370</v>
      </c>
      <c r="B1471" s="0" t="s">
        <v>145</v>
      </c>
      <c r="C1471" s="0" t="s">
        <v>146</v>
      </c>
      <c r="D1471" s="0" t="n">
        <v>10</v>
      </c>
      <c r="E1471" s="5" t="n">
        <v>45951.5564814815</v>
      </c>
      <c r="F1471" s="0" t="n">
        <v>1.85</v>
      </c>
      <c r="G1471" s="0" t="n">
        <v>17004</v>
      </c>
      <c r="H1471" s="6" t="s">
        <v>74</v>
      </c>
      <c r="I1471" s="6" t="n">
        <f aca="false">D1471*F1471</f>
        <v>18.5</v>
      </c>
      <c r="J1471" s="6" t="n">
        <f aca="false">HOUR(E1471)</f>
        <v>13</v>
      </c>
      <c r="K1471" s="6" t="n">
        <f aca="false">IF(COUNTIF($A$2:$A1471,A1471)=1,1,0)</f>
        <v>0</v>
      </c>
    </row>
    <row r="1472" customFormat="false" ht="15" hidden="false" customHeight="false" outlineLevel="0" collapsed="false">
      <c r="A1472" s="0" t="s">
        <v>370</v>
      </c>
      <c r="B1472" s="0" t="s">
        <v>93</v>
      </c>
      <c r="C1472" s="0" t="s">
        <v>94</v>
      </c>
      <c r="D1472" s="0" t="n">
        <v>9</v>
      </c>
      <c r="E1472" s="5" t="n">
        <v>45951.5564814815</v>
      </c>
      <c r="F1472" s="0" t="n">
        <v>1.69</v>
      </c>
      <c r="G1472" s="0" t="n">
        <v>17004</v>
      </c>
      <c r="H1472" s="6" t="s">
        <v>74</v>
      </c>
      <c r="I1472" s="6" t="n">
        <f aca="false">D1472*F1472</f>
        <v>15.21</v>
      </c>
      <c r="J1472" s="6" t="n">
        <f aca="false">HOUR(E1472)</f>
        <v>13</v>
      </c>
      <c r="K1472" s="6" t="n">
        <f aca="false">IF(COUNTIF($A$2:$A1472,A1472)=1,1,0)</f>
        <v>0</v>
      </c>
    </row>
    <row r="1473" customFormat="false" ht="15" hidden="false" customHeight="false" outlineLevel="0" collapsed="false">
      <c r="A1473" s="0" t="s">
        <v>370</v>
      </c>
      <c r="B1473" s="0" t="s">
        <v>83</v>
      </c>
      <c r="C1473" s="0" t="s">
        <v>84</v>
      </c>
      <c r="D1473" s="0" t="n">
        <v>22</v>
      </c>
      <c r="E1473" s="5" t="n">
        <v>45951.5564814815</v>
      </c>
      <c r="F1473" s="0" t="n">
        <v>2.95</v>
      </c>
      <c r="G1473" s="0" t="n">
        <v>17004</v>
      </c>
      <c r="H1473" s="6" t="s">
        <v>74</v>
      </c>
      <c r="I1473" s="6" t="n">
        <f aca="false">D1473*F1473</f>
        <v>64.9</v>
      </c>
      <c r="J1473" s="6" t="n">
        <f aca="false">HOUR(E1473)</f>
        <v>13</v>
      </c>
      <c r="K1473" s="6" t="n">
        <f aca="false">IF(COUNTIF($A$2:$A1473,A1473)=1,1,0)</f>
        <v>0</v>
      </c>
    </row>
    <row r="1474" customFormat="false" ht="15" hidden="false" customHeight="false" outlineLevel="0" collapsed="false">
      <c r="A1474" s="0" t="s">
        <v>370</v>
      </c>
      <c r="B1474" s="0" t="s">
        <v>65</v>
      </c>
      <c r="C1474" s="0" t="s">
        <v>66</v>
      </c>
      <c r="D1474" s="0" t="n">
        <v>20</v>
      </c>
      <c r="E1474" s="5" t="n">
        <v>45951.5564814815</v>
      </c>
      <c r="F1474" s="0" t="n">
        <v>1.65</v>
      </c>
      <c r="G1474" s="0" t="n">
        <v>17004</v>
      </c>
      <c r="H1474" s="6" t="s">
        <v>74</v>
      </c>
      <c r="I1474" s="6" t="n">
        <f aca="false">D1474*F1474</f>
        <v>33</v>
      </c>
      <c r="J1474" s="6" t="n">
        <f aca="false">HOUR(E1474)</f>
        <v>13</v>
      </c>
      <c r="K1474" s="6" t="n">
        <f aca="false">IF(COUNTIF($A$2:$A1474,A1474)=1,1,0)</f>
        <v>0</v>
      </c>
    </row>
    <row r="1475" customFormat="false" ht="15" hidden="false" customHeight="false" outlineLevel="0" collapsed="false">
      <c r="A1475" s="0" t="s">
        <v>370</v>
      </c>
      <c r="B1475" s="0" t="s">
        <v>79</v>
      </c>
      <c r="C1475" s="0" t="s">
        <v>80</v>
      </c>
      <c r="D1475" s="0" t="n">
        <v>16</v>
      </c>
      <c r="E1475" s="5" t="n">
        <v>45951.5564814815</v>
      </c>
      <c r="F1475" s="0" t="n">
        <v>3.39</v>
      </c>
      <c r="G1475" s="0" t="n">
        <v>17004</v>
      </c>
      <c r="H1475" s="6" t="s">
        <v>74</v>
      </c>
      <c r="I1475" s="6" t="n">
        <f aca="false">D1475*F1475</f>
        <v>54.24</v>
      </c>
      <c r="J1475" s="6" t="n">
        <f aca="false">HOUR(E1475)</f>
        <v>13</v>
      </c>
      <c r="K1475" s="6" t="n">
        <f aca="false">IF(COUNTIF($A$2:$A1475,A1475)=1,1,0)</f>
        <v>0</v>
      </c>
    </row>
    <row r="1476" customFormat="false" ht="15" hidden="false" customHeight="false" outlineLevel="0" collapsed="false">
      <c r="A1476" s="0" t="s">
        <v>370</v>
      </c>
      <c r="B1476" s="0" t="s">
        <v>134</v>
      </c>
      <c r="C1476" s="0" t="s">
        <v>135</v>
      </c>
      <c r="D1476" s="0" t="n">
        <v>1</v>
      </c>
      <c r="E1476" s="5" t="n">
        <v>45951.5564814815</v>
      </c>
      <c r="F1476" s="0" t="n">
        <v>5.95</v>
      </c>
      <c r="G1476" s="0" t="n">
        <v>17004</v>
      </c>
      <c r="H1476" s="6" t="s">
        <v>74</v>
      </c>
      <c r="I1476" s="6" t="n">
        <f aca="false">D1476*F1476</f>
        <v>5.95</v>
      </c>
      <c r="J1476" s="6" t="n">
        <f aca="false">HOUR(E1476)</f>
        <v>13</v>
      </c>
      <c r="K1476" s="6" t="n">
        <f aca="false">IF(COUNTIF($A$2:$A1476,A1476)=1,1,0)</f>
        <v>0</v>
      </c>
    </row>
    <row r="1477" customFormat="false" ht="15" hidden="false" customHeight="false" outlineLevel="0" collapsed="false">
      <c r="A1477" s="0" t="s">
        <v>371</v>
      </c>
      <c r="B1477" s="0" t="s">
        <v>99</v>
      </c>
      <c r="C1477" s="0" t="s">
        <v>100</v>
      </c>
      <c r="D1477" s="0" t="n">
        <v>12</v>
      </c>
      <c r="E1477" s="5" t="n">
        <v>45951.6200810185</v>
      </c>
      <c r="F1477" s="0" t="n">
        <v>2.08</v>
      </c>
      <c r="G1477" s="0" t="n">
        <v>17109</v>
      </c>
      <c r="H1477" s="6" t="s">
        <v>74</v>
      </c>
      <c r="I1477" s="6" t="n">
        <f aca="false">D1477*F1477</f>
        <v>24.96</v>
      </c>
      <c r="J1477" s="6" t="n">
        <f aca="false">HOUR(E1477)</f>
        <v>14</v>
      </c>
      <c r="K1477" s="6" t="n">
        <f aca="false">IF(COUNTIF($A$2:$A1477,A1477)=1,1,0)</f>
        <v>1</v>
      </c>
    </row>
    <row r="1478" customFormat="false" ht="15" hidden="false" customHeight="false" outlineLevel="0" collapsed="false">
      <c r="A1478" s="0" t="s">
        <v>371</v>
      </c>
      <c r="B1478" s="0" t="s">
        <v>137</v>
      </c>
      <c r="C1478" s="0" t="s">
        <v>138</v>
      </c>
      <c r="D1478" s="0" t="n">
        <v>9</v>
      </c>
      <c r="E1478" s="5" t="n">
        <v>45951.6200810185</v>
      </c>
      <c r="F1478" s="0" t="n">
        <v>2.1</v>
      </c>
      <c r="G1478" s="0" t="n">
        <v>17109</v>
      </c>
      <c r="H1478" s="6" t="s">
        <v>74</v>
      </c>
      <c r="I1478" s="6" t="n">
        <f aca="false">D1478*F1478</f>
        <v>18.9</v>
      </c>
      <c r="J1478" s="6" t="n">
        <f aca="false">HOUR(E1478)</f>
        <v>14</v>
      </c>
      <c r="K1478" s="6" t="n">
        <f aca="false">IF(COUNTIF($A$2:$A1478,A1478)=1,1,0)</f>
        <v>0</v>
      </c>
    </row>
    <row r="1479" customFormat="false" ht="15" hidden="false" customHeight="false" outlineLevel="0" collapsed="false">
      <c r="A1479" s="0" t="s">
        <v>371</v>
      </c>
      <c r="B1479" s="0" t="s">
        <v>104</v>
      </c>
      <c r="C1479" s="0" t="s">
        <v>105</v>
      </c>
      <c r="D1479" s="0" t="n">
        <v>16</v>
      </c>
      <c r="E1479" s="5" t="n">
        <v>45951.6200810185</v>
      </c>
      <c r="F1479" s="0" t="n">
        <v>1.65</v>
      </c>
      <c r="G1479" s="0" t="n">
        <v>17109</v>
      </c>
      <c r="H1479" s="6" t="s">
        <v>74</v>
      </c>
      <c r="I1479" s="6" t="n">
        <f aca="false">D1479*F1479</f>
        <v>26.4</v>
      </c>
      <c r="J1479" s="6" t="n">
        <f aca="false">HOUR(E1479)</f>
        <v>14</v>
      </c>
      <c r="K1479" s="6" t="n">
        <f aca="false">IF(COUNTIF($A$2:$A1479,A1479)=1,1,0)</f>
        <v>0</v>
      </c>
    </row>
    <row r="1480" customFormat="false" ht="15" hidden="false" customHeight="false" outlineLevel="0" collapsed="false">
      <c r="A1480" s="0" t="s">
        <v>371</v>
      </c>
      <c r="B1480" s="0" t="s">
        <v>95</v>
      </c>
      <c r="C1480" s="0" t="s">
        <v>96</v>
      </c>
      <c r="D1480" s="0" t="n">
        <v>7</v>
      </c>
      <c r="E1480" s="5" t="n">
        <v>45951.6200810185</v>
      </c>
      <c r="F1480" s="0" t="n">
        <v>2.55</v>
      </c>
      <c r="G1480" s="0" t="n">
        <v>17109</v>
      </c>
      <c r="H1480" s="6" t="s">
        <v>74</v>
      </c>
      <c r="I1480" s="6" t="n">
        <f aca="false">D1480*F1480</f>
        <v>17.85</v>
      </c>
      <c r="J1480" s="6" t="n">
        <f aca="false">HOUR(E1480)</f>
        <v>14</v>
      </c>
      <c r="K1480" s="6" t="n">
        <f aca="false">IF(COUNTIF($A$2:$A1480,A1480)=1,1,0)</f>
        <v>0</v>
      </c>
    </row>
    <row r="1481" customFormat="false" ht="15" hidden="false" customHeight="false" outlineLevel="0" collapsed="false">
      <c r="A1481" s="0" t="s">
        <v>371</v>
      </c>
      <c r="B1481" s="0" t="s">
        <v>43</v>
      </c>
      <c r="C1481" s="0" t="s">
        <v>44</v>
      </c>
      <c r="D1481" s="0" t="n">
        <v>4</v>
      </c>
      <c r="E1481" s="5" t="n">
        <v>45951.6200810185</v>
      </c>
      <c r="F1481" s="0" t="n">
        <v>4.25</v>
      </c>
      <c r="G1481" s="0" t="n">
        <v>17109</v>
      </c>
      <c r="H1481" s="6" t="s">
        <v>74</v>
      </c>
      <c r="I1481" s="6" t="n">
        <f aca="false">D1481*F1481</f>
        <v>17</v>
      </c>
      <c r="J1481" s="6" t="n">
        <f aca="false">HOUR(E1481)</f>
        <v>14</v>
      </c>
      <c r="K1481" s="6" t="n">
        <f aca="false">IF(COUNTIF($A$2:$A1481,A1481)=1,1,0)</f>
        <v>0</v>
      </c>
    </row>
    <row r="1482" customFormat="false" ht="15" hidden="false" customHeight="false" outlineLevel="0" collapsed="false">
      <c r="A1482" s="0" t="s">
        <v>371</v>
      </c>
      <c r="B1482" s="0" t="s">
        <v>140</v>
      </c>
      <c r="C1482" s="0" t="s">
        <v>141</v>
      </c>
      <c r="D1482" s="0" t="n">
        <v>2</v>
      </c>
      <c r="E1482" s="5" t="n">
        <v>45951.6200810185</v>
      </c>
      <c r="F1482" s="0" t="n">
        <v>2.08</v>
      </c>
      <c r="G1482" s="0" t="n">
        <v>17109</v>
      </c>
      <c r="H1482" s="6" t="s">
        <v>74</v>
      </c>
      <c r="I1482" s="6" t="n">
        <f aca="false">D1482*F1482</f>
        <v>4.16</v>
      </c>
      <c r="J1482" s="6" t="n">
        <f aca="false">HOUR(E1482)</f>
        <v>14</v>
      </c>
      <c r="K1482" s="6" t="n">
        <f aca="false">IF(COUNTIF($A$2:$A1482,A1482)=1,1,0)</f>
        <v>0</v>
      </c>
    </row>
    <row r="1483" customFormat="false" ht="15" hidden="false" customHeight="false" outlineLevel="0" collapsed="false">
      <c r="A1483" s="0" t="s">
        <v>371</v>
      </c>
      <c r="B1483" s="0" t="s">
        <v>88</v>
      </c>
      <c r="C1483" s="0" t="s">
        <v>89</v>
      </c>
      <c r="D1483" s="0" t="n">
        <v>4</v>
      </c>
      <c r="E1483" s="5" t="n">
        <v>45951.6200810185</v>
      </c>
      <c r="F1483" s="0" t="n">
        <v>2.75</v>
      </c>
      <c r="G1483" s="0" t="n">
        <v>17109</v>
      </c>
      <c r="H1483" s="6" t="s">
        <v>74</v>
      </c>
      <c r="I1483" s="6" t="n">
        <f aca="false">D1483*F1483</f>
        <v>11</v>
      </c>
      <c r="J1483" s="6" t="n">
        <f aca="false">HOUR(E1483)</f>
        <v>14</v>
      </c>
      <c r="K1483" s="6" t="n">
        <f aca="false">IF(COUNTIF($A$2:$A1483,A1483)=1,1,0)</f>
        <v>0</v>
      </c>
    </row>
    <row r="1484" customFormat="false" ht="15" hidden="false" customHeight="false" outlineLevel="0" collapsed="false">
      <c r="A1484" s="0" t="s">
        <v>371</v>
      </c>
      <c r="B1484" s="0" t="s">
        <v>55</v>
      </c>
      <c r="C1484" s="0" t="s">
        <v>56</v>
      </c>
      <c r="D1484" s="0" t="n">
        <v>14</v>
      </c>
      <c r="E1484" s="5" t="n">
        <v>45951.6200810185</v>
      </c>
      <c r="F1484" s="0" t="n">
        <v>1.65</v>
      </c>
      <c r="G1484" s="0" t="n">
        <v>17109</v>
      </c>
      <c r="H1484" s="6" t="s">
        <v>74</v>
      </c>
      <c r="I1484" s="6" t="n">
        <f aca="false">D1484*F1484</f>
        <v>23.1</v>
      </c>
      <c r="J1484" s="6" t="n">
        <f aca="false">HOUR(E1484)</f>
        <v>14</v>
      </c>
      <c r="K1484" s="6" t="n">
        <f aca="false">IF(COUNTIF($A$2:$A1484,A1484)=1,1,0)</f>
        <v>0</v>
      </c>
    </row>
    <row r="1485" customFormat="false" ht="15" hidden="false" customHeight="false" outlineLevel="0" collapsed="false">
      <c r="A1485" s="0" t="s">
        <v>372</v>
      </c>
      <c r="B1485" s="0" t="s">
        <v>72</v>
      </c>
      <c r="C1485" s="0" t="s">
        <v>73</v>
      </c>
      <c r="D1485" s="0" t="n">
        <v>27</v>
      </c>
      <c r="E1485" s="5" t="n">
        <v>45951.6673726852</v>
      </c>
      <c r="F1485" s="0" t="n">
        <v>4.95</v>
      </c>
      <c r="G1485" s="0" t="n">
        <v>17123</v>
      </c>
      <c r="H1485" s="6" t="s">
        <v>42</v>
      </c>
      <c r="I1485" s="6" t="n">
        <f aca="false">D1485*F1485</f>
        <v>133.65</v>
      </c>
      <c r="J1485" s="6" t="n">
        <f aca="false">HOUR(E1485)</f>
        <v>16</v>
      </c>
      <c r="K1485" s="6" t="n">
        <f aca="false">IF(COUNTIF($A$2:$A1485,A1485)=1,1,0)</f>
        <v>1</v>
      </c>
    </row>
    <row r="1486" customFormat="false" ht="15" hidden="false" customHeight="false" outlineLevel="0" collapsed="false">
      <c r="A1486" s="0" t="s">
        <v>372</v>
      </c>
      <c r="B1486" s="0" t="s">
        <v>40</v>
      </c>
      <c r="C1486" s="0" t="s">
        <v>41</v>
      </c>
      <c r="D1486" s="0" t="n">
        <v>2</v>
      </c>
      <c r="E1486" s="5" t="n">
        <v>45951.6673726852</v>
      </c>
      <c r="F1486" s="0" t="n">
        <v>1.06</v>
      </c>
      <c r="G1486" s="0" t="n">
        <v>17123</v>
      </c>
      <c r="H1486" s="6" t="s">
        <v>42</v>
      </c>
      <c r="I1486" s="6" t="n">
        <f aca="false">D1486*F1486</f>
        <v>2.12</v>
      </c>
      <c r="J1486" s="6" t="n">
        <f aca="false">HOUR(E1486)</f>
        <v>16</v>
      </c>
      <c r="K1486" s="6" t="n">
        <f aca="false">IF(COUNTIF($A$2:$A1486,A1486)=1,1,0)</f>
        <v>0</v>
      </c>
    </row>
    <row r="1487" customFormat="false" ht="15" hidden="false" customHeight="false" outlineLevel="0" collapsed="false">
      <c r="A1487" s="0" t="s">
        <v>372</v>
      </c>
      <c r="B1487" s="0" t="s">
        <v>131</v>
      </c>
      <c r="C1487" s="0" t="s">
        <v>132</v>
      </c>
      <c r="D1487" s="0" t="n">
        <v>19</v>
      </c>
      <c r="E1487" s="5" t="n">
        <v>45951.6673726852</v>
      </c>
      <c r="F1487" s="0" t="n">
        <v>3.39</v>
      </c>
      <c r="G1487" s="0" t="n">
        <v>17123</v>
      </c>
      <c r="H1487" s="6" t="s">
        <v>42</v>
      </c>
      <c r="I1487" s="6" t="n">
        <f aca="false">D1487*F1487</f>
        <v>64.41</v>
      </c>
      <c r="J1487" s="6" t="n">
        <f aca="false">HOUR(E1487)</f>
        <v>16</v>
      </c>
      <c r="K1487" s="6" t="n">
        <f aca="false">IF(COUNTIF($A$2:$A1487,A1487)=1,1,0)</f>
        <v>0</v>
      </c>
    </row>
    <row r="1488" customFormat="false" ht="15" hidden="false" customHeight="false" outlineLevel="0" collapsed="false">
      <c r="A1488" s="0" t="s">
        <v>372</v>
      </c>
      <c r="B1488" s="0" t="s">
        <v>63</v>
      </c>
      <c r="C1488" s="0" t="s">
        <v>64</v>
      </c>
      <c r="D1488" s="0" t="n">
        <v>4</v>
      </c>
      <c r="E1488" s="5" t="n">
        <v>45951.6673726852</v>
      </c>
      <c r="F1488" s="0" t="n">
        <v>1.85</v>
      </c>
      <c r="G1488" s="0" t="n">
        <v>17123</v>
      </c>
      <c r="H1488" s="6" t="s">
        <v>42</v>
      </c>
      <c r="I1488" s="6" t="n">
        <f aca="false">D1488*F1488</f>
        <v>7.4</v>
      </c>
      <c r="J1488" s="6" t="n">
        <f aca="false">HOUR(E1488)</f>
        <v>16</v>
      </c>
      <c r="K1488" s="6" t="n">
        <f aca="false">IF(COUNTIF($A$2:$A1488,A1488)=1,1,0)</f>
        <v>0</v>
      </c>
    </row>
    <row r="1489" customFormat="false" ht="15" hidden="false" customHeight="false" outlineLevel="0" collapsed="false">
      <c r="A1489" s="0" t="s">
        <v>372</v>
      </c>
      <c r="B1489" s="0" t="s">
        <v>127</v>
      </c>
      <c r="C1489" s="0" t="s">
        <v>128</v>
      </c>
      <c r="D1489" s="0" t="n">
        <v>17</v>
      </c>
      <c r="E1489" s="5" t="n">
        <v>45951.6673726852</v>
      </c>
      <c r="F1489" s="0" t="n">
        <v>1.45</v>
      </c>
      <c r="G1489" s="0" t="n">
        <v>17123</v>
      </c>
      <c r="H1489" s="6" t="s">
        <v>42</v>
      </c>
      <c r="I1489" s="6" t="n">
        <f aca="false">D1489*F1489</f>
        <v>24.65</v>
      </c>
      <c r="J1489" s="6" t="n">
        <f aca="false">HOUR(E1489)</f>
        <v>16</v>
      </c>
      <c r="K1489" s="6" t="n">
        <f aca="false">IF(COUNTIF($A$2:$A1489,A1489)=1,1,0)</f>
        <v>0</v>
      </c>
    </row>
    <row r="1490" customFormat="false" ht="15" hidden="false" customHeight="false" outlineLevel="0" collapsed="false">
      <c r="A1490" s="0" t="s">
        <v>373</v>
      </c>
      <c r="B1490" s="0" t="s">
        <v>145</v>
      </c>
      <c r="C1490" s="0" t="s">
        <v>146</v>
      </c>
      <c r="D1490" s="0" t="n">
        <v>22</v>
      </c>
      <c r="E1490" s="5" t="n">
        <v>45951.7704050926</v>
      </c>
      <c r="F1490" s="0" t="n">
        <v>1.85</v>
      </c>
      <c r="G1490" s="0" t="n">
        <v>17102</v>
      </c>
      <c r="H1490" s="6" t="s">
        <v>74</v>
      </c>
      <c r="I1490" s="6" t="n">
        <f aca="false">D1490*F1490</f>
        <v>40.7</v>
      </c>
      <c r="J1490" s="6" t="n">
        <f aca="false">HOUR(E1490)</f>
        <v>18</v>
      </c>
      <c r="K1490" s="6" t="n">
        <f aca="false">IF(COUNTIF($A$2:$A1490,A1490)=1,1,0)</f>
        <v>1</v>
      </c>
    </row>
    <row r="1491" customFormat="false" ht="15" hidden="false" customHeight="false" outlineLevel="0" collapsed="false">
      <c r="A1491" s="0" t="s">
        <v>373</v>
      </c>
      <c r="B1491" s="0" t="s">
        <v>50</v>
      </c>
      <c r="C1491" s="0" t="s">
        <v>51</v>
      </c>
      <c r="D1491" s="0" t="n">
        <v>6</v>
      </c>
      <c r="E1491" s="5" t="n">
        <v>45951.7704050926</v>
      </c>
      <c r="F1491" s="0" t="n">
        <v>5.95</v>
      </c>
      <c r="G1491" s="0" t="n">
        <v>17102</v>
      </c>
      <c r="H1491" s="6" t="s">
        <v>74</v>
      </c>
      <c r="I1491" s="6" t="n">
        <f aca="false">D1491*F1491</f>
        <v>35.7</v>
      </c>
      <c r="J1491" s="6" t="n">
        <f aca="false">HOUR(E1491)</f>
        <v>18</v>
      </c>
      <c r="K1491" s="6" t="n">
        <f aca="false">IF(COUNTIF($A$2:$A1491,A1491)=1,1,0)</f>
        <v>0</v>
      </c>
    </row>
    <row r="1492" customFormat="false" ht="15" hidden="false" customHeight="false" outlineLevel="0" collapsed="false">
      <c r="A1492" s="0" t="s">
        <v>373</v>
      </c>
      <c r="B1492" s="0" t="s">
        <v>45</v>
      </c>
      <c r="C1492" s="0" t="s">
        <v>46</v>
      </c>
      <c r="D1492" s="0" t="n">
        <v>11</v>
      </c>
      <c r="E1492" s="5" t="n">
        <v>45951.7704050926</v>
      </c>
      <c r="F1492" s="0" t="n">
        <v>2.1</v>
      </c>
      <c r="G1492" s="0" t="n">
        <v>17102</v>
      </c>
      <c r="H1492" s="6" t="s">
        <v>74</v>
      </c>
      <c r="I1492" s="6" t="n">
        <f aca="false">D1492*F1492</f>
        <v>23.1</v>
      </c>
      <c r="J1492" s="6" t="n">
        <f aca="false">HOUR(E1492)</f>
        <v>18</v>
      </c>
      <c r="K1492" s="6" t="n">
        <f aca="false">IF(COUNTIF($A$2:$A1492,A1492)=1,1,0)</f>
        <v>0</v>
      </c>
    </row>
    <row r="1493" customFormat="false" ht="15" hidden="false" customHeight="false" outlineLevel="0" collapsed="false">
      <c r="A1493" s="0" t="s">
        <v>373</v>
      </c>
      <c r="B1493" s="0" t="s">
        <v>79</v>
      </c>
      <c r="C1493" s="0" t="s">
        <v>80</v>
      </c>
      <c r="D1493" s="0" t="n">
        <v>4</v>
      </c>
      <c r="E1493" s="5" t="n">
        <v>45951.7704050926</v>
      </c>
      <c r="F1493" s="0" t="n">
        <v>3.39</v>
      </c>
      <c r="G1493" s="0" t="n">
        <v>17102</v>
      </c>
      <c r="H1493" s="6" t="s">
        <v>74</v>
      </c>
      <c r="I1493" s="6" t="n">
        <f aca="false">D1493*F1493</f>
        <v>13.56</v>
      </c>
      <c r="J1493" s="6" t="n">
        <f aca="false">HOUR(E1493)</f>
        <v>18</v>
      </c>
      <c r="K1493" s="6" t="n">
        <f aca="false">IF(COUNTIF($A$2:$A1493,A1493)=1,1,0)</f>
        <v>0</v>
      </c>
    </row>
    <row r="1494" customFormat="false" ht="15" hidden="false" customHeight="false" outlineLevel="0" collapsed="false">
      <c r="A1494" s="0" t="s">
        <v>373</v>
      </c>
      <c r="B1494" s="0" t="s">
        <v>75</v>
      </c>
      <c r="C1494" s="0" t="s">
        <v>76</v>
      </c>
      <c r="D1494" s="0" t="n">
        <v>15</v>
      </c>
      <c r="E1494" s="5" t="n">
        <v>45951.7704050926</v>
      </c>
      <c r="F1494" s="0" t="n">
        <v>3.39</v>
      </c>
      <c r="G1494" s="0" t="n">
        <v>17102</v>
      </c>
      <c r="H1494" s="6" t="s">
        <v>74</v>
      </c>
      <c r="I1494" s="6" t="n">
        <f aca="false">D1494*F1494</f>
        <v>50.85</v>
      </c>
      <c r="J1494" s="6" t="n">
        <f aca="false">HOUR(E1494)</f>
        <v>18</v>
      </c>
      <c r="K1494" s="6" t="n">
        <f aca="false">IF(COUNTIF($A$2:$A1494,A1494)=1,1,0)</f>
        <v>0</v>
      </c>
    </row>
    <row r="1495" customFormat="false" ht="15" hidden="false" customHeight="false" outlineLevel="0" collapsed="false">
      <c r="A1495" s="0" t="s">
        <v>373</v>
      </c>
      <c r="B1495" s="0" t="s">
        <v>61</v>
      </c>
      <c r="C1495" s="0" t="s">
        <v>62</v>
      </c>
      <c r="D1495" s="0" t="n">
        <v>8</v>
      </c>
      <c r="E1495" s="5" t="n">
        <v>45951.7704050926</v>
      </c>
      <c r="F1495" s="0" t="n">
        <v>1.65</v>
      </c>
      <c r="G1495" s="0" t="n">
        <v>17102</v>
      </c>
      <c r="H1495" s="6" t="s">
        <v>74</v>
      </c>
      <c r="I1495" s="6" t="n">
        <f aca="false">D1495*F1495</f>
        <v>13.2</v>
      </c>
      <c r="J1495" s="6" t="n">
        <f aca="false">HOUR(E1495)</f>
        <v>18</v>
      </c>
      <c r="K1495" s="6" t="n">
        <f aca="false">IF(COUNTIF($A$2:$A1495,A1495)=1,1,0)</f>
        <v>0</v>
      </c>
    </row>
    <row r="1496" customFormat="false" ht="15" hidden="false" customHeight="false" outlineLevel="0" collapsed="false">
      <c r="A1496" s="0" t="s">
        <v>374</v>
      </c>
      <c r="B1496" s="0" t="s">
        <v>127</v>
      </c>
      <c r="C1496" s="0" t="s">
        <v>128</v>
      </c>
      <c r="D1496" s="0" t="n">
        <v>6</v>
      </c>
      <c r="E1496" s="5" t="n">
        <v>45951.8236574074</v>
      </c>
      <c r="F1496" s="0" t="n">
        <v>1.45</v>
      </c>
      <c r="G1496" s="0" t="n">
        <v>17247</v>
      </c>
      <c r="H1496" s="6" t="s">
        <v>74</v>
      </c>
      <c r="I1496" s="6" t="n">
        <f aca="false">D1496*F1496</f>
        <v>8.7</v>
      </c>
      <c r="J1496" s="6" t="n">
        <f aca="false">HOUR(E1496)</f>
        <v>19</v>
      </c>
      <c r="K1496" s="6" t="n">
        <f aca="false">IF(COUNTIF($A$2:$A1496,A1496)=1,1,0)</f>
        <v>1</v>
      </c>
    </row>
    <row r="1497" customFormat="false" ht="15" hidden="false" customHeight="false" outlineLevel="0" collapsed="false">
      <c r="A1497" s="0" t="s">
        <v>375</v>
      </c>
      <c r="B1497" s="0" t="s">
        <v>145</v>
      </c>
      <c r="C1497" s="0" t="s">
        <v>146</v>
      </c>
      <c r="D1497" s="0" t="n">
        <v>11</v>
      </c>
      <c r="E1497" s="5" t="n">
        <v>45952.0862037037</v>
      </c>
      <c r="F1497" s="0" t="n">
        <v>1.85</v>
      </c>
      <c r="G1497" s="0" t="n">
        <v>17216</v>
      </c>
      <c r="H1497" s="6" t="s">
        <v>42</v>
      </c>
      <c r="I1497" s="6" t="n">
        <f aca="false">D1497*F1497</f>
        <v>20.35</v>
      </c>
      <c r="J1497" s="6" t="n">
        <f aca="false">HOUR(E1497)</f>
        <v>2</v>
      </c>
      <c r="K1497" s="6" t="n">
        <f aca="false">IF(COUNTIF($A$2:$A1497,A1497)=1,1,0)</f>
        <v>1</v>
      </c>
    </row>
    <row r="1498" customFormat="false" ht="15" hidden="false" customHeight="false" outlineLevel="0" collapsed="false">
      <c r="A1498" s="0" t="s">
        <v>375</v>
      </c>
      <c r="B1498" s="0" t="s">
        <v>63</v>
      </c>
      <c r="C1498" s="0" t="s">
        <v>64</v>
      </c>
      <c r="D1498" s="0" t="n">
        <v>24</v>
      </c>
      <c r="E1498" s="5" t="n">
        <v>45952.0862037037</v>
      </c>
      <c r="F1498" s="0" t="n">
        <v>1.85</v>
      </c>
      <c r="G1498" s="0" t="n">
        <v>17216</v>
      </c>
      <c r="H1498" s="6" t="s">
        <v>42</v>
      </c>
      <c r="I1498" s="6" t="n">
        <f aca="false">D1498*F1498</f>
        <v>44.4</v>
      </c>
      <c r="J1498" s="6" t="n">
        <f aca="false">HOUR(E1498)</f>
        <v>2</v>
      </c>
      <c r="K1498" s="6" t="n">
        <f aca="false">IF(COUNTIF($A$2:$A1498,A1498)=1,1,0)</f>
        <v>0</v>
      </c>
    </row>
    <row r="1499" customFormat="false" ht="15" hidden="false" customHeight="false" outlineLevel="0" collapsed="false">
      <c r="A1499" s="0" t="s">
        <v>375</v>
      </c>
      <c r="B1499" s="0" t="s">
        <v>61</v>
      </c>
      <c r="C1499" s="0" t="s">
        <v>62</v>
      </c>
      <c r="D1499" s="0" t="n">
        <v>14</v>
      </c>
      <c r="E1499" s="5" t="n">
        <v>45952.0862037037</v>
      </c>
      <c r="F1499" s="0" t="n">
        <v>1.65</v>
      </c>
      <c r="G1499" s="0" t="n">
        <v>17216</v>
      </c>
      <c r="H1499" s="6" t="s">
        <v>42</v>
      </c>
      <c r="I1499" s="6" t="n">
        <f aca="false">D1499*F1499</f>
        <v>23.1</v>
      </c>
      <c r="J1499" s="6" t="n">
        <f aca="false">HOUR(E1499)</f>
        <v>2</v>
      </c>
      <c r="K1499" s="6" t="n">
        <f aca="false">IF(COUNTIF($A$2:$A1499,A1499)=1,1,0)</f>
        <v>0</v>
      </c>
    </row>
    <row r="1500" customFormat="false" ht="15" hidden="false" customHeight="false" outlineLevel="0" collapsed="false">
      <c r="A1500" s="0" t="s">
        <v>375</v>
      </c>
      <c r="B1500" s="0" t="s">
        <v>81</v>
      </c>
      <c r="C1500" s="0" t="s">
        <v>82</v>
      </c>
      <c r="D1500" s="0" t="n">
        <v>2</v>
      </c>
      <c r="E1500" s="5" t="n">
        <v>45952.0862037037</v>
      </c>
      <c r="F1500" s="0" t="n">
        <v>1.65</v>
      </c>
      <c r="G1500" s="0" t="n">
        <v>17216</v>
      </c>
      <c r="H1500" s="6" t="s">
        <v>42</v>
      </c>
      <c r="I1500" s="6" t="n">
        <f aca="false">D1500*F1500</f>
        <v>3.3</v>
      </c>
      <c r="J1500" s="6" t="n">
        <f aca="false">HOUR(E1500)</f>
        <v>2</v>
      </c>
      <c r="K1500" s="6" t="n">
        <f aca="false">IF(COUNTIF($A$2:$A1500,A1500)=1,1,0)</f>
        <v>0</v>
      </c>
    </row>
    <row r="1501" customFormat="false" ht="15" hidden="false" customHeight="false" outlineLevel="0" collapsed="false">
      <c r="A1501" s="0" t="s">
        <v>375</v>
      </c>
      <c r="B1501" s="0" t="s">
        <v>118</v>
      </c>
      <c r="C1501" s="0" t="s">
        <v>119</v>
      </c>
      <c r="D1501" s="0" t="n">
        <v>12</v>
      </c>
      <c r="E1501" s="5" t="n">
        <v>45952.0862037037</v>
      </c>
      <c r="F1501" s="0" t="n">
        <v>4.95</v>
      </c>
      <c r="G1501" s="0" t="n">
        <v>17216</v>
      </c>
      <c r="H1501" s="6" t="s">
        <v>42</v>
      </c>
      <c r="I1501" s="6" t="n">
        <f aca="false">D1501*F1501</f>
        <v>59.4</v>
      </c>
      <c r="J1501" s="6" t="n">
        <f aca="false">HOUR(E1501)</f>
        <v>2</v>
      </c>
      <c r="K1501" s="6" t="n">
        <f aca="false">IF(COUNTIF($A$2:$A1501,A1501)=1,1,0)</f>
        <v>0</v>
      </c>
    </row>
    <row r="1502" customFormat="false" ht="15" hidden="false" customHeight="false" outlineLevel="0" collapsed="false">
      <c r="A1502" s="0" t="s">
        <v>375</v>
      </c>
      <c r="B1502" s="0" t="s">
        <v>104</v>
      </c>
      <c r="C1502" s="0" t="s">
        <v>105</v>
      </c>
      <c r="D1502" s="0" t="n">
        <v>12</v>
      </c>
      <c r="E1502" s="5" t="n">
        <v>45952.0862037037</v>
      </c>
      <c r="F1502" s="0" t="n">
        <v>1.65</v>
      </c>
      <c r="G1502" s="0" t="n">
        <v>17216</v>
      </c>
      <c r="H1502" s="6" t="s">
        <v>42</v>
      </c>
      <c r="I1502" s="6" t="n">
        <f aca="false">D1502*F1502</f>
        <v>19.8</v>
      </c>
      <c r="J1502" s="6" t="n">
        <f aca="false">HOUR(E1502)</f>
        <v>2</v>
      </c>
      <c r="K1502" s="6" t="n">
        <f aca="false">IF(COUNTIF($A$2:$A1502,A1502)=1,1,0)</f>
        <v>0</v>
      </c>
    </row>
    <row r="1503" customFormat="false" ht="15" hidden="false" customHeight="false" outlineLevel="0" collapsed="false">
      <c r="A1503" s="0" t="s">
        <v>376</v>
      </c>
      <c r="B1503" s="0" t="s">
        <v>47</v>
      </c>
      <c r="C1503" s="0" t="s">
        <v>48</v>
      </c>
      <c r="D1503" s="0" t="n">
        <v>19</v>
      </c>
      <c r="E1503" s="5" t="n">
        <v>45952.3838773148</v>
      </c>
      <c r="F1503" s="0" t="n">
        <v>12.75</v>
      </c>
      <c r="G1503" s="0" t="n">
        <v>17075</v>
      </c>
      <c r="H1503" s="6" t="s">
        <v>188</v>
      </c>
      <c r="I1503" s="6" t="n">
        <f aca="false">D1503*F1503</f>
        <v>242.25</v>
      </c>
      <c r="J1503" s="6" t="n">
        <f aca="false">HOUR(E1503)</f>
        <v>9</v>
      </c>
      <c r="K1503" s="6" t="n">
        <f aca="false">IF(COUNTIF($A$2:$A1503,A1503)=1,1,0)</f>
        <v>1</v>
      </c>
    </row>
    <row r="1504" customFormat="false" ht="15" hidden="false" customHeight="false" outlineLevel="0" collapsed="false">
      <c r="A1504" s="0" t="s">
        <v>377</v>
      </c>
      <c r="B1504" s="0" t="s">
        <v>65</v>
      </c>
      <c r="C1504" s="0" t="s">
        <v>66</v>
      </c>
      <c r="D1504" s="0" t="n">
        <v>23</v>
      </c>
      <c r="E1504" s="5" t="n">
        <v>45952.5977430556</v>
      </c>
      <c r="F1504" s="0" t="n">
        <v>1.65</v>
      </c>
      <c r="G1504" s="0" t="n">
        <v>17048</v>
      </c>
      <c r="H1504" s="6" t="s">
        <v>68</v>
      </c>
      <c r="I1504" s="6" t="n">
        <f aca="false">D1504*F1504</f>
        <v>37.95</v>
      </c>
      <c r="J1504" s="6" t="n">
        <f aca="false">HOUR(E1504)</f>
        <v>14</v>
      </c>
      <c r="K1504" s="6" t="n">
        <f aca="false">IF(COUNTIF($A$2:$A1504,A1504)=1,1,0)</f>
        <v>1</v>
      </c>
    </row>
    <row r="1505" customFormat="false" ht="15" hidden="false" customHeight="false" outlineLevel="0" collapsed="false">
      <c r="A1505" s="0" t="s">
        <v>377</v>
      </c>
      <c r="B1505" s="0" t="s">
        <v>131</v>
      </c>
      <c r="C1505" s="0" t="s">
        <v>132</v>
      </c>
      <c r="D1505" s="0" t="n">
        <v>5</v>
      </c>
      <c r="E1505" s="5" t="n">
        <v>45952.5977430556</v>
      </c>
      <c r="F1505" s="0" t="n">
        <v>3.39</v>
      </c>
      <c r="G1505" s="0" t="n">
        <v>17048</v>
      </c>
      <c r="H1505" s="6" t="s">
        <v>68</v>
      </c>
      <c r="I1505" s="6" t="n">
        <f aca="false">D1505*F1505</f>
        <v>16.95</v>
      </c>
      <c r="J1505" s="6" t="n">
        <f aca="false">HOUR(E1505)</f>
        <v>14</v>
      </c>
      <c r="K1505" s="6" t="n">
        <f aca="false">IF(COUNTIF($A$2:$A1505,A1505)=1,1,0)</f>
        <v>0</v>
      </c>
    </row>
    <row r="1506" customFormat="false" ht="15" hidden="false" customHeight="false" outlineLevel="0" collapsed="false">
      <c r="A1506" s="0" t="s">
        <v>377</v>
      </c>
      <c r="B1506" s="0" t="s">
        <v>43</v>
      </c>
      <c r="C1506" s="0" t="s">
        <v>44</v>
      </c>
      <c r="D1506" s="0" t="n">
        <v>5</v>
      </c>
      <c r="E1506" s="5" t="n">
        <v>45952.5977430556</v>
      </c>
      <c r="F1506" s="0" t="n">
        <v>4.25</v>
      </c>
      <c r="G1506" s="0" t="n">
        <v>17048</v>
      </c>
      <c r="H1506" s="6" t="s">
        <v>68</v>
      </c>
      <c r="I1506" s="6" t="n">
        <f aca="false">D1506*F1506</f>
        <v>21.25</v>
      </c>
      <c r="J1506" s="6" t="n">
        <f aca="false">HOUR(E1506)</f>
        <v>14</v>
      </c>
      <c r="K1506" s="6" t="n">
        <f aca="false">IF(COUNTIF($A$2:$A1506,A1506)=1,1,0)</f>
        <v>0</v>
      </c>
    </row>
    <row r="1507" customFormat="false" ht="15" hidden="false" customHeight="false" outlineLevel="0" collapsed="false">
      <c r="A1507" s="0" t="s">
        <v>378</v>
      </c>
      <c r="B1507" s="0" t="s">
        <v>75</v>
      </c>
      <c r="C1507" s="0" t="s">
        <v>76</v>
      </c>
      <c r="D1507" s="0" t="n">
        <v>10</v>
      </c>
      <c r="E1507" s="5" t="n">
        <v>45952.6134722222</v>
      </c>
      <c r="F1507" s="0" t="n">
        <v>3.39</v>
      </c>
      <c r="G1507" s="0" t="n">
        <v>17252</v>
      </c>
      <c r="H1507" s="6" t="s">
        <v>74</v>
      </c>
      <c r="I1507" s="6" t="n">
        <f aca="false">D1507*F1507</f>
        <v>33.9</v>
      </c>
      <c r="J1507" s="6" t="n">
        <f aca="false">HOUR(E1507)</f>
        <v>14</v>
      </c>
      <c r="K1507" s="6" t="n">
        <f aca="false">IF(COUNTIF($A$2:$A1507,A1507)=1,1,0)</f>
        <v>1</v>
      </c>
    </row>
    <row r="1508" customFormat="false" ht="15" hidden="false" customHeight="false" outlineLevel="0" collapsed="false">
      <c r="A1508" s="0" t="s">
        <v>378</v>
      </c>
      <c r="B1508" s="0" t="s">
        <v>127</v>
      </c>
      <c r="C1508" s="0" t="s">
        <v>128</v>
      </c>
      <c r="D1508" s="0" t="n">
        <v>8</v>
      </c>
      <c r="E1508" s="5" t="n">
        <v>45952.6134722222</v>
      </c>
      <c r="F1508" s="0" t="n">
        <v>1.45</v>
      </c>
      <c r="G1508" s="0" t="n">
        <v>17252</v>
      </c>
      <c r="H1508" s="6" t="s">
        <v>74</v>
      </c>
      <c r="I1508" s="6" t="n">
        <f aca="false">D1508*F1508</f>
        <v>11.6</v>
      </c>
      <c r="J1508" s="6" t="n">
        <f aca="false">HOUR(E1508)</f>
        <v>14</v>
      </c>
      <c r="K1508" s="6" t="n">
        <f aca="false">IF(COUNTIF($A$2:$A1508,A1508)=1,1,0)</f>
        <v>0</v>
      </c>
    </row>
    <row r="1509" customFormat="false" ht="15" hidden="false" customHeight="false" outlineLevel="0" collapsed="false">
      <c r="A1509" s="0" t="s">
        <v>378</v>
      </c>
      <c r="B1509" s="0" t="s">
        <v>121</v>
      </c>
      <c r="C1509" s="0" t="s">
        <v>122</v>
      </c>
      <c r="D1509" s="0" t="n">
        <v>3</v>
      </c>
      <c r="E1509" s="5" t="n">
        <v>45952.6134722222</v>
      </c>
      <c r="F1509" s="0" t="n">
        <v>2.1</v>
      </c>
      <c r="G1509" s="0" t="n">
        <v>17252</v>
      </c>
      <c r="H1509" s="6" t="s">
        <v>74</v>
      </c>
      <c r="I1509" s="6" t="n">
        <f aca="false">D1509*F1509</f>
        <v>6.3</v>
      </c>
      <c r="J1509" s="6" t="n">
        <f aca="false">HOUR(E1509)</f>
        <v>14</v>
      </c>
      <c r="K1509" s="6" t="n">
        <f aca="false">IF(COUNTIF($A$2:$A1509,A1509)=1,1,0)</f>
        <v>0</v>
      </c>
    </row>
    <row r="1510" customFormat="false" ht="15" hidden="false" customHeight="false" outlineLevel="0" collapsed="false">
      <c r="A1510" s="0" t="s">
        <v>379</v>
      </c>
      <c r="B1510" s="0" t="s">
        <v>116</v>
      </c>
      <c r="C1510" s="0" t="s">
        <v>117</v>
      </c>
      <c r="D1510" s="0" t="n">
        <v>1</v>
      </c>
      <c r="E1510" s="5" t="n">
        <v>45952.6239699074</v>
      </c>
      <c r="F1510" s="0" t="n">
        <v>1.95</v>
      </c>
      <c r="G1510" s="0" t="n">
        <v>17127</v>
      </c>
      <c r="H1510" s="6" t="s">
        <v>151</v>
      </c>
      <c r="I1510" s="6" t="n">
        <f aca="false">D1510*F1510</f>
        <v>1.95</v>
      </c>
      <c r="J1510" s="6" t="n">
        <f aca="false">HOUR(E1510)</f>
        <v>14</v>
      </c>
      <c r="K1510" s="6" t="n">
        <f aca="false">IF(COUNTIF($A$2:$A1510,A1510)=1,1,0)</f>
        <v>1</v>
      </c>
    </row>
    <row r="1511" customFormat="false" ht="15" hidden="false" customHeight="false" outlineLevel="0" collapsed="false">
      <c r="A1511" s="0" t="s">
        <v>379</v>
      </c>
      <c r="B1511" s="0" t="s">
        <v>86</v>
      </c>
      <c r="C1511" s="0" t="s">
        <v>87</v>
      </c>
      <c r="D1511" s="0" t="n">
        <v>1</v>
      </c>
      <c r="E1511" s="5" t="n">
        <v>45952.6239699074</v>
      </c>
      <c r="F1511" s="0" t="n">
        <v>4.25</v>
      </c>
      <c r="G1511" s="0" t="n">
        <v>17127</v>
      </c>
      <c r="H1511" s="6" t="s">
        <v>151</v>
      </c>
      <c r="I1511" s="6" t="n">
        <f aca="false">D1511*F1511</f>
        <v>4.25</v>
      </c>
      <c r="J1511" s="6" t="n">
        <f aca="false">HOUR(E1511)</f>
        <v>14</v>
      </c>
      <c r="K1511" s="6" t="n">
        <f aca="false">IF(COUNTIF($A$2:$A1511,A1511)=1,1,0)</f>
        <v>0</v>
      </c>
    </row>
    <row r="1512" customFormat="false" ht="15" hidden="false" customHeight="false" outlineLevel="0" collapsed="false">
      <c r="A1512" s="0" t="s">
        <v>380</v>
      </c>
      <c r="B1512" s="0" t="s">
        <v>63</v>
      </c>
      <c r="C1512" s="0" t="s">
        <v>64</v>
      </c>
      <c r="D1512" s="0" t="n">
        <v>21</v>
      </c>
      <c r="E1512" s="5" t="n">
        <v>45952.639837963</v>
      </c>
      <c r="F1512" s="0" t="n">
        <v>1.85</v>
      </c>
      <c r="G1512" s="0" t="n">
        <v>17047</v>
      </c>
      <c r="H1512" s="6" t="s">
        <v>151</v>
      </c>
      <c r="I1512" s="6" t="n">
        <f aca="false">D1512*F1512</f>
        <v>38.85</v>
      </c>
      <c r="J1512" s="6" t="n">
        <f aca="false">HOUR(E1512)</f>
        <v>15</v>
      </c>
      <c r="K1512" s="6" t="n">
        <f aca="false">IF(COUNTIF($A$2:$A1512,A1512)=1,1,0)</f>
        <v>1</v>
      </c>
    </row>
    <row r="1513" customFormat="false" ht="15" hidden="false" customHeight="false" outlineLevel="0" collapsed="false">
      <c r="A1513" s="0" t="s">
        <v>380</v>
      </c>
      <c r="B1513" s="0" t="s">
        <v>137</v>
      </c>
      <c r="C1513" s="0" t="s">
        <v>138</v>
      </c>
      <c r="D1513" s="0" t="n">
        <v>16</v>
      </c>
      <c r="E1513" s="5" t="n">
        <v>45952.639837963</v>
      </c>
      <c r="F1513" s="0" t="n">
        <v>2.1</v>
      </c>
      <c r="G1513" s="0" t="n">
        <v>17047</v>
      </c>
      <c r="H1513" s="6" t="s">
        <v>151</v>
      </c>
      <c r="I1513" s="6" t="n">
        <f aca="false">D1513*F1513</f>
        <v>33.6</v>
      </c>
      <c r="J1513" s="6" t="n">
        <f aca="false">HOUR(E1513)</f>
        <v>15</v>
      </c>
      <c r="K1513" s="6" t="n">
        <f aca="false">IF(COUNTIF($A$2:$A1513,A1513)=1,1,0)</f>
        <v>0</v>
      </c>
    </row>
    <row r="1514" customFormat="false" ht="15" hidden="false" customHeight="false" outlineLevel="0" collapsed="false">
      <c r="A1514" s="0" t="s">
        <v>380</v>
      </c>
      <c r="B1514" s="0" t="s">
        <v>99</v>
      </c>
      <c r="C1514" s="0" t="s">
        <v>100</v>
      </c>
      <c r="D1514" s="0" t="n">
        <v>13</v>
      </c>
      <c r="E1514" s="5" t="n">
        <v>45952.639837963</v>
      </c>
      <c r="F1514" s="0" t="n">
        <v>2.08</v>
      </c>
      <c r="G1514" s="0" t="n">
        <v>17047</v>
      </c>
      <c r="H1514" s="6" t="s">
        <v>151</v>
      </c>
      <c r="I1514" s="6" t="n">
        <f aca="false">D1514*F1514</f>
        <v>27.04</v>
      </c>
      <c r="J1514" s="6" t="n">
        <f aca="false">HOUR(E1514)</f>
        <v>15</v>
      </c>
      <c r="K1514" s="6" t="n">
        <f aca="false">IF(COUNTIF($A$2:$A1514,A1514)=1,1,0)</f>
        <v>0</v>
      </c>
    </row>
    <row r="1515" customFormat="false" ht="15" hidden="false" customHeight="false" outlineLevel="0" collapsed="false">
      <c r="A1515" s="0" t="s">
        <v>380</v>
      </c>
      <c r="B1515" s="0" t="s">
        <v>50</v>
      </c>
      <c r="C1515" s="0" t="s">
        <v>51</v>
      </c>
      <c r="D1515" s="0" t="n">
        <v>6</v>
      </c>
      <c r="E1515" s="5" t="n">
        <v>45952.639837963</v>
      </c>
      <c r="F1515" s="0" t="n">
        <v>5.95</v>
      </c>
      <c r="G1515" s="0" t="n">
        <v>17047</v>
      </c>
      <c r="H1515" s="6" t="s">
        <v>151</v>
      </c>
      <c r="I1515" s="6" t="n">
        <f aca="false">D1515*F1515</f>
        <v>35.7</v>
      </c>
      <c r="J1515" s="6" t="n">
        <f aca="false">HOUR(E1515)</f>
        <v>15</v>
      </c>
      <c r="K1515" s="6" t="n">
        <f aca="false">IF(COUNTIF($A$2:$A1515,A1515)=1,1,0)</f>
        <v>0</v>
      </c>
    </row>
    <row r="1516" customFormat="false" ht="15" hidden="false" customHeight="false" outlineLevel="0" collapsed="false">
      <c r="A1516" s="0" t="s">
        <v>380</v>
      </c>
      <c r="B1516" s="0" t="s">
        <v>125</v>
      </c>
      <c r="C1516" s="0" t="s">
        <v>126</v>
      </c>
      <c r="D1516" s="0" t="n">
        <v>24</v>
      </c>
      <c r="E1516" s="5" t="n">
        <v>45952.639837963</v>
      </c>
      <c r="F1516" s="0" t="n">
        <v>1.25</v>
      </c>
      <c r="G1516" s="0" t="n">
        <v>17047</v>
      </c>
      <c r="H1516" s="6" t="s">
        <v>151</v>
      </c>
      <c r="I1516" s="6" t="n">
        <f aca="false">D1516*F1516</f>
        <v>30</v>
      </c>
      <c r="J1516" s="6" t="n">
        <f aca="false">HOUR(E1516)</f>
        <v>15</v>
      </c>
      <c r="K1516" s="6" t="n">
        <f aca="false">IF(COUNTIF($A$2:$A1516,A1516)=1,1,0)</f>
        <v>0</v>
      </c>
    </row>
    <row r="1517" customFormat="false" ht="15" hidden="false" customHeight="false" outlineLevel="0" collapsed="false">
      <c r="A1517" s="0" t="s">
        <v>380</v>
      </c>
      <c r="B1517" s="0" t="s">
        <v>118</v>
      </c>
      <c r="C1517" s="0" t="s">
        <v>119</v>
      </c>
      <c r="D1517" s="0" t="n">
        <v>13</v>
      </c>
      <c r="E1517" s="5" t="n">
        <v>45952.639837963</v>
      </c>
      <c r="F1517" s="0" t="n">
        <v>4.95</v>
      </c>
      <c r="G1517" s="0" t="n">
        <v>17047</v>
      </c>
      <c r="H1517" s="6" t="s">
        <v>151</v>
      </c>
      <c r="I1517" s="6" t="n">
        <f aca="false">D1517*F1517</f>
        <v>64.35</v>
      </c>
      <c r="J1517" s="6" t="n">
        <f aca="false">HOUR(E1517)</f>
        <v>15</v>
      </c>
      <c r="K1517" s="6" t="n">
        <f aca="false">IF(COUNTIF($A$2:$A1517,A1517)=1,1,0)</f>
        <v>0</v>
      </c>
    </row>
    <row r="1518" customFormat="false" ht="15" hidden="false" customHeight="false" outlineLevel="0" collapsed="false">
      <c r="A1518" s="0" t="s">
        <v>381</v>
      </c>
      <c r="B1518" s="0" t="s">
        <v>109</v>
      </c>
      <c r="C1518" s="0" t="s">
        <v>110</v>
      </c>
      <c r="D1518" s="0" t="n">
        <v>13</v>
      </c>
      <c r="E1518" s="5" t="n">
        <v>45952.7349189815</v>
      </c>
      <c r="F1518" s="0" t="n">
        <v>0.85</v>
      </c>
      <c r="G1518" s="0" t="n">
        <v>17031</v>
      </c>
      <c r="H1518" s="6" t="s">
        <v>74</v>
      </c>
      <c r="I1518" s="6" t="n">
        <f aca="false">D1518*F1518</f>
        <v>11.05</v>
      </c>
      <c r="J1518" s="6" t="n">
        <f aca="false">HOUR(E1518)</f>
        <v>17</v>
      </c>
      <c r="K1518" s="6" t="n">
        <f aca="false">IF(COUNTIF($A$2:$A1518,A1518)=1,1,0)</f>
        <v>1</v>
      </c>
    </row>
    <row r="1519" customFormat="false" ht="15" hidden="false" customHeight="false" outlineLevel="0" collapsed="false">
      <c r="A1519" s="0" t="s">
        <v>381</v>
      </c>
      <c r="B1519" s="0" t="s">
        <v>118</v>
      </c>
      <c r="C1519" s="0" t="s">
        <v>119</v>
      </c>
      <c r="D1519" s="0" t="n">
        <v>34</v>
      </c>
      <c r="E1519" s="5" t="n">
        <v>45952.7349189815</v>
      </c>
      <c r="F1519" s="0" t="n">
        <v>4.95</v>
      </c>
      <c r="G1519" s="0" t="n">
        <v>17031</v>
      </c>
      <c r="H1519" s="6" t="s">
        <v>74</v>
      </c>
      <c r="I1519" s="6" t="n">
        <f aca="false">D1519*F1519</f>
        <v>168.3</v>
      </c>
      <c r="J1519" s="6" t="n">
        <f aca="false">HOUR(E1519)</f>
        <v>17</v>
      </c>
      <c r="K1519" s="6" t="n">
        <f aca="false">IF(COUNTIF($A$2:$A1519,A1519)=1,1,0)</f>
        <v>0</v>
      </c>
    </row>
    <row r="1520" customFormat="false" ht="15" hidden="false" customHeight="false" outlineLevel="0" collapsed="false">
      <c r="A1520" s="0" t="s">
        <v>381</v>
      </c>
      <c r="B1520" s="0" t="s">
        <v>77</v>
      </c>
      <c r="C1520" s="0" t="s">
        <v>78</v>
      </c>
      <c r="D1520" s="0" t="n">
        <v>13</v>
      </c>
      <c r="E1520" s="5" t="n">
        <v>45952.7349189815</v>
      </c>
      <c r="F1520" s="0" t="n">
        <v>1.65</v>
      </c>
      <c r="G1520" s="0" t="n">
        <v>17031</v>
      </c>
      <c r="H1520" s="6" t="s">
        <v>74</v>
      </c>
      <c r="I1520" s="6" t="n">
        <f aca="false">D1520*F1520</f>
        <v>21.45</v>
      </c>
      <c r="J1520" s="6" t="n">
        <f aca="false">HOUR(E1520)</f>
        <v>17</v>
      </c>
      <c r="K1520" s="6" t="n">
        <f aca="false">IF(COUNTIF($A$2:$A1520,A1520)=1,1,0)</f>
        <v>0</v>
      </c>
    </row>
    <row r="1521" customFormat="false" ht="15" hidden="false" customHeight="false" outlineLevel="0" collapsed="false">
      <c r="A1521" s="0" t="s">
        <v>381</v>
      </c>
      <c r="B1521" s="0" t="s">
        <v>40</v>
      </c>
      <c r="C1521" s="0" t="s">
        <v>41</v>
      </c>
      <c r="D1521" s="0" t="n">
        <v>9</v>
      </c>
      <c r="E1521" s="5" t="n">
        <v>45952.7349189815</v>
      </c>
      <c r="F1521" s="0" t="n">
        <v>1.06</v>
      </c>
      <c r="G1521" s="0" t="n">
        <v>17031</v>
      </c>
      <c r="H1521" s="6" t="s">
        <v>74</v>
      </c>
      <c r="I1521" s="6" t="n">
        <f aca="false">D1521*F1521</f>
        <v>9.54</v>
      </c>
      <c r="J1521" s="6" t="n">
        <f aca="false">HOUR(E1521)</f>
        <v>17</v>
      </c>
      <c r="K1521" s="6" t="n">
        <f aca="false">IF(COUNTIF($A$2:$A1521,A1521)=1,1,0)</f>
        <v>0</v>
      </c>
    </row>
    <row r="1522" customFormat="false" ht="15" hidden="false" customHeight="false" outlineLevel="0" collapsed="false">
      <c r="A1522" s="0" t="s">
        <v>382</v>
      </c>
      <c r="B1522" s="0" t="s">
        <v>59</v>
      </c>
      <c r="C1522" s="0" t="s">
        <v>60</v>
      </c>
      <c r="D1522" s="0" t="n">
        <v>9</v>
      </c>
      <c r="E1522" s="5" t="n">
        <v>45952.8363773148</v>
      </c>
      <c r="F1522" s="0" t="n">
        <v>0.42</v>
      </c>
      <c r="G1522" s="0" t="n">
        <v>17206</v>
      </c>
      <c r="H1522" s="6" t="s">
        <v>74</v>
      </c>
      <c r="I1522" s="6" t="n">
        <f aca="false">D1522*F1522</f>
        <v>3.78</v>
      </c>
      <c r="J1522" s="6" t="n">
        <f aca="false">HOUR(E1522)</f>
        <v>20</v>
      </c>
      <c r="K1522" s="6" t="n">
        <f aca="false">IF(COUNTIF($A$2:$A1522,A1522)=1,1,0)</f>
        <v>1</v>
      </c>
    </row>
    <row r="1523" customFormat="false" ht="15" hidden="false" customHeight="false" outlineLevel="0" collapsed="false">
      <c r="A1523" s="0" t="s">
        <v>382</v>
      </c>
      <c r="B1523" s="0" t="s">
        <v>127</v>
      </c>
      <c r="C1523" s="0" t="s">
        <v>128</v>
      </c>
      <c r="D1523" s="0" t="n">
        <v>19</v>
      </c>
      <c r="E1523" s="5" t="n">
        <v>45952.8363773148</v>
      </c>
      <c r="F1523" s="0" t="n">
        <v>1.45</v>
      </c>
      <c r="G1523" s="0" t="n">
        <v>17206</v>
      </c>
      <c r="H1523" s="6" t="s">
        <v>74</v>
      </c>
      <c r="I1523" s="6" t="n">
        <f aca="false">D1523*F1523</f>
        <v>27.55</v>
      </c>
      <c r="J1523" s="6" t="n">
        <f aca="false">HOUR(E1523)</f>
        <v>20</v>
      </c>
      <c r="K1523" s="6" t="n">
        <f aca="false">IF(COUNTIF($A$2:$A1523,A1523)=1,1,0)</f>
        <v>0</v>
      </c>
    </row>
    <row r="1524" customFormat="false" ht="15" hidden="false" customHeight="false" outlineLevel="0" collapsed="false">
      <c r="A1524" s="0" t="s">
        <v>383</v>
      </c>
      <c r="B1524" s="0" t="s">
        <v>88</v>
      </c>
      <c r="C1524" s="0" t="s">
        <v>89</v>
      </c>
      <c r="D1524" s="0" t="n">
        <v>13</v>
      </c>
      <c r="E1524" s="5" t="n">
        <v>45953.0014814815</v>
      </c>
      <c r="F1524" s="0" t="n">
        <v>2.75</v>
      </c>
      <c r="G1524" s="0" t="n">
        <v>17182</v>
      </c>
      <c r="H1524" s="6" t="s">
        <v>74</v>
      </c>
      <c r="I1524" s="6" t="n">
        <f aca="false">D1524*F1524</f>
        <v>35.75</v>
      </c>
      <c r="J1524" s="6" t="n">
        <f aca="false">HOUR(E1524)</f>
        <v>0</v>
      </c>
      <c r="K1524" s="6" t="n">
        <f aca="false">IF(COUNTIF($A$2:$A1524,A1524)=1,1,0)</f>
        <v>1</v>
      </c>
    </row>
    <row r="1525" customFormat="false" ht="15" hidden="false" customHeight="false" outlineLevel="0" collapsed="false">
      <c r="A1525" s="0" t="s">
        <v>383</v>
      </c>
      <c r="B1525" s="0" t="s">
        <v>116</v>
      </c>
      <c r="C1525" s="0" t="s">
        <v>117</v>
      </c>
      <c r="D1525" s="0" t="n">
        <v>9</v>
      </c>
      <c r="E1525" s="5" t="n">
        <v>45953.0014814815</v>
      </c>
      <c r="F1525" s="0" t="n">
        <v>1.95</v>
      </c>
      <c r="G1525" s="0" t="n">
        <v>17182</v>
      </c>
      <c r="H1525" s="6" t="s">
        <v>74</v>
      </c>
      <c r="I1525" s="6" t="n">
        <f aca="false">D1525*F1525</f>
        <v>17.55</v>
      </c>
      <c r="J1525" s="6" t="n">
        <f aca="false">HOUR(E1525)</f>
        <v>0</v>
      </c>
      <c r="K1525" s="6" t="n">
        <f aca="false">IF(COUNTIF($A$2:$A1525,A1525)=1,1,0)</f>
        <v>0</v>
      </c>
    </row>
    <row r="1526" customFormat="false" ht="15" hidden="false" customHeight="false" outlineLevel="0" collapsed="false">
      <c r="A1526" s="0" t="s">
        <v>383</v>
      </c>
      <c r="B1526" s="0" t="s">
        <v>121</v>
      </c>
      <c r="C1526" s="0" t="s">
        <v>122</v>
      </c>
      <c r="D1526" s="0" t="n">
        <v>16</v>
      </c>
      <c r="E1526" s="5" t="n">
        <v>45953.0014814815</v>
      </c>
      <c r="F1526" s="0" t="n">
        <v>2.1</v>
      </c>
      <c r="G1526" s="0" t="n">
        <v>17182</v>
      </c>
      <c r="H1526" s="6" t="s">
        <v>74</v>
      </c>
      <c r="I1526" s="6" t="n">
        <f aca="false">D1526*F1526</f>
        <v>33.6</v>
      </c>
      <c r="J1526" s="6" t="n">
        <f aca="false">HOUR(E1526)</f>
        <v>0</v>
      </c>
      <c r="K1526" s="6" t="n">
        <f aca="false">IF(COUNTIF($A$2:$A1526,A1526)=1,1,0)</f>
        <v>0</v>
      </c>
    </row>
    <row r="1527" customFormat="false" ht="15" hidden="false" customHeight="false" outlineLevel="0" collapsed="false">
      <c r="A1527" s="0" t="s">
        <v>383</v>
      </c>
      <c r="B1527" s="0" t="s">
        <v>91</v>
      </c>
      <c r="D1527" s="0" t="n">
        <v>7</v>
      </c>
      <c r="E1527" s="5" t="n">
        <v>45953.0014814815</v>
      </c>
      <c r="F1527" s="0" t="n">
        <v>7.65</v>
      </c>
      <c r="G1527" s="0" t="n">
        <v>17182</v>
      </c>
      <c r="H1527" s="6" t="s">
        <v>74</v>
      </c>
      <c r="I1527" s="6" t="n">
        <f aca="false">D1527*F1527</f>
        <v>53.55</v>
      </c>
      <c r="J1527" s="6" t="n">
        <f aca="false">HOUR(E1527)</f>
        <v>0</v>
      </c>
      <c r="K1527" s="6" t="n">
        <f aca="false">IF(COUNTIF($A$2:$A1527,A1527)=1,1,0)</f>
        <v>0</v>
      </c>
    </row>
    <row r="1528" customFormat="false" ht="15" hidden="false" customHeight="false" outlineLevel="0" collapsed="false">
      <c r="A1528" s="0" t="s">
        <v>383</v>
      </c>
      <c r="B1528" s="0" t="s">
        <v>125</v>
      </c>
      <c r="C1528" s="0" t="s">
        <v>126</v>
      </c>
      <c r="D1528" s="0" t="n">
        <v>16</v>
      </c>
      <c r="E1528" s="5" t="n">
        <v>45953.0014814815</v>
      </c>
      <c r="F1528" s="0" t="n">
        <v>1.25</v>
      </c>
      <c r="G1528" s="0" t="n">
        <v>17182</v>
      </c>
      <c r="H1528" s="6" t="s">
        <v>74</v>
      </c>
      <c r="I1528" s="6" t="n">
        <f aca="false">D1528*F1528</f>
        <v>20</v>
      </c>
      <c r="J1528" s="6" t="n">
        <f aca="false">HOUR(E1528)</f>
        <v>0</v>
      </c>
      <c r="K1528" s="6" t="n">
        <f aca="false">IF(COUNTIF($A$2:$A1528,A1528)=1,1,0)</f>
        <v>0</v>
      </c>
    </row>
    <row r="1529" customFormat="false" ht="15" hidden="false" customHeight="false" outlineLevel="0" collapsed="false">
      <c r="A1529" s="0" t="s">
        <v>383</v>
      </c>
      <c r="B1529" s="0" t="s">
        <v>114</v>
      </c>
      <c r="C1529" s="0" t="s">
        <v>115</v>
      </c>
      <c r="D1529" s="0" t="n">
        <v>3</v>
      </c>
      <c r="E1529" s="5" t="n">
        <v>45953.0014814815</v>
      </c>
      <c r="F1529" s="0" t="n">
        <v>2.08</v>
      </c>
      <c r="G1529" s="0" t="n">
        <v>17182</v>
      </c>
      <c r="H1529" s="6" t="s">
        <v>74</v>
      </c>
      <c r="I1529" s="6" t="n">
        <f aca="false">D1529*F1529</f>
        <v>6.24</v>
      </c>
      <c r="J1529" s="6" t="n">
        <f aca="false">HOUR(E1529)</f>
        <v>0</v>
      </c>
      <c r="K1529" s="6" t="n">
        <f aca="false">IF(COUNTIF($A$2:$A1529,A1529)=1,1,0)</f>
        <v>0</v>
      </c>
    </row>
    <row r="1530" customFormat="false" ht="15" hidden="false" customHeight="false" outlineLevel="0" collapsed="false">
      <c r="A1530" s="0" t="s">
        <v>383</v>
      </c>
      <c r="B1530" s="0" t="s">
        <v>57</v>
      </c>
      <c r="C1530" s="0" t="s">
        <v>58</v>
      </c>
      <c r="D1530" s="0" t="n">
        <v>19</v>
      </c>
      <c r="E1530" s="5" t="n">
        <v>45953.0014814815</v>
      </c>
      <c r="F1530" s="0" t="n">
        <v>2.08</v>
      </c>
      <c r="G1530" s="0" t="n">
        <v>17182</v>
      </c>
      <c r="H1530" s="6" t="s">
        <v>74</v>
      </c>
      <c r="I1530" s="6" t="n">
        <f aca="false">D1530*F1530</f>
        <v>39.52</v>
      </c>
      <c r="J1530" s="6" t="n">
        <f aca="false">HOUR(E1530)</f>
        <v>0</v>
      </c>
      <c r="K1530" s="6" t="n">
        <f aca="false">IF(COUNTIF($A$2:$A1530,A1530)=1,1,0)</f>
        <v>0</v>
      </c>
    </row>
    <row r="1531" customFormat="false" ht="15" hidden="false" customHeight="false" outlineLevel="0" collapsed="false">
      <c r="A1531" s="0" t="s">
        <v>383</v>
      </c>
      <c r="B1531" s="0" t="s">
        <v>99</v>
      </c>
      <c r="C1531" s="0" t="s">
        <v>100</v>
      </c>
      <c r="D1531" s="0" t="n">
        <v>17</v>
      </c>
      <c r="E1531" s="5" t="n">
        <v>45953.0014814815</v>
      </c>
      <c r="F1531" s="0" t="n">
        <v>2.08</v>
      </c>
      <c r="G1531" s="0" t="n">
        <v>17182</v>
      </c>
      <c r="H1531" s="6" t="s">
        <v>74</v>
      </c>
      <c r="I1531" s="6" t="n">
        <f aca="false">D1531*F1531</f>
        <v>35.36</v>
      </c>
      <c r="J1531" s="6" t="n">
        <f aca="false">HOUR(E1531)</f>
        <v>0</v>
      </c>
      <c r="K1531" s="6" t="n">
        <f aca="false">IF(COUNTIF($A$2:$A1531,A1531)=1,1,0)</f>
        <v>0</v>
      </c>
    </row>
    <row r="1532" customFormat="false" ht="15" hidden="false" customHeight="false" outlineLevel="0" collapsed="false">
      <c r="A1532" s="0" t="s">
        <v>383</v>
      </c>
      <c r="B1532" s="0" t="s">
        <v>86</v>
      </c>
      <c r="C1532" s="0" t="s">
        <v>87</v>
      </c>
      <c r="D1532" s="0" t="n">
        <v>20</v>
      </c>
      <c r="E1532" s="5" t="n">
        <v>45953.0014814815</v>
      </c>
      <c r="F1532" s="0" t="n">
        <v>4.25</v>
      </c>
      <c r="G1532" s="0" t="n">
        <v>17182</v>
      </c>
      <c r="H1532" s="6" t="s">
        <v>74</v>
      </c>
      <c r="I1532" s="6" t="n">
        <f aca="false">D1532*F1532</f>
        <v>85</v>
      </c>
      <c r="J1532" s="6" t="n">
        <f aca="false">HOUR(E1532)</f>
        <v>0</v>
      </c>
      <c r="K1532" s="6" t="n">
        <f aca="false">IF(COUNTIF($A$2:$A1532,A1532)=1,1,0)</f>
        <v>0</v>
      </c>
    </row>
    <row r="1533" customFormat="false" ht="15" hidden="false" customHeight="false" outlineLevel="0" collapsed="false">
      <c r="A1533" s="0" t="s">
        <v>383</v>
      </c>
      <c r="B1533" s="0" t="s">
        <v>53</v>
      </c>
      <c r="C1533" s="0" t="s">
        <v>54</v>
      </c>
      <c r="D1533" s="0" t="n">
        <v>23</v>
      </c>
      <c r="E1533" s="5" t="n">
        <v>45953.0014814815</v>
      </c>
      <c r="F1533" s="0" t="n">
        <v>2.95</v>
      </c>
      <c r="G1533" s="0" t="n">
        <v>17182</v>
      </c>
      <c r="H1533" s="6" t="s">
        <v>74</v>
      </c>
      <c r="I1533" s="6" t="n">
        <f aca="false">D1533*F1533</f>
        <v>67.85</v>
      </c>
      <c r="J1533" s="6" t="n">
        <f aca="false">HOUR(E1533)</f>
        <v>0</v>
      </c>
      <c r="K1533" s="6" t="n">
        <f aca="false">IF(COUNTIF($A$2:$A1533,A1533)=1,1,0)</f>
        <v>0</v>
      </c>
    </row>
    <row r="1534" customFormat="false" ht="15" hidden="false" customHeight="false" outlineLevel="0" collapsed="false">
      <c r="A1534" s="0" t="s">
        <v>384</v>
      </c>
      <c r="B1534" s="0" t="s">
        <v>91</v>
      </c>
      <c r="C1534" s="0" t="s">
        <v>92</v>
      </c>
      <c r="D1534" s="0" t="n">
        <v>23</v>
      </c>
      <c r="E1534" s="5" t="n">
        <v>45953.1339930556</v>
      </c>
      <c r="F1534" s="0" t="n">
        <v>7.65</v>
      </c>
      <c r="G1534" s="0" t="n">
        <v>17218</v>
      </c>
      <c r="H1534" s="6" t="s">
        <v>263</v>
      </c>
      <c r="I1534" s="6" t="n">
        <f aca="false">D1534*F1534</f>
        <v>175.95</v>
      </c>
      <c r="J1534" s="6" t="n">
        <f aca="false">HOUR(E1534)</f>
        <v>3</v>
      </c>
      <c r="K1534" s="6" t="n">
        <f aca="false">IF(COUNTIF($A$2:$A1534,A1534)=1,1,0)</f>
        <v>1</v>
      </c>
    </row>
    <row r="1535" customFormat="false" ht="15" hidden="false" customHeight="false" outlineLevel="0" collapsed="false">
      <c r="A1535" s="0" t="s">
        <v>384</v>
      </c>
      <c r="B1535" s="0" t="s">
        <v>47</v>
      </c>
      <c r="C1535" s="0" t="s">
        <v>48</v>
      </c>
      <c r="D1535" s="0" t="n">
        <v>22</v>
      </c>
      <c r="E1535" s="5" t="n">
        <v>45953.1339930556</v>
      </c>
      <c r="F1535" s="0" t="n">
        <v>12.75</v>
      </c>
      <c r="G1535" s="0" t="n">
        <v>17218</v>
      </c>
      <c r="H1535" s="6" t="s">
        <v>263</v>
      </c>
      <c r="I1535" s="6" t="n">
        <f aca="false">D1535*F1535</f>
        <v>280.5</v>
      </c>
      <c r="J1535" s="6" t="n">
        <f aca="false">HOUR(E1535)</f>
        <v>3</v>
      </c>
      <c r="K1535" s="6" t="n">
        <f aca="false">IF(COUNTIF($A$2:$A1535,A1535)=1,1,0)</f>
        <v>0</v>
      </c>
    </row>
    <row r="1536" customFormat="false" ht="15" hidden="false" customHeight="false" outlineLevel="0" collapsed="false">
      <c r="A1536" s="0" t="s">
        <v>385</v>
      </c>
      <c r="B1536" s="0" t="s">
        <v>59</v>
      </c>
      <c r="C1536" s="0" t="s">
        <v>60</v>
      </c>
      <c r="D1536" s="0" t="n">
        <v>18</v>
      </c>
      <c r="E1536" s="5" t="n">
        <v>45953.3127314815</v>
      </c>
      <c r="F1536" s="0" t="n">
        <v>0.42</v>
      </c>
      <c r="G1536" s="0" t="n">
        <v>17097</v>
      </c>
      <c r="H1536" s="6" t="s">
        <v>68</v>
      </c>
      <c r="I1536" s="6" t="n">
        <f aca="false">D1536*F1536</f>
        <v>7.56</v>
      </c>
      <c r="J1536" s="6" t="n">
        <f aca="false">HOUR(E1536)</f>
        <v>7</v>
      </c>
      <c r="K1536" s="6" t="n">
        <f aca="false">IF(COUNTIF($A$2:$A1536,A1536)=1,1,0)</f>
        <v>1</v>
      </c>
    </row>
    <row r="1537" customFormat="false" ht="15" hidden="false" customHeight="false" outlineLevel="0" collapsed="false">
      <c r="A1537" s="0" t="s">
        <v>385</v>
      </c>
      <c r="B1537" s="0" t="s">
        <v>107</v>
      </c>
      <c r="C1537" s="0" t="s">
        <v>108</v>
      </c>
      <c r="D1537" s="0" t="n">
        <v>12</v>
      </c>
      <c r="E1537" s="5" t="n">
        <v>45953.3127314815</v>
      </c>
      <c r="F1537" s="0" t="n">
        <v>3.75</v>
      </c>
      <c r="G1537" s="0" t="n">
        <v>17097</v>
      </c>
      <c r="H1537" s="6" t="s">
        <v>68</v>
      </c>
      <c r="I1537" s="6" t="n">
        <f aca="false">D1537*F1537</f>
        <v>45</v>
      </c>
      <c r="J1537" s="6" t="n">
        <f aca="false">HOUR(E1537)</f>
        <v>7</v>
      </c>
      <c r="K1537" s="6" t="n">
        <f aca="false">IF(COUNTIF($A$2:$A1537,A1537)=1,1,0)</f>
        <v>0</v>
      </c>
    </row>
    <row r="1538" customFormat="false" ht="15" hidden="false" customHeight="false" outlineLevel="0" collapsed="false">
      <c r="A1538" s="0" t="s">
        <v>385</v>
      </c>
      <c r="B1538" s="0" t="s">
        <v>104</v>
      </c>
      <c r="C1538" s="0" t="s">
        <v>105</v>
      </c>
      <c r="D1538" s="0" t="n">
        <v>4</v>
      </c>
      <c r="E1538" s="5" t="n">
        <v>45953.3127314815</v>
      </c>
      <c r="F1538" s="0" t="n">
        <v>1.65</v>
      </c>
      <c r="G1538" s="0" t="n">
        <v>17097</v>
      </c>
      <c r="H1538" s="6" t="s">
        <v>68</v>
      </c>
      <c r="I1538" s="6" t="n">
        <f aca="false">D1538*F1538</f>
        <v>6.6</v>
      </c>
      <c r="J1538" s="6" t="n">
        <f aca="false">HOUR(E1538)</f>
        <v>7</v>
      </c>
      <c r="K1538" s="6" t="n">
        <f aca="false">IF(COUNTIF($A$2:$A1538,A1538)=1,1,0)</f>
        <v>0</v>
      </c>
    </row>
    <row r="1539" customFormat="false" ht="15" hidden="false" customHeight="false" outlineLevel="0" collapsed="false">
      <c r="A1539" s="0" t="s">
        <v>385</v>
      </c>
      <c r="B1539" s="0" t="s">
        <v>114</v>
      </c>
      <c r="C1539" s="0" t="s">
        <v>115</v>
      </c>
      <c r="D1539" s="0" t="n">
        <v>3</v>
      </c>
      <c r="E1539" s="5" t="n">
        <v>45953.3127314815</v>
      </c>
      <c r="F1539" s="0" t="n">
        <v>2.08</v>
      </c>
      <c r="G1539" s="0" t="n">
        <v>17097</v>
      </c>
      <c r="H1539" s="6" t="s">
        <v>68</v>
      </c>
      <c r="I1539" s="6" t="n">
        <f aca="false">D1539*F1539</f>
        <v>6.24</v>
      </c>
      <c r="J1539" s="6" t="n">
        <f aca="false">HOUR(E1539)</f>
        <v>7</v>
      </c>
      <c r="K1539" s="6" t="n">
        <f aca="false">IF(COUNTIF($A$2:$A1539,A1539)=1,1,0)</f>
        <v>0</v>
      </c>
    </row>
    <row r="1540" customFormat="false" ht="15" hidden="false" customHeight="false" outlineLevel="0" collapsed="false">
      <c r="A1540" s="0" t="s">
        <v>385</v>
      </c>
      <c r="B1540" s="0" t="s">
        <v>45</v>
      </c>
      <c r="C1540" s="0" t="s">
        <v>46</v>
      </c>
      <c r="D1540" s="0" t="n">
        <v>1</v>
      </c>
      <c r="E1540" s="5" t="n">
        <v>45953.3127314815</v>
      </c>
      <c r="F1540" s="0" t="n">
        <v>2.1</v>
      </c>
      <c r="G1540" s="0" t="n">
        <v>17097</v>
      </c>
      <c r="H1540" s="6" t="s">
        <v>68</v>
      </c>
      <c r="I1540" s="6" t="n">
        <f aca="false">D1540*F1540</f>
        <v>2.1</v>
      </c>
      <c r="J1540" s="6" t="n">
        <f aca="false">HOUR(E1540)</f>
        <v>7</v>
      </c>
      <c r="K1540" s="6" t="n">
        <f aca="false">IF(COUNTIF($A$2:$A1540,A1540)=1,1,0)</f>
        <v>0</v>
      </c>
    </row>
    <row r="1541" customFormat="false" ht="15" hidden="false" customHeight="false" outlineLevel="0" collapsed="false">
      <c r="A1541" s="0" t="s">
        <v>385</v>
      </c>
      <c r="B1541" s="0" t="s">
        <v>55</v>
      </c>
      <c r="C1541" s="0" t="s">
        <v>56</v>
      </c>
      <c r="D1541" s="0" t="n">
        <v>22</v>
      </c>
      <c r="E1541" s="5" t="n">
        <v>45953.3127314815</v>
      </c>
      <c r="F1541" s="0" t="n">
        <v>1.65</v>
      </c>
      <c r="G1541" s="0" t="n">
        <v>17097</v>
      </c>
      <c r="H1541" s="6" t="s">
        <v>68</v>
      </c>
      <c r="I1541" s="6" t="n">
        <f aca="false">D1541*F1541</f>
        <v>36.3</v>
      </c>
      <c r="J1541" s="6" t="n">
        <f aca="false">HOUR(E1541)</f>
        <v>7</v>
      </c>
      <c r="K1541" s="6" t="n">
        <f aca="false">IF(COUNTIF($A$2:$A1541,A1541)=1,1,0)</f>
        <v>0</v>
      </c>
    </row>
    <row r="1542" customFormat="false" ht="15" hidden="false" customHeight="false" outlineLevel="0" collapsed="false">
      <c r="A1542" s="0" t="s">
        <v>385</v>
      </c>
      <c r="B1542" s="0" t="s">
        <v>102</v>
      </c>
      <c r="C1542" s="0" t="s">
        <v>103</v>
      </c>
      <c r="D1542" s="0" t="n">
        <v>37</v>
      </c>
      <c r="E1542" s="5" t="n">
        <v>45953.3127314815</v>
      </c>
      <c r="F1542" s="0" t="n">
        <v>8.5</v>
      </c>
      <c r="G1542" s="0" t="n">
        <v>17097</v>
      </c>
      <c r="H1542" s="6" t="s">
        <v>68</v>
      </c>
      <c r="I1542" s="6" t="n">
        <f aca="false">D1542*F1542</f>
        <v>314.5</v>
      </c>
      <c r="J1542" s="6" t="n">
        <f aca="false">HOUR(E1542)</f>
        <v>7</v>
      </c>
      <c r="K1542" s="6" t="n">
        <f aca="false">IF(COUNTIF($A$2:$A1542,A1542)=1,1,0)</f>
        <v>0</v>
      </c>
    </row>
    <row r="1543" customFormat="false" ht="15" hidden="false" customHeight="false" outlineLevel="0" collapsed="false">
      <c r="A1543" s="0" t="s">
        <v>385</v>
      </c>
      <c r="B1543" s="0" t="s">
        <v>116</v>
      </c>
      <c r="C1543" s="0" t="s">
        <v>117</v>
      </c>
      <c r="D1543" s="0" t="n">
        <v>16</v>
      </c>
      <c r="E1543" s="5" t="n">
        <v>45953.3127314815</v>
      </c>
      <c r="F1543" s="0" t="n">
        <v>1.95</v>
      </c>
      <c r="G1543" s="0" t="n">
        <v>17097</v>
      </c>
      <c r="H1543" s="6" t="s">
        <v>68</v>
      </c>
      <c r="I1543" s="6" t="n">
        <f aca="false">D1543*F1543</f>
        <v>31.2</v>
      </c>
      <c r="J1543" s="6" t="n">
        <f aca="false">HOUR(E1543)</f>
        <v>7</v>
      </c>
      <c r="K1543" s="6" t="n">
        <f aca="false">IF(COUNTIF($A$2:$A1543,A1543)=1,1,0)</f>
        <v>0</v>
      </c>
    </row>
    <row r="1544" customFormat="false" ht="15" hidden="false" customHeight="false" outlineLevel="0" collapsed="false">
      <c r="A1544" s="0" t="s">
        <v>386</v>
      </c>
      <c r="B1544" s="0" t="s">
        <v>93</v>
      </c>
      <c r="C1544" s="0" t="s">
        <v>94</v>
      </c>
      <c r="D1544" s="0" t="n">
        <v>1</v>
      </c>
      <c r="E1544" s="5" t="n">
        <v>45953.3985532407</v>
      </c>
      <c r="F1544" s="0" t="n">
        <v>1.69</v>
      </c>
      <c r="G1544" s="0" t="n">
        <v>17108</v>
      </c>
      <c r="H1544" s="6" t="s">
        <v>74</v>
      </c>
      <c r="I1544" s="6" t="n">
        <f aca="false">D1544*F1544</f>
        <v>1.69</v>
      </c>
      <c r="J1544" s="6" t="n">
        <f aca="false">HOUR(E1544)</f>
        <v>9</v>
      </c>
      <c r="K1544" s="6" t="n">
        <f aca="false">IF(COUNTIF($A$2:$A1544,A1544)=1,1,0)</f>
        <v>1</v>
      </c>
    </row>
    <row r="1545" customFormat="false" ht="15" hidden="false" customHeight="false" outlineLevel="0" collapsed="false">
      <c r="A1545" s="0" t="s">
        <v>386</v>
      </c>
      <c r="B1545" s="0" t="s">
        <v>63</v>
      </c>
      <c r="C1545" s="0" t="s">
        <v>64</v>
      </c>
      <c r="D1545" s="0" t="n">
        <v>6</v>
      </c>
      <c r="E1545" s="5" t="n">
        <v>45953.3985532407</v>
      </c>
      <c r="F1545" s="0" t="n">
        <v>1.85</v>
      </c>
      <c r="G1545" s="0" t="n">
        <v>17108</v>
      </c>
      <c r="H1545" s="6" t="s">
        <v>74</v>
      </c>
      <c r="I1545" s="6" t="n">
        <f aca="false">D1545*F1545</f>
        <v>11.1</v>
      </c>
      <c r="J1545" s="6" t="n">
        <f aca="false">HOUR(E1545)</f>
        <v>9</v>
      </c>
      <c r="K1545" s="6" t="n">
        <f aca="false">IF(COUNTIF($A$2:$A1545,A1545)=1,1,0)</f>
        <v>0</v>
      </c>
    </row>
    <row r="1546" customFormat="false" ht="15" hidden="false" customHeight="false" outlineLevel="0" collapsed="false">
      <c r="A1546" s="0" t="s">
        <v>386</v>
      </c>
      <c r="B1546" s="0" t="s">
        <v>88</v>
      </c>
      <c r="C1546" s="0" t="s">
        <v>89</v>
      </c>
      <c r="D1546" s="0" t="n">
        <v>1</v>
      </c>
      <c r="E1546" s="5" t="n">
        <v>45953.3985532407</v>
      </c>
      <c r="F1546" s="0" t="n">
        <v>2.75</v>
      </c>
      <c r="G1546" s="0" t="n">
        <v>17108</v>
      </c>
      <c r="H1546" s="6" t="s">
        <v>74</v>
      </c>
      <c r="I1546" s="6" t="n">
        <f aca="false">D1546*F1546</f>
        <v>2.75</v>
      </c>
      <c r="J1546" s="6" t="n">
        <f aca="false">HOUR(E1546)</f>
        <v>9</v>
      </c>
      <c r="K1546" s="6" t="n">
        <f aca="false">IF(COUNTIF($A$2:$A1546,A1546)=1,1,0)</f>
        <v>0</v>
      </c>
    </row>
    <row r="1547" customFormat="false" ht="15" hidden="false" customHeight="false" outlineLevel="0" collapsed="false">
      <c r="A1547" s="0" t="s">
        <v>387</v>
      </c>
      <c r="B1547" s="0" t="s">
        <v>107</v>
      </c>
      <c r="D1547" s="0" t="n">
        <v>10</v>
      </c>
      <c r="E1547" s="5" t="n">
        <v>45953.5733101852</v>
      </c>
      <c r="F1547" s="0" t="n">
        <v>3.75</v>
      </c>
      <c r="G1547" s="0" t="n">
        <v>17097</v>
      </c>
      <c r="H1547" s="6" t="s">
        <v>74</v>
      </c>
      <c r="I1547" s="6" t="n">
        <f aca="false">D1547*F1547</f>
        <v>37.5</v>
      </c>
      <c r="J1547" s="6" t="n">
        <f aca="false">HOUR(E1547)</f>
        <v>13</v>
      </c>
      <c r="K1547" s="6" t="n">
        <f aca="false">IF(COUNTIF($A$2:$A1547,A1547)=1,1,0)</f>
        <v>1</v>
      </c>
    </row>
    <row r="1548" customFormat="false" ht="15" hidden="false" customHeight="false" outlineLevel="0" collapsed="false">
      <c r="A1548" s="0" t="s">
        <v>387</v>
      </c>
      <c r="B1548" s="0" t="s">
        <v>145</v>
      </c>
      <c r="C1548" s="0" t="s">
        <v>146</v>
      </c>
      <c r="D1548" s="0" t="n">
        <v>21</v>
      </c>
      <c r="E1548" s="5" t="n">
        <v>45953.5733101852</v>
      </c>
      <c r="F1548" s="0" t="n">
        <v>1.85</v>
      </c>
      <c r="G1548" s="0" t="n">
        <v>17097</v>
      </c>
      <c r="H1548" s="6" t="s">
        <v>74</v>
      </c>
      <c r="I1548" s="6" t="n">
        <f aca="false">D1548*F1548</f>
        <v>38.85</v>
      </c>
      <c r="J1548" s="6" t="n">
        <f aca="false">HOUR(E1548)</f>
        <v>13</v>
      </c>
      <c r="K1548" s="6" t="n">
        <f aca="false">IF(COUNTIF($A$2:$A1548,A1548)=1,1,0)</f>
        <v>0</v>
      </c>
    </row>
    <row r="1549" customFormat="false" ht="15" hidden="false" customHeight="false" outlineLevel="0" collapsed="false">
      <c r="A1549" s="0" t="s">
        <v>388</v>
      </c>
      <c r="B1549" s="0" t="s">
        <v>61</v>
      </c>
      <c r="C1549" s="0" t="s">
        <v>62</v>
      </c>
      <c r="D1549" s="0" t="n">
        <v>15</v>
      </c>
      <c r="E1549" s="5" t="n">
        <v>45953.5850231482</v>
      </c>
      <c r="F1549" s="0" t="n">
        <v>1.65</v>
      </c>
      <c r="G1549" s="0" t="n">
        <v>17120</v>
      </c>
      <c r="H1549" s="6" t="s">
        <v>151</v>
      </c>
      <c r="I1549" s="6" t="n">
        <f aca="false">D1549*F1549</f>
        <v>24.75</v>
      </c>
      <c r="J1549" s="6" t="n">
        <f aca="false">HOUR(E1549)</f>
        <v>14</v>
      </c>
      <c r="K1549" s="6" t="n">
        <f aca="false">IF(COUNTIF($A$2:$A1549,A1549)=1,1,0)</f>
        <v>1</v>
      </c>
    </row>
    <row r="1550" customFormat="false" ht="15" hidden="false" customHeight="false" outlineLevel="0" collapsed="false">
      <c r="A1550" s="0" t="s">
        <v>388</v>
      </c>
      <c r="B1550" s="0" t="s">
        <v>83</v>
      </c>
      <c r="C1550" s="0" t="s">
        <v>84</v>
      </c>
      <c r="D1550" s="0" t="n">
        <v>16</v>
      </c>
      <c r="E1550" s="5" t="n">
        <v>45953.5850231482</v>
      </c>
      <c r="F1550" s="0" t="n">
        <v>2.95</v>
      </c>
      <c r="G1550" s="0" t="n">
        <v>17120</v>
      </c>
      <c r="H1550" s="6" t="s">
        <v>151</v>
      </c>
      <c r="I1550" s="6" t="n">
        <f aca="false">D1550*F1550</f>
        <v>47.2</v>
      </c>
      <c r="J1550" s="6" t="n">
        <f aca="false">HOUR(E1550)</f>
        <v>14</v>
      </c>
      <c r="K1550" s="6" t="n">
        <f aca="false">IF(COUNTIF($A$2:$A1550,A1550)=1,1,0)</f>
        <v>0</v>
      </c>
    </row>
    <row r="1551" customFormat="false" ht="15" hidden="false" customHeight="false" outlineLevel="0" collapsed="false">
      <c r="A1551" s="0" t="s">
        <v>388</v>
      </c>
      <c r="B1551" s="0" t="s">
        <v>59</v>
      </c>
      <c r="C1551" s="0" t="s">
        <v>60</v>
      </c>
      <c r="D1551" s="0" t="n">
        <v>10</v>
      </c>
      <c r="E1551" s="5" t="n">
        <v>45953.5850231482</v>
      </c>
      <c r="F1551" s="0" t="n">
        <v>0.42</v>
      </c>
      <c r="G1551" s="0" t="n">
        <v>17120</v>
      </c>
      <c r="H1551" s="6" t="s">
        <v>151</v>
      </c>
      <c r="I1551" s="6" t="n">
        <f aca="false">D1551*F1551</f>
        <v>4.2</v>
      </c>
      <c r="J1551" s="6" t="n">
        <f aca="false">HOUR(E1551)</f>
        <v>14</v>
      </c>
      <c r="K1551" s="6" t="n">
        <f aca="false">IF(COUNTIF($A$2:$A1551,A1551)=1,1,0)</f>
        <v>0</v>
      </c>
    </row>
    <row r="1552" customFormat="false" ht="15" hidden="false" customHeight="false" outlineLevel="0" collapsed="false">
      <c r="A1552" s="0" t="s">
        <v>388</v>
      </c>
      <c r="B1552" s="0" t="s">
        <v>57</v>
      </c>
      <c r="C1552" s="0" t="s">
        <v>58</v>
      </c>
      <c r="D1552" s="0" t="n">
        <v>4</v>
      </c>
      <c r="E1552" s="5" t="n">
        <v>45953.5850231482</v>
      </c>
      <c r="F1552" s="0" t="n">
        <v>2.08</v>
      </c>
      <c r="G1552" s="0" t="n">
        <v>17120</v>
      </c>
      <c r="H1552" s="6" t="s">
        <v>151</v>
      </c>
      <c r="I1552" s="6" t="n">
        <f aca="false">D1552*F1552</f>
        <v>8.32</v>
      </c>
      <c r="J1552" s="6" t="n">
        <f aca="false">HOUR(E1552)</f>
        <v>14</v>
      </c>
      <c r="K1552" s="6" t="n">
        <f aca="false">IF(COUNTIF($A$2:$A1552,A1552)=1,1,0)</f>
        <v>0</v>
      </c>
    </row>
    <row r="1553" customFormat="false" ht="15" hidden="false" customHeight="false" outlineLevel="0" collapsed="false">
      <c r="A1553" s="0" t="s">
        <v>388</v>
      </c>
      <c r="B1553" s="0" t="s">
        <v>53</v>
      </c>
      <c r="C1553" s="0" t="s">
        <v>54</v>
      </c>
      <c r="D1553" s="0" t="n">
        <v>13</v>
      </c>
      <c r="E1553" s="5" t="n">
        <v>45953.5850231482</v>
      </c>
      <c r="F1553" s="0" t="n">
        <v>2.95</v>
      </c>
      <c r="G1553" s="0" t="n">
        <v>17120</v>
      </c>
      <c r="H1553" s="6" t="s">
        <v>151</v>
      </c>
      <c r="I1553" s="6" t="n">
        <f aca="false">D1553*F1553</f>
        <v>38.35</v>
      </c>
      <c r="J1553" s="6" t="n">
        <f aca="false">HOUR(E1553)</f>
        <v>14</v>
      </c>
      <c r="K1553" s="6" t="n">
        <f aca="false">IF(COUNTIF($A$2:$A1553,A1553)=1,1,0)</f>
        <v>0</v>
      </c>
    </row>
    <row r="1554" customFormat="false" ht="15" hidden="false" customHeight="false" outlineLevel="0" collapsed="false">
      <c r="A1554" s="0" t="s">
        <v>388</v>
      </c>
      <c r="B1554" s="0" t="s">
        <v>137</v>
      </c>
      <c r="C1554" s="0" t="s">
        <v>138</v>
      </c>
      <c r="D1554" s="0" t="n">
        <v>18</v>
      </c>
      <c r="E1554" s="5" t="n">
        <v>45953.5850231482</v>
      </c>
      <c r="F1554" s="0" t="n">
        <v>2.1</v>
      </c>
      <c r="G1554" s="0" t="n">
        <v>17120</v>
      </c>
      <c r="H1554" s="6" t="s">
        <v>151</v>
      </c>
      <c r="I1554" s="6" t="n">
        <f aca="false">D1554*F1554</f>
        <v>37.8</v>
      </c>
      <c r="J1554" s="6" t="n">
        <f aca="false">HOUR(E1554)</f>
        <v>14</v>
      </c>
      <c r="K1554" s="6" t="n">
        <f aca="false">IF(COUNTIF($A$2:$A1554,A1554)=1,1,0)</f>
        <v>0</v>
      </c>
    </row>
    <row r="1555" customFormat="false" ht="15" hidden="false" customHeight="false" outlineLevel="0" collapsed="false">
      <c r="A1555" s="0" t="s">
        <v>389</v>
      </c>
      <c r="B1555" s="0" t="s">
        <v>77</v>
      </c>
      <c r="C1555" s="0" t="s">
        <v>78</v>
      </c>
      <c r="D1555" s="0" t="n">
        <v>4</v>
      </c>
      <c r="E1555" s="5" t="n">
        <v>45953.6473263889</v>
      </c>
      <c r="F1555" s="0" t="n">
        <v>1.65</v>
      </c>
      <c r="H1555" s="6" t="s">
        <v>113</v>
      </c>
      <c r="I1555" s="6" t="n">
        <f aca="false">D1555*F1555</f>
        <v>6.6</v>
      </c>
      <c r="J1555" s="6" t="n">
        <f aca="false">HOUR(E1555)</f>
        <v>15</v>
      </c>
      <c r="K1555" s="6" t="n">
        <f aca="false">IF(COUNTIF($A$2:$A1555,A1555)=1,1,0)</f>
        <v>1</v>
      </c>
    </row>
    <row r="1556" customFormat="false" ht="15" hidden="false" customHeight="false" outlineLevel="0" collapsed="false">
      <c r="A1556" s="0" t="s">
        <v>390</v>
      </c>
      <c r="B1556" s="0" t="s">
        <v>121</v>
      </c>
      <c r="C1556" s="0" t="s">
        <v>122</v>
      </c>
      <c r="D1556" s="0" t="n">
        <v>23</v>
      </c>
      <c r="E1556" s="5" t="n">
        <v>45953.7426388889</v>
      </c>
      <c r="F1556" s="0" t="n">
        <v>2.1</v>
      </c>
      <c r="G1556" s="0" t="n">
        <v>17252</v>
      </c>
      <c r="H1556" s="6" t="s">
        <v>74</v>
      </c>
      <c r="I1556" s="6" t="n">
        <f aca="false">D1556*F1556</f>
        <v>48.3</v>
      </c>
      <c r="J1556" s="6" t="n">
        <f aca="false">HOUR(E1556)</f>
        <v>17</v>
      </c>
      <c r="K1556" s="6" t="n">
        <f aca="false">IF(COUNTIF($A$2:$A1556,A1556)=1,1,0)</f>
        <v>1</v>
      </c>
    </row>
    <row r="1557" customFormat="false" ht="15" hidden="false" customHeight="false" outlineLevel="0" collapsed="false">
      <c r="A1557" s="0" t="s">
        <v>390</v>
      </c>
      <c r="B1557" s="0" t="s">
        <v>134</v>
      </c>
      <c r="C1557" s="0" t="s">
        <v>135</v>
      </c>
      <c r="D1557" s="0" t="n">
        <v>24</v>
      </c>
      <c r="E1557" s="5" t="n">
        <v>45953.7426388889</v>
      </c>
      <c r="F1557" s="0" t="n">
        <v>5.95</v>
      </c>
      <c r="G1557" s="0" t="n">
        <v>17252</v>
      </c>
      <c r="H1557" s="6" t="s">
        <v>74</v>
      </c>
      <c r="I1557" s="6" t="n">
        <f aca="false">D1557*F1557</f>
        <v>142.8</v>
      </c>
      <c r="J1557" s="6" t="n">
        <f aca="false">HOUR(E1557)</f>
        <v>17</v>
      </c>
      <c r="K1557" s="6" t="n">
        <f aca="false">IF(COUNTIF($A$2:$A1557,A1557)=1,1,0)</f>
        <v>0</v>
      </c>
    </row>
    <row r="1558" customFormat="false" ht="15" hidden="false" customHeight="false" outlineLevel="0" collapsed="false">
      <c r="A1558" s="0" t="s">
        <v>390</v>
      </c>
      <c r="B1558" s="0" t="s">
        <v>63</v>
      </c>
      <c r="C1558" s="0" t="s">
        <v>64</v>
      </c>
      <c r="D1558" s="0" t="n">
        <v>20</v>
      </c>
      <c r="E1558" s="5" t="n">
        <v>45953.7426388889</v>
      </c>
      <c r="F1558" s="0" t="n">
        <v>1.85</v>
      </c>
      <c r="G1558" s="0" t="n">
        <v>17252</v>
      </c>
      <c r="H1558" s="6" t="s">
        <v>74</v>
      </c>
      <c r="I1558" s="6" t="n">
        <f aca="false">D1558*F1558</f>
        <v>37</v>
      </c>
      <c r="J1558" s="6" t="n">
        <f aca="false">HOUR(E1558)</f>
        <v>17</v>
      </c>
      <c r="K1558" s="6" t="n">
        <f aca="false">IF(COUNTIF($A$2:$A1558,A1558)=1,1,0)</f>
        <v>0</v>
      </c>
    </row>
    <row r="1559" customFormat="false" ht="15" hidden="false" customHeight="false" outlineLevel="0" collapsed="false">
      <c r="A1559" s="0" t="s">
        <v>390</v>
      </c>
      <c r="B1559" s="0" t="s">
        <v>86</v>
      </c>
      <c r="C1559" s="0" t="s">
        <v>87</v>
      </c>
      <c r="D1559" s="0" t="n">
        <v>15</v>
      </c>
      <c r="E1559" s="5" t="n">
        <v>45953.7426388889</v>
      </c>
      <c r="F1559" s="0" t="n">
        <v>4.25</v>
      </c>
      <c r="G1559" s="0" t="n">
        <v>17252</v>
      </c>
      <c r="H1559" s="6" t="s">
        <v>74</v>
      </c>
      <c r="I1559" s="6" t="n">
        <f aca="false">D1559*F1559</f>
        <v>63.75</v>
      </c>
      <c r="J1559" s="6" t="n">
        <f aca="false">HOUR(E1559)</f>
        <v>17</v>
      </c>
      <c r="K1559" s="6" t="n">
        <f aca="false">IF(COUNTIF($A$2:$A1559,A1559)=1,1,0)</f>
        <v>0</v>
      </c>
    </row>
    <row r="1560" customFormat="false" ht="15" hidden="false" customHeight="false" outlineLevel="0" collapsed="false">
      <c r="A1560" s="0" t="s">
        <v>391</v>
      </c>
      <c r="B1560" s="0" t="s">
        <v>116</v>
      </c>
      <c r="C1560" s="0" t="s">
        <v>117</v>
      </c>
      <c r="D1560" s="0" t="n">
        <v>20</v>
      </c>
      <c r="E1560" s="5" t="n">
        <v>45953.7491435185</v>
      </c>
      <c r="F1560" s="0" t="n">
        <v>1.95</v>
      </c>
      <c r="G1560" s="0" t="n">
        <v>17248</v>
      </c>
      <c r="H1560" s="6" t="s">
        <v>98</v>
      </c>
      <c r="I1560" s="6" t="n">
        <f aca="false">D1560*F1560</f>
        <v>39</v>
      </c>
      <c r="J1560" s="6" t="n">
        <f aca="false">HOUR(E1560)</f>
        <v>17</v>
      </c>
      <c r="K1560" s="6" t="n">
        <f aca="false">IF(COUNTIF($A$2:$A1560,A1560)=1,1,0)</f>
        <v>1</v>
      </c>
    </row>
    <row r="1561" customFormat="false" ht="15" hidden="false" customHeight="false" outlineLevel="0" collapsed="false">
      <c r="A1561" s="0" t="s">
        <v>391</v>
      </c>
      <c r="B1561" s="0" t="s">
        <v>72</v>
      </c>
      <c r="C1561" s="0" t="s">
        <v>73</v>
      </c>
      <c r="D1561" s="0" t="n">
        <v>34</v>
      </c>
      <c r="E1561" s="5" t="n">
        <v>45953.7491435185</v>
      </c>
      <c r="F1561" s="0" t="n">
        <v>4.95</v>
      </c>
      <c r="G1561" s="0" t="n">
        <v>17248</v>
      </c>
      <c r="H1561" s="6" t="s">
        <v>98</v>
      </c>
      <c r="I1561" s="6" t="n">
        <f aca="false">D1561*F1561</f>
        <v>168.3</v>
      </c>
      <c r="J1561" s="6" t="n">
        <f aca="false">HOUR(E1561)</f>
        <v>17</v>
      </c>
      <c r="K1561" s="6" t="n">
        <f aca="false">IF(COUNTIF($A$2:$A1561,A1561)=1,1,0)</f>
        <v>0</v>
      </c>
    </row>
    <row r="1562" customFormat="false" ht="15" hidden="false" customHeight="false" outlineLevel="0" collapsed="false">
      <c r="A1562" s="0" t="s">
        <v>391</v>
      </c>
      <c r="B1562" s="0" t="s">
        <v>145</v>
      </c>
      <c r="C1562" s="0" t="s">
        <v>146</v>
      </c>
      <c r="D1562" s="0" t="n">
        <v>5</v>
      </c>
      <c r="E1562" s="5" t="n">
        <v>45953.7491435185</v>
      </c>
      <c r="F1562" s="0" t="n">
        <v>1.85</v>
      </c>
      <c r="G1562" s="0" t="n">
        <v>17248</v>
      </c>
      <c r="H1562" s="6" t="s">
        <v>98</v>
      </c>
      <c r="I1562" s="6" t="n">
        <f aca="false">D1562*F1562</f>
        <v>9.25</v>
      </c>
      <c r="J1562" s="6" t="n">
        <f aca="false">HOUR(E1562)</f>
        <v>17</v>
      </c>
      <c r="K1562" s="6" t="n">
        <f aca="false">IF(COUNTIF($A$2:$A1562,A1562)=1,1,0)</f>
        <v>0</v>
      </c>
    </row>
    <row r="1563" customFormat="false" ht="15" hidden="false" customHeight="false" outlineLevel="0" collapsed="false">
      <c r="A1563" s="0" t="s">
        <v>391</v>
      </c>
      <c r="B1563" s="0" t="s">
        <v>47</v>
      </c>
      <c r="C1563" s="0" t="s">
        <v>48</v>
      </c>
      <c r="D1563" s="0" t="n">
        <v>19</v>
      </c>
      <c r="E1563" s="5" t="n">
        <v>45953.7491435185</v>
      </c>
      <c r="F1563" s="0" t="n">
        <v>12.75</v>
      </c>
      <c r="G1563" s="0" t="n">
        <v>17248</v>
      </c>
      <c r="H1563" s="6" t="s">
        <v>98</v>
      </c>
      <c r="I1563" s="6" t="n">
        <f aca="false">D1563*F1563</f>
        <v>242.25</v>
      </c>
      <c r="J1563" s="6" t="n">
        <f aca="false">HOUR(E1563)</f>
        <v>17</v>
      </c>
      <c r="K1563" s="6" t="n">
        <f aca="false">IF(COUNTIF($A$2:$A1563,A1563)=1,1,0)</f>
        <v>0</v>
      </c>
    </row>
    <row r="1564" customFormat="false" ht="15" hidden="false" customHeight="false" outlineLevel="0" collapsed="false">
      <c r="A1564" s="0" t="s">
        <v>392</v>
      </c>
      <c r="B1564" s="0" t="s">
        <v>109</v>
      </c>
      <c r="C1564" s="0" t="s">
        <v>110</v>
      </c>
      <c r="D1564" s="0" t="n">
        <v>17</v>
      </c>
      <c r="E1564" s="5" t="n">
        <v>45953.8978935185</v>
      </c>
      <c r="F1564" s="0" t="n">
        <v>0.85</v>
      </c>
      <c r="G1564" s="0" t="n">
        <v>17259</v>
      </c>
      <c r="H1564" s="6" t="s">
        <v>151</v>
      </c>
      <c r="I1564" s="6" t="n">
        <f aca="false">D1564*F1564</f>
        <v>14.45</v>
      </c>
      <c r="J1564" s="6" t="n">
        <f aca="false">HOUR(E1564)</f>
        <v>21</v>
      </c>
      <c r="K1564" s="6" t="n">
        <f aca="false">IF(COUNTIF($A$2:$A1564,A1564)=1,1,0)</f>
        <v>1</v>
      </c>
    </row>
    <row r="1565" customFormat="false" ht="15" hidden="false" customHeight="false" outlineLevel="0" collapsed="false">
      <c r="A1565" s="0" t="s">
        <v>392</v>
      </c>
      <c r="B1565" s="0" t="s">
        <v>81</v>
      </c>
      <c r="C1565" s="0" t="s">
        <v>82</v>
      </c>
      <c r="D1565" s="0" t="n">
        <v>14</v>
      </c>
      <c r="E1565" s="5" t="n">
        <v>45953.8978935185</v>
      </c>
      <c r="F1565" s="0" t="n">
        <v>1.65</v>
      </c>
      <c r="G1565" s="0" t="n">
        <v>17259</v>
      </c>
      <c r="H1565" s="6" t="s">
        <v>151</v>
      </c>
      <c r="I1565" s="6" t="n">
        <f aca="false">D1565*F1565</f>
        <v>23.1</v>
      </c>
      <c r="J1565" s="6" t="n">
        <f aca="false">HOUR(E1565)</f>
        <v>21</v>
      </c>
      <c r="K1565" s="6" t="n">
        <f aca="false">IF(COUNTIF($A$2:$A1565,A1565)=1,1,0)</f>
        <v>0</v>
      </c>
    </row>
    <row r="1566" customFormat="false" ht="15" hidden="false" customHeight="false" outlineLevel="0" collapsed="false">
      <c r="A1566" s="0" t="s">
        <v>392</v>
      </c>
      <c r="B1566" s="0" t="s">
        <v>107</v>
      </c>
      <c r="C1566" s="0" t="s">
        <v>108</v>
      </c>
      <c r="D1566" s="0" t="n">
        <v>12</v>
      </c>
      <c r="E1566" s="5" t="n">
        <v>45953.8978935185</v>
      </c>
      <c r="F1566" s="0" t="n">
        <v>3.75</v>
      </c>
      <c r="G1566" s="0" t="n">
        <v>17259</v>
      </c>
      <c r="H1566" s="6" t="s">
        <v>151</v>
      </c>
      <c r="I1566" s="6" t="n">
        <f aca="false">D1566*F1566</f>
        <v>45</v>
      </c>
      <c r="J1566" s="6" t="n">
        <f aca="false">HOUR(E1566)</f>
        <v>21</v>
      </c>
      <c r="K1566" s="6" t="n">
        <f aca="false">IF(COUNTIF($A$2:$A1566,A1566)=1,1,0)</f>
        <v>0</v>
      </c>
    </row>
    <row r="1567" customFormat="false" ht="15" hidden="false" customHeight="false" outlineLevel="0" collapsed="false">
      <c r="A1567" s="0" t="s">
        <v>392</v>
      </c>
      <c r="B1567" s="0" t="s">
        <v>77</v>
      </c>
      <c r="C1567" s="0" t="s">
        <v>78</v>
      </c>
      <c r="D1567" s="0" t="n">
        <v>3</v>
      </c>
      <c r="E1567" s="5" t="n">
        <v>45953.8978935185</v>
      </c>
      <c r="F1567" s="0" t="n">
        <v>1.65</v>
      </c>
      <c r="G1567" s="0" t="n">
        <v>17259</v>
      </c>
      <c r="H1567" s="6" t="s">
        <v>151</v>
      </c>
      <c r="I1567" s="6" t="n">
        <f aca="false">D1567*F1567</f>
        <v>4.95</v>
      </c>
      <c r="J1567" s="6" t="n">
        <f aca="false">HOUR(E1567)</f>
        <v>21</v>
      </c>
      <c r="K1567" s="6" t="n">
        <f aca="false">IF(COUNTIF($A$2:$A1567,A1567)=1,1,0)</f>
        <v>0</v>
      </c>
    </row>
    <row r="1568" customFormat="false" ht="15" hidden="false" customHeight="false" outlineLevel="0" collapsed="false">
      <c r="A1568" s="0" t="s">
        <v>392</v>
      </c>
      <c r="B1568" s="0" t="s">
        <v>121</v>
      </c>
      <c r="C1568" s="0" t="s">
        <v>122</v>
      </c>
      <c r="D1568" s="0" t="n">
        <v>3</v>
      </c>
      <c r="E1568" s="5" t="n">
        <v>45953.8978935185</v>
      </c>
      <c r="F1568" s="0" t="n">
        <v>2.1</v>
      </c>
      <c r="G1568" s="0" t="n">
        <v>17259</v>
      </c>
      <c r="H1568" s="6" t="s">
        <v>151</v>
      </c>
      <c r="I1568" s="6" t="n">
        <f aca="false">D1568*F1568</f>
        <v>6.3</v>
      </c>
      <c r="J1568" s="6" t="n">
        <f aca="false">HOUR(E1568)</f>
        <v>21</v>
      </c>
      <c r="K1568" s="6" t="n">
        <f aca="false">IF(COUNTIF($A$2:$A1568,A1568)=1,1,0)</f>
        <v>0</v>
      </c>
    </row>
    <row r="1569" customFormat="false" ht="15" hidden="false" customHeight="false" outlineLevel="0" collapsed="false">
      <c r="A1569" s="0" t="s">
        <v>392</v>
      </c>
      <c r="B1569" s="0" t="s">
        <v>93</v>
      </c>
      <c r="C1569" s="0" t="s">
        <v>94</v>
      </c>
      <c r="D1569" s="0" t="n">
        <v>10</v>
      </c>
      <c r="E1569" s="5" t="n">
        <v>45953.8978935185</v>
      </c>
      <c r="F1569" s="0" t="n">
        <v>1.69</v>
      </c>
      <c r="G1569" s="0" t="n">
        <v>17259</v>
      </c>
      <c r="H1569" s="6" t="s">
        <v>151</v>
      </c>
      <c r="I1569" s="6" t="n">
        <f aca="false">D1569*F1569</f>
        <v>16.9</v>
      </c>
      <c r="J1569" s="6" t="n">
        <f aca="false">HOUR(E1569)</f>
        <v>21</v>
      </c>
      <c r="K1569" s="6" t="n">
        <f aca="false">IF(COUNTIF($A$2:$A1569,A1569)=1,1,0)</f>
        <v>0</v>
      </c>
    </row>
    <row r="1570" customFormat="false" ht="15" hidden="false" customHeight="false" outlineLevel="0" collapsed="false">
      <c r="A1570" s="0" t="s">
        <v>392</v>
      </c>
      <c r="B1570" s="0" t="s">
        <v>95</v>
      </c>
      <c r="C1570" s="0" t="s">
        <v>96</v>
      </c>
      <c r="D1570" s="0" t="n">
        <v>48</v>
      </c>
      <c r="E1570" s="5" t="n">
        <v>45953.8978935185</v>
      </c>
      <c r="F1570" s="0" t="n">
        <v>2.55</v>
      </c>
      <c r="G1570" s="0" t="n">
        <v>17259</v>
      </c>
      <c r="H1570" s="6" t="s">
        <v>151</v>
      </c>
      <c r="I1570" s="6" t="n">
        <f aca="false">D1570*F1570</f>
        <v>122.4</v>
      </c>
      <c r="J1570" s="6" t="n">
        <f aca="false">HOUR(E1570)</f>
        <v>21</v>
      </c>
      <c r="K1570" s="6" t="n">
        <f aca="false">IF(COUNTIF($A$2:$A1570,A1570)=1,1,0)</f>
        <v>0</v>
      </c>
    </row>
    <row r="1571" customFormat="false" ht="15" hidden="false" customHeight="false" outlineLevel="0" collapsed="false">
      <c r="A1571" s="0" t="s">
        <v>392</v>
      </c>
      <c r="B1571" s="0" t="s">
        <v>140</v>
      </c>
      <c r="C1571" s="0" t="s">
        <v>141</v>
      </c>
      <c r="D1571" s="0" t="n">
        <v>18</v>
      </c>
      <c r="E1571" s="5" t="n">
        <v>45953.8978935185</v>
      </c>
      <c r="F1571" s="0" t="n">
        <v>2.08</v>
      </c>
      <c r="G1571" s="0" t="n">
        <v>17259</v>
      </c>
      <c r="H1571" s="6" t="s">
        <v>151</v>
      </c>
      <c r="I1571" s="6" t="n">
        <f aca="false">D1571*F1571</f>
        <v>37.44</v>
      </c>
      <c r="J1571" s="6" t="n">
        <f aca="false">HOUR(E1571)</f>
        <v>21</v>
      </c>
      <c r="K1571" s="6" t="n">
        <f aca="false">IF(COUNTIF($A$2:$A1571,A1571)=1,1,0)</f>
        <v>0</v>
      </c>
    </row>
    <row r="1572" customFormat="false" ht="15" hidden="false" customHeight="false" outlineLevel="0" collapsed="false">
      <c r="A1572" s="0" t="s">
        <v>392</v>
      </c>
      <c r="B1572" s="0" t="s">
        <v>72</v>
      </c>
      <c r="C1572" s="0" t="s">
        <v>73</v>
      </c>
      <c r="D1572" s="0" t="n">
        <v>42</v>
      </c>
      <c r="E1572" s="5" t="n">
        <v>45953.8978935185</v>
      </c>
      <c r="F1572" s="0" t="n">
        <v>4.95</v>
      </c>
      <c r="G1572" s="0" t="n">
        <v>17259</v>
      </c>
      <c r="H1572" s="6" t="s">
        <v>151</v>
      </c>
      <c r="I1572" s="6" t="n">
        <f aca="false">D1572*F1572</f>
        <v>207.9</v>
      </c>
      <c r="J1572" s="6" t="n">
        <f aca="false">HOUR(E1572)</f>
        <v>21</v>
      </c>
      <c r="K1572" s="6" t="n">
        <f aca="false">IF(COUNTIF($A$2:$A1572,A1572)=1,1,0)</f>
        <v>0</v>
      </c>
    </row>
    <row r="1573" customFormat="false" ht="15" hidden="false" customHeight="false" outlineLevel="0" collapsed="false">
      <c r="A1573" s="0" t="s">
        <v>392</v>
      </c>
      <c r="B1573" s="0" t="s">
        <v>53</v>
      </c>
      <c r="C1573" s="0" t="s">
        <v>54</v>
      </c>
      <c r="D1573" s="0" t="n">
        <v>18</v>
      </c>
      <c r="E1573" s="5" t="n">
        <v>45953.8978935185</v>
      </c>
      <c r="F1573" s="0" t="n">
        <v>2.95</v>
      </c>
      <c r="G1573" s="0" t="n">
        <v>17259</v>
      </c>
      <c r="H1573" s="6" t="s">
        <v>151</v>
      </c>
      <c r="I1573" s="6" t="n">
        <f aca="false">D1573*F1573</f>
        <v>53.1</v>
      </c>
      <c r="J1573" s="6" t="n">
        <f aca="false">HOUR(E1573)</f>
        <v>21</v>
      </c>
      <c r="K1573" s="6" t="n">
        <f aca="false">IF(COUNTIF($A$2:$A1573,A1573)=1,1,0)</f>
        <v>0</v>
      </c>
    </row>
    <row r="1574" customFormat="false" ht="15" hidden="false" customHeight="false" outlineLevel="0" collapsed="false">
      <c r="A1574" s="0" t="s">
        <v>393</v>
      </c>
      <c r="B1574" s="0" t="s">
        <v>86</v>
      </c>
      <c r="C1574" s="0" t="s">
        <v>87</v>
      </c>
      <c r="D1574" s="0" t="n">
        <v>22</v>
      </c>
      <c r="E1574" s="5" t="n">
        <v>45953.953599537</v>
      </c>
      <c r="F1574" s="0" t="n">
        <v>4.25</v>
      </c>
      <c r="G1574" s="0" t="n">
        <v>17169</v>
      </c>
      <c r="H1574" s="6" t="s">
        <v>42</v>
      </c>
      <c r="I1574" s="6" t="n">
        <f aca="false">D1574*F1574</f>
        <v>93.5</v>
      </c>
      <c r="J1574" s="6" t="n">
        <f aca="false">HOUR(E1574)</f>
        <v>22</v>
      </c>
      <c r="K1574" s="6" t="n">
        <f aca="false">IF(COUNTIF($A$2:$A1574,A1574)=1,1,0)</f>
        <v>1</v>
      </c>
    </row>
    <row r="1575" customFormat="false" ht="15" hidden="false" customHeight="false" outlineLevel="0" collapsed="false">
      <c r="A1575" s="0" t="s">
        <v>393</v>
      </c>
      <c r="B1575" s="0" t="s">
        <v>118</v>
      </c>
      <c r="C1575" s="0" t="s">
        <v>119</v>
      </c>
      <c r="D1575" s="0" t="n">
        <v>30</v>
      </c>
      <c r="E1575" s="5" t="n">
        <v>45953.953599537</v>
      </c>
      <c r="F1575" s="0" t="n">
        <v>4.95</v>
      </c>
      <c r="G1575" s="0" t="n">
        <v>17169</v>
      </c>
      <c r="H1575" s="6" t="s">
        <v>42</v>
      </c>
      <c r="I1575" s="6" t="n">
        <f aca="false">D1575*F1575</f>
        <v>148.5</v>
      </c>
      <c r="J1575" s="6" t="n">
        <f aca="false">HOUR(E1575)</f>
        <v>22</v>
      </c>
      <c r="K1575" s="6" t="n">
        <f aca="false">IF(COUNTIF($A$2:$A1575,A1575)=1,1,0)</f>
        <v>0</v>
      </c>
    </row>
    <row r="1576" customFormat="false" ht="15" hidden="false" customHeight="false" outlineLevel="0" collapsed="false">
      <c r="A1576" s="0" t="s">
        <v>394</v>
      </c>
      <c r="B1576" s="0" t="s">
        <v>88</v>
      </c>
      <c r="C1576" s="0" t="s">
        <v>89</v>
      </c>
      <c r="D1576" s="0" t="n">
        <v>21</v>
      </c>
      <c r="E1576" s="5" t="n">
        <v>45954.2254398148</v>
      </c>
      <c r="F1576" s="0" t="n">
        <v>2.75</v>
      </c>
      <c r="G1576" s="0" t="n">
        <v>17081</v>
      </c>
      <c r="H1576" s="6" t="s">
        <v>74</v>
      </c>
      <c r="I1576" s="6" t="n">
        <f aca="false">D1576*F1576</f>
        <v>57.75</v>
      </c>
      <c r="J1576" s="6" t="n">
        <f aca="false">HOUR(E1576)</f>
        <v>5</v>
      </c>
      <c r="K1576" s="6" t="n">
        <f aca="false">IF(COUNTIF($A$2:$A1576,A1576)=1,1,0)</f>
        <v>1</v>
      </c>
    </row>
    <row r="1577" customFormat="false" ht="15" hidden="false" customHeight="false" outlineLevel="0" collapsed="false">
      <c r="A1577" s="0" t="s">
        <v>394</v>
      </c>
      <c r="B1577" s="0" t="s">
        <v>86</v>
      </c>
      <c r="C1577" s="0" t="s">
        <v>87</v>
      </c>
      <c r="D1577" s="0" t="n">
        <v>18</v>
      </c>
      <c r="E1577" s="5" t="n">
        <v>45954.2254398148</v>
      </c>
      <c r="F1577" s="0" t="n">
        <v>4.25</v>
      </c>
      <c r="G1577" s="0" t="n">
        <v>17081</v>
      </c>
      <c r="H1577" s="6" t="s">
        <v>74</v>
      </c>
      <c r="I1577" s="6" t="n">
        <f aca="false">D1577*F1577</f>
        <v>76.5</v>
      </c>
      <c r="J1577" s="6" t="n">
        <f aca="false">HOUR(E1577)</f>
        <v>5</v>
      </c>
      <c r="K1577" s="6" t="n">
        <f aca="false">IF(COUNTIF($A$2:$A1577,A1577)=1,1,0)</f>
        <v>0</v>
      </c>
    </row>
    <row r="1578" customFormat="false" ht="15" hidden="false" customHeight="false" outlineLevel="0" collapsed="false">
      <c r="A1578" s="0" t="s">
        <v>394</v>
      </c>
      <c r="B1578" s="0" t="s">
        <v>95</v>
      </c>
      <c r="C1578" s="0" t="s">
        <v>96</v>
      </c>
      <c r="D1578" s="0" t="n">
        <v>41</v>
      </c>
      <c r="E1578" s="5" t="n">
        <v>45954.2254398148</v>
      </c>
      <c r="F1578" s="0" t="n">
        <v>2.55</v>
      </c>
      <c r="G1578" s="0" t="n">
        <v>17081</v>
      </c>
      <c r="H1578" s="6" t="s">
        <v>74</v>
      </c>
      <c r="I1578" s="6" t="n">
        <f aca="false">D1578*F1578</f>
        <v>104.55</v>
      </c>
      <c r="J1578" s="6" t="n">
        <f aca="false">HOUR(E1578)</f>
        <v>5</v>
      </c>
      <c r="K1578" s="6" t="n">
        <f aca="false">IF(COUNTIF($A$2:$A1578,A1578)=1,1,0)</f>
        <v>0</v>
      </c>
    </row>
    <row r="1579" customFormat="false" ht="15" hidden="false" customHeight="false" outlineLevel="0" collapsed="false">
      <c r="A1579" s="0" t="s">
        <v>394</v>
      </c>
      <c r="B1579" s="0" t="s">
        <v>69</v>
      </c>
      <c r="C1579" s="0" t="s">
        <v>70</v>
      </c>
      <c r="D1579" s="0" t="n">
        <v>31</v>
      </c>
      <c r="E1579" s="5" t="n">
        <v>45954.2254398148</v>
      </c>
      <c r="F1579" s="0" t="n">
        <v>2.08</v>
      </c>
      <c r="G1579" s="0" t="n">
        <v>17081</v>
      </c>
      <c r="H1579" s="6" t="s">
        <v>74</v>
      </c>
      <c r="I1579" s="6" t="n">
        <f aca="false">D1579*F1579</f>
        <v>64.48</v>
      </c>
      <c r="J1579" s="6" t="n">
        <f aca="false">HOUR(E1579)</f>
        <v>5</v>
      </c>
      <c r="K1579" s="6" t="n">
        <f aca="false">IF(COUNTIF($A$2:$A1579,A1579)=1,1,0)</f>
        <v>0</v>
      </c>
    </row>
    <row r="1580" customFormat="false" ht="15" hidden="false" customHeight="false" outlineLevel="0" collapsed="false">
      <c r="A1580" s="0" t="s">
        <v>395</v>
      </c>
      <c r="B1580" s="0" t="s">
        <v>140</v>
      </c>
      <c r="C1580" s="0" t="s">
        <v>141</v>
      </c>
      <c r="D1580" s="0" t="n">
        <v>7</v>
      </c>
      <c r="E1580" s="5" t="n">
        <v>45954.3791782407</v>
      </c>
      <c r="F1580" s="0" t="n">
        <v>2.08</v>
      </c>
      <c r="G1580" s="0" t="n">
        <v>17178</v>
      </c>
      <c r="H1580" s="6" t="s">
        <v>74</v>
      </c>
      <c r="I1580" s="6" t="n">
        <f aca="false">D1580*F1580</f>
        <v>14.56</v>
      </c>
      <c r="J1580" s="6" t="n">
        <f aca="false">HOUR(E1580)</f>
        <v>9</v>
      </c>
      <c r="K1580" s="6" t="n">
        <f aca="false">IF(COUNTIF($A$2:$A1580,A1580)=1,1,0)</f>
        <v>1</v>
      </c>
    </row>
    <row r="1581" customFormat="false" ht="15" hidden="false" customHeight="false" outlineLevel="0" collapsed="false">
      <c r="A1581" s="0" t="s">
        <v>395</v>
      </c>
      <c r="B1581" s="0" t="s">
        <v>59</v>
      </c>
      <c r="C1581" s="0" t="s">
        <v>60</v>
      </c>
      <c r="D1581" s="0" t="n">
        <v>14</v>
      </c>
      <c r="E1581" s="5" t="n">
        <v>45954.3791782407</v>
      </c>
      <c r="F1581" s="0" t="n">
        <v>0.42</v>
      </c>
      <c r="G1581" s="0" t="n">
        <v>17178</v>
      </c>
      <c r="H1581" s="6" t="s">
        <v>74</v>
      </c>
      <c r="I1581" s="6" t="n">
        <f aca="false">D1581*F1581</f>
        <v>5.88</v>
      </c>
      <c r="J1581" s="6" t="n">
        <f aca="false">HOUR(E1581)</f>
        <v>9</v>
      </c>
      <c r="K1581" s="6" t="n">
        <f aca="false">IF(COUNTIF($A$2:$A1581,A1581)=1,1,0)</f>
        <v>0</v>
      </c>
    </row>
    <row r="1582" customFormat="false" ht="15" hidden="false" customHeight="false" outlineLevel="0" collapsed="false">
      <c r="A1582" s="0" t="s">
        <v>396</v>
      </c>
      <c r="B1582" s="0" t="s">
        <v>107</v>
      </c>
      <c r="D1582" s="0" t="n">
        <v>23</v>
      </c>
      <c r="E1582" s="5" t="n">
        <v>45954.4219791667</v>
      </c>
      <c r="F1582" s="0" t="n">
        <v>3.75</v>
      </c>
      <c r="G1582" s="0" t="n">
        <v>17091</v>
      </c>
      <c r="H1582" s="6" t="s">
        <v>113</v>
      </c>
      <c r="I1582" s="6" t="n">
        <f aca="false">D1582*F1582</f>
        <v>86.25</v>
      </c>
      <c r="J1582" s="6" t="n">
        <f aca="false">HOUR(E1582)</f>
        <v>10</v>
      </c>
      <c r="K1582" s="6" t="n">
        <f aca="false">IF(COUNTIF($A$2:$A1582,A1582)=1,1,0)</f>
        <v>1</v>
      </c>
    </row>
    <row r="1583" customFormat="false" ht="15" hidden="false" customHeight="false" outlineLevel="0" collapsed="false">
      <c r="A1583" s="0" t="s">
        <v>396</v>
      </c>
      <c r="B1583" s="0" t="s">
        <v>137</v>
      </c>
      <c r="C1583" s="0" t="s">
        <v>138</v>
      </c>
      <c r="D1583" s="0" t="n">
        <v>10</v>
      </c>
      <c r="E1583" s="5" t="n">
        <v>45954.4219791667</v>
      </c>
      <c r="F1583" s="0" t="n">
        <v>2.1</v>
      </c>
      <c r="G1583" s="0" t="n">
        <v>17091</v>
      </c>
      <c r="H1583" s="6" t="s">
        <v>113</v>
      </c>
      <c r="I1583" s="6" t="n">
        <f aca="false">D1583*F1583</f>
        <v>21</v>
      </c>
      <c r="J1583" s="6" t="n">
        <f aca="false">HOUR(E1583)</f>
        <v>10</v>
      </c>
      <c r="K1583" s="6" t="n">
        <f aca="false">IF(COUNTIF($A$2:$A1583,A1583)=1,1,0)</f>
        <v>0</v>
      </c>
    </row>
    <row r="1584" customFormat="false" ht="15" hidden="false" customHeight="false" outlineLevel="0" collapsed="false">
      <c r="A1584" s="0" t="s">
        <v>397</v>
      </c>
      <c r="B1584" s="0" t="s">
        <v>43</v>
      </c>
      <c r="C1584" s="0" t="s">
        <v>44</v>
      </c>
      <c r="D1584" s="0" t="n">
        <v>21</v>
      </c>
      <c r="E1584" s="5" t="n">
        <v>45954.4288425926</v>
      </c>
      <c r="F1584" s="0" t="n">
        <v>4.25</v>
      </c>
      <c r="G1584" s="0" t="n">
        <v>17092</v>
      </c>
      <c r="H1584" s="6" t="s">
        <v>151</v>
      </c>
      <c r="I1584" s="6" t="n">
        <f aca="false">D1584*F1584</f>
        <v>89.25</v>
      </c>
      <c r="J1584" s="6" t="n">
        <f aca="false">HOUR(E1584)</f>
        <v>10</v>
      </c>
      <c r="K1584" s="6" t="n">
        <f aca="false">IF(COUNTIF($A$2:$A1584,A1584)=1,1,0)</f>
        <v>1</v>
      </c>
    </row>
    <row r="1585" customFormat="false" ht="15" hidden="false" customHeight="false" outlineLevel="0" collapsed="false">
      <c r="A1585" s="0" t="s">
        <v>397</v>
      </c>
      <c r="B1585" s="0" t="s">
        <v>95</v>
      </c>
      <c r="C1585" s="0" t="s">
        <v>96</v>
      </c>
      <c r="D1585" s="0" t="n">
        <v>35</v>
      </c>
      <c r="E1585" s="5" t="n">
        <v>45954.4288425926</v>
      </c>
      <c r="F1585" s="0" t="n">
        <v>2.55</v>
      </c>
      <c r="G1585" s="0" t="n">
        <v>17092</v>
      </c>
      <c r="H1585" s="6" t="s">
        <v>151</v>
      </c>
      <c r="I1585" s="6" t="n">
        <f aca="false">D1585*F1585</f>
        <v>89.25</v>
      </c>
      <c r="J1585" s="6" t="n">
        <f aca="false">HOUR(E1585)</f>
        <v>10</v>
      </c>
      <c r="K1585" s="6" t="n">
        <f aca="false">IF(COUNTIF($A$2:$A1585,A1585)=1,1,0)</f>
        <v>0</v>
      </c>
    </row>
    <row r="1586" customFormat="false" ht="15" hidden="false" customHeight="false" outlineLevel="0" collapsed="false">
      <c r="A1586" s="0" t="s">
        <v>397</v>
      </c>
      <c r="B1586" s="0" t="s">
        <v>65</v>
      </c>
      <c r="C1586" s="0" t="s">
        <v>66</v>
      </c>
      <c r="D1586" s="0" t="n">
        <v>22</v>
      </c>
      <c r="E1586" s="5" t="n">
        <v>45954.4288425926</v>
      </c>
      <c r="F1586" s="0" t="n">
        <v>1.65</v>
      </c>
      <c r="G1586" s="0" t="n">
        <v>17092</v>
      </c>
      <c r="H1586" s="6" t="s">
        <v>151</v>
      </c>
      <c r="I1586" s="6" t="n">
        <f aca="false">D1586*F1586</f>
        <v>36.3</v>
      </c>
      <c r="J1586" s="6" t="n">
        <f aca="false">HOUR(E1586)</f>
        <v>10</v>
      </c>
      <c r="K1586" s="6" t="n">
        <f aca="false">IF(COUNTIF($A$2:$A1586,A1586)=1,1,0)</f>
        <v>0</v>
      </c>
    </row>
    <row r="1587" customFormat="false" ht="15" hidden="false" customHeight="false" outlineLevel="0" collapsed="false">
      <c r="A1587" s="0" t="s">
        <v>397</v>
      </c>
      <c r="B1587" s="0" t="s">
        <v>45</v>
      </c>
      <c r="C1587" s="0" t="s">
        <v>46</v>
      </c>
      <c r="D1587" s="0" t="n">
        <v>8</v>
      </c>
      <c r="E1587" s="5" t="n">
        <v>45954.4288425926</v>
      </c>
      <c r="F1587" s="0" t="n">
        <v>2.1</v>
      </c>
      <c r="G1587" s="0" t="n">
        <v>17092</v>
      </c>
      <c r="H1587" s="6" t="s">
        <v>151</v>
      </c>
      <c r="I1587" s="6" t="n">
        <f aca="false">D1587*F1587</f>
        <v>16.8</v>
      </c>
      <c r="J1587" s="6" t="n">
        <f aca="false">HOUR(E1587)</f>
        <v>10</v>
      </c>
      <c r="K1587" s="6" t="n">
        <f aca="false">IF(COUNTIF($A$2:$A1587,A1587)=1,1,0)</f>
        <v>0</v>
      </c>
    </row>
    <row r="1588" customFormat="false" ht="15" hidden="false" customHeight="false" outlineLevel="0" collapsed="false">
      <c r="A1588" s="0" t="s">
        <v>397</v>
      </c>
      <c r="B1588" s="0" t="s">
        <v>79</v>
      </c>
      <c r="C1588" s="0" t="s">
        <v>80</v>
      </c>
      <c r="D1588" s="0" t="n">
        <v>23</v>
      </c>
      <c r="E1588" s="5" t="n">
        <v>45954.4288425926</v>
      </c>
      <c r="F1588" s="0" t="n">
        <v>3.39</v>
      </c>
      <c r="G1588" s="0" t="n">
        <v>17092</v>
      </c>
      <c r="H1588" s="6" t="s">
        <v>151</v>
      </c>
      <c r="I1588" s="6" t="n">
        <f aca="false">D1588*F1588</f>
        <v>77.97</v>
      </c>
      <c r="J1588" s="6" t="n">
        <f aca="false">HOUR(E1588)</f>
        <v>10</v>
      </c>
      <c r="K1588" s="6" t="n">
        <f aca="false">IF(COUNTIF($A$2:$A1588,A1588)=1,1,0)</f>
        <v>0</v>
      </c>
    </row>
    <row r="1589" customFormat="false" ht="15" hidden="false" customHeight="false" outlineLevel="0" collapsed="false">
      <c r="A1589" s="0" t="s">
        <v>398</v>
      </c>
      <c r="B1589" s="0" t="s">
        <v>127</v>
      </c>
      <c r="C1589" s="0" t="s">
        <v>128</v>
      </c>
      <c r="D1589" s="0" t="n">
        <v>16</v>
      </c>
      <c r="E1589" s="5" t="n">
        <v>45954.4417592593</v>
      </c>
      <c r="F1589" s="0" t="n">
        <v>1.45</v>
      </c>
      <c r="G1589" s="0" t="n">
        <v>17051</v>
      </c>
      <c r="H1589" s="6" t="s">
        <v>188</v>
      </c>
      <c r="I1589" s="6" t="n">
        <f aca="false">D1589*F1589</f>
        <v>23.2</v>
      </c>
      <c r="J1589" s="6" t="n">
        <f aca="false">HOUR(E1589)</f>
        <v>10</v>
      </c>
      <c r="K1589" s="6" t="n">
        <f aca="false">IF(COUNTIF($A$2:$A1589,A1589)=1,1,0)</f>
        <v>1</v>
      </c>
    </row>
    <row r="1590" customFormat="false" ht="15" hidden="false" customHeight="false" outlineLevel="0" collapsed="false">
      <c r="A1590" s="0" t="s">
        <v>398</v>
      </c>
      <c r="B1590" s="0" t="s">
        <v>81</v>
      </c>
      <c r="C1590" s="0" t="s">
        <v>82</v>
      </c>
      <c r="D1590" s="0" t="n">
        <v>1</v>
      </c>
      <c r="E1590" s="5" t="n">
        <v>45954.4417592593</v>
      </c>
      <c r="F1590" s="0" t="n">
        <v>1.65</v>
      </c>
      <c r="G1590" s="0" t="n">
        <v>17051</v>
      </c>
      <c r="H1590" s="6" t="s">
        <v>188</v>
      </c>
      <c r="I1590" s="6" t="n">
        <f aca="false">D1590*F1590</f>
        <v>1.65</v>
      </c>
      <c r="J1590" s="6" t="n">
        <f aca="false">HOUR(E1590)</f>
        <v>10</v>
      </c>
      <c r="K1590" s="6" t="n">
        <f aca="false">IF(COUNTIF($A$2:$A1590,A1590)=1,1,0)</f>
        <v>0</v>
      </c>
    </row>
    <row r="1591" customFormat="false" ht="15" hidden="false" customHeight="false" outlineLevel="0" collapsed="false">
      <c r="A1591" s="0" t="s">
        <v>398</v>
      </c>
      <c r="B1591" s="0" t="s">
        <v>69</v>
      </c>
      <c r="C1591" s="0" t="s">
        <v>70</v>
      </c>
      <c r="D1591" s="0" t="n">
        <v>39</v>
      </c>
      <c r="E1591" s="5" t="n">
        <v>45954.4417592593</v>
      </c>
      <c r="F1591" s="0" t="n">
        <v>2.08</v>
      </c>
      <c r="G1591" s="0" t="n">
        <v>17051</v>
      </c>
      <c r="H1591" s="6" t="s">
        <v>188</v>
      </c>
      <c r="I1591" s="6" t="n">
        <f aca="false">D1591*F1591</f>
        <v>81.12</v>
      </c>
      <c r="J1591" s="6" t="n">
        <f aca="false">HOUR(E1591)</f>
        <v>10</v>
      </c>
      <c r="K1591" s="6" t="n">
        <f aca="false">IF(COUNTIF($A$2:$A1591,A1591)=1,1,0)</f>
        <v>0</v>
      </c>
    </row>
    <row r="1592" customFormat="false" ht="15" hidden="false" customHeight="false" outlineLevel="0" collapsed="false">
      <c r="A1592" s="0" t="s">
        <v>398</v>
      </c>
      <c r="B1592" s="0" t="s">
        <v>107</v>
      </c>
      <c r="C1592" s="0" t="s">
        <v>108</v>
      </c>
      <c r="D1592" s="0" t="n">
        <v>11</v>
      </c>
      <c r="E1592" s="5" t="n">
        <v>45954.4417592593</v>
      </c>
      <c r="F1592" s="0" t="n">
        <v>3.75</v>
      </c>
      <c r="G1592" s="0" t="n">
        <v>17051</v>
      </c>
      <c r="H1592" s="6" t="s">
        <v>188</v>
      </c>
      <c r="I1592" s="6" t="n">
        <f aca="false">D1592*F1592</f>
        <v>41.25</v>
      </c>
      <c r="J1592" s="6" t="n">
        <f aca="false">HOUR(E1592)</f>
        <v>10</v>
      </c>
      <c r="K1592" s="6" t="n">
        <f aca="false">IF(COUNTIF($A$2:$A1592,A1592)=1,1,0)</f>
        <v>0</v>
      </c>
    </row>
    <row r="1593" customFormat="false" ht="15" hidden="false" customHeight="false" outlineLevel="0" collapsed="false">
      <c r="A1593" s="0" t="s">
        <v>398</v>
      </c>
      <c r="B1593" s="0" t="s">
        <v>104</v>
      </c>
      <c r="C1593" s="0" t="s">
        <v>105</v>
      </c>
      <c r="D1593" s="0" t="n">
        <v>24</v>
      </c>
      <c r="E1593" s="5" t="n">
        <v>45954.4417592593</v>
      </c>
      <c r="F1593" s="0" t="n">
        <v>1.65</v>
      </c>
      <c r="G1593" s="0" t="n">
        <v>17051</v>
      </c>
      <c r="H1593" s="6" t="s">
        <v>188</v>
      </c>
      <c r="I1593" s="6" t="n">
        <f aca="false">D1593*F1593</f>
        <v>39.6</v>
      </c>
      <c r="J1593" s="6" t="n">
        <f aca="false">HOUR(E1593)</f>
        <v>10</v>
      </c>
      <c r="K1593" s="6" t="n">
        <f aca="false">IF(COUNTIF($A$2:$A1593,A1593)=1,1,0)</f>
        <v>0</v>
      </c>
    </row>
    <row r="1594" customFormat="false" ht="15" hidden="false" customHeight="false" outlineLevel="0" collapsed="false">
      <c r="A1594" s="0" t="s">
        <v>399</v>
      </c>
      <c r="B1594" s="0" t="s">
        <v>75</v>
      </c>
      <c r="C1594" s="0" t="s">
        <v>76</v>
      </c>
      <c r="D1594" s="0" t="n">
        <v>18</v>
      </c>
      <c r="E1594" s="5" t="n">
        <v>45954.4676041667</v>
      </c>
      <c r="F1594" s="0" t="n">
        <v>3.39</v>
      </c>
      <c r="G1594" s="0" t="n">
        <v>17070</v>
      </c>
      <c r="H1594" s="6" t="s">
        <v>113</v>
      </c>
      <c r="I1594" s="6" t="n">
        <f aca="false">D1594*F1594</f>
        <v>61.02</v>
      </c>
      <c r="J1594" s="6" t="n">
        <f aca="false">HOUR(E1594)</f>
        <v>11</v>
      </c>
      <c r="K1594" s="6" t="n">
        <f aca="false">IF(COUNTIF($A$2:$A1594,A1594)=1,1,0)</f>
        <v>1</v>
      </c>
    </row>
    <row r="1595" customFormat="false" ht="15" hidden="false" customHeight="false" outlineLevel="0" collapsed="false">
      <c r="A1595" s="0" t="s">
        <v>399</v>
      </c>
      <c r="B1595" s="0" t="s">
        <v>61</v>
      </c>
      <c r="C1595" s="0" t="s">
        <v>62</v>
      </c>
      <c r="D1595" s="0" t="n">
        <v>17</v>
      </c>
      <c r="E1595" s="5" t="n">
        <v>45954.4676041667</v>
      </c>
      <c r="F1595" s="0" t="n">
        <v>1.65</v>
      </c>
      <c r="G1595" s="0" t="n">
        <v>17070</v>
      </c>
      <c r="H1595" s="6" t="s">
        <v>113</v>
      </c>
      <c r="I1595" s="6" t="n">
        <f aca="false">D1595*F1595</f>
        <v>28.05</v>
      </c>
      <c r="J1595" s="6" t="n">
        <f aca="false">HOUR(E1595)</f>
        <v>11</v>
      </c>
      <c r="K1595" s="6" t="n">
        <f aca="false">IF(COUNTIF($A$2:$A1595,A1595)=1,1,0)</f>
        <v>0</v>
      </c>
    </row>
    <row r="1596" customFormat="false" ht="15" hidden="false" customHeight="false" outlineLevel="0" collapsed="false">
      <c r="A1596" s="0" t="s">
        <v>399</v>
      </c>
      <c r="B1596" s="0" t="s">
        <v>86</v>
      </c>
      <c r="C1596" s="0" t="s">
        <v>87</v>
      </c>
      <c r="D1596" s="0" t="n">
        <v>11</v>
      </c>
      <c r="E1596" s="5" t="n">
        <v>45954.4676041667</v>
      </c>
      <c r="F1596" s="0" t="n">
        <v>4.25</v>
      </c>
      <c r="G1596" s="0" t="n">
        <v>17070</v>
      </c>
      <c r="H1596" s="6" t="s">
        <v>113</v>
      </c>
      <c r="I1596" s="6" t="n">
        <f aca="false">D1596*F1596</f>
        <v>46.75</v>
      </c>
      <c r="J1596" s="6" t="n">
        <f aca="false">HOUR(E1596)</f>
        <v>11</v>
      </c>
      <c r="K1596" s="6" t="n">
        <f aca="false">IF(COUNTIF($A$2:$A1596,A1596)=1,1,0)</f>
        <v>0</v>
      </c>
    </row>
    <row r="1597" customFormat="false" ht="15" hidden="false" customHeight="false" outlineLevel="0" collapsed="false">
      <c r="A1597" s="0" t="s">
        <v>400</v>
      </c>
      <c r="B1597" s="0" t="s">
        <v>86</v>
      </c>
      <c r="C1597" s="0" t="s">
        <v>87</v>
      </c>
      <c r="D1597" s="0" t="n">
        <v>14</v>
      </c>
      <c r="E1597" s="5" t="n">
        <v>45954.4803703704</v>
      </c>
      <c r="F1597" s="0" t="n">
        <v>4.25</v>
      </c>
      <c r="G1597" s="0" t="n">
        <v>17042</v>
      </c>
      <c r="H1597" s="6" t="s">
        <v>42</v>
      </c>
      <c r="I1597" s="6" t="n">
        <f aca="false">D1597*F1597</f>
        <v>59.5</v>
      </c>
      <c r="J1597" s="6" t="n">
        <f aca="false">HOUR(E1597)</f>
        <v>11</v>
      </c>
      <c r="K1597" s="6" t="n">
        <f aca="false">IF(COUNTIF($A$2:$A1597,A1597)=1,1,0)</f>
        <v>1</v>
      </c>
    </row>
    <row r="1598" customFormat="false" ht="15" hidden="false" customHeight="false" outlineLevel="0" collapsed="false">
      <c r="A1598" s="0" t="s">
        <v>400</v>
      </c>
      <c r="B1598" s="0" t="s">
        <v>140</v>
      </c>
      <c r="C1598" s="0" t="s">
        <v>141</v>
      </c>
      <c r="D1598" s="0" t="n">
        <v>12</v>
      </c>
      <c r="E1598" s="5" t="n">
        <v>45954.4803703704</v>
      </c>
      <c r="F1598" s="0" t="n">
        <v>2.08</v>
      </c>
      <c r="G1598" s="0" t="n">
        <v>17042</v>
      </c>
      <c r="H1598" s="6" t="s">
        <v>42</v>
      </c>
      <c r="I1598" s="6" t="n">
        <f aca="false">D1598*F1598</f>
        <v>24.96</v>
      </c>
      <c r="J1598" s="6" t="n">
        <f aca="false">HOUR(E1598)</f>
        <v>11</v>
      </c>
      <c r="K1598" s="6" t="n">
        <f aca="false">IF(COUNTIF($A$2:$A1598,A1598)=1,1,0)</f>
        <v>0</v>
      </c>
    </row>
    <row r="1599" customFormat="false" ht="15" hidden="false" customHeight="false" outlineLevel="0" collapsed="false">
      <c r="A1599" s="0" t="s">
        <v>400</v>
      </c>
      <c r="B1599" s="0" t="s">
        <v>91</v>
      </c>
      <c r="C1599" s="0" t="s">
        <v>92</v>
      </c>
      <c r="D1599" s="0" t="n">
        <v>22</v>
      </c>
      <c r="E1599" s="5" t="n">
        <v>45954.4803703704</v>
      </c>
      <c r="F1599" s="0" t="n">
        <v>7.65</v>
      </c>
      <c r="G1599" s="0" t="n">
        <v>17042</v>
      </c>
      <c r="H1599" s="6" t="s">
        <v>42</v>
      </c>
      <c r="I1599" s="6" t="n">
        <f aca="false">D1599*F1599</f>
        <v>168.3</v>
      </c>
      <c r="J1599" s="6" t="n">
        <f aca="false">HOUR(E1599)</f>
        <v>11</v>
      </c>
      <c r="K1599" s="6" t="n">
        <f aca="false">IF(COUNTIF($A$2:$A1599,A1599)=1,1,0)</f>
        <v>0</v>
      </c>
    </row>
    <row r="1600" customFormat="false" ht="15" hidden="false" customHeight="false" outlineLevel="0" collapsed="false">
      <c r="A1600" s="0" t="s">
        <v>400</v>
      </c>
      <c r="B1600" s="0" t="s">
        <v>77</v>
      </c>
      <c r="C1600" s="0" t="s">
        <v>78</v>
      </c>
      <c r="D1600" s="0" t="n">
        <v>15</v>
      </c>
      <c r="E1600" s="5" t="n">
        <v>45954.4803703704</v>
      </c>
      <c r="F1600" s="0" t="n">
        <v>1.65</v>
      </c>
      <c r="G1600" s="0" t="n">
        <v>17042</v>
      </c>
      <c r="H1600" s="6" t="s">
        <v>42</v>
      </c>
      <c r="I1600" s="6" t="n">
        <f aca="false">D1600*F1600</f>
        <v>24.75</v>
      </c>
      <c r="J1600" s="6" t="n">
        <f aca="false">HOUR(E1600)</f>
        <v>11</v>
      </c>
      <c r="K1600" s="6" t="n">
        <f aca="false">IF(COUNTIF($A$2:$A1600,A1600)=1,1,0)</f>
        <v>0</v>
      </c>
    </row>
    <row r="1601" customFormat="false" ht="15" hidden="false" customHeight="false" outlineLevel="0" collapsed="false">
      <c r="A1601" s="0" t="s">
        <v>400</v>
      </c>
      <c r="B1601" s="0" t="s">
        <v>137</v>
      </c>
      <c r="C1601" s="0" t="s">
        <v>138</v>
      </c>
      <c r="D1601" s="0" t="n">
        <v>14</v>
      </c>
      <c r="E1601" s="5" t="n">
        <v>45954.4803703704</v>
      </c>
      <c r="F1601" s="0" t="n">
        <v>2.1</v>
      </c>
      <c r="G1601" s="0" t="n">
        <v>17042</v>
      </c>
      <c r="H1601" s="6" t="s">
        <v>42</v>
      </c>
      <c r="I1601" s="6" t="n">
        <f aca="false">D1601*F1601</f>
        <v>29.4</v>
      </c>
      <c r="J1601" s="6" t="n">
        <f aca="false">HOUR(E1601)</f>
        <v>11</v>
      </c>
      <c r="K1601" s="6" t="n">
        <f aca="false">IF(COUNTIF($A$2:$A1601,A1601)=1,1,0)</f>
        <v>0</v>
      </c>
    </row>
    <row r="1602" customFormat="false" ht="15" hidden="false" customHeight="false" outlineLevel="0" collapsed="false">
      <c r="A1602" s="0" t="s">
        <v>400</v>
      </c>
      <c r="B1602" s="0" t="s">
        <v>61</v>
      </c>
      <c r="C1602" s="0" t="s">
        <v>62</v>
      </c>
      <c r="D1602" s="0" t="n">
        <v>2</v>
      </c>
      <c r="E1602" s="5" t="n">
        <v>45954.4803703704</v>
      </c>
      <c r="F1602" s="0" t="n">
        <v>1.65</v>
      </c>
      <c r="G1602" s="0" t="n">
        <v>17042</v>
      </c>
      <c r="H1602" s="6" t="s">
        <v>42</v>
      </c>
      <c r="I1602" s="6" t="n">
        <f aca="false">D1602*F1602</f>
        <v>3.3</v>
      </c>
      <c r="J1602" s="6" t="n">
        <f aca="false">HOUR(E1602)</f>
        <v>11</v>
      </c>
      <c r="K1602" s="6" t="n">
        <f aca="false">IF(COUNTIF($A$2:$A1602,A1602)=1,1,0)</f>
        <v>0</v>
      </c>
    </row>
    <row r="1603" customFormat="false" ht="15" hidden="false" customHeight="false" outlineLevel="0" collapsed="false">
      <c r="A1603" s="0" t="s">
        <v>400</v>
      </c>
      <c r="B1603" s="0" t="s">
        <v>127</v>
      </c>
      <c r="C1603" s="0" t="s">
        <v>128</v>
      </c>
      <c r="D1603" s="0" t="n">
        <v>15</v>
      </c>
      <c r="E1603" s="5" t="n">
        <v>45954.4803703704</v>
      </c>
      <c r="F1603" s="0" t="n">
        <v>1.45</v>
      </c>
      <c r="G1603" s="0" t="n">
        <v>17042</v>
      </c>
      <c r="H1603" s="6" t="s">
        <v>42</v>
      </c>
      <c r="I1603" s="6" t="n">
        <f aca="false">D1603*F1603</f>
        <v>21.75</v>
      </c>
      <c r="J1603" s="6" t="n">
        <f aca="false">HOUR(E1603)</f>
        <v>11</v>
      </c>
      <c r="K1603" s="6" t="n">
        <f aca="false">IF(COUNTIF($A$2:$A1603,A1603)=1,1,0)</f>
        <v>0</v>
      </c>
    </row>
    <row r="1604" customFormat="false" ht="15" hidden="false" customHeight="false" outlineLevel="0" collapsed="false">
      <c r="A1604" s="0" t="s">
        <v>401</v>
      </c>
      <c r="B1604" s="0" t="s">
        <v>77</v>
      </c>
      <c r="C1604" s="0" t="s">
        <v>78</v>
      </c>
      <c r="D1604" s="0" t="n">
        <v>11</v>
      </c>
      <c r="E1604" s="5" t="n">
        <v>45954.5486226852</v>
      </c>
      <c r="F1604" s="0" t="n">
        <v>1.65</v>
      </c>
      <c r="G1604" s="0" t="n">
        <v>17057</v>
      </c>
      <c r="H1604" s="6" t="s">
        <v>74</v>
      </c>
      <c r="I1604" s="6" t="n">
        <f aca="false">D1604*F1604</f>
        <v>18.15</v>
      </c>
      <c r="J1604" s="6" t="n">
        <f aca="false">HOUR(E1604)</f>
        <v>13</v>
      </c>
      <c r="K1604" s="6" t="n">
        <f aca="false">IF(COUNTIF($A$2:$A1604,A1604)=1,1,0)</f>
        <v>1</v>
      </c>
    </row>
    <row r="1605" customFormat="false" ht="15" hidden="false" customHeight="false" outlineLevel="0" collapsed="false">
      <c r="A1605" s="0" t="s">
        <v>401</v>
      </c>
      <c r="B1605" s="0" t="s">
        <v>107</v>
      </c>
      <c r="C1605" s="0" t="s">
        <v>108</v>
      </c>
      <c r="D1605" s="0" t="n">
        <v>20</v>
      </c>
      <c r="E1605" s="5" t="n">
        <v>45954.5486226852</v>
      </c>
      <c r="F1605" s="0" t="n">
        <v>3.75</v>
      </c>
      <c r="G1605" s="0" t="n">
        <v>17057</v>
      </c>
      <c r="H1605" s="6" t="s">
        <v>74</v>
      </c>
      <c r="I1605" s="6" t="n">
        <f aca="false">D1605*F1605</f>
        <v>75</v>
      </c>
      <c r="J1605" s="6" t="n">
        <f aca="false">HOUR(E1605)</f>
        <v>13</v>
      </c>
      <c r="K1605" s="6" t="n">
        <f aca="false">IF(COUNTIF($A$2:$A1605,A1605)=1,1,0)</f>
        <v>0</v>
      </c>
    </row>
    <row r="1606" customFormat="false" ht="15" hidden="false" customHeight="false" outlineLevel="0" collapsed="false">
      <c r="A1606" s="0" t="s">
        <v>401</v>
      </c>
      <c r="B1606" s="0" t="s">
        <v>55</v>
      </c>
      <c r="C1606" s="0" t="s">
        <v>56</v>
      </c>
      <c r="D1606" s="0" t="n">
        <v>1</v>
      </c>
      <c r="E1606" s="5" t="n">
        <v>45954.5486226852</v>
      </c>
      <c r="F1606" s="0" t="n">
        <v>1.65</v>
      </c>
      <c r="G1606" s="0" t="n">
        <v>17057</v>
      </c>
      <c r="H1606" s="6" t="s">
        <v>74</v>
      </c>
      <c r="I1606" s="6" t="n">
        <f aca="false">D1606*F1606</f>
        <v>1.65</v>
      </c>
      <c r="J1606" s="6" t="n">
        <f aca="false">HOUR(E1606)</f>
        <v>13</v>
      </c>
      <c r="K1606" s="6" t="n">
        <f aca="false">IF(COUNTIF($A$2:$A1606,A1606)=1,1,0)</f>
        <v>0</v>
      </c>
    </row>
    <row r="1607" customFormat="false" ht="15" hidden="false" customHeight="false" outlineLevel="0" collapsed="false">
      <c r="A1607" s="0" t="s">
        <v>401</v>
      </c>
      <c r="B1607" s="0" t="s">
        <v>137</v>
      </c>
      <c r="C1607" s="0" t="s">
        <v>138</v>
      </c>
      <c r="D1607" s="0" t="n">
        <v>1</v>
      </c>
      <c r="E1607" s="5" t="n">
        <v>45954.5486226852</v>
      </c>
      <c r="F1607" s="0" t="n">
        <v>2.1</v>
      </c>
      <c r="G1607" s="0" t="n">
        <v>17057</v>
      </c>
      <c r="H1607" s="6" t="s">
        <v>74</v>
      </c>
      <c r="I1607" s="6" t="n">
        <f aca="false">D1607*F1607</f>
        <v>2.1</v>
      </c>
      <c r="J1607" s="6" t="n">
        <f aca="false">HOUR(E1607)</f>
        <v>13</v>
      </c>
      <c r="K1607" s="6" t="n">
        <f aca="false">IF(COUNTIF($A$2:$A1607,A1607)=1,1,0)</f>
        <v>0</v>
      </c>
    </row>
    <row r="1608" customFormat="false" ht="15" hidden="false" customHeight="false" outlineLevel="0" collapsed="false">
      <c r="A1608" s="0" t="s">
        <v>401</v>
      </c>
      <c r="B1608" s="0" t="s">
        <v>140</v>
      </c>
      <c r="C1608" s="0" t="s">
        <v>141</v>
      </c>
      <c r="D1608" s="0" t="n">
        <v>10</v>
      </c>
      <c r="E1608" s="5" t="n">
        <v>45954.5486226852</v>
      </c>
      <c r="F1608" s="0" t="n">
        <v>2.08</v>
      </c>
      <c r="G1608" s="0" t="n">
        <v>17057</v>
      </c>
      <c r="H1608" s="6" t="s">
        <v>74</v>
      </c>
      <c r="I1608" s="6" t="n">
        <f aca="false">D1608*F1608</f>
        <v>20.8</v>
      </c>
      <c r="J1608" s="6" t="n">
        <f aca="false">HOUR(E1608)</f>
        <v>13</v>
      </c>
      <c r="K1608" s="6" t="n">
        <f aca="false">IF(COUNTIF($A$2:$A1608,A1608)=1,1,0)</f>
        <v>0</v>
      </c>
    </row>
    <row r="1609" customFormat="false" ht="15" hidden="false" customHeight="false" outlineLevel="0" collapsed="false">
      <c r="A1609" s="0" t="s">
        <v>401</v>
      </c>
      <c r="B1609" s="0" t="s">
        <v>69</v>
      </c>
      <c r="C1609" s="0" t="s">
        <v>70</v>
      </c>
      <c r="D1609" s="0" t="n">
        <v>18</v>
      </c>
      <c r="E1609" s="5" t="n">
        <v>45954.5486226852</v>
      </c>
      <c r="F1609" s="0" t="n">
        <v>2.08</v>
      </c>
      <c r="G1609" s="0" t="n">
        <v>17057</v>
      </c>
      <c r="H1609" s="6" t="s">
        <v>74</v>
      </c>
      <c r="I1609" s="6" t="n">
        <f aca="false">D1609*F1609</f>
        <v>37.44</v>
      </c>
      <c r="J1609" s="6" t="n">
        <f aca="false">HOUR(E1609)</f>
        <v>13</v>
      </c>
      <c r="K1609" s="6" t="n">
        <f aca="false">IF(COUNTIF($A$2:$A1609,A1609)=1,1,0)</f>
        <v>0</v>
      </c>
    </row>
    <row r="1610" customFormat="false" ht="15" hidden="false" customHeight="false" outlineLevel="0" collapsed="false">
      <c r="A1610" s="0" t="s">
        <v>401</v>
      </c>
      <c r="B1610" s="0" t="s">
        <v>114</v>
      </c>
      <c r="C1610" s="0" t="s">
        <v>115</v>
      </c>
      <c r="D1610" s="0" t="n">
        <v>17</v>
      </c>
      <c r="E1610" s="5" t="n">
        <v>45954.5486226852</v>
      </c>
      <c r="F1610" s="0" t="n">
        <v>2.08</v>
      </c>
      <c r="G1610" s="0" t="n">
        <v>17057</v>
      </c>
      <c r="H1610" s="6" t="s">
        <v>74</v>
      </c>
      <c r="I1610" s="6" t="n">
        <f aca="false">D1610*F1610</f>
        <v>35.36</v>
      </c>
      <c r="J1610" s="6" t="n">
        <f aca="false">HOUR(E1610)</f>
        <v>13</v>
      </c>
      <c r="K1610" s="6" t="n">
        <f aca="false">IF(COUNTIF($A$2:$A1610,A1610)=1,1,0)</f>
        <v>0</v>
      </c>
    </row>
    <row r="1611" customFormat="false" ht="15" hidden="false" customHeight="false" outlineLevel="0" collapsed="false">
      <c r="A1611" s="0" t="s">
        <v>402</v>
      </c>
      <c r="B1611" s="0" t="s">
        <v>61</v>
      </c>
      <c r="C1611" s="0" t="s">
        <v>62</v>
      </c>
      <c r="D1611" s="0" t="n">
        <v>23</v>
      </c>
      <c r="E1611" s="5" t="n">
        <v>45954.550150463</v>
      </c>
      <c r="F1611" s="0" t="n">
        <v>1.65</v>
      </c>
      <c r="G1611" s="0" t="n">
        <v>17144</v>
      </c>
      <c r="H1611" s="6" t="s">
        <v>74</v>
      </c>
      <c r="I1611" s="6" t="n">
        <f aca="false">D1611*F1611</f>
        <v>37.95</v>
      </c>
      <c r="J1611" s="6" t="n">
        <f aca="false">HOUR(E1611)</f>
        <v>13</v>
      </c>
      <c r="K1611" s="6" t="n">
        <f aca="false">IF(COUNTIF($A$2:$A1611,A1611)=1,1,0)</f>
        <v>1</v>
      </c>
    </row>
    <row r="1612" customFormat="false" ht="15" hidden="false" customHeight="false" outlineLevel="0" collapsed="false">
      <c r="A1612" s="0" t="s">
        <v>402</v>
      </c>
      <c r="B1612" s="0" t="s">
        <v>107</v>
      </c>
      <c r="C1612" s="0" t="s">
        <v>108</v>
      </c>
      <c r="D1612" s="0" t="n">
        <v>6</v>
      </c>
      <c r="E1612" s="5" t="n">
        <v>45954.550150463</v>
      </c>
      <c r="F1612" s="0" t="n">
        <v>3.75</v>
      </c>
      <c r="G1612" s="0" t="n">
        <v>17144</v>
      </c>
      <c r="H1612" s="6" t="s">
        <v>74</v>
      </c>
      <c r="I1612" s="6" t="n">
        <f aca="false">D1612*F1612</f>
        <v>22.5</v>
      </c>
      <c r="J1612" s="6" t="n">
        <f aca="false">HOUR(E1612)</f>
        <v>13</v>
      </c>
      <c r="K1612" s="6" t="n">
        <f aca="false">IF(COUNTIF($A$2:$A1612,A1612)=1,1,0)</f>
        <v>0</v>
      </c>
    </row>
    <row r="1613" customFormat="false" ht="15" hidden="false" customHeight="false" outlineLevel="0" collapsed="false">
      <c r="A1613" s="0" t="s">
        <v>403</v>
      </c>
      <c r="B1613" s="0" t="s">
        <v>79</v>
      </c>
      <c r="C1613" s="0" t="s">
        <v>80</v>
      </c>
      <c r="D1613" s="0" t="n">
        <v>15</v>
      </c>
      <c r="E1613" s="5" t="n">
        <v>45954.6104398148</v>
      </c>
      <c r="F1613" s="0" t="n">
        <v>3.39</v>
      </c>
      <c r="G1613" s="0" t="n">
        <v>17242</v>
      </c>
      <c r="H1613" s="6" t="s">
        <v>74</v>
      </c>
      <c r="I1613" s="6" t="n">
        <f aca="false">D1613*F1613</f>
        <v>50.85</v>
      </c>
      <c r="J1613" s="6" t="n">
        <f aca="false">HOUR(E1613)</f>
        <v>14</v>
      </c>
      <c r="K1613" s="6" t="n">
        <f aca="false">IF(COUNTIF($A$2:$A1613,A1613)=1,1,0)</f>
        <v>1</v>
      </c>
    </row>
    <row r="1614" customFormat="false" ht="15" hidden="false" customHeight="false" outlineLevel="0" collapsed="false">
      <c r="A1614" s="0" t="s">
        <v>403</v>
      </c>
      <c r="B1614" s="0" t="s">
        <v>86</v>
      </c>
      <c r="C1614" s="0" t="s">
        <v>87</v>
      </c>
      <c r="D1614" s="0" t="n">
        <v>19</v>
      </c>
      <c r="E1614" s="5" t="n">
        <v>45954.6104398148</v>
      </c>
      <c r="F1614" s="0" t="n">
        <v>4.25</v>
      </c>
      <c r="G1614" s="0" t="n">
        <v>17242</v>
      </c>
      <c r="H1614" s="6" t="s">
        <v>74</v>
      </c>
      <c r="I1614" s="6" t="n">
        <f aca="false">D1614*F1614</f>
        <v>80.75</v>
      </c>
      <c r="J1614" s="6" t="n">
        <f aca="false">HOUR(E1614)</f>
        <v>14</v>
      </c>
      <c r="K1614" s="6" t="n">
        <f aca="false">IF(COUNTIF($A$2:$A1614,A1614)=1,1,0)</f>
        <v>0</v>
      </c>
    </row>
    <row r="1615" customFormat="false" ht="15" hidden="false" customHeight="false" outlineLevel="0" collapsed="false">
      <c r="A1615" s="0" t="s">
        <v>403</v>
      </c>
      <c r="B1615" s="0" t="s">
        <v>99</v>
      </c>
      <c r="C1615" s="0" t="s">
        <v>100</v>
      </c>
      <c r="D1615" s="0" t="n">
        <v>16</v>
      </c>
      <c r="E1615" s="5" t="n">
        <v>45954.6104398148</v>
      </c>
      <c r="F1615" s="0" t="n">
        <v>2.08</v>
      </c>
      <c r="G1615" s="0" t="n">
        <v>17242</v>
      </c>
      <c r="H1615" s="6" t="s">
        <v>74</v>
      </c>
      <c r="I1615" s="6" t="n">
        <f aca="false">D1615*F1615</f>
        <v>33.28</v>
      </c>
      <c r="J1615" s="6" t="n">
        <f aca="false">HOUR(E1615)</f>
        <v>14</v>
      </c>
      <c r="K1615" s="6" t="n">
        <f aca="false">IF(COUNTIF($A$2:$A1615,A1615)=1,1,0)</f>
        <v>0</v>
      </c>
    </row>
    <row r="1616" customFormat="false" ht="15" hidden="false" customHeight="false" outlineLevel="0" collapsed="false">
      <c r="A1616" s="0" t="s">
        <v>403</v>
      </c>
      <c r="B1616" s="0" t="s">
        <v>134</v>
      </c>
      <c r="C1616" s="0" t="s">
        <v>135</v>
      </c>
      <c r="D1616" s="0" t="n">
        <v>10</v>
      </c>
      <c r="E1616" s="5" t="n">
        <v>45954.6104398148</v>
      </c>
      <c r="F1616" s="0" t="n">
        <v>5.95</v>
      </c>
      <c r="G1616" s="0" t="n">
        <v>17242</v>
      </c>
      <c r="H1616" s="6" t="s">
        <v>74</v>
      </c>
      <c r="I1616" s="6" t="n">
        <f aca="false">D1616*F1616</f>
        <v>59.5</v>
      </c>
      <c r="J1616" s="6" t="n">
        <f aca="false">HOUR(E1616)</f>
        <v>14</v>
      </c>
      <c r="K1616" s="6" t="n">
        <f aca="false">IF(COUNTIF($A$2:$A1616,A1616)=1,1,0)</f>
        <v>0</v>
      </c>
    </row>
    <row r="1617" customFormat="false" ht="15" hidden="false" customHeight="false" outlineLevel="0" collapsed="false">
      <c r="A1617" s="0" t="s">
        <v>403</v>
      </c>
      <c r="B1617" s="0" t="s">
        <v>81</v>
      </c>
      <c r="C1617" s="0" t="s">
        <v>82</v>
      </c>
      <c r="D1617" s="0" t="n">
        <v>2</v>
      </c>
      <c r="E1617" s="5" t="n">
        <v>45954.6104398148</v>
      </c>
      <c r="F1617" s="0" t="n">
        <v>1.65</v>
      </c>
      <c r="G1617" s="0" t="n">
        <v>17242</v>
      </c>
      <c r="H1617" s="6" t="s">
        <v>74</v>
      </c>
      <c r="I1617" s="6" t="n">
        <f aca="false">D1617*F1617</f>
        <v>3.3</v>
      </c>
      <c r="J1617" s="6" t="n">
        <f aca="false">HOUR(E1617)</f>
        <v>14</v>
      </c>
      <c r="K1617" s="6" t="n">
        <f aca="false">IF(COUNTIF($A$2:$A1617,A1617)=1,1,0)</f>
        <v>0</v>
      </c>
    </row>
    <row r="1618" customFormat="false" ht="15" hidden="false" customHeight="false" outlineLevel="0" collapsed="false">
      <c r="A1618" s="0" t="s">
        <v>403</v>
      </c>
      <c r="B1618" s="0" t="s">
        <v>40</v>
      </c>
      <c r="C1618" s="0" t="s">
        <v>41</v>
      </c>
      <c r="D1618" s="0" t="n">
        <v>10</v>
      </c>
      <c r="E1618" s="5" t="n">
        <v>45954.6104398148</v>
      </c>
      <c r="F1618" s="0" t="n">
        <v>1.06</v>
      </c>
      <c r="G1618" s="0" t="n">
        <v>17242</v>
      </c>
      <c r="H1618" s="6" t="s">
        <v>74</v>
      </c>
      <c r="I1618" s="6" t="n">
        <f aca="false">D1618*F1618</f>
        <v>10.6</v>
      </c>
      <c r="J1618" s="6" t="n">
        <f aca="false">HOUR(E1618)</f>
        <v>14</v>
      </c>
      <c r="K1618" s="6" t="n">
        <f aca="false">IF(COUNTIF($A$2:$A1618,A1618)=1,1,0)</f>
        <v>0</v>
      </c>
    </row>
    <row r="1619" customFormat="false" ht="15" hidden="false" customHeight="false" outlineLevel="0" collapsed="false">
      <c r="A1619" s="0" t="s">
        <v>404</v>
      </c>
      <c r="B1619" s="0" t="s">
        <v>107</v>
      </c>
      <c r="C1619" s="0" t="s">
        <v>108</v>
      </c>
      <c r="D1619" s="0" t="n">
        <v>17</v>
      </c>
      <c r="E1619" s="5" t="n">
        <v>45954.6146412037</v>
      </c>
      <c r="F1619" s="0" t="n">
        <v>3.75</v>
      </c>
      <c r="G1619" s="0" t="n">
        <v>17222</v>
      </c>
      <c r="H1619" s="6" t="s">
        <v>42</v>
      </c>
      <c r="I1619" s="6" t="n">
        <f aca="false">D1619*F1619</f>
        <v>63.75</v>
      </c>
      <c r="J1619" s="6" t="n">
        <f aca="false">HOUR(E1619)</f>
        <v>14</v>
      </c>
      <c r="K1619" s="6" t="n">
        <f aca="false">IF(COUNTIF($A$2:$A1619,A1619)=1,1,0)</f>
        <v>1</v>
      </c>
    </row>
    <row r="1620" customFormat="false" ht="15" hidden="false" customHeight="false" outlineLevel="0" collapsed="false">
      <c r="A1620" s="0" t="s">
        <v>404</v>
      </c>
      <c r="B1620" s="0" t="s">
        <v>83</v>
      </c>
      <c r="C1620" s="0" t="s">
        <v>84</v>
      </c>
      <c r="D1620" s="0" t="n">
        <v>6</v>
      </c>
      <c r="E1620" s="5" t="n">
        <v>45954.6146412037</v>
      </c>
      <c r="F1620" s="0" t="n">
        <v>2.95</v>
      </c>
      <c r="G1620" s="0" t="n">
        <v>17222</v>
      </c>
      <c r="H1620" s="6" t="s">
        <v>42</v>
      </c>
      <c r="I1620" s="6" t="n">
        <f aca="false">D1620*F1620</f>
        <v>17.7</v>
      </c>
      <c r="J1620" s="6" t="n">
        <f aca="false">HOUR(E1620)</f>
        <v>14</v>
      </c>
      <c r="K1620" s="6" t="n">
        <f aca="false">IF(COUNTIF($A$2:$A1620,A1620)=1,1,0)</f>
        <v>0</v>
      </c>
    </row>
    <row r="1621" customFormat="false" ht="15" hidden="false" customHeight="false" outlineLevel="0" collapsed="false">
      <c r="A1621" s="0" t="s">
        <v>404</v>
      </c>
      <c r="B1621" s="0" t="s">
        <v>118</v>
      </c>
      <c r="C1621" s="0" t="s">
        <v>119</v>
      </c>
      <c r="D1621" s="0" t="n">
        <v>15</v>
      </c>
      <c r="E1621" s="5" t="n">
        <v>45954.6146412037</v>
      </c>
      <c r="F1621" s="0" t="n">
        <v>4.95</v>
      </c>
      <c r="G1621" s="0" t="n">
        <v>17222</v>
      </c>
      <c r="H1621" s="6" t="s">
        <v>42</v>
      </c>
      <c r="I1621" s="6" t="n">
        <f aca="false">D1621*F1621</f>
        <v>74.25</v>
      </c>
      <c r="J1621" s="6" t="n">
        <f aca="false">HOUR(E1621)</f>
        <v>14</v>
      </c>
      <c r="K1621" s="6" t="n">
        <f aca="false">IF(COUNTIF($A$2:$A1621,A1621)=1,1,0)</f>
        <v>0</v>
      </c>
    </row>
    <row r="1622" customFormat="false" ht="15" hidden="false" customHeight="false" outlineLevel="0" collapsed="false">
      <c r="A1622" s="0" t="s">
        <v>404</v>
      </c>
      <c r="B1622" s="0" t="s">
        <v>55</v>
      </c>
      <c r="C1622" s="0" t="s">
        <v>56</v>
      </c>
      <c r="D1622" s="0" t="n">
        <v>7</v>
      </c>
      <c r="E1622" s="5" t="n">
        <v>45954.6146412037</v>
      </c>
      <c r="F1622" s="0" t="n">
        <v>1.65</v>
      </c>
      <c r="G1622" s="0" t="n">
        <v>17222</v>
      </c>
      <c r="H1622" s="6" t="s">
        <v>42</v>
      </c>
      <c r="I1622" s="6" t="n">
        <f aca="false">D1622*F1622</f>
        <v>11.55</v>
      </c>
      <c r="J1622" s="6" t="n">
        <f aca="false">HOUR(E1622)</f>
        <v>14</v>
      </c>
      <c r="K1622" s="6" t="n">
        <f aca="false">IF(COUNTIF($A$2:$A1622,A1622)=1,1,0)</f>
        <v>0</v>
      </c>
    </row>
    <row r="1623" customFormat="false" ht="15" hidden="false" customHeight="false" outlineLevel="0" collapsed="false">
      <c r="A1623" s="0" t="s">
        <v>404</v>
      </c>
      <c r="B1623" s="0" t="s">
        <v>77</v>
      </c>
      <c r="C1623" s="0" t="s">
        <v>78</v>
      </c>
      <c r="D1623" s="0" t="n">
        <v>9</v>
      </c>
      <c r="E1623" s="5" t="n">
        <v>45954.6146412037</v>
      </c>
      <c r="F1623" s="0" t="n">
        <v>1.65</v>
      </c>
      <c r="G1623" s="0" t="n">
        <v>17222</v>
      </c>
      <c r="H1623" s="6" t="s">
        <v>42</v>
      </c>
      <c r="I1623" s="6" t="n">
        <f aca="false">D1623*F1623</f>
        <v>14.85</v>
      </c>
      <c r="J1623" s="6" t="n">
        <f aca="false">HOUR(E1623)</f>
        <v>14</v>
      </c>
      <c r="K1623" s="6" t="n">
        <f aca="false">IF(COUNTIF($A$2:$A1623,A1623)=1,1,0)</f>
        <v>0</v>
      </c>
    </row>
    <row r="1624" customFormat="false" ht="15" hidden="false" customHeight="false" outlineLevel="0" collapsed="false">
      <c r="A1624" s="0" t="s">
        <v>405</v>
      </c>
      <c r="B1624" s="0" t="s">
        <v>91</v>
      </c>
      <c r="C1624" s="0" t="s">
        <v>92</v>
      </c>
      <c r="D1624" s="0" t="n">
        <v>16</v>
      </c>
      <c r="E1624" s="5" t="n">
        <v>45954.719224537</v>
      </c>
      <c r="F1624" s="0" t="n">
        <v>7.65</v>
      </c>
      <c r="G1624" s="0" t="n">
        <v>17125</v>
      </c>
      <c r="H1624" s="6" t="s">
        <v>74</v>
      </c>
      <c r="I1624" s="6" t="n">
        <f aca="false">D1624*F1624</f>
        <v>122.4</v>
      </c>
      <c r="J1624" s="6" t="n">
        <f aca="false">HOUR(E1624)</f>
        <v>17</v>
      </c>
      <c r="K1624" s="6" t="n">
        <f aca="false">IF(COUNTIF($A$2:$A1624,A1624)=1,1,0)</f>
        <v>1</v>
      </c>
    </row>
    <row r="1625" customFormat="false" ht="15" hidden="false" customHeight="false" outlineLevel="0" collapsed="false">
      <c r="A1625" s="0" t="s">
        <v>405</v>
      </c>
      <c r="B1625" s="0" t="s">
        <v>86</v>
      </c>
      <c r="C1625" s="0" t="s">
        <v>87</v>
      </c>
      <c r="D1625" s="0" t="n">
        <v>14</v>
      </c>
      <c r="E1625" s="5" t="n">
        <v>45954.719224537</v>
      </c>
      <c r="F1625" s="0" t="n">
        <v>4.25</v>
      </c>
      <c r="G1625" s="0" t="n">
        <v>17125</v>
      </c>
      <c r="H1625" s="6" t="s">
        <v>74</v>
      </c>
      <c r="I1625" s="6" t="n">
        <f aca="false">D1625*F1625</f>
        <v>59.5</v>
      </c>
      <c r="J1625" s="6" t="n">
        <f aca="false">HOUR(E1625)</f>
        <v>17</v>
      </c>
      <c r="K1625" s="6" t="n">
        <f aca="false">IF(COUNTIF($A$2:$A1625,A1625)=1,1,0)</f>
        <v>0</v>
      </c>
    </row>
    <row r="1626" customFormat="false" ht="15" hidden="false" customHeight="false" outlineLevel="0" collapsed="false">
      <c r="A1626" s="0" t="s">
        <v>405</v>
      </c>
      <c r="B1626" s="0" t="s">
        <v>65</v>
      </c>
      <c r="C1626" s="0" t="s">
        <v>66</v>
      </c>
      <c r="D1626" s="0" t="n">
        <v>6</v>
      </c>
      <c r="E1626" s="5" t="n">
        <v>45954.719224537</v>
      </c>
      <c r="F1626" s="0" t="n">
        <v>1.65</v>
      </c>
      <c r="G1626" s="0" t="n">
        <v>17125</v>
      </c>
      <c r="H1626" s="6" t="s">
        <v>74</v>
      </c>
      <c r="I1626" s="6" t="n">
        <f aca="false">D1626*F1626</f>
        <v>9.9</v>
      </c>
      <c r="J1626" s="6" t="n">
        <f aca="false">HOUR(E1626)</f>
        <v>17</v>
      </c>
      <c r="K1626" s="6" t="n">
        <f aca="false">IF(COUNTIF($A$2:$A1626,A1626)=1,1,0)</f>
        <v>0</v>
      </c>
    </row>
    <row r="1627" customFormat="false" ht="15" hidden="false" customHeight="false" outlineLevel="0" collapsed="false">
      <c r="A1627" s="0" t="s">
        <v>405</v>
      </c>
      <c r="B1627" s="0" t="s">
        <v>55</v>
      </c>
      <c r="C1627" s="0" t="s">
        <v>56</v>
      </c>
      <c r="D1627" s="0" t="n">
        <v>20</v>
      </c>
      <c r="E1627" s="5" t="n">
        <v>45954.719224537</v>
      </c>
      <c r="F1627" s="0" t="n">
        <v>1.65</v>
      </c>
      <c r="G1627" s="0" t="n">
        <v>17125</v>
      </c>
      <c r="H1627" s="6" t="s">
        <v>74</v>
      </c>
      <c r="I1627" s="6" t="n">
        <f aca="false">D1627*F1627</f>
        <v>33</v>
      </c>
      <c r="J1627" s="6" t="n">
        <f aca="false">HOUR(E1627)</f>
        <v>17</v>
      </c>
      <c r="K1627" s="6" t="n">
        <f aca="false">IF(COUNTIF($A$2:$A1627,A1627)=1,1,0)</f>
        <v>0</v>
      </c>
    </row>
    <row r="1628" customFormat="false" ht="15" hidden="false" customHeight="false" outlineLevel="0" collapsed="false">
      <c r="A1628" s="0" t="s">
        <v>405</v>
      </c>
      <c r="B1628" s="0" t="s">
        <v>131</v>
      </c>
      <c r="C1628" s="0" t="s">
        <v>132</v>
      </c>
      <c r="D1628" s="0" t="n">
        <v>5</v>
      </c>
      <c r="E1628" s="5" t="n">
        <v>45954.719224537</v>
      </c>
      <c r="F1628" s="0" t="n">
        <v>3.39</v>
      </c>
      <c r="G1628" s="0" t="n">
        <v>17125</v>
      </c>
      <c r="H1628" s="6" t="s">
        <v>74</v>
      </c>
      <c r="I1628" s="6" t="n">
        <f aca="false">D1628*F1628</f>
        <v>16.95</v>
      </c>
      <c r="J1628" s="6" t="n">
        <f aca="false">HOUR(E1628)</f>
        <v>17</v>
      </c>
      <c r="K1628" s="6" t="n">
        <f aca="false">IF(COUNTIF($A$2:$A1628,A1628)=1,1,0)</f>
        <v>0</v>
      </c>
    </row>
    <row r="1629" customFormat="false" ht="15" hidden="false" customHeight="false" outlineLevel="0" collapsed="false">
      <c r="A1629" s="0" t="s">
        <v>405</v>
      </c>
      <c r="B1629" s="0" t="s">
        <v>93</v>
      </c>
      <c r="C1629" s="0" t="s">
        <v>94</v>
      </c>
      <c r="D1629" s="0" t="n">
        <v>7</v>
      </c>
      <c r="E1629" s="5" t="n">
        <v>45954.719224537</v>
      </c>
      <c r="F1629" s="0" t="n">
        <v>1.69</v>
      </c>
      <c r="G1629" s="0" t="n">
        <v>17125</v>
      </c>
      <c r="H1629" s="6" t="s">
        <v>74</v>
      </c>
      <c r="I1629" s="6" t="n">
        <f aca="false">D1629*F1629</f>
        <v>11.83</v>
      </c>
      <c r="J1629" s="6" t="n">
        <f aca="false">HOUR(E1629)</f>
        <v>17</v>
      </c>
      <c r="K1629" s="6" t="n">
        <f aca="false">IF(COUNTIF($A$2:$A1629,A1629)=1,1,0)</f>
        <v>0</v>
      </c>
    </row>
    <row r="1630" customFormat="false" ht="15" hidden="false" customHeight="false" outlineLevel="0" collapsed="false">
      <c r="A1630" s="0" t="s">
        <v>405</v>
      </c>
      <c r="B1630" s="0" t="s">
        <v>79</v>
      </c>
      <c r="C1630" s="0" t="s">
        <v>80</v>
      </c>
      <c r="D1630" s="0" t="n">
        <v>16</v>
      </c>
      <c r="E1630" s="5" t="n">
        <v>45954.719224537</v>
      </c>
      <c r="F1630" s="0" t="n">
        <v>3.39</v>
      </c>
      <c r="G1630" s="0" t="n">
        <v>17125</v>
      </c>
      <c r="H1630" s="6" t="s">
        <v>74</v>
      </c>
      <c r="I1630" s="6" t="n">
        <f aca="false">D1630*F1630</f>
        <v>54.24</v>
      </c>
      <c r="J1630" s="6" t="n">
        <f aca="false">HOUR(E1630)</f>
        <v>17</v>
      </c>
      <c r="K1630" s="6" t="n">
        <f aca="false">IF(COUNTIF($A$2:$A1630,A1630)=1,1,0)</f>
        <v>0</v>
      </c>
    </row>
    <row r="1631" customFormat="false" ht="15" hidden="false" customHeight="false" outlineLevel="0" collapsed="false">
      <c r="A1631" s="0" t="s">
        <v>406</v>
      </c>
      <c r="B1631" s="0" t="s">
        <v>99</v>
      </c>
      <c r="D1631" s="0" t="n">
        <v>7</v>
      </c>
      <c r="E1631" s="5" t="n">
        <v>45954.7893634259</v>
      </c>
      <c r="F1631" s="0" t="n">
        <v>2.08</v>
      </c>
      <c r="G1631" s="0" t="n">
        <v>17247</v>
      </c>
      <c r="H1631" s="6" t="s">
        <v>74</v>
      </c>
      <c r="I1631" s="6" t="n">
        <f aca="false">D1631*F1631</f>
        <v>14.56</v>
      </c>
      <c r="J1631" s="6" t="n">
        <f aca="false">HOUR(E1631)</f>
        <v>18</v>
      </c>
      <c r="K1631" s="6" t="n">
        <f aca="false">IF(COUNTIF($A$2:$A1631,A1631)=1,1,0)</f>
        <v>1</v>
      </c>
    </row>
    <row r="1632" customFormat="false" ht="15" hidden="false" customHeight="false" outlineLevel="0" collapsed="false">
      <c r="A1632" s="0" t="s">
        <v>406</v>
      </c>
      <c r="B1632" s="0" t="s">
        <v>125</v>
      </c>
      <c r="C1632" s="0" t="s">
        <v>126</v>
      </c>
      <c r="D1632" s="0" t="n">
        <v>3</v>
      </c>
      <c r="E1632" s="5" t="n">
        <v>45954.7893634259</v>
      </c>
      <c r="F1632" s="0" t="n">
        <v>1.25</v>
      </c>
      <c r="G1632" s="0" t="n">
        <v>17247</v>
      </c>
      <c r="H1632" s="6" t="s">
        <v>74</v>
      </c>
      <c r="I1632" s="6" t="n">
        <f aca="false">D1632*F1632</f>
        <v>3.75</v>
      </c>
      <c r="J1632" s="6" t="n">
        <f aca="false">HOUR(E1632)</f>
        <v>18</v>
      </c>
      <c r="K1632" s="6" t="n">
        <f aca="false">IF(COUNTIF($A$2:$A1632,A1632)=1,1,0)</f>
        <v>0</v>
      </c>
    </row>
    <row r="1633" customFormat="false" ht="15" hidden="false" customHeight="false" outlineLevel="0" collapsed="false">
      <c r="A1633" s="0" t="s">
        <v>406</v>
      </c>
      <c r="B1633" s="0" t="s">
        <v>77</v>
      </c>
      <c r="C1633" s="0" t="s">
        <v>78</v>
      </c>
      <c r="D1633" s="0" t="n">
        <v>13</v>
      </c>
      <c r="E1633" s="5" t="n">
        <v>45954.7893634259</v>
      </c>
      <c r="F1633" s="0" t="n">
        <v>1.65</v>
      </c>
      <c r="G1633" s="0" t="n">
        <v>17247</v>
      </c>
      <c r="H1633" s="6" t="s">
        <v>74</v>
      </c>
      <c r="I1633" s="6" t="n">
        <f aca="false">D1633*F1633</f>
        <v>21.45</v>
      </c>
      <c r="J1633" s="6" t="n">
        <f aca="false">HOUR(E1633)</f>
        <v>18</v>
      </c>
      <c r="K1633" s="6" t="n">
        <f aca="false">IF(COUNTIF($A$2:$A1633,A1633)=1,1,0)</f>
        <v>0</v>
      </c>
    </row>
    <row r="1634" customFormat="false" ht="15" hidden="false" customHeight="false" outlineLevel="0" collapsed="false">
      <c r="A1634" s="0" t="s">
        <v>406</v>
      </c>
      <c r="B1634" s="0" t="s">
        <v>93</v>
      </c>
      <c r="C1634" s="0" t="s">
        <v>94</v>
      </c>
      <c r="D1634" s="0" t="n">
        <v>9</v>
      </c>
      <c r="E1634" s="5" t="n">
        <v>45954.7893634259</v>
      </c>
      <c r="F1634" s="0" t="n">
        <v>1.69</v>
      </c>
      <c r="G1634" s="0" t="n">
        <v>17247</v>
      </c>
      <c r="H1634" s="6" t="s">
        <v>74</v>
      </c>
      <c r="I1634" s="6" t="n">
        <f aca="false">D1634*F1634</f>
        <v>15.21</v>
      </c>
      <c r="J1634" s="6" t="n">
        <f aca="false">HOUR(E1634)</f>
        <v>18</v>
      </c>
      <c r="K1634" s="6" t="n">
        <f aca="false">IF(COUNTIF($A$2:$A1634,A1634)=1,1,0)</f>
        <v>0</v>
      </c>
    </row>
    <row r="1635" customFormat="false" ht="15" hidden="false" customHeight="false" outlineLevel="0" collapsed="false">
      <c r="A1635" s="0" t="s">
        <v>406</v>
      </c>
      <c r="B1635" s="0" t="s">
        <v>50</v>
      </c>
      <c r="C1635" s="0" t="s">
        <v>51</v>
      </c>
      <c r="D1635" s="0" t="n">
        <v>13</v>
      </c>
      <c r="E1635" s="5" t="n">
        <v>45954.7893634259</v>
      </c>
      <c r="F1635" s="0" t="n">
        <v>5.95</v>
      </c>
      <c r="G1635" s="0" t="n">
        <v>17247</v>
      </c>
      <c r="H1635" s="6" t="s">
        <v>74</v>
      </c>
      <c r="I1635" s="6" t="n">
        <f aca="false">D1635*F1635</f>
        <v>77.35</v>
      </c>
      <c r="J1635" s="6" t="n">
        <f aca="false">HOUR(E1635)</f>
        <v>18</v>
      </c>
      <c r="K1635" s="6" t="n">
        <f aca="false">IF(COUNTIF($A$2:$A1635,A1635)=1,1,0)</f>
        <v>0</v>
      </c>
    </row>
    <row r="1636" customFormat="false" ht="15" hidden="false" customHeight="false" outlineLevel="0" collapsed="false">
      <c r="A1636" s="0" t="s">
        <v>407</v>
      </c>
      <c r="B1636" s="0" t="s">
        <v>47</v>
      </c>
      <c r="C1636" s="0" t="s">
        <v>48</v>
      </c>
      <c r="D1636" s="0" t="n">
        <v>36</v>
      </c>
      <c r="E1636" s="5" t="n">
        <v>45954.8042361111</v>
      </c>
      <c r="F1636" s="0" t="n">
        <v>12.75</v>
      </c>
      <c r="G1636" s="0" t="n">
        <v>17093</v>
      </c>
      <c r="H1636" s="6" t="s">
        <v>263</v>
      </c>
      <c r="I1636" s="6" t="n">
        <f aca="false">D1636*F1636</f>
        <v>459</v>
      </c>
      <c r="J1636" s="6" t="n">
        <f aca="false">HOUR(E1636)</f>
        <v>19</v>
      </c>
      <c r="K1636" s="6" t="n">
        <f aca="false">IF(COUNTIF($A$2:$A1636,A1636)=1,1,0)</f>
        <v>1</v>
      </c>
    </row>
    <row r="1637" customFormat="false" ht="15" hidden="false" customHeight="false" outlineLevel="0" collapsed="false">
      <c r="A1637" s="0" t="s">
        <v>407</v>
      </c>
      <c r="B1637" s="0" t="s">
        <v>91</v>
      </c>
      <c r="C1637" s="0" t="s">
        <v>92</v>
      </c>
      <c r="D1637" s="0" t="n">
        <v>11</v>
      </c>
      <c r="E1637" s="5" t="n">
        <v>45954.8042361111</v>
      </c>
      <c r="F1637" s="0" t="n">
        <v>7.65</v>
      </c>
      <c r="G1637" s="0" t="n">
        <v>17093</v>
      </c>
      <c r="H1637" s="6" t="s">
        <v>263</v>
      </c>
      <c r="I1637" s="6" t="n">
        <f aca="false">D1637*F1637</f>
        <v>84.15</v>
      </c>
      <c r="J1637" s="6" t="n">
        <f aca="false">HOUR(E1637)</f>
        <v>19</v>
      </c>
      <c r="K1637" s="6" t="n">
        <f aca="false">IF(COUNTIF($A$2:$A1637,A1637)=1,1,0)</f>
        <v>0</v>
      </c>
    </row>
    <row r="1638" customFormat="false" ht="15" hidden="false" customHeight="false" outlineLevel="0" collapsed="false">
      <c r="A1638" s="0" t="s">
        <v>407</v>
      </c>
      <c r="B1638" s="0" t="s">
        <v>59</v>
      </c>
      <c r="C1638" s="0" t="s">
        <v>60</v>
      </c>
      <c r="D1638" s="0" t="n">
        <v>19</v>
      </c>
      <c r="E1638" s="5" t="n">
        <v>45954.8042361111</v>
      </c>
      <c r="F1638" s="0" t="n">
        <v>0.42</v>
      </c>
      <c r="G1638" s="0" t="n">
        <v>17093</v>
      </c>
      <c r="H1638" s="6" t="s">
        <v>263</v>
      </c>
      <c r="I1638" s="6" t="n">
        <f aca="false">D1638*F1638</f>
        <v>7.98</v>
      </c>
      <c r="J1638" s="6" t="n">
        <f aca="false">HOUR(E1638)</f>
        <v>19</v>
      </c>
      <c r="K1638" s="6" t="n">
        <f aca="false">IF(COUNTIF($A$2:$A1638,A1638)=1,1,0)</f>
        <v>0</v>
      </c>
    </row>
    <row r="1639" customFormat="false" ht="15" hidden="false" customHeight="false" outlineLevel="0" collapsed="false">
      <c r="A1639" s="0" t="s">
        <v>407</v>
      </c>
      <c r="B1639" s="0" t="s">
        <v>43</v>
      </c>
      <c r="C1639" s="0" t="s">
        <v>44</v>
      </c>
      <c r="D1639" s="0" t="n">
        <v>7</v>
      </c>
      <c r="E1639" s="5" t="n">
        <v>45954.8042361111</v>
      </c>
      <c r="F1639" s="0" t="n">
        <v>4.25</v>
      </c>
      <c r="G1639" s="0" t="n">
        <v>17093</v>
      </c>
      <c r="H1639" s="6" t="s">
        <v>263</v>
      </c>
      <c r="I1639" s="6" t="n">
        <f aca="false">D1639*F1639</f>
        <v>29.75</v>
      </c>
      <c r="J1639" s="6" t="n">
        <f aca="false">HOUR(E1639)</f>
        <v>19</v>
      </c>
      <c r="K1639" s="6" t="n">
        <f aca="false">IF(COUNTIF($A$2:$A1639,A1639)=1,1,0)</f>
        <v>0</v>
      </c>
    </row>
    <row r="1640" customFormat="false" ht="15" hidden="false" customHeight="false" outlineLevel="0" collapsed="false">
      <c r="A1640" s="0" t="s">
        <v>407</v>
      </c>
      <c r="B1640" s="0" t="s">
        <v>114</v>
      </c>
      <c r="C1640" s="0" t="s">
        <v>115</v>
      </c>
      <c r="D1640" s="0" t="n">
        <v>21</v>
      </c>
      <c r="E1640" s="5" t="n">
        <v>45954.8042361111</v>
      </c>
      <c r="F1640" s="0" t="n">
        <v>2.08</v>
      </c>
      <c r="G1640" s="0" t="n">
        <v>17093</v>
      </c>
      <c r="H1640" s="6" t="s">
        <v>263</v>
      </c>
      <c r="I1640" s="6" t="n">
        <f aca="false">D1640*F1640</f>
        <v>43.68</v>
      </c>
      <c r="J1640" s="6" t="n">
        <f aca="false">HOUR(E1640)</f>
        <v>19</v>
      </c>
      <c r="K1640" s="6" t="n">
        <f aca="false">IF(COUNTIF($A$2:$A1640,A1640)=1,1,0)</f>
        <v>0</v>
      </c>
    </row>
    <row r="1641" customFormat="false" ht="15" hidden="false" customHeight="false" outlineLevel="0" collapsed="false">
      <c r="A1641" s="0" t="s">
        <v>407</v>
      </c>
      <c r="B1641" s="0" t="s">
        <v>57</v>
      </c>
      <c r="C1641" s="0" t="s">
        <v>58</v>
      </c>
      <c r="D1641" s="0" t="n">
        <v>20</v>
      </c>
      <c r="E1641" s="5" t="n">
        <v>45954.8042361111</v>
      </c>
      <c r="F1641" s="0" t="n">
        <v>2.08</v>
      </c>
      <c r="G1641" s="0" t="n">
        <v>17093</v>
      </c>
      <c r="H1641" s="6" t="s">
        <v>263</v>
      </c>
      <c r="I1641" s="6" t="n">
        <f aca="false">D1641*F1641</f>
        <v>41.6</v>
      </c>
      <c r="J1641" s="6" t="n">
        <f aca="false">HOUR(E1641)</f>
        <v>19</v>
      </c>
      <c r="K1641" s="6" t="n">
        <f aca="false">IF(COUNTIF($A$2:$A1641,A1641)=1,1,0)</f>
        <v>0</v>
      </c>
    </row>
    <row r="1642" customFormat="false" ht="15" hidden="false" customHeight="false" outlineLevel="0" collapsed="false">
      <c r="A1642" s="0" t="s">
        <v>408</v>
      </c>
      <c r="B1642" s="0" t="s">
        <v>61</v>
      </c>
      <c r="C1642" s="0" t="s">
        <v>62</v>
      </c>
      <c r="D1642" s="0" t="n">
        <v>-4</v>
      </c>
      <c r="E1642" s="5" t="n">
        <v>45954.8386342593</v>
      </c>
      <c r="F1642" s="0" t="n">
        <v>1.65</v>
      </c>
      <c r="G1642" s="0" t="n">
        <v>17150</v>
      </c>
      <c r="H1642" s="6" t="s">
        <v>74</v>
      </c>
      <c r="I1642" s="6" t="n">
        <f aca="false">D1642*F1642</f>
        <v>-6.6</v>
      </c>
      <c r="J1642" s="6" t="n">
        <f aca="false">HOUR(E1642)</f>
        <v>20</v>
      </c>
      <c r="K1642" s="6" t="n">
        <f aca="false">IF(COUNTIF($A$2:$A1642,A1642)=1,1,0)</f>
        <v>1</v>
      </c>
    </row>
    <row r="1643" customFormat="false" ht="15" hidden="false" customHeight="false" outlineLevel="0" collapsed="false">
      <c r="A1643" s="0" t="s">
        <v>408</v>
      </c>
      <c r="B1643" s="0" t="s">
        <v>125</v>
      </c>
      <c r="C1643" s="0" t="s">
        <v>126</v>
      </c>
      <c r="D1643" s="0" t="n">
        <v>-24</v>
      </c>
      <c r="E1643" s="5" t="n">
        <v>45954.8386342593</v>
      </c>
      <c r="F1643" s="0" t="n">
        <v>1.25</v>
      </c>
      <c r="G1643" s="0" t="n">
        <v>17150</v>
      </c>
      <c r="H1643" s="6" t="s">
        <v>74</v>
      </c>
      <c r="I1643" s="6" t="n">
        <f aca="false">D1643*F1643</f>
        <v>-30</v>
      </c>
      <c r="J1643" s="6" t="n">
        <f aca="false">HOUR(E1643)</f>
        <v>20</v>
      </c>
      <c r="K1643" s="6" t="n">
        <f aca="false">IF(COUNTIF($A$2:$A1643,A1643)=1,1,0)</f>
        <v>0</v>
      </c>
    </row>
    <row r="1644" customFormat="false" ht="15" hidden="false" customHeight="false" outlineLevel="0" collapsed="false">
      <c r="A1644" s="0" t="s">
        <v>408</v>
      </c>
      <c r="B1644" s="0" t="s">
        <v>69</v>
      </c>
      <c r="D1644" s="0" t="n">
        <v>-14</v>
      </c>
      <c r="E1644" s="5" t="n">
        <v>45954.8386342593</v>
      </c>
      <c r="F1644" s="0" t="n">
        <v>2.08</v>
      </c>
      <c r="G1644" s="0" t="n">
        <v>17150</v>
      </c>
      <c r="H1644" s="6" t="s">
        <v>74</v>
      </c>
      <c r="I1644" s="6" t="n">
        <f aca="false">D1644*F1644</f>
        <v>-29.12</v>
      </c>
      <c r="J1644" s="6" t="n">
        <f aca="false">HOUR(E1644)</f>
        <v>20</v>
      </c>
      <c r="K1644" s="6" t="n">
        <f aca="false">IF(COUNTIF($A$2:$A1644,A1644)=1,1,0)</f>
        <v>0</v>
      </c>
    </row>
    <row r="1645" customFormat="false" ht="15" hidden="false" customHeight="false" outlineLevel="0" collapsed="false">
      <c r="A1645" s="0" t="s">
        <v>408</v>
      </c>
      <c r="B1645" s="0" t="s">
        <v>79</v>
      </c>
      <c r="C1645" s="0" t="s">
        <v>80</v>
      </c>
      <c r="D1645" s="0" t="n">
        <v>-11</v>
      </c>
      <c r="E1645" s="5" t="n">
        <v>45954.8386342593</v>
      </c>
      <c r="F1645" s="0" t="n">
        <v>3.39</v>
      </c>
      <c r="G1645" s="0" t="n">
        <v>17150</v>
      </c>
      <c r="H1645" s="6" t="s">
        <v>74</v>
      </c>
      <c r="I1645" s="6" t="n">
        <f aca="false">D1645*F1645</f>
        <v>-37.29</v>
      </c>
      <c r="J1645" s="6" t="n">
        <f aca="false">HOUR(E1645)</f>
        <v>20</v>
      </c>
      <c r="K1645" s="6" t="n">
        <f aca="false">IF(COUNTIF($A$2:$A1645,A1645)=1,1,0)</f>
        <v>0</v>
      </c>
    </row>
    <row r="1646" customFormat="false" ht="15" hidden="false" customHeight="false" outlineLevel="0" collapsed="false">
      <c r="A1646" s="0" t="s">
        <v>408</v>
      </c>
      <c r="B1646" s="0" t="s">
        <v>55</v>
      </c>
      <c r="C1646" s="0" t="s">
        <v>56</v>
      </c>
      <c r="D1646" s="0" t="n">
        <v>-8</v>
      </c>
      <c r="E1646" s="5" t="n">
        <v>45954.8386342593</v>
      </c>
      <c r="F1646" s="0" t="n">
        <v>1.65</v>
      </c>
      <c r="G1646" s="0" t="n">
        <v>17150</v>
      </c>
      <c r="H1646" s="6" t="s">
        <v>74</v>
      </c>
      <c r="I1646" s="6" t="n">
        <f aca="false">D1646*F1646</f>
        <v>-13.2</v>
      </c>
      <c r="J1646" s="6" t="n">
        <f aca="false">HOUR(E1646)</f>
        <v>20</v>
      </c>
      <c r="K1646" s="6" t="n">
        <f aca="false">IF(COUNTIF($A$2:$A1646,A1646)=1,1,0)</f>
        <v>0</v>
      </c>
    </row>
    <row r="1647" customFormat="false" ht="15" hidden="false" customHeight="false" outlineLevel="0" collapsed="false">
      <c r="A1647" s="0" t="s">
        <v>408</v>
      </c>
      <c r="B1647" s="0" t="s">
        <v>83</v>
      </c>
      <c r="C1647" s="0" t="s">
        <v>84</v>
      </c>
      <c r="D1647" s="0" t="n">
        <v>-11</v>
      </c>
      <c r="E1647" s="5" t="n">
        <v>45954.8386342593</v>
      </c>
      <c r="F1647" s="0" t="n">
        <v>2.95</v>
      </c>
      <c r="G1647" s="0" t="n">
        <v>17150</v>
      </c>
      <c r="H1647" s="6" t="s">
        <v>74</v>
      </c>
      <c r="I1647" s="6" t="n">
        <f aca="false">D1647*F1647</f>
        <v>-32.45</v>
      </c>
      <c r="J1647" s="6" t="n">
        <f aca="false">HOUR(E1647)</f>
        <v>20</v>
      </c>
      <c r="K1647" s="6" t="n">
        <f aca="false">IF(COUNTIF($A$2:$A1647,A1647)=1,1,0)</f>
        <v>0</v>
      </c>
    </row>
    <row r="1648" customFormat="false" ht="15" hidden="false" customHeight="false" outlineLevel="0" collapsed="false">
      <c r="A1648" s="0" t="s">
        <v>408</v>
      </c>
      <c r="B1648" s="0" t="s">
        <v>57</v>
      </c>
      <c r="C1648" s="0" t="s">
        <v>58</v>
      </c>
      <c r="D1648" s="0" t="n">
        <v>-8</v>
      </c>
      <c r="E1648" s="5" t="n">
        <v>45954.8386342593</v>
      </c>
      <c r="F1648" s="0" t="n">
        <v>2.08</v>
      </c>
      <c r="G1648" s="0" t="n">
        <v>17150</v>
      </c>
      <c r="H1648" s="6" t="s">
        <v>74</v>
      </c>
      <c r="I1648" s="6" t="n">
        <f aca="false">D1648*F1648</f>
        <v>-16.64</v>
      </c>
      <c r="J1648" s="6" t="n">
        <f aca="false">HOUR(E1648)</f>
        <v>20</v>
      </c>
      <c r="K1648" s="6" t="n">
        <f aca="false">IF(COUNTIF($A$2:$A1648,A1648)=1,1,0)</f>
        <v>0</v>
      </c>
    </row>
    <row r="1649" customFormat="false" ht="15" hidden="false" customHeight="false" outlineLevel="0" collapsed="false">
      <c r="A1649" s="0" t="s">
        <v>408</v>
      </c>
      <c r="B1649" s="0" t="s">
        <v>109</v>
      </c>
      <c r="C1649" s="0" t="s">
        <v>110</v>
      </c>
      <c r="D1649" s="0" t="n">
        <v>-11</v>
      </c>
      <c r="E1649" s="5" t="n">
        <v>45954.8386342593</v>
      </c>
      <c r="F1649" s="0" t="n">
        <v>0.85</v>
      </c>
      <c r="G1649" s="0" t="n">
        <v>17150</v>
      </c>
      <c r="H1649" s="6" t="s">
        <v>74</v>
      </c>
      <c r="I1649" s="6" t="n">
        <f aca="false">D1649*F1649</f>
        <v>-9.35</v>
      </c>
      <c r="J1649" s="6" t="n">
        <f aca="false">HOUR(E1649)</f>
        <v>20</v>
      </c>
      <c r="K1649" s="6" t="n">
        <f aca="false">IF(COUNTIF($A$2:$A1649,A1649)=1,1,0)</f>
        <v>0</v>
      </c>
    </row>
    <row r="1650" customFormat="false" ht="15" hidden="false" customHeight="false" outlineLevel="0" collapsed="false">
      <c r="A1650" s="0" t="s">
        <v>409</v>
      </c>
      <c r="B1650" s="0" t="s">
        <v>72</v>
      </c>
      <c r="C1650" s="0" t="s">
        <v>73</v>
      </c>
      <c r="D1650" s="0" t="n">
        <v>20</v>
      </c>
      <c r="E1650" s="5" t="n">
        <v>45955.3607986111</v>
      </c>
      <c r="F1650" s="0" t="n">
        <v>4.95</v>
      </c>
      <c r="G1650" s="0" t="n">
        <v>17203</v>
      </c>
      <c r="H1650" s="6" t="s">
        <v>74</v>
      </c>
      <c r="I1650" s="6" t="n">
        <f aca="false">D1650*F1650</f>
        <v>99</v>
      </c>
      <c r="J1650" s="6" t="n">
        <f aca="false">HOUR(E1650)</f>
        <v>8</v>
      </c>
      <c r="K1650" s="6" t="n">
        <f aca="false">IF(COUNTIF($A$2:$A1650,A1650)=1,1,0)</f>
        <v>1</v>
      </c>
    </row>
    <row r="1651" customFormat="false" ht="15" hidden="false" customHeight="false" outlineLevel="0" collapsed="false">
      <c r="A1651" s="0" t="s">
        <v>409</v>
      </c>
      <c r="B1651" s="0" t="s">
        <v>118</v>
      </c>
      <c r="C1651" s="0" t="s">
        <v>119</v>
      </c>
      <c r="D1651" s="0" t="n">
        <v>47</v>
      </c>
      <c r="E1651" s="5" t="n">
        <v>45955.3607986111</v>
      </c>
      <c r="F1651" s="0" t="n">
        <v>4.95</v>
      </c>
      <c r="G1651" s="0" t="n">
        <v>17203</v>
      </c>
      <c r="H1651" s="6" t="s">
        <v>74</v>
      </c>
      <c r="I1651" s="6" t="n">
        <f aca="false">D1651*F1651</f>
        <v>232.65</v>
      </c>
      <c r="J1651" s="6" t="n">
        <f aca="false">HOUR(E1651)</f>
        <v>8</v>
      </c>
      <c r="K1651" s="6" t="n">
        <f aca="false">IF(COUNTIF($A$2:$A1651,A1651)=1,1,0)</f>
        <v>0</v>
      </c>
    </row>
    <row r="1652" customFormat="false" ht="15" hidden="false" customHeight="false" outlineLevel="0" collapsed="false">
      <c r="A1652" s="0" t="s">
        <v>410</v>
      </c>
      <c r="B1652" s="0" t="s">
        <v>131</v>
      </c>
      <c r="C1652" s="0" t="s">
        <v>132</v>
      </c>
      <c r="D1652" s="0" t="n">
        <v>23</v>
      </c>
      <c r="E1652" s="5" t="n">
        <v>45955.4064930556</v>
      </c>
      <c r="F1652" s="0" t="n">
        <v>3.39</v>
      </c>
      <c r="H1652" s="6" t="s">
        <v>74</v>
      </c>
      <c r="I1652" s="6" t="n">
        <f aca="false">D1652*F1652</f>
        <v>77.97</v>
      </c>
      <c r="J1652" s="6" t="n">
        <f aca="false">HOUR(E1652)</f>
        <v>9</v>
      </c>
      <c r="K1652" s="6" t="n">
        <f aca="false">IF(COUNTIF($A$2:$A1652,A1652)=1,1,0)</f>
        <v>1</v>
      </c>
    </row>
    <row r="1653" customFormat="false" ht="15" hidden="false" customHeight="false" outlineLevel="0" collapsed="false">
      <c r="A1653" s="0" t="s">
        <v>410</v>
      </c>
      <c r="B1653" s="0" t="s">
        <v>95</v>
      </c>
      <c r="C1653" s="0" t="s">
        <v>96</v>
      </c>
      <c r="D1653" s="0" t="n">
        <v>32</v>
      </c>
      <c r="E1653" s="5" t="n">
        <v>45955.4064930556</v>
      </c>
      <c r="F1653" s="0" t="n">
        <v>2.55</v>
      </c>
      <c r="H1653" s="6" t="s">
        <v>74</v>
      </c>
      <c r="I1653" s="6" t="n">
        <f aca="false">D1653*F1653</f>
        <v>81.6</v>
      </c>
      <c r="J1653" s="6" t="n">
        <f aca="false">HOUR(E1653)</f>
        <v>9</v>
      </c>
      <c r="K1653" s="6" t="n">
        <f aca="false">IF(COUNTIF($A$2:$A1653,A1653)=1,1,0)</f>
        <v>0</v>
      </c>
    </row>
    <row r="1654" customFormat="false" ht="15" hidden="false" customHeight="false" outlineLevel="0" collapsed="false">
      <c r="A1654" s="0" t="s">
        <v>410</v>
      </c>
      <c r="B1654" s="0" t="s">
        <v>109</v>
      </c>
      <c r="C1654" s="0" t="s">
        <v>110</v>
      </c>
      <c r="D1654" s="0" t="n">
        <v>11</v>
      </c>
      <c r="E1654" s="5" t="n">
        <v>45955.4064930556</v>
      </c>
      <c r="F1654" s="0" t="n">
        <v>0.85</v>
      </c>
      <c r="H1654" s="6" t="s">
        <v>74</v>
      </c>
      <c r="I1654" s="6" t="n">
        <f aca="false">D1654*F1654</f>
        <v>9.35</v>
      </c>
      <c r="J1654" s="6" t="n">
        <f aca="false">HOUR(E1654)</f>
        <v>9</v>
      </c>
      <c r="K1654" s="6" t="n">
        <f aca="false">IF(COUNTIF($A$2:$A1654,A1654)=1,1,0)</f>
        <v>0</v>
      </c>
    </row>
    <row r="1655" customFormat="false" ht="15" hidden="false" customHeight="false" outlineLevel="0" collapsed="false">
      <c r="A1655" s="0" t="s">
        <v>410</v>
      </c>
      <c r="B1655" s="0" t="s">
        <v>145</v>
      </c>
      <c r="C1655" s="0" t="s">
        <v>146</v>
      </c>
      <c r="D1655" s="0" t="n">
        <v>22</v>
      </c>
      <c r="E1655" s="5" t="n">
        <v>45955.4064930556</v>
      </c>
      <c r="F1655" s="0" t="n">
        <v>1.85</v>
      </c>
      <c r="H1655" s="6" t="s">
        <v>74</v>
      </c>
      <c r="I1655" s="6" t="n">
        <f aca="false">D1655*F1655</f>
        <v>40.7</v>
      </c>
      <c r="J1655" s="6" t="n">
        <f aca="false">HOUR(E1655)</f>
        <v>9</v>
      </c>
      <c r="K1655" s="6" t="n">
        <f aca="false">IF(COUNTIF($A$2:$A1655,A1655)=1,1,0)</f>
        <v>0</v>
      </c>
    </row>
    <row r="1656" customFormat="false" ht="15" hidden="false" customHeight="false" outlineLevel="0" collapsed="false">
      <c r="A1656" s="0" t="s">
        <v>410</v>
      </c>
      <c r="B1656" s="0" t="s">
        <v>127</v>
      </c>
      <c r="C1656" s="0" t="s">
        <v>128</v>
      </c>
      <c r="D1656" s="0" t="n">
        <v>9</v>
      </c>
      <c r="E1656" s="5" t="n">
        <v>45955.4064930556</v>
      </c>
      <c r="F1656" s="0" t="n">
        <v>1.45</v>
      </c>
      <c r="H1656" s="6" t="s">
        <v>74</v>
      </c>
      <c r="I1656" s="6" t="n">
        <f aca="false">D1656*F1656</f>
        <v>13.05</v>
      </c>
      <c r="J1656" s="6" t="n">
        <f aca="false">HOUR(E1656)</f>
        <v>9</v>
      </c>
      <c r="K1656" s="6" t="n">
        <f aca="false">IF(COUNTIF($A$2:$A1656,A1656)=1,1,0)</f>
        <v>0</v>
      </c>
    </row>
    <row r="1657" customFormat="false" ht="15" hidden="false" customHeight="false" outlineLevel="0" collapsed="false">
      <c r="A1657" s="0" t="s">
        <v>410</v>
      </c>
      <c r="B1657" s="0" t="s">
        <v>43</v>
      </c>
      <c r="C1657" s="0" t="s">
        <v>44</v>
      </c>
      <c r="D1657" s="0" t="n">
        <v>11</v>
      </c>
      <c r="E1657" s="5" t="n">
        <v>45955.4064930556</v>
      </c>
      <c r="F1657" s="0" t="n">
        <v>4.25</v>
      </c>
      <c r="H1657" s="6" t="s">
        <v>74</v>
      </c>
      <c r="I1657" s="6" t="n">
        <f aca="false">D1657*F1657</f>
        <v>46.75</v>
      </c>
      <c r="J1657" s="6" t="n">
        <f aca="false">HOUR(E1657)</f>
        <v>9</v>
      </c>
      <c r="K1657" s="6" t="n">
        <f aca="false">IF(COUNTIF($A$2:$A1657,A1657)=1,1,0)</f>
        <v>0</v>
      </c>
    </row>
    <row r="1658" customFormat="false" ht="15" hidden="false" customHeight="false" outlineLevel="0" collapsed="false">
      <c r="A1658" s="0" t="s">
        <v>410</v>
      </c>
      <c r="B1658" s="0" t="s">
        <v>40</v>
      </c>
      <c r="C1658" s="0" t="s">
        <v>41</v>
      </c>
      <c r="D1658" s="0" t="n">
        <v>5</v>
      </c>
      <c r="E1658" s="5" t="n">
        <v>45955.4064930556</v>
      </c>
      <c r="F1658" s="0" t="n">
        <v>1.06</v>
      </c>
      <c r="H1658" s="6" t="s">
        <v>74</v>
      </c>
      <c r="I1658" s="6" t="n">
        <f aca="false">D1658*F1658</f>
        <v>5.3</v>
      </c>
      <c r="J1658" s="6" t="n">
        <f aca="false">HOUR(E1658)</f>
        <v>9</v>
      </c>
      <c r="K1658" s="6" t="n">
        <f aca="false">IF(COUNTIF($A$2:$A1658,A1658)=1,1,0)</f>
        <v>0</v>
      </c>
    </row>
    <row r="1659" customFormat="false" ht="15" hidden="false" customHeight="false" outlineLevel="0" collapsed="false">
      <c r="A1659" s="0" t="s">
        <v>410</v>
      </c>
      <c r="B1659" s="0" t="s">
        <v>50</v>
      </c>
      <c r="C1659" s="0" t="s">
        <v>51</v>
      </c>
      <c r="D1659" s="0" t="n">
        <v>6</v>
      </c>
      <c r="E1659" s="5" t="n">
        <v>45955.4064930556</v>
      </c>
      <c r="F1659" s="0" t="n">
        <v>5.95</v>
      </c>
      <c r="H1659" s="6" t="s">
        <v>74</v>
      </c>
      <c r="I1659" s="6" t="n">
        <f aca="false">D1659*F1659</f>
        <v>35.7</v>
      </c>
      <c r="J1659" s="6" t="n">
        <f aca="false">HOUR(E1659)</f>
        <v>9</v>
      </c>
      <c r="K1659" s="6" t="n">
        <f aca="false">IF(COUNTIF($A$2:$A1659,A1659)=1,1,0)</f>
        <v>0</v>
      </c>
    </row>
    <row r="1660" customFormat="false" ht="15" hidden="false" customHeight="false" outlineLevel="0" collapsed="false">
      <c r="A1660" s="0" t="s">
        <v>410</v>
      </c>
      <c r="B1660" s="0" t="s">
        <v>63</v>
      </c>
      <c r="C1660" s="0" t="s">
        <v>64</v>
      </c>
      <c r="D1660" s="0" t="n">
        <v>17</v>
      </c>
      <c r="E1660" s="5" t="n">
        <v>45955.4064930556</v>
      </c>
      <c r="F1660" s="0" t="n">
        <v>1.85</v>
      </c>
      <c r="H1660" s="6" t="s">
        <v>74</v>
      </c>
      <c r="I1660" s="6" t="n">
        <f aca="false">D1660*F1660</f>
        <v>31.45</v>
      </c>
      <c r="J1660" s="6" t="n">
        <f aca="false">HOUR(E1660)</f>
        <v>9</v>
      </c>
      <c r="K1660" s="6" t="n">
        <f aca="false">IF(COUNTIF($A$2:$A1660,A1660)=1,1,0)</f>
        <v>0</v>
      </c>
    </row>
    <row r="1661" customFormat="false" ht="15" hidden="false" customHeight="false" outlineLevel="0" collapsed="false">
      <c r="A1661" s="0" t="s">
        <v>410</v>
      </c>
      <c r="B1661" s="0" t="s">
        <v>134</v>
      </c>
      <c r="C1661" s="0" t="s">
        <v>135</v>
      </c>
      <c r="D1661" s="0" t="n">
        <v>6</v>
      </c>
      <c r="E1661" s="5" t="n">
        <v>45955.4064930556</v>
      </c>
      <c r="F1661" s="0" t="n">
        <v>5.95</v>
      </c>
      <c r="H1661" s="6" t="s">
        <v>74</v>
      </c>
      <c r="I1661" s="6" t="n">
        <f aca="false">D1661*F1661</f>
        <v>35.7</v>
      </c>
      <c r="J1661" s="6" t="n">
        <f aca="false">HOUR(E1661)</f>
        <v>9</v>
      </c>
      <c r="K1661" s="6" t="n">
        <f aca="false">IF(COUNTIF($A$2:$A1661,A1661)=1,1,0)</f>
        <v>0</v>
      </c>
    </row>
    <row r="1662" customFormat="false" ht="15" hidden="false" customHeight="false" outlineLevel="0" collapsed="false">
      <c r="A1662" s="0" t="s">
        <v>411</v>
      </c>
      <c r="B1662" s="0" t="s">
        <v>45</v>
      </c>
      <c r="C1662" s="0" t="s">
        <v>46</v>
      </c>
      <c r="D1662" s="0" t="n">
        <v>17</v>
      </c>
      <c r="E1662" s="5" t="n">
        <v>45955.4077199074</v>
      </c>
      <c r="F1662" s="0" t="n">
        <v>2.1</v>
      </c>
      <c r="G1662" s="0" t="n">
        <v>17124</v>
      </c>
      <c r="H1662" s="6" t="s">
        <v>208</v>
      </c>
      <c r="I1662" s="6" t="n">
        <f aca="false">D1662*F1662</f>
        <v>35.7</v>
      </c>
      <c r="J1662" s="6" t="n">
        <f aca="false">HOUR(E1662)</f>
        <v>9</v>
      </c>
      <c r="K1662" s="6" t="n">
        <f aca="false">IF(COUNTIF($A$2:$A1662,A1662)=1,1,0)</f>
        <v>1</v>
      </c>
    </row>
    <row r="1663" customFormat="false" ht="15" hidden="false" customHeight="false" outlineLevel="0" collapsed="false">
      <c r="A1663" s="0" t="s">
        <v>411</v>
      </c>
      <c r="B1663" s="0" t="s">
        <v>93</v>
      </c>
      <c r="C1663" s="0" t="s">
        <v>94</v>
      </c>
      <c r="D1663" s="0" t="n">
        <v>7</v>
      </c>
      <c r="E1663" s="5" t="n">
        <v>45955.4077199074</v>
      </c>
      <c r="F1663" s="0" t="n">
        <v>1.69</v>
      </c>
      <c r="G1663" s="0" t="n">
        <v>17124</v>
      </c>
      <c r="H1663" s="6" t="s">
        <v>208</v>
      </c>
      <c r="I1663" s="6" t="n">
        <f aca="false">D1663*F1663</f>
        <v>11.83</v>
      </c>
      <c r="J1663" s="6" t="n">
        <f aca="false">HOUR(E1663)</f>
        <v>9</v>
      </c>
      <c r="K1663" s="6" t="n">
        <f aca="false">IF(COUNTIF($A$2:$A1663,A1663)=1,1,0)</f>
        <v>0</v>
      </c>
    </row>
    <row r="1664" customFormat="false" ht="15" hidden="false" customHeight="false" outlineLevel="0" collapsed="false">
      <c r="A1664" s="0" t="s">
        <v>411</v>
      </c>
      <c r="B1664" s="0" t="s">
        <v>118</v>
      </c>
      <c r="C1664" s="0" t="s">
        <v>119</v>
      </c>
      <c r="D1664" s="0" t="n">
        <v>12</v>
      </c>
      <c r="E1664" s="5" t="n">
        <v>45955.4077199074</v>
      </c>
      <c r="F1664" s="0" t="n">
        <v>4.95</v>
      </c>
      <c r="G1664" s="0" t="n">
        <v>17124</v>
      </c>
      <c r="H1664" s="6" t="s">
        <v>208</v>
      </c>
      <c r="I1664" s="6" t="n">
        <f aca="false">D1664*F1664</f>
        <v>59.4</v>
      </c>
      <c r="J1664" s="6" t="n">
        <f aca="false">HOUR(E1664)</f>
        <v>9</v>
      </c>
      <c r="K1664" s="6" t="n">
        <f aca="false">IF(COUNTIF($A$2:$A1664,A1664)=1,1,0)</f>
        <v>0</v>
      </c>
    </row>
    <row r="1665" customFormat="false" ht="15" hidden="false" customHeight="false" outlineLevel="0" collapsed="false">
      <c r="A1665" s="0" t="s">
        <v>411</v>
      </c>
      <c r="B1665" s="0" t="s">
        <v>104</v>
      </c>
      <c r="C1665" s="0" t="s">
        <v>105</v>
      </c>
      <c r="D1665" s="0" t="n">
        <v>24</v>
      </c>
      <c r="E1665" s="5" t="n">
        <v>45955.4077199074</v>
      </c>
      <c r="F1665" s="0" t="n">
        <v>1.65</v>
      </c>
      <c r="G1665" s="0" t="n">
        <v>17124</v>
      </c>
      <c r="H1665" s="6" t="s">
        <v>208</v>
      </c>
      <c r="I1665" s="6" t="n">
        <f aca="false">D1665*F1665</f>
        <v>39.6</v>
      </c>
      <c r="J1665" s="6" t="n">
        <f aca="false">HOUR(E1665)</f>
        <v>9</v>
      </c>
      <c r="K1665" s="6" t="n">
        <f aca="false">IF(COUNTIF($A$2:$A1665,A1665)=1,1,0)</f>
        <v>0</v>
      </c>
    </row>
    <row r="1666" customFormat="false" ht="15" hidden="false" customHeight="false" outlineLevel="0" collapsed="false">
      <c r="A1666" s="0" t="s">
        <v>411</v>
      </c>
      <c r="B1666" s="0" t="s">
        <v>50</v>
      </c>
      <c r="D1666" s="0" t="n">
        <v>18</v>
      </c>
      <c r="E1666" s="5" t="n">
        <v>45955.4077199074</v>
      </c>
      <c r="F1666" s="0" t="n">
        <v>5.95</v>
      </c>
      <c r="G1666" s="0" t="n">
        <v>17124</v>
      </c>
      <c r="H1666" s="6" t="s">
        <v>208</v>
      </c>
      <c r="I1666" s="6" t="n">
        <f aca="false">D1666*F1666</f>
        <v>107.1</v>
      </c>
      <c r="J1666" s="6" t="n">
        <f aca="false">HOUR(E1666)</f>
        <v>9</v>
      </c>
      <c r="K1666" s="6" t="n">
        <f aca="false">IF(COUNTIF($A$2:$A1666,A1666)=1,1,0)</f>
        <v>0</v>
      </c>
    </row>
    <row r="1667" customFormat="false" ht="15" hidden="false" customHeight="false" outlineLevel="0" collapsed="false">
      <c r="A1667" s="0" t="s">
        <v>411</v>
      </c>
      <c r="B1667" s="0" t="s">
        <v>81</v>
      </c>
      <c r="C1667" s="0" t="s">
        <v>82</v>
      </c>
      <c r="D1667" s="0" t="n">
        <v>11</v>
      </c>
      <c r="E1667" s="5" t="n">
        <v>45955.4077199074</v>
      </c>
      <c r="F1667" s="0" t="n">
        <v>1.65</v>
      </c>
      <c r="G1667" s="0" t="n">
        <v>17124</v>
      </c>
      <c r="H1667" s="6" t="s">
        <v>208</v>
      </c>
      <c r="I1667" s="6" t="n">
        <f aca="false">D1667*F1667</f>
        <v>18.15</v>
      </c>
      <c r="J1667" s="6" t="n">
        <f aca="false">HOUR(E1667)</f>
        <v>9</v>
      </c>
      <c r="K1667" s="6" t="n">
        <f aca="false">IF(COUNTIF($A$2:$A1667,A1667)=1,1,0)</f>
        <v>0</v>
      </c>
    </row>
    <row r="1668" customFormat="false" ht="15" hidden="false" customHeight="false" outlineLevel="0" collapsed="false">
      <c r="A1668" s="0" t="s">
        <v>411</v>
      </c>
      <c r="B1668" s="0" t="s">
        <v>47</v>
      </c>
      <c r="C1668" s="0" t="s">
        <v>48</v>
      </c>
      <c r="D1668" s="0" t="n">
        <v>32</v>
      </c>
      <c r="E1668" s="5" t="n">
        <v>45955.4077199074</v>
      </c>
      <c r="F1668" s="0" t="n">
        <v>12.75</v>
      </c>
      <c r="G1668" s="0" t="n">
        <v>17124</v>
      </c>
      <c r="H1668" s="6" t="s">
        <v>208</v>
      </c>
      <c r="I1668" s="6" t="n">
        <f aca="false">D1668*F1668</f>
        <v>408</v>
      </c>
      <c r="J1668" s="6" t="n">
        <f aca="false">HOUR(E1668)</f>
        <v>9</v>
      </c>
      <c r="K1668" s="6" t="n">
        <f aca="false">IF(COUNTIF($A$2:$A1668,A1668)=1,1,0)</f>
        <v>0</v>
      </c>
    </row>
    <row r="1669" customFormat="false" ht="15" hidden="false" customHeight="false" outlineLevel="0" collapsed="false">
      <c r="A1669" s="0" t="s">
        <v>411</v>
      </c>
      <c r="B1669" s="0" t="s">
        <v>61</v>
      </c>
      <c r="C1669" s="0" t="s">
        <v>62</v>
      </c>
      <c r="D1669" s="0" t="n">
        <v>2</v>
      </c>
      <c r="E1669" s="5" t="n">
        <v>45955.4077199074</v>
      </c>
      <c r="F1669" s="0" t="n">
        <v>1.65</v>
      </c>
      <c r="G1669" s="0" t="n">
        <v>17124</v>
      </c>
      <c r="H1669" s="6" t="s">
        <v>208</v>
      </c>
      <c r="I1669" s="6" t="n">
        <f aca="false">D1669*F1669</f>
        <v>3.3</v>
      </c>
      <c r="J1669" s="6" t="n">
        <f aca="false">HOUR(E1669)</f>
        <v>9</v>
      </c>
      <c r="K1669" s="6" t="n">
        <f aca="false">IF(COUNTIF($A$2:$A1669,A1669)=1,1,0)</f>
        <v>0</v>
      </c>
    </row>
    <row r="1670" customFormat="false" ht="15" hidden="false" customHeight="false" outlineLevel="0" collapsed="false">
      <c r="A1670" s="0" t="s">
        <v>411</v>
      </c>
      <c r="B1670" s="0" t="s">
        <v>140</v>
      </c>
      <c r="C1670" s="0" t="s">
        <v>141</v>
      </c>
      <c r="D1670" s="0" t="n">
        <v>12</v>
      </c>
      <c r="E1670" s="5" t="n">
        <v>45955.4077199074</v>
      </c>
      <c r="F1670" s="0" t="n">
        <v>2.08</v>
      </c>
      <c r="G1670" s="0" t="n">
        <v>17124</v>
      </c>
      <c r="H1670" s="6" t="s">
        <v>208</v>
      </c>
      <c r="I1670" s="6" t="n">
        <f aca="false">D1670*F1670</f>
        <v>24.96</v>
      </c>
      <c r="J1670" s="6" t="n">
        <f aca="false">HOUR(E1670)</f>
        <v>9</v>
      </c>
      <c r="K1670" s="6" t="n">
        <f aca="false">IF(COUNTIF($A$2:$A1670,A1670)=1,1,0)</f>
        <v>0</v>
      </c>
    </row>
    <row r="1671" customFormat="false" ht="15" hidden="false" customHeight="false" outlineLevel="0" collapsed="false">
      <c r="A1671" s="0" t="s">
        <v>411</v>
      </c>
      <c r="B1671" s="0" t="s">
        <v>69</v>
      </c>
      <c r="C1671" s="0" t="s">
        <v>70</v>
      </c>
      <c r="D1671" s="0" t="n">
        <v>15</v>
      </c>
      <c r="E1671" s="5" t="n">
        <v>45955.4077199074</v>
      </c>
      <c r="F1671" s="0" t="n">
        <v>2.08</v>
      </c>
      <c r="G1671" s="0" t="n">
        <v>17124</v>
      </c>
      <c r="H1671" s="6" t="s">
        <v>208</v>
      </c>
      <c r="I1671" s="6" t="n">
        <f aca="false">D1671*F1671</f>
        <v>31.2</v>
      </c>
      <c r="J1671" s="6" t="n">
        <f aca="false">HOUR(E1671)</f>
        <v>9</v>
      </c>
      <c r="K1671" s="6" t="n">
        <f aca="false">IF(COUNTIF($A$2:$A1671,A1671)=1,1,0)</f>
        <v>0</v>
      </c>
    </row>
    <row r="1672" customFormat="false" ht="15" hidden="false" customHeight="false" outlineLevel="0" collapsed="false">
      <c r="A1672" s="0" t="s">
        <v>412</v>
      </c>
      <c r="B1672" s="0" t="s">
        <v>102</v>
      </c>
      <c r="D1672" s="0" t="n">
        <v>31</v>
      </c>
      <c r="E1672" s="5" t="n">
        <v>45955.4455902778</v>
      </c>
      <c r="F1672" s="0" t="n">
        <v>8.5</v>
      </c>
      <c r="G1672" s="0" t="n">
        <v>17162</v>
      </c>
      <c r="H1672" s="6" t="s">
        <v>74</v>
      </c>
      <c r="I1672" s="6" t="n">
        <f aca="false">D1672*F1672</f>
        <v>263.5</v>
      </c>
      <c r="J1672" s="6" t="n">
        <f aca="false">HOUR(E1672)</f>
        <v>10</v>
      </c>
      <c r="K1672" s="6" t="n">
        <f aca="false">IF(COUNTIF($A$2:$A1672,A1672)=1,1,0)</f>
        <v>1</v>
      </c>
    </row>
    <row r="1673" customFormat="false" ht="15" hidden="false" customHeight="false" outlineLevel="0" collapsed="false">
      <c r="A1673" s="0" t="s">
        <v>412</v>
      </c>
      <c r="B1673" s="0" t="s">
        <v>53</v>
      </c>
      <c r="C1673" s="0" t="s">
        <v>54</v>
      </c>
      <c r="D1673" s="0" t="n">
        <v>7</v>
      </c>
      <c r="E1673" s="5" t="n">
        <v>45955.4455902778</v>
      </c>
      <c r="F1673" s="0" t="n">
        <v>2.95</v>
      </c>
      <c r="G1673" s="0" t="n">
        <v>17162</v>
      </c>
      <c r="H1673" s="6" t="s">
        <v>74</v>
      </c>
      <c r="I1673" s="6" t="n">
        <f aca="false">D1673*F1673</f>
        <v>20.65</v>
      </c>
      <c r="J1673" s="6" t="n">
        <f aca="false">HOUR(E1673)</f>
        <v>10</v>
      </c>
      <c r="K1673" s="6" t="n">
        <f aca="false">IF(COUNTIF($A$2:$A1673,A1673)=1,1,0)</f>
        <v>0</v>
      </c>
    </row>
    <row r="1674" customFormat="false" ht="15" hidden="false" customHeight="false" outlineLevel="0" collapsed="false">
      <c r="A1674" s="0" t="s">
        <v>412</v>
      </c>
      <c r="B1674" s="0" t="s">
        <v>72</v>
      </c>
      <c r="C1674" s="0" t="s">
        <v>73</v>
      </c>
      <c r="D1674" s="0" t="n">
        <v>48</v>
      </c>
      <c r="E1674" s="5" t="n">
        <v>45955.4455902778</v>
      </c>
      <c r="F1674" s="0" t="n">
        <v>4.95</v>
      </c>
      <c r="G1674" s="0" t="n">
        <v>17162</v>
      </c>
      <c r="H1674" s="6" t="s">
        <v>74</v>
      </c>
      <c r="I1674" s="6" t="n">
        <f aca="false">D1674*F1674</f>
        <v>237.6</v>
      </c>
      <c r="J1674" s="6" t="n">
        <f aca="false">HOUR(E1674)</f>
        <v>10</v>
      </c>
      <c r="K1674" s="6" t="n">
        <f aca="false">IF(COUNTIF($A$2:$A1674,A1674)=1,1,0)</f>
        <v>0</v>
      </c>
    </row>
    <row r="1675" customFormat="false" ht="15" hidden="false" customHeight="false" outlineLevel="0" collapsed="false">
      <c r="A1675" s="0" t="s">
        <v>413</v>
      </c>
      <c r="B1675" s="0" t="s">
        <v>109</v>
      </c>
      <c r="C1675" s="0" t="s">
        <v>110</v>
      </c>
      <c r="D1675" s="0" t="n">
        <v>17</v>
      </c>
      <c r="E1675" s="5" t="n">
        <v>45955.5051736111</v>
      </c>
      <c r="F1675" s="0" t="n">
        <v>0.85</v>
      </c>
      <c r="G1675" s="0" t="n">
        <v>17063</v>
      </c>
      <c r="H1675" s="6" t="s">
        <v>74</v>
      </c>
      <c r="I1675" s="6" t="n">
        <f aca="false">D1675*F1675</f>
        <v>14.45</v>
      </c>
      <c r="J1675" s="6" t="n">
        <f aca="false">HOUR(E1675)</f>
        <v>12</v>
      </c>
      <c r="K1675" s="6" t="n">
        <f aca="false">IF(COUNTIF($A$2:$A1675,A1675)=1,1,0)</f>
        <v>1</v>
      </c>
    </row>
    <row r="1676" customFormat="false" ht="15" hidden="false" customHeight="false" outlineLevel="0" collapsed="false">
      <c r="A1676" s="0" t="s">
        <v>413</v>
      </c>
      <c r="B1676" s="0" t="s">
        <v>118</v>
      </c>
      <c r="C1676" s="0" t="s">
        <v>119</v>
      </c>
      <c r="D1676" s="0" t="n">
        <v>18</v>
      </c>
      <c r="E1676" s="5" t="n">
        <v>45955.5051736111</v>
      </c>
      <c r="F1676" s="0" t="n">
        <v>4.95</v>
      </c>
      <c r="G1676" s="0" t="n">
        <v>17063</v>
      </c>
      <c r="H1676" s="6" t="s">
        <v>74</v>
      </c>
      <c r="I1676" s="6" t="n">
        <f aca="false">D1676*F1676</f>
        <v>89.1</v>
      </c>
      <c r="J1676" s="6" t="n">
        <f aca="false">HOUR(E1676)</f>
        <v>12</v>
      </c>
      <c r="K1676" s="6" t="n">
        <f aca="false">IF(COUNTIF($A$2:$A1676,A1676)=1,1,0)</f>
        <v>0</v>
      </c>
    </row>
    <row r="1677" customFormat="false" ht="15" hidden="false" customHeight="false" outlineLevel="0" collapsed="false">
      <c r="A1677" s="0" t="s">
        <v>413</v>
      </c>
      <c r="B1677" s="0" t="s">
        <v>91</v>
      </c>
      <c r="C1677" s="0" t="s">
        <v>92</v>
      </c>
      <c r="D1677" s="0" t="n">
        <v>12</v>
      </c>
      <c r="E1677" s="5" t="n">
        <v>45955.5051736111</v>
      </c>
      <c r="F1677" s="0" t="n">
        <v>7.65</v>
      </c>
      <c r="G1677" s="0" t="n">
        <v>17063</v>
      </c>
      <c r="H1677" s="6" t="s">
        <v>74</v>
      </c>
      <c r="I1677" s="6" t="n">
        <f aca="false">D1677*F1677</f>
        <v>91.8</v>
      </c>
      <c r="J1677" s="6" t="n">
        <f aca="false">HOUR(E1677)</f>
        <v>12</v>
      </c>
      <c r="K1677" s="6" t="n">
        <f aca="false">IF(COUNTIF($A$2:$A1677,A1677)=1,1,0)</f>
        <v>0</v>
      </c>
    </row>
    <row r="1678" customFormat="false" ht="15" hidden="false" customHeight="false" outlineLevel="0" collapsed="false">
      <c r="A1678" s="0" t="s">
        <v>413</v>
      </c>
      <c r="B1678" s="0" t="s">
        <v>53</v>
      </c>
      <c r="C1678" s="0" t="s">
        <v>54</v>
      </c>
      <c r="D1678" s="0" t="n">
        <v>13</v>
      </c>
      <c r="E1678" s="5" t="n">
        <v>45955.5051736111</v>
      </c>
      <c r="F1678" s="0" t="n">
        <v>2.95</v>
      </c>
      <c r="G1678" s="0" t="n">
        <v>17063</v>
      </c>
      <c r="H1678" s="6" t="s">
        <v>74</v>
      </c>
      <c r="I1678" s="6" t="n">
        <f aca="false">D1678*F1678</f>
        <v>38.35</v>
      </c>
      <c r="J1678" s="6" t="n">
        <f aca="false">HOUR(E1678)</f>
        <v>12</v>
      </c>
      <c r="K1678" s="6" t="n">
        <f aca="false">IF(COUNTIF($A$2:$A1678,A1678)=1,1,0)</f>
        <v>0</v>
      </c>
    </row>
    <row r="1679" customFormat="false" ht="15" hidden="false" customHeight="false" outlineLevel="0" collapsed="false">
      <c r="A1679" s="0" t="s">
        <v>414</v>
      </c>
      <c r="B1679" s="0" t="s">
        <v>125</v>
      </c>
      <c r="C1679" s="0" t="s">
        <v>126</v>
      </c>
      <c r="D1679" s="0" t="n">
        <v>15</v>
      </c>
      <c r="E1679" s="5" t="n">
        <v>45955.6165277778</v>
      </c>
      <c r="F1679" s="0" t="n">
        <v>1.25</v>
      </c>
      <c r="H1679" s="6" t="s">
        <v>74</v>
      </c>
      <c r="I1679" s="6" t="n">
        <f aca="false">D1679*F1679</f>
        <v>18.75</v>
      </c>
      <c r="J1679" s="6" t="n">
        <f aca="false">HOUR(E1679)</f>
        <v>14</v>
      </c>
      <c r="K1679" s="6" t="n">
        <f aca="false">IF(COUNTIF($A$2:$A1679,A1679)=1,1,0)</f>
        <v>1</v>
      </c>
    </row>
    <row r="1680" customFormat="false" ht="15" hidden="false" customHeight="false" outlineLevel="0" collapsed="false">
      <c r="A1680" s="0" t="s">
        <v>414</v>
      </c>
      <c r="B1680" s="0" t="s">
        <v>145</v>
      </c>
      <c r="C1680" s="0" t="s">
        <v>146</v>
      </c>
      <c r="D1680" s="0" t="n">
        <v>10</v>
      </c>
      <c r="E1680" s="5" t="n">
        <v>45955.6165277778</v>
      </c>
      <c r="F1680" s="0" t="n">
        <v>1.85</v>
      </c>
      <c r="H1680" s="6" t="s">
        <v>74</v>
      </c>
      <c r="I1680" s="6" t="n">
        <f aca="false">D1680*F1680</f>
        <v>18.5</v>
      </c>
      <c r="J1680" s="6" t="n">
        <f aca="false">HOUR(E1680)</f>
        <v>14</v>
      </c>
      <c r="K1680" s="6" t="n">
        <f aca="false">IF(COUNTIF($A$2:$A1680,A1680)=1,1,0)</f>
        <v>0</v>
      </c>
    </row>
    <row r="1681" customFormat="false" ht="15" hidden="false" customHeight="false" outlineLevel="0" collapsed="false">
      <c r="A1681" s="0" t="s">
        <v>414</v>
      </c>
      <c r="B1681" s="0" t="s">
        <v>65</v>
      </c>
      <c r="C1681" s="0" t="s">
        <v>66</v>
      </c>
      <c r="D1681" s="0" t="n">
        <v>7</v>
      </c>
      <c r="E1681" s="5" t="n">
        <v>45955.6165277778</v>
      </c>
      <c r="F1681" s="0" t="n">
        <v>1.65</v>
      </c>
      <c r="H1681" s="6" t="s">
        <v>74</v>
      </c>
      <c r="I1681" s="6" t="n">
        <f aca="false">D1681*F1681</f>
        <v>11.55</v>
      </c>
      <c r="J1681" s="6" t="n">
        <f aca="false">HOUR(E1681)</f>
        <v>14</v>
      </c>
      <c r="K1681" s="6" t="n">
        <f aca="false">IF(COUNTIF($A$2:$A1681,A1681)=1,1,0)</f>
        <v>0</v>
      </c>
    </row>
    <row r="1682" customFormat="false" ht="15" hidden="false" customHeight="false" outlineLevel="0" collapsed="false">
      <c r="A1682" s="0" t="s">
        <v>414</v>
      </c>
      <c r="B1682" s="0" t="s">
        <v>137</v>
      </c>
      <c r="C1682" s="0" t="s">
        <v>138</v>
      </c>
      <c r="D1682" s="0" t="n">
        <v>7</v>
      </c>
      <c r="E1682" s="5" t="n">
        <v>45955.6165277778</v>
      </c>
      <c r="F1682" s="0" t="n">
        <v>2.1</v>
      </c>
      <c r="H1682" s="6" t="s">
        <v>74</v>
      </c>
      <c r="I1682" s="6" t="n">
        <f aca="false">D1682*F1682</f>
        <v>14.7</v>
      </c>
      <c r="J1682" s="6" t="n">
        <f aca="false">HOUR(E1682)</f>
        <v>14</v>
      </c>
      <c r="K1682" s="6" t="n">
        <f aca="false">IF(COUNTIF($A$2:$A1682,A1682)=1,1,0)</f>
        <v>0</v>
      </c>
    </row>
    <row r="1683" customFormat="false" ht="15" hidden="false" customHeight="false" outlineLevel="0" collapsed="false">
      <c r="A1683" s="0" t="s">
        <v>414</v>
      </c>
      <c r="B1683" s="0" t="s">
        <v>140</v>
      </c>
      <c r="C1683" s="0" t="s">
        <v>141</v>
      </c>
      <c r="D1683" s="0" t="n">
        <v>16</v>
      </c>
      <c r="E1683" s="5" t="n">
        <v>45955.6165277778</v>
      </c>
      <c r="F1683" s="0" t="n">
        <v>2.08</v>
      </c>
      <c r="H1683" s="6" t="s">
        <v>74</v>
      </c>
      <c r="I1683" s="6" t="n">
        <f aca="false">D1683*F1683</f>
        <v>33.28</v>
      </c>
      <c r="J1683" s="6" t="n">
        <f aca="false">HOUR(E1683)</f>
        <v>14</v>
      </c>
      <c r="K1683" s="6" t="n">
        <f aca="false">IF(COUNTIF($A$2:$A1683,A1683)=1,1,0)</f>
        <v>0</v>
      </c>
    </row>
    <row r="1684" customFormat="false" ht="15" hidden="false" customHeight="false" outlineLevel="0" collapsed="false">
      <c r="A1684" s="0" t="s">
        <v>415</v>
      </c>
      <c r="B1684" s="0" t="s">
        <v>65</v>
      </c>
      <c r="C1684" s="0" t="s">
        <v>66</v>
      </c>
      <c r="D1684" s="0" t="n">
        <v>17</v>
      </c>
      <c r="E1684" s="5" t="n">
        <v>45955.6212615741</v>
      </c>
      <c r="F1684" s="0" t="n">
        <v>1.65</v>
      </c>
      <c r="G1684" s="0" t="n">
        <v>17067</v>
      </c>
      <c r="H1684" s="6" t="s">
        <v>74</v>
      </c>
      <c r="I1684" s="6" t="n">
        <f aca="false">D1684*F1684</f>
        <v>28.05</v>
      </c>
      <c r="J1684" s="6" t="n">
        <f aca="false">HOUR(E1684)</f>
        <v>14</v>
      </c>
      <c r="K1684" s="6" t="n">
        <f aca="false">IF(COUNTIF($A$2:$A1684,A1684)=1,1,0)</f>
        <v>1</v>
      </c>
    </row>
    <row r="1685" customFormat="false" ht="15" hidden="false" customHeight="false" outlineLevel="0" collapsed="false">
      <c r="A1685" s="0" t="s">
        <v>415</v>
      </c>
      <c r="B1685" s="0" t="s">
        <v>79</v>
      </c>
      <c r="C1685" s="0" t="s">
        <v>80</v>
      </c>
      <c r="D1685" s="0" t="n">
        <v>14</v>
      </c>
      <c r="E1685" s="5" t="n">
        <v>45955.6212615741</v>
      </c>
      <c r="F1685" s="0" t="n">
        <v>3.39</v>
      </c>
      <c r="G1685" s="0" t="n">
        <v>17067</v>
      </c>
      <c r="H1685" s="6" t="s">
        <v>74</v>
      </c>
      <c r="I1685" s="6" t="n">
        <f aca="false">D1685*F1685</f>
        <v>47.46</v>
      </c>
      <c r="J1685" s="6" t="n">
        <f aca="false">HOUR(E1685)</f>
        <v>14</v>
      </c>
      <c r="K1685" s="6" t="n">
        <f aca="false">IF(COUNTIF($A$2:$A1685,A1685)=1,1,0)</f>
        <v>0</v>
      </c>
    </row>
    <row r="1686" customFormat="false" ht="15" hidden="false" customHeight="false" outlineLevel="0" collapsed="false">
      <c r="A1686" s="0" t="s">
        <v>415</v>
      </c>
      <c r="B1686" s="0" t="s">
        <v>102</v>
      </c>
      <c r="C1686" s="0" t="s">
        <v>103</v>
      </c>
      <c r="D1686" s="0" t="n">
        <v>13</v>
      </c>
      <c r="E1686" s="5" t="n">
        <v>45955.6212615741</v>
      </c>
      <c r="F1686" s="0" t="n">
        <v>8.5</v>
      </c>
      <c r="G1686" s="0" t="n">
        <v>17067</v>
      </c>
      <c r="H1686" s="6" t="s">
        <v>74</v>
      </c>
      <c r="I1686" s="6" t="n">
        <f aca="false">D1686*F1686</f>
        <v>110.5</v>
      </c>
      <c r="J1686" s="6" t="n">
        <f aca="false">HOUR(E1686)</f>
        <v>14</v>
      </c>
      <c r="K1686" s="6" t="n">
        <f aca="false">IF(COUNTIF($A$2:$A1686,A1686)=1,1,0)</f>
        <v>0</v>
      </c>
    </row>
    <row r="1687" customFormat="false" ht="15" hidden="false" customHeight="false" outlineLevel="0" collapsed="false">
      <c r="A1687" s="0" t="s">
        <v>415</v>
      </c>
      <c r="B1687" s="0" t="s">
        <v>93</v>
      </c>
      <c r="C1687" s="0" t="s">
        <v>94</v>
      </c>
      <c r="D1687" s="0" t="n">
        <v>8</v>
      </c>
      <c r="E1687" s="5" t="n">
        <v>45955.6212615741</v>
      </c>
      <c r="F1687" s="0" t="n">
        <v>1.69</v>
      </c>
      <c r="G1687" s="0" t="n">
        <v>17067</v>
      </c>
      <c r="H1687" s="6" t="s">
        <v>74</v>
      </c>
      <c r="I1687" s="6" t="n">
        <f aca="false">D1687*F1687</f>
        <v>13.52</v>
      </c>
      <c r="J1687" s="6" t="n">
        <f aca="false">HOUR(E1687)</f>
        <v>14</v>
      </c>
      <c r="K1687" s="6" t="n">
        <f aca="false">IF(COUNTIF($A$2:$A1687,A1687)=1,1,0)</f>
        <v>0</v>
      </c>
    </row>
    <row r="1688" customFormat="false" ht="15" hidden="false" customHeight="false" outlineLevel="0" collapsed="false">
      <c r="A1688" s="0" t="s">
        <v>415</v>
      </c>
      <c r="B1688" s="0" t="s">
        <v>107</v>
      </c>
      <c r="C1688" s="0" t="s">
        <v>108</v>
      </c>
      <c r="D1688" s="0" t="n">
        <v>21</v>
      </c>
      <c r="E1688" s="5" t="n">
        <v>45955.6212615741</v>
      </c>
      <c r="F1688" s="0" t="n">
        <v>3.75</v>
      </c>
      <c r="G1688" s="0" t="n">
        <v>17067</v>
      </c>
      <c r="H1688" s="6" t="s">
        <v>74</v>
      </c>
      <c r="I1688" s="6" t="n">
        <f aca="false">D1688*F1688</f>
        <v>78.75</v>
      </c>
      <c r="J1688" s="6" t="n">
        <f aca="false">HOUR(E1688)</f>
        <v>14</v>
      </c>
      <c r="K1688" s="6" t="n">
        <f aca="false">IF(COUNTIF($A$2:$A1688,A1688)=1,1,0)</f>
        <v>0</v>
      </c>
    </row>
    <row r="1689" customFormat="false" ht="15" hidden="false" customHeight="false" outlineLevel="0" collapsed="false">
      <c r="A1689" s="0" t="s">
        <v>415</v>
      </c>
      <c r="B1689" s="0" t="s">
        <v>88</v>
      </c>
      <c r="C1689" s="0" t="s">
        <v>89</v>
      </c>
      <c r="D1689" s="0" t="n">
        <v>2</v>
      </c>
      <c r="E1689" s="5" t="n">
        <v>45955.6212615741</v>
      </c>
      <c r="F1689" s="0" t="n">
        <v>2.75</v>
      </c>
      <c r="G1689" s="0" t="n">
        <v>17067</v>
      </c>
      <c r="H1689" s="6" t="s">
        <v>74</v>
      </c>
      <c r="I1689" s="6" t="n">
        <f aca="false">D1689*F1689</f>
        <v>5.5</v>
      </c>
      <c r="J1689" s="6" t="n">
        <f aca="false">HOUR(E1689)</f>
        <v>14</v>
      </c>
      <c r="K1689" s="6" t="n">
        <f aca="false">IF(COUNTIF($A$2:$A1689,A1689)=1,1,0)</f>
        <v>0</v>
      </c>
    </row>
    <row r="1690" customFormat="false" ht="15" hidden="false" customHeight="false" outlineLevel="0" collapsed="false">
      <c r="A1690" s="0" t="s">
        <v>415</v>
      </c>
      <c r="B1690" s="0" t="s">
        <v>127</v>
      </c>
      <c r="C1690" s="0" t="s">
        <v>128</v>
      </c>
      <c r="D1690" s="0" t="n">
        <v>16</v>
      </c>
      <c r="E1690" s="5" t="n">
        <v>45955.6212615741</v>
      </c>
      <c r="F1690" s="0" t="n">
        <v>1.45</v>
      </c>
      <c r="G1690" s="0" t="n">
        <v>17067</v>
      </c>
      <c r="H1690" s="6" t="s">
        <v>74</v>
      </c>
      <c r="I1690" s="6" t="n">
        <f aca="false">D1690*F1690</f>
        <v>23.2</v>
      </c>
      <c r="J1690" s="6" t="n">
        <f aca="false">HOUR(E1690)</f>
        <v>14</v>
      </c>
      <c r="K1690" s="6" t="n">
        <f aca="false">IF(COUNTIF($A$2:$A1690,A1690)=1,1,0)</f>
        <v>0</v>
      </c>
    </row>
    <row r="1691" customFormat="false" ht="15" hidden="false" customHeight="false" outlineLevel="0" collapsed="false">
      <c r="A1691" s="0" t="s">
        <v>416</v>
      </c>
      <c r="B1691" s="0" t="s">
        <v>61</v>
      </c>
      <c r="C1691" s="0" t="s">
        <v>62</v>
      </c>
      <c r="D1691" s="0" t="n">
        <v>16</v>
      </c>
      <c r="E1691" s="5" t="n">
        <v>45955.6250810185</v>
      </c>
      <c r="F1691" s="0" t="n">
        <v>1.65</v>
      </c>
      <c r="G1691" s="0" t="n">
        <v>17106</v>
      </c>
      <c r="H1691" s="6" t="s">
        <v>151</v>
      </c>
      <c r="I1691" s="6" t="n">
        <f aca="false">D1691*F1691</f>
        <v>26.4</v>
      </c>
      <c r="J1691" s="6" t="n">
        <f aca="false">HOUR(E1691)</f>
        <v>15</v>
      </c>
      <c r="K1691" s="6" t="n">
        <f aca="false">IF(COUNTIF($A$2:$A1691,A1691)=1,1,0)</f>
        <v>1</v>
      </c>
    </row>
    <row r="1692" customFormat="false" ht="15" hidden="false" customHeight="false" outlineLevel="0" collapsed="false">
      <c r="A1692" s="0" t="s">
        <v>416</v>
      </c>
      <c r="B1692" s="0" t="s">
        <v>107</v>
      </c>
      <c r="C1692" s="0" t="s">
        <v>108</v>
      </c>
      <c r="D1692" s="0" t="n">
        <v>22</v>
      </c>
      <c r="E1692" s="5" t="n">
        <v>45955.6250810185</v>
      </c>
      <c r="F1692" s="0" t="n">
        <v>3.75</v>
      </c>
      <c r="G1692" s="0" t="n">
        <v>17106</v>
      </c>
      <c r="H1692" s="6" t="s">
        <v>151</v>
      </c>
      <c r="I1692" s="6" t="n">
        <f aca="false">D1692*F1692</f>
        <v>82.5</v>
      </c>
      <c r="J1692" s="6" t="n">
        <f aca="false">HOUR(E1692)</f>
        <v>15</v>
      </c>
      <c r="K1692" s="6" t="n">
        <f aca="false">IF(COUNTIF($A$2:$A1692,A1692)=1,1,0)</f>
        <v>0</v>
      </c>
    </row>
    <row r="1693" customFormat="false" ht="15" hidden="false" customHeight="false" outlineLevel="0" collapsed="false">
      <c r="A1693" s="0" t="s">
        <v>416</v>
      </c>
      <c r="B1693" s="0" t="s">
        <v>95</v>
      </c>
      <c r="C1693" s="0" t="s">
        <v>96</v>
      </c>
      <c r="D1693" s="0" t="n">
        <v>27</v>
      </c>
      <c r="E1693" s="5" t="n">
        <v>45955.6250810185</v>
      </c>
      <c r="F1693" s="0" t="n">
        <v>2.55</v>
      </c>
      <c r="G1693" s="0" t="n">
        <v>17106</v>
      </c>
      <c r="H1693" s="6" t="s">
        <v>151</v>
      </c>
      <c r="I1693" s="6" t="n">
        <f aca="false">D1693*F1693</f>
        <v>68.85</v>
      </c>
      <c r="J1693" s="6" t="n">
        <f aca="false">HOUR(E1693)</f>
        <v>15</v>
      </c>
      <c r="K1693" s="6" t="n">
        <f aca="false">IF(COUNTIF($A$2:$A1693,A1693)=1,1,0)</f>
        <v>0</v>
      </c>
    </row>
    <row r="1694" customFormat="false" ht="15" hidden="false" customHeight="false" outlineLevel="0" collapsed="false">
      <c r="A1694" s="0" t="s">
        <v>416</v>
      </c>
      <c r="B1694" s="0" t="s">
        <v>47</v>
      </c>
      <c r="C1694" s="0" t="s">
        <v>48</v>
      </c>
      <c r="D1694" s="0" t="n">
        <v>42</v>
      </c>
      <c r="E1694" s="5" t="n">
        <v>45955.6250810185</v>
      </c>
      <c r="F1694" s="0" t="n">
        <v>12.75</v>
      </c>
      <c r="G1694" s="0" t="n">
        <v>17106</v>
      </c>
      <c r="H1694" s="6" t="s">
        <v>151</v>
      </c>
      <c r="I1694" s="6" t="n">
        <f aca="false">D1694*F1694</f>
        <v>535.5</v>
      </c>
      <c r="J1694" s="6" t="n">
        <f aca="false">HOUR(E1694)</f>
        <v>15</v>
      </c>
      <c r="K1694" s="6" t="n">
        <f aca="false">IF(COUNTIF($A$2:$A1694,A1694)=1,1,0)</f>
        <v>0</v>
      </c>
    </row>
    <row r="1695" customFormat="false" ht="15" hidden="false" customHeight="false" outlineLevel="0" collapsed="false">
      <c r="A1695" s="0" t="s">
        <v>416</v>
      </c>
      <c r="B1695" s="0" t="s">
        <v>145</v>
      </c>
      <c r="C1695" s="0" t="s">
        <v>146</v>
      </c>
      <c r="D1695" s="0" t="n">
        <v>21</v>
      </c>
      <c r="E1695" s="5" t="n">
        <v>45955.6250810185</v>
      </c>
      <c r="F1695" s="0" t="n">
        <v>1.85</v>
      </c>
      <c r="G1695" s="0" t="n">
        <v>17106</v>
      </c>
      <c r="H1695" s="6" t="s">
        <v>151</v>
      </c>
      <c r="I1695" s="6" t="n">
        <f aca="false">D1695*F1695</f>
        <v>38.85</v>
      </c>
      <c r="J1695" s="6" t="n">
        <f aca="false">HOUR(E1695)</f>
        <v>15</v>
      </c>
      <c r="K1695" s="6" t="n">
        <f aca="false">IF(COUNTIF($A$2:$A1695,A1695)=1,1,0)</f>
        <v>0</v>
      </c>
    </row>
    <row r="1696" customFormat="false" ht="15" hidden="false" customHeight="false" outlineLevel="0" collapsed="false">
      <c r="A1696" s="0" t="s">
        <v>416</v>
      </c>
      <c r="B1696" s="0" t="s">
        <v>88</v>
      </c>
      <c r="C1696" s="0" t="s">
        <v>89</v>
      </c>
      <c r="D1696" s="0" t="n">
        <v>1</v>
      </c>
      <c r="E1696" s="5" t="n">
        <v>45955.6250810185</v>
      </c>
      <c r="F1696" s="0" t="n">
        <v>2.75</v>
      </c>
      <c r="G1696" s="0" t="n">
        <v>17106</v>
      </c>
      <c r="H1696" s="6" t="s">
        <v>151</v>
      </c>
      <c r="I1696" s="6" t="n">
        <f aca="false">D1696*F1696</f>
        <v>2.75</v>
      </c>
      <c r="J1696" s="6" t="n">
        <f aca="false">HOUR(E1696)</f>
        <v>15</v>
      </c>
      <c r="K1696" s="6" t="n">
        <f aca="false">IF(COUNTIF($A$2:$A1696,A1696)=1,1,0)</f>
        <v>0</v>
      </c>
    </row>
    <row r="1697" customFormat="false" ht="15" hidden="false" customHeight="false" outlineLevel="0" collapsed="false">
      <c r="A1697" s="0" t="s">
        <v>416</v>
      </c>
      <c r="B1697" s="0" t="s">
        <v>116</v>
      </c>
      <c r="C1697" s="0" t="s">
        <v>117</v>
      </c>
      <c r="D1697" s="0" t="n">
        <v>18</v>
      </c>
      <c r="E1697" s="5" t="n">
        <v>45955.6250810185</v>
      </c>
      <c r="F1697" s="0" t="n">
        <v>1.95</v>
      </c>
      <c r="G1697" s="0" t="n">
        <v>17106</v>
      </c>
      <c r="H1697" s="6" t="s">
        <v>151</v>
      </c>
      <c r="I1697" s="6" t="n">
        <f aca="false">D1697*F1697</f>
        <v>35.1</v>
      </c>
      <c r="J1697" s="6" t="n">
        <f aca="false">HOUR(E1697)</f>
        <v>15</v>
      </c>
      <c r="K1697" s="6" t="n">
        <f aca="false">IF(COUNTIF($A$2:$A1697,A1697)=1,1,0)</f>
        <v>0</v>
      </c>
    </row>
    <row r="1698" customFormat="false" ht="15" hidden="false" customHeight="false" outlineLevel="0" collapsed="false">
      <c r="A1698" s="0" t="s">
        <v>416</v>
      </c>
      <c r="B1698" s="0" t="s">
        <v>43</v>
      </c>
      <c r="C1698" s="0" t="s">
        <v>44</v>
      </c>
      <c r="D1698" s="0" t="n">
        <v>10</v>
      </c>
      <c r="E1698" s="5" t="n">
        <v>45955.6250810185</v>
      </c>
      <c r="F1698" s="0" t="n">
        <v>4.25</v>
      </c>
      <c r="G1698" s="0" t="n">
        <v>17106</v>
      </c>
      <c r="H1698" s="6" t="s">
        <v>151</v>
      </c>
      <c r="I1698" s="6" t="n">
        <f aca="false">D1698*F1698</f>
        <v>42.5</v>
      </c>
      <c r="J1698" s="6" t="n">
        <f aca="false">HOUR(E1698)</f>
        <v>15</v>
      </c>
      <c r="K1698" s="6" t="n">
        <f aca="false">IF(COUNTIF($A$2:$A1698,A1698)=1,1,0)</f>
        <v>0</v>
      </c>
    </row>
    <row r="1699" customFormat="false" ht="15" hidden="false" customHeight="false" outlineLevel="0" collapsed="false">
      <c r="A1699" s="0" t="s">
        <v>416</v>
      </c>
      <c r="B1699" s="0" t="s">
        <v>45</v>
      </c>
      <c r="C1699" s="0" t="s">
        <v>46</v>
      </c>
      <c r="D1699" s="0" t="n">
        <v>1</v>
      </c>
      <c r="E1699" s="5" t="n">
        <v>45955.6250810185</v>
      </c>
      <c r="F1699" s="0" t="n">
        <v>2.1</v>
      </c>
      <c r="G1699" s="0" t="n">
        <v>17106</v>
      </c>
      <c r="H1699" s="6" t="s">
        <v>151</v>
      </c>
      <c r="I1699" s="6" t="n">
        <f aca="false">D1699*F1699</f>
        <v>2.1</v>
      </c>
      <c r="J1699" s="6" t="n">
        <f aca="false">HOUR(E1699)</f>
        <v>15</v>
      </c>
      <c r="K1699" s="6" t="n">
        <f aca="false">IF(COUNTIF($A$2:$A1699,A1699)=1,1,0)</f>
        <v>0</v>
      </c>
    </row>
    <row r="1700" customFormat="false" ht="15" hidden="false" customHeight="false" outlineLevel="0" collapsed="false">
      <c r="A1700" s="0" t="s">
        <v>416</v>
      </c>
      <c r="B1700" s="0" t="s">
        <v>99</v>
      </c>
      <c r="C1700" s="0" t="s">
        <v>100</v>
      </c>
      <c r="D1700" s="0" t="n">
        <v>11</v>
      </c>
      <c r="E1700" s="5" t="n">
        <v>45955.6250810185</v>
      </c>
      <c r="F1700" s="0" t="n">
        <v>2.08</v>
      </c>
      <c r="G1700" s="0" t="n">
        <v>17106</v>
      </c>
      <c r="H1700" s="6" t="s">
        <v>151</v>
      </c>
      <c r="I1700" s="6" t="n">
        <f aca="false">D1700*F1700</f>
        <v>22.88</v>
      </c>
      <c r="J1700" s="6" t="n">
        <f aca="false">HOUR(E1700)</f>
        <v>15</v>
      </c>
      <c r="K1700" s="6" t="n">
        <f aca="false">IF(COUNTIF($A$2:$A1700,A1700)=1,1,0)</f>
        <v>0</v>
      </c>
    </row>
    <row r="1701" customFormat="false" ht="15" hidden="false" customHeight="false" outlineLevel="0" collapsed="false">
      <c r="A1701" s="0" t="s">
        <v>417</v>
      </c>
      <c r="B1701" s="0" t="s">
        <v>69</v>
      </c>
      <c r="C1701" s="0" t="s">
        <v>70</v>
      </c>
      <c r="D1701" s="0" t="n">
        <v>12</v>
      </c>
      <c r="E1701" s="5" t="n">
        <v>45955.6784375</v>
      </c>
      <c r="F1701" s="0" t="n">
        <v>2.08</v>
      </c>
      <c r="G1701" s="0" t="n">
        <v>17055</v>
      </c>
      <c r="H1701" s="6" t="s">
        <v>113</v>
      </c>
      <c r="I1701" s="6" t="n">
        <f aca="false">D1701*F1701</f>
        <v>24.96</v>
      </c>
      <c r="J1701" s="6" t="n">
        <f aca="false">HOUR(E1701)</f>
        <v>16</v>
      </c>
      <c r="K1701" s="6" t="n">
        <f aca="false">IF(COUNTIF($A$2:$A1701,A1701)=1,1,0)</f>
        <v>1</v>
      </c>
    </row>
    <row r="1702" customFormat="false" ht="15" hidden="false" customHeight="false" outlineLevel="0" collapsed="false">
      <c r="A1702" s="0" t="s">
        <v>417</v>
      </c>
      <c r="B1702" s="0" t="s">
        <v>91</v>
      </c>
      <c r="C1702" s="0" t="s">
        <v>92</v>
      </c>
      <c r="D1702" s="0" t="n">
        <v>3</v>
      </c>
      <c r="E1702" s="5" t="n">
        <v>45955.6784375</v>
      </c>
      <c r="F1702" s="0" t="n">
        <v>7.65</v>
      </c>
      <c r="G1702" s="0" t="n">
        <v>17055</v>
      </c>
      <c r="H1702" s="6" t="s">
        <v>113</v>
      </c>
      <c r="I1702" s="6" t="n">
        <f aca="false">D1702*F1702</f>
        <v>22.95</v>
      </c>
      <c r="J1702" s="6" t="n">
        <f aca="false">HOUR(E1702)</f>
        <v>16</v>
      </c>
      <c r="K1702" s="6" t="n">
        <f aca="false">IF(COUNTIF($A$2:$A1702,A1702)=1,1,0)</f>
        <v>0</v>
      </c>
    </row>
    <row r="1703" customFormat="false" ht="15" hidden="false" customHeight="false" outlineLevel="0" collapsed="false">
      <c r="A1703" s="0" t="s">
        <v>417</v>
      </c>
      <c r="B1703" s="0" t="s">
        <v>61</v>
      </c>
      <c r="C1703" s="0" t="s">
        <v>62</v>
      </c>
      <c r="D1703" s="0" t="n">
        <v>19</v>
      </c>
      <c r="E1703" s="5" t="n">
        <v>45955.6784375</v>
      </c>
      <c r="F1703" s="0" t="n">
        <v>1.65</v>
      </c>
      <c r="G1703" s="0" t="n">
        <v>17055</v>
      </c>
      <c r="H1703" s="6" t="s">
        <v>113</v>
      </c>
      <c r="I1703" s="6" t="n">
        <f aca="false">D1703*F1703</f>
        <v>31.35</v>
      </c>
      <c r="J1703" s="6" t="n">
        <f aca="false">HOUR(E1703)</f>
        <v>16</v>
      </c>
      <c r="K1703" s="6" t="n">
        <f aca="false">IF(COUNTIF($A$2:$A1703,A1703)=1,1,0)</f>
        <v>0</v>
      </c>
    </row>
    <row r="1704" customFormat="false" ht="15" hidden="false" customHeight="false" outlineLevel="0" collapsed="false">
      <c r="A1704" s="0" t="s">
        <v>418</v>
      </c>
      <c r="B1704" s="0" t="s">
        <v>88</v>
      </c>
      <c r="C1704" s="0" t="s">
        <v>89</v>
      </c>
      <c r="D1704" s="0" t="n">
        <v>22</v>
      </c>
      <c r="E1704" s="5" t="n">
        <v>45955.8934722222</v>
      </c>
      <c r="F1704" s="0" t="n">
        <v>2.75</v>
      </c>
      <c r="G1704" s="0" t="n">
        <v>17130</v>
      </c>
      <c r="H1704" s="6" t="s">
        <v>74</v>
      </c>
      <c r="I1704" s="6" t="n">
        <f aca="false">D1704*F1704</f>
        <v>60.5</v>
      </c>
      <c r="J1704" s="6" t="n">
        <f aca="false">HOUR(E1704)</f>
        <v>21</v>
      </c>
      <c r="K1704" s="6" t="n">
        <f aca="false">IF(COUNTIF($A$2:$A1704,A1704)=1,1,0)</f>
        <v>1</v>
      </c>
    </row>
    <row r="1705" customFormat="false" ht="15" hidden="false" customHeight="false" outlineLevel="0" collapsed="false">
      <c r="A1705" s="0" t="s">
        <v>418</v>
      </c>
      <c r="B1705" s="0" t="s">
        <v>75</v>
      </c>
      <c r="C1705" s="0" t="s">
        <v>76</v>
      </c>
      <c r="D1705" s="0" t="n">
        <v>6</v>
      </c>
      <c r="E1705" s="5" t="n">
        <v>45955.8934722222</v>
      </c>
      <c r="F1705" s="0" t="n">
        <v>3.39</v>
      </c>
      <c r="G1705" s="0" t="n">
        <v>17130</v>
      </c>
      <c r="H1705" s="6" t="s">
        <v>74</v>
      </c>
      <c r="I1705" s="6" t="n">
        <f aca="false">D1705*F1705</f>
        <v>20.34</v>
      </c>
      <c r="J1705" s="6" t="n">
        <f aca="false">HOUR(E1705)</f>
        <v>21</v>
      </c>
      <c r="K1705" s="6" t="n">
        <f aca="false">IF(COUNTIF($A$2:$A1705,A1705)=1,1,0)</f>
        <v>0</v>
      </c>
    </row>
    <row r="1706" customFormat="false" ht="15" hidden="false" customHeight="false" outlineLevel="0" collapsed="false">
      <c r="A1706" s="0" t="s">
        <v>418</v>
      </c>
      <c r="B1706" s="0" t="s">
        <v>95</v>
      </c>
      <c r="C1706" s="0" t="s">
        <v>96</v>
      </c>
      <c r="D1706" s="0" t="n">
        <v>10</v>
      </c>
      <c r="E1706" s="5" t="n">
        <v>45955.8934722222</v>
      </c>
      <c r="F1706" s="0" t="n">
        <v>2.55</v>
      </c>
      <c r="G1706" s="0" t="n">
        <v>17130</v>
      </c>
      <c r="H1706" s="6" t="s">
        <v>74</v>
      </c>
      <c r="I1706" s="6" t="n">
        <f aca="false">D1706*F1706</f>
        <v>25.5</v>
      </c>
      <c r="J1706" s="6" t="n">
        <f aca="false">HOUR(E1706)</f>
        <v>21</v>
      </c>
      <c r="K1706" s="6" t="n">
        <f aca="false">IF(COUNTIF($A$2:$A1706,A1706)=1,1,0)</f>
        <v>0</v>
      </c>
    </row>
    <row r="1707" customFormat="false" ht="15" hidden="false" customHeight="false" outlineLevel="0" collapsed="false">
      <c r="A1707" s="0" t="s">
        <v>418</v>
      </c>
      <c r="B1707" s="0" t="s">
        <v>121</v>
      </c>
      <c r="C1707" s="0" t="s">
        <v>122</v>
      </c>
      <c r="D1707" s="0" t="n">
        <v>16</v>
      </c>
      <c r="E1707" s="5" t="n">
        <v>45955.8934722222</v>
      </c>
      <c r="F1707" s="0" t="n">
        <v>2.1</v>
      </c>
      <c r="G1707" s="0" t="n">
        <v>17130</v>
      </c>
      <c r="H1707" s="6" t="s">
        <v>74</v>
      </c>
      <c r="I1707" s="6" t="n">
        <f aca="false">D1707*F1707</f>
        <v>33.6</v>
      </c>
      <c r="J1707" s="6" t="n">
        <f aca="false">HOUR(E1707)</f>
        <v>21</v>
      </c>
      <c r="K1707" s="6" t="n">
        <f aca="false">IF(COUNTIF($A$2:$A1707,A1707)=1,1,0)</f>
        <v>0</v>
      </c>
    </row>
    <row r="1708" customFormat="false" ht="15" hidden="false" customHeight="false" outlineLevel="0" collapsed="false">
      <c r="A1708" s="0" t="s">
        <v>419</v>
      </c>
      <c r="B1708" s="0" t="s">
        <v>127</v>
      </c>
      <c r="C1708" s="0" t="s">
        <v>128</v>
      </c>
      <c r="D1708" s="0" t="n">
        <v>20</v>
      </c>
      <c r="E1708" s="5" t="n">
        <v>45956.0928472222</v>
      </c>
      <c r="F1708" s="0" t="n">
        <v>1.45</v>
      </c>
      <c r="G1708" s="0" t="n">
        <v>17012</v>
      </c>
      <c r="H1708" s="6" t="s">
        <v>74</v>
      </c>
      <c r="I1708" s="6" t="n">
        <f aca="false">D1708*F1708</f>
        <v>29</v>
      </c>
      <c r="J1708" s="6" t="n">
        <f aca="false">HOUR(E1708)</f>
        <v>2</v>
      </c>
      <c r="K1708" s="6" t="n">
        <f aca="false">IF(COUNTIF($A$2:$A1708,A1708)=1,1,0)</f>
        <v>1</v>
      </c>
    </row>
    <row r="1709" customFormat="false" ht="15" hidden="false" customHeight="false" outlineLevel="0" collapsed="false">
      <c r="A1709" s="0" t="s">
        <v>419</v>
      </c>
      <c r="B1709" s="0" t="s">
        <v>69</v>
      </c>
      <c r="C1709" s="0" t="s">
        <v>70</v>
      </c>
      <c r="D1709" s="0" t="n">
        <v>12</v>
      </c>
      <c r="E1709" s="5" t="n">
        <v>45956.0928472222</v>
      </c>
      <c r="F1709" s="0" t="n">
        <v>2.08</v>
      </c>
      <c r="G1709" s="0" t="n">
        <v>17012</v>
      </c>
      <c r="H1709" s="6" t="s">
        <v>74</v>
      </c>
      <c r="I1709" s="6" t="n">
        <f aca="false">D1709*F1709</f>
        <v>24.96</v>
      </c>
      <c r="J1709" s="6" t="n">
        <f aca="false">HOUR(E1709)</f>
        <v>2</v>
      </c>
      <c r="K1709" s="6" t="n">
        <f aca="false">IF(COUNTIF($A$2:$A1709,A1709)=1,1,0)</f>
        <v>0</v>
      </c>
    </row>
    <row r="1710" customFormat="false" ht="15" hidden="false" customHeight="false" outlineLevel="0" collapsed="false">
      <c r="A1710" s="0" t="s">
        <v>419</v>
      </c>
      <c r="B1710" s="0" t="s">
        <v>140</v>
      </c>
      <c r="C1710" s="0" t="s">
        <v>141</v>
      </c>
      <c r="D1710" s="0" t="n">
        <v>6</v>
      </c>
      <c r="E1710" s="5" t="n">
        <v>45956.0928472222</v>
      </c>
      <c r="F1710" s="0" t="n">
        <v>2.08</v>
      </c>
      <c r="G1710" s="0" t="n">
        <v>17012</v>
      </c>
      <c r="H1710" s="6" t="s">
        <v>74</v>
      </c>
      <c r="I1710" s="6" t="n">
        <f aca="false">D1710*F1710</f>
        <v>12.48</v>
      </c>
      <c r="J1710" s="6" t="n">
        <f aca="false">HOUR(E1710)</f>
        <v>2</v>
      </c>
      <c r="K1710" s="6" t="n">
        <f aca="false">IF(COUNTIF($A$2:$A1710,A1710)=1,1,0)</f>
        <v>0</v>
      </c>
    </row>
    <row r="1711" customFormat="false" ht="15" hidden="false" customHeight="false" outlineLevel="0" collapsed="false">
      <c r="A1711" s="0" t="s">
        <v>419</v>
      </c>
      <c r="B1711" s="0" t="s">
        <v>81</v>
      </c>
      <c r="C1711" s="0" t="s">
        <v>82</v>
      </c>
      <c r="D1711" s="0" t="n">
        <v>16</v>
      </c>
      <c r="E1711" s="5" t="n">
        <v>45956.0928472222</v>
      </c>
      <c r="F1711" s="0" t="n">
        <v>1.65</v>
      </c>
      <c r="G1711" s="0" t="n">
        <v>17012</v>
      </c>
      <c r="H1711" s="6" t="s">
        <v>74</v>
      </c>
      <c r="I1711" s="6" t="n">
        <f aca="false">D1711*F1711</f>
        <v>26.4</v>
      </c>
      <c r="J1711" s="6" t="n">
        <f aca="false">HOUR(E1711)</f>
        <v>2</v>
      </c>
      <c r="K1711" s="6" t="n">
        <f aca="false">IF(COUNTIF($A$2:$A1711,A1711)=1,1,0)</f>
        <v>0</v>
      </c>
    </row>
    <row r="1712" customFormat="false" ht="15" hidden="false" customHeight="false" outlineLevel="0" collapsed="false">
      <c r="A1712" s="0" t="s">
        <v>419</v>
      </c>
      <c r="B1712" s="0" t="s">
        <v>125</v>
      </c>
      <c r="C1712" s="0" t="s">
        <v>126</v>
      </c>
      <c r="D1712" s="0" t="n">
        <v>19</v>
      </c>
      <c r="E1712" s="5" t="n">
        <v>45956.0928472222</v>
      </c>
      <c r="F1712" s="0" t="n">
        <v>1.25</v>
      </c>
      <c r="G1712" s="0" t="n">
        <v>17012</v>
      </c>
      <c r="H1712" s="6" t="s">
        <v>74</v>
      </c>
      <c r="I1712" s="6" t="n">
        <f aca="false">D1712*F1712</f>
        <v>23.75</v>
      </c>
      <c r="J1712" s="6" t="n">
        <f aca="false">HOUR(E1712)</f>
        <v>2</v>
      </c>
      <c r="K1712" s="6" t="n">
        <f aca="false">IF(COUNTIF($A$2:$A1712,A1712)=1,1,0)</f>
        <v>0</v>
      </c>
    </row>
    <row r="1713" customFormat="false" ht="15" hidden="false" customHeight="false" outlineLevel="0" collapsed="false">
      <c r="A1713" s="0" t="s">
        <v>419</v>
      </c>
      <c r="B1713" s="0" t="s">
        <v>107</v>
      </c>
      <c r="C1713" s="0" t="s">
        <v>108</v>
      </c>
      <c r="D1713" s="0" t="n">
        <v>2</v>
      </c>
      <c r="E1713" s="5" t="n">
        <v>45956.0928472222</v>
      </c>
      <c r="F1713" s="0" t="n">
        <v>3.75</v>
      </c>
      <c r="G1713" s="0" t="n">
        <v>17012</v>
      </c>
      <c r="H1713" s="6" t="s">
        <v>74</v>
      </c>
      <c r="I1713" s="6" t="n">
        <f aca="false">D1713*F1713</f>
        <v>7.5</v>
      </c>
      <c r="J1713" s="6" t="n">
        <f aca="false">HOUR(E1713)</f>
        <v>2</v>
      </c>
      <c r="K1713" s="6" t="n">
        <f aca="false">IF(COUNTIF($A$2:$A1713,A1713)=1,1,0)</f>
        <v>0</v>
      </c>
    </row>
    <row r="1714" customFormat="false" ht="15" hidden="false" customHeight="false" outlineLevel="0" collapsed="false">
      <c r="A1714" s="0" t="s">
        <v>420</v>
      </c>
      <c r="B1714" s="0" t="s">
        <v>137</v>
      </c>
      <c r="C1714" s="0" t="s">
        <v>138</v>
      </c>
      <c r="D1714" s="0" t="n">
        <v>21</v>
      </c>
      <c r="E1714" s="5" t="n">
        <v>45956.3028819444</v>
      </c>
      <c r="F1714" s="0" t="n">
        <v>2.1</v>
      </c>
      <c r="G1714" s="0" t="n">
        <v>17063</v>
      </c>
      <c r="H1714" s="6" t="s">
        <v>68</v>
      </c>
      <c r="I1714" s="6" t="n">
        <f aca="false">D1714*F1714</f>
        <v>44.1</v>
      </c>
      <c r="J1714" s="6" t="n">
        <f aca="false">HOUR(E1714)</f>
        <v>7</v>
      </c>
      <c r="K1714" s="6" t="n">
        <f aca="false">IF(COUNTIF($A$2:$A1714,A1714)=1,1,0)</f>
        <v>1</v>
      </c>
    </row>
    <row r="1715" customFormat="false" ht="15" hidden="false" customHeight="false" outlineLevel="0" collapsed="false">
      <c r="A1715" s="0" t="s">
        <v>420</v>
      </c>
      <c r="B1715" s="0" t="s">
        <v>107</v>
      </c>
      <c r="C1715" s="0" t="s">
        <v>108</v>
      </c>
      <c r="D1715" s="0" t="n">
        <v>8</v>
      </c>
      <c r="E1715" s="5" t="n">
        <v>45956.3028819444</v>
      </c>
      <c r="F1715" s="0" t="n">
        <v>3.75</v>
      </c>
      <c r="G1715" s="0" t="n">
        <v>17063</v>
      </c>
      <c r="H1715" s="6" t="s">
        <v>68</v>
      </c>
      <c r="I1715" s="6" t="n">
        <f aca="false">D1715*F1715</f>
        <v>30</v>
      </c>
      <c r="J1715" s="6" t="n">
        <f aca="false">HOUR(E1715)</f>
        <v>7</v>
      </c>
      <c r="K1715" s="6" t="n">
        <f aca="false">IF(COUNTIF($A$2:$A1715,A1715)=1,1,0)</f>
        <v>0</v>
      </c>
    </row>
    <row r="1716" customFormat="false" ht="15" hidden="false" customHeight="false" outlineLevel="0" collapsed="false">
      <c r="A1716" s="0" t="s">
        <v>421</v>
      </c>
      <c r="B1716" s="0" t="s">
        <v>116</v>
      </c>
      <c r="C1716" s="0" t="s">
        <v>117</v>
      </c>
      <c r="D1716" s="0" t="n">
        <v>14</v>
      </c>
      <c r="E1716" s="5" t="n">
        <v>45956.3613425926</v>
      </c>
      <c r="F1716" s="0" t="n">
        <v>1.95</v>
      </c>
      <c r="G1716" s="0" t="n">
        <v>17253</v>
      </c>
      <c r="H1716" s="6" t="s">
        <v>74</v>
      </c>
      <c r="I1716" s="6" t="n">
        <f aca="false">D1716*F1716</f>
        <v>27.3</v>
      </c>
      <c r="J1716" s="6" t="n">
        <f aca="false">HOUR(E1716)</f>
        <v>8</v>
      </c>
      <c r="K1716" s="6" t="n">
        <f aca="false">IF(COUNTIF($A$2:$A1716,A1716)=1,1,0)</f>
        <v>1</v>
      </c>
    </row>
    <row r="1717" customFormat="false" ht="15" hidden="false" customHeight="false" outlineLevel="0" collapsed="false">
      <c r="A1717" s="0" t="s">
        <v>422</v>
      </c>
      <c r="B1717" s="0" t="s">
        <v>72</v>
      </c>
      <c r="C1717" s="0" t="s">
        <v>73</v>
      </c>
      <c r="D1717" s="0" t="n">
        <v>26</v>
      </c>
      <c r="E1717" s="5" t="n">
        <v>45956.3985300926</v>
      </c>
      <c r="F1717" s="0" t="n">
        <v>4.95</v>
      </c>
      <c r="G1717" s="0" t="n">
        <v>17019</v>
      </c>
      <c r="H1717" s="6" t="s">
        <v>68</v>
      </c>
      <c r="I1717" s="6" t="n">
        <f aca="false">D1717*F1717</f>
        <v>128.7</v>
      </c>
      <c r="J1717" s="6" t="n">
        <f aca="false">HOUR(E1717)</f>
        <v>9</v>
      </c>
      <c r="K1717" s="6" t="n">
        <f aca="false">IF(COUNTIF($A$2:$A1717,A1717)=1,1,0)</f>
        <v>1</v>
      </c>
    </row>
    <row r="1718" customFormat="false" ht="15" hidden="false" customHeight="false" outlineLevel="0" collapsed="false">
      <c r="A1718" s="0" t="s">
        <v>422</v>
      </c>
      <c r="B1718" s="0" t="s">
        <v>45</v>
      </c>
      <c r="C1718" s="0" t="s">
        <v>46</v>
      </c>
      <c r="D1718" s="0" t="n">
        <v>4</v>
      </c>
      <c r="E1718" s="5" t="n">
        <v>45956.3985300926</v>
      </c>
      <c r="F1718" s="0" t="n">
        <v>2.1</v>
      </c>
      <c r="G1718" s="0" t="n">
        <v>17019</v>
      </c>
      <c r="H1718" s="6" t="s">
        <v>68</v>
      </c>
      <c r="I1718" s="6" t="n">
        <f aca="false">D1718*F1718</f>
        <v>8.4</v>
      </c>
      <c r="J1718" s="6" t="n">
        <f aca="false">HOUR(E1718)</f>
        <v>9</v>
      </c>
      <c r="K1718" s="6" t="n">
        <f aca="false">IF(COUNTIF($A$2:$A1718,A1718)=1,1,0)</f>
        <v>0</v>
      </c>
    </row>
    <row r="1719" customFormat="false" ht="15" hidden="false" customHeight="false" outlineLevel="0" collapsed="false">
      <c r="A1719" s="0" t="s">
        <v>423</v>
      </c>
      <c r="B1719" s="0" t="s">
        <v>50</v>
      </c>
      <c r="C1719" s="0" t="s">
        <v>51</v>
      </c>
      <c r="D1719" s="0" t="n">
        <v>13</v>
      </c>
      <c r="E1719" s="5" t="n">
        <v>45956.4084837963</v>
      </c>
      <c r="F1719" s="0" t="n">
        <v>5.95</v>
      </c>
      <c r="G1719" s="0" t="n">
        <v>17250</v>
      </c>
      <c r="H1719" s="6" t="s">
        <v>113</v>
      </c>
      <c r="I1719" s="6" t="n">
        <f aca="false">D1719*F1719</f>
        <v>77.35</v>
      </c>
      <c r="J1719" s="6" t="n">
        <f aca="false">HOUR(E1719)</f>
        <v>9</v>
      </c>
      <c r="K1719" s="6" t="n">
        <f aca="false">IF(COUNTIF($A$2:$A1719,A1719)=1,1,0)</f>
        <v>1</v>
      </c>
    </row>
    <row r="1720" customFormat="false" ht="15" hidden="false" customHeight="false" outlineLevel="0" collapsed="false">
      <c r="A1720" s="0" t="s">
        <v>423</v>
      </c>
      <c r="B1720" s="0" t="s">
        <v>118</v>
      </c>
      <c r="C1720" s="0" t="s">
        <v>119</v>
      </c>
      <c r="D1720" s="0" t="n">
        <v>8</v>
      </c>
      <c r="E1720" s="5" t="n">
        <v>45956.4084837963</v>
      </c>
      <c r="F1720" s="0" t="n">
        <v>4.95</v>
      </c>
      <c r="G1720" s="0" t="n">
        <v>17250</v>
      </c>
      <c r="H1720" s="6" t="s">
        <v>113</v>
      </c>
      <c r="I1720" s="6" t="n">
        <f aca="false">D1720*F1720</f>
        <v>39.6</v>
      </c>
      <c r="J1720" s="6" t="n">
        <f aca="false">HOUR(E1720)</f>
        <v>9</v>
      </c>
      <c r="K1720" s="6" t="n">
        <f aca="false">IF(COUNTIF($A$2:$A1720,A1720)=1,1,0)</f>
        <v>0</v>
      </c>
    </row>
    <row r="1721" customFormat="false" ht="15" hidden="false" customHeight="false" outlineLevel="0" collapsed="false">
      <c r="A1721" s="0" t="s">
        <v>423</v>
      </c>
      <c r="B1721" s="0" t="s">
        <v>127</v>
      </c>
      <c r="C1721" s="0" t="s">
        <v>128</v>
      </c>
      <c r="D1721" s="0" t="n">
        <v>18</v>
      </c>
      <c r="E1721" s="5" t="n">
        <v>45956.4084837963</v>
      </c>
      <c r="F1721" s="0" t="n">
        <v>1.45</v>
      </c>
      <c r="G1721" s="0" t="n">
        <v>17250</v>
      </c>
      <c r="H1721" s="6" t="s">
        <v>113</v>
      </c>
      <c r="I1721" s="6" t="n">
        <f aca="false">D1721*F1721</f>
        <v>26.1</v>
      </c>
      <c r="J1721" s="6" t="n">
        <f aca="false">HOUR(E1721)</f>
        <v>9</v>
      </c>
      <c r="K1721" s="6" t="n">
        <f aca="false">IF(COUNTIF($A$2:$A1721,A1721)=1,1,0)</f>
        <v>0</v>
      </c>
    </row>
    <row r="1722" customFormat="false" ht="15" hidden="false" customHeight="false" outlineLevel="0" collapsed="false">
      <c r="A1722" s="0" t="s">
        <v>423</v>
      </c>
      <c r="B1722" s="0" t="s">
        <v>88</v>
      </c>
      <c r="C1722" s="0" t="s">
        <v>89</v>
      </c>
      <c r="D1722" s="0" t="n">
        <v>15</v>
      </c>
      <c r="E1722" s="5" t="n">
        <v>45956.4084837963</v>
      </c>
      <c r="F1722" s="0" t="n">
        <v>2.75</v>
      </c>
      <c r="G1722" s="0" t="n">
        <v>17250</v>
      </c>
      <c r="H1722" s="6" t="s">
        <v>113</v>
      </c>
      <c r="I1722" s="6" t="n">
        <f aca="false">D1722*F1722</f>
        <v>41.25</v>
      </c>
      <c r="J1722" s="6" t="n">
        <f aca="false">HOUR(E1722)</f>
        <v>9</v>
      </c>
      <c r="K1722" s="6" t="n">
        <f aca="false">IF(COUNTIF($A$2:$A1722,A1722)=1,1,0)</f>
        <v>0</v>
      </c>
    </row>
    <row r="1723" customFormat="false" ht="15" hidden="false" customHeight="false" outlineLevel="0" collapsed="false">
      <c r="A1723" s="0" t="s">
        <v>423</v>
      </c>
      <c r="B1723" s="0" t="s">
        <v>69</v>
      </c>
      <c r="C1723" s="0" t="s">
        <v>70</v>
      </c>
      <c r="D1723" s="0" t="n">
        <v>21</v>
      </c>
      <c r="E1723" s="5" t="n">
        <v>45956.4084837963</v>
      </c>
      <c r="F1723" s="0" t="n">
        <v>2.08</v>
      </c>
      <c r="G1723" s="0" t="n">
        <v>17250</v>
      </c>
      <c r="H1723" s="6" t="s">
        <v>113</v>
      </c>
      <c r="I1723" s="6" t="n">
        <f aca="false">D1723*F1723</f>
        <v>43.68</v>
      </c>
      <c r="J1723" s="6" t="n">
        <f aca="false">HOUR(E1723)</f>
        <v>9</v>
      </c>
      <c r="K1723" s="6" t="n">
        <f aca="false">IF(COUNTIF($A$2:$A1723,A1723)=1,1,0)</f>
        <v>0</v>
      </c>
    </row>
    <row r="1724" customFormat="false" ht="15" hidden="false" customHeight="false" outlineLevel="0" collapsed="false">
      <c r="A1724" s="0" t="s">
        <v>423</v>
      </c>
      <c r="B1724" s="0" t="s">
        <v>104</v>
      </c>
      <c r="C1724" s="0" t="s">
        <v>105</v>
      </c>
      <c r="D1724" s="0" t="n">
        <v>24</v>
      </c>
      <c r="E1724" s="5" t="n">
        <v>45956.4084837963</v>
      </c>
      <c r="F1724" s="0" t="n">
        <v>1.65</v>
      </c>
      <c r="G1724" s="0" t="n">
        <v>17250</v>
      </c>
      <c r="H1724" s="6" t="s">
        <v>113</v>
      </c>
      <c r="I1724" s="6" t="n">
        <f aca="false">D1724*F1724</f>
        <v>39.6</v>
      </c>
      <c r="J1724" s="6" t="n">
        <f aca="false">HOUR(E1724)</f>
        <v>9</v>
      </c>
      <c r="K1724" s="6" t="n">
        <f aca="false">IF(COUNTIF($A$2:$A1724,A1724)=1,1,0)</f>
        <v>0</v>
      </c>
    </row>
    <row r="1725" customFormat="false" ht="15" hidden="false" customHeight="false" outlineLevel="0" collapsed="false">
      <c r="A1725" s="0" t="s">
        <v>424</v>
      </c>
      <c r="B1725" s="0" t="s">
        <v>81</v>
      </c>
      <c r="D1725" s="0" t="n">
        <v>3</v>
      </c>
      <c r="E1725" s="5" t="n">
        <v>45956.409212963</v>
      </c>
      <c r="F1725" s="0" t="n">
        <v>1.65</v>
      </c>
      <c r="G1725" s="0" t="n">
        <v>17209</v>
      </c>
      <c r="H1725" s="6" t="s">
        <v>74</v>
      </c>
      <c r="I1725" s="6" t="n">
        <f aca="false">D1725*F1725</f>
        <v>4.95</v>
      </c>
      <c r="J1725" s="6" t="n">
        <f aca="false">HOUR(E1725)</f>
        <v>9</v>
      </c>
      <c r="K1725" s="6" t="n">
        <f aca="false">IF(COUNTIF($A$2:$A1725,A1725)=1,1,0)</f>
        <v>1</v>
      </c>
    </row>
    <row r="1726" customFormat="false" ht="15" hidden="false" customHeight="false" outlineLevel="0" collapsed="false">
      <c r="A1726" s="0" t="s">
        <v>424</v>
      </c>
      <c r="B1726" s="0" t="s">
        <v>109</v>
      </c>
      <c r="C1726" s="0" t="s">
        <v>110</v>
      </c>
      <c r="D1726" s="0" t="n">
        <v>19</v>
      </c>
      <c r="E1726" s="5" t="n">
        <v>45956.409212963</v>
      </c>
      <c r="F1726" s="0" t="n">
        <v>0.85</v>
      </c>
      <c r="G1726" s="0" t="n">
        <v>17209</v>
      </c>
      <c r="H1726" s="6" t="s">
        <v>74</v>
      </c>
      <c r="I1726" s="6" t="n">
        <f aca="false">D1726*F1726</f>
        <v>16.15</v>
      </c>
      <c r="J1726" s="6" t="n">
        <f aca="false">HOUR(E1726)</f>
        <v>9</v>
      </c>
      <c r="K1726" s="6" t="n">
        <f aca="false">IF(COUNTIF($A$2:$A1726,A1726)=1,1,0)</f>
        <v>0</v>
      </c>
    </row>
    <row r="1727" customFormat="false" ht="15" hidden="false" customHeight="false" outlineLevel="0" collapsed="false">
      <c r="A1727" s="0" t="s">
        <v>424</v>
      </c>
      <c r="B1727" s="0" t="s">
        <v>45</v>
      </c>
      <c r="C1727" s="0" t="s">
        <v>46</v>
      </c>
      <c r="D1727" s="0" t="n">
        <v>5</v>
      </c>
      <c r="E1727" s="5" t="n">
        <v>45956.409212963</v>
      </c>
      <c r="F1727" s="0" t="n">
        <v>2.1</v>
      </c>
      <c r="G1727" s="0" t="n">
        <v>17209</v>
      </c>
      <c r="H1727" s="6" t="s">
        <v>74</v>
      </c>
      <c r="I1727" s="6" t="n">
        <f aca="false">D1727*F1727</f>
        <v>10.5</v>
      </c>
      <c r="J1727" s="6" t="n">
        <f aca="false">HOUR(E1727)</f>
        <v>9</v>
      </c>
      <c r="K1727" s="6" t="n">
        <f aca="false">IF(COUNTIF($A$2:$A1727,A1727)=1,1,0)</f>
        <v>0</v>
      </c>
    </row>
    <row r="1728" customFormat="false" ht="15" hidden="false" customHeight="false" outlineLevel="0" collapsed="false">
      <c r="A1728" s="0" t="s">
        <v>424</v>
      </c>
      <c r="B1728" s="0" t="s">
        <v>88</v>
      </c>
      <c r="C1728" s="0" t="s">
        <v>89</v>
      </c>
      <c r="D1728" s="0" t="n">
        <v>1</v>
      </c>
      <c r="E1728" s="5" t="n">
        <v>45956.409212963</v>
      </c>
      <c r="F1728" s="0" t="n">
        <v>2.75</v>
      </c>
      <c r="G1728" s="0" t="n">
        <v>17209</v>
      </c>
      <c r="H1728" s="6" t="s">
        <v>74</v>
      </c>
      <c r="I1728" s="6" t="n">
        <f aca="false">D1728*F1728</f>
        <v>2.75</v>
      </c>
      <c r="J1728" s="6" t="n">
        <f aca="false">HOUR(E1728)</f>
        <v>9</v>
      </c>
      <c r="K1728" s="6" t="n">
        <f aca="false">IF(COUNTIF($A$2:$A1728,A1728)=1,1,0)</f>
        <v>0</v>
      </c>
    </row>
    <row r="1729" customFormat="false" ht="15" hidden="false" customHeight="false" outlineLevel="0" collapsed="false">
      <c r="A1729" s="0" t="s">
        <v>424</v>
      </c>
      <c r="B1729" s="0" t="s">
        <v>121</v>
      </c>
      <c r="C1729" s="0" t="s">
        <v>122</v>
      </c>
      <c r="D1729" s="0" t="n">
        <v>16</v>
      </c>
      <c r="E1729" s="5" t="n">
        <v>45956.409212963</v>
      </c>
      <c r="F1729" s="0" t="n">
        <v>2.1</v>
      </c>
      <c r="G1729" s="0" t="n">
        <v>17209</v>
      </c>
      <c r="H1729" s="6" t="s">
        <v>74</v>
      </c>
      <c r="I1729" s="6" t="n">
        <f aca="false">D1729*F1729</f>
        <v>33.6</v>
      </c>
      <c r="J1729" s="6" t="n">
        <f aca="false">HOUR(E1729)</f>
        <v>9</v>
      </c>
      <c r="K1729" s="6" t="n">
        <f aca="false">IF(COUNTIF($A$2:$A1729,A1729)=1,1,0)</f>
        <v>0</v>
      </c>
    </row>
    <row r="1730" customFormat="false" ht="15" hidden="false" customHeight="false" outlineLevel="0" collapsed="false">
      <c r="A1730" s="0" t="s">
        <v>425</v>
      </c>
      <c r="B1730" s="0" t="s">
        <v>95</v>
      </c>
      <c r="C1730" s="0" t="s">
        <v>96</v>
      </c>
      <c r="D1730" s="0" t="n">
        <v>31</v>
      </c>
      <c r="E1730" s="5" t="n">
        <v>45956.5118402778</v>
      </c>
      <c r="F1730" s="0" t="n">
        <v>2.55</v>
      </c>
      <c r="G1730" s="0" t="n">
        <v>17215</v>
      </c>
      <c r="H1730" s="6" t="s">
        <v>74</v>
      </c>
      <c r="I1730" s="6" t="n">
        <f aca="false">D1730*F1730</f>
        <v>79.05</v>
      </c>
      <c r="J1730" s="6" t="n">
        <f aca="false">HOUR(E1730)</f>
        <v>12</v>
      </c>
      <c r="K1730" s="6" t="n">
        <f aca="false">IF(COUNTIF($A$2:$A1730,A1730)=1,1,0)</f>
        <v>1</v>
      </c>
    </row>
    <row r="1731" customFormat="false" ht="15" hidden="false" customHeight="false" outlineLevel="0" collapsed="false">
      <c r="A1731" s="0" t="s">
        <v>425</v>
      </c>
      <c r="B1731" s="0" t="s">
        <v>55</v>
      </c>
      <c r="C1731" s="0" t="s">
        <v>56</v>
      </c>
      <c r="D1731" s="0" t="n">
        <v>19</v>
      </c>
      <c r="E1731" s="5" t="n">
        <v>45956.5118402778</v>
      </c>
      <c r="F1731" s="0" t="n">
        <v>1.65</v>
      </c>
      <c r="G1731" s="0" t="n">
        <v>17215</v>
      </c>
      <c r="H1731" s="6" t="s">
        <v>74</v>
      </c>
      <c r="I1731" s="6" t="n">
        <f aca="false">D1731*F1731</f>
        <v>31.35</v>
      </c>
      <c r="J1731" s="6" t="n">
        <f aca="false">HOUR(E1731)</f>
        <v>12</v>
      </c>
      <c r="K1731" s="6" t="n">
        <f aca="false">IF(COUNTIF($A$2:$A1731,A1731)=1,1,0)</f>
        <v>0</v>
      </c>
    </row>
    <row r="1732" customFormat="false" ht="15" hidden="false" customHeight="false" outlineLevel="0" collapsed="false">
      <c r="A1732" s="0" t="s">
        <v>425</v>
      </c>
      <c r="B1732" s="0" t="s">
        <v>50</v>
      </c>
      <c r="C1732" s="0" t="s">
        <v>51</v>
      </c>
      <c r="D1732" s="0" t="n">
        <v>24</v>
      </c>
      <c r="E1732" s="5" t="n">
        <v>45956.5118402778</v>
      </c>
      <c r="F1732" s="0" t="n">
        <v>5.95</v>
      </c>
      <c r="G1732" s="0" t="n">
        <v>17215</v>
      </c>
      <c r="H1732" s="6" t="s">
        <v>74</v>
      </c>
      <c r="I1732" s="6" t="n">
        <f aca="false">D1732*F1732</f>
        <v>142.8</v>
      </c>
      <c r="J1732" s="6" t="n">
        <f aca="false">HOUR(E1732)</f>
        <v>12</v>
      </c>
      <c r="K1732" s="6" t="n">
        <f aca="false">IF(COUNTIF($A$2:$A1732,A1732)=1,1,0)</f>
        <v>0</v>
      </c>
    </row>
    <row r="1733" customFormat="false" ht="15" hidden="false" customHeight="false" outlineLevel="0" collapsed="false">
      <c r="A1733" s="0" t="s">
        <v>425</v>
      </c>
      <c r="B1733" s="0" t="s">
        <v>140</v>
      </c>
      <c r="C1733" s="0" t="s">
        <v>141</v>
      </c>
      <c r="D1733" s="0" t="n">
        <v>3</v>
      </c>
      <c r="E1733" s="5" t="n">
        <v>45956.5118402778</v>
      </c>
      <c r="F1733" s="0" t="n">
        <v>2.08</v>
      </c>
      <c r="G1733" s="0" t="n">
        <v>17215</v>
      </c>
      <c r="H1733" s="6" t="s">
        <v>74</v>
      </c>
      <c r="I1733" s="6" t="n">
        <f aca="false">D1733*F1733</f>
        <v>6.24</v>
      </c>
      <c r="J1733" s="6" t="n">
        <f aca="false">HOUR(E1733)</f>
        <v>12</v>
      </c>
      <c r="K1733" s="6" t="n">
        <f aca="false">IF(COUNTIF($A$2:$A1733,A1733)=1,1,0)</f>
        <v>0</v>
      </c>
    </row>
    <row r="1734" customFormat="false" ht="15" hidden="false" customHeight="false" outlineLevel="0" collapsed="false">
      <c r="A1734" s="0" t="s">
        <v>425</v>
      </c>
      <c r="B1734" s="0" t="s">
        <v>57</v>
      </c>
      <c r="C1734" s="0" t="s">
        <v>58</v>
      </c>
      <c r="D1734" s="0" t="n">
        <v>16</v>
      </c>
      <c r="E1734" s="5" t="n">
        <v>45956.5118402778</v>
      </c>
      <c r="F1734" s="0" t="n">
        <v>2.08</v>
      </c>
      <c r="G1734" s="0" t="n">
        <v>17215</v>
      </c>
      <c r="H1734" s="6" t="s">
        <v>74</v>
      </c>
      <c r="I1734" s="6" t="n">
        <f aca="false">D1734*F1734</f>
        <v>33.28</v>
      </c>
      <c r="J1734" s="6" t="n">
        <f aca="false">HOUR(E1734)</f>
        <v>12</v>
      </c>
      <c r="K1734" s="6" t="n">
        <f aca="false">IF(COUNTIF($A$2:$A1734,A1734)=1,1,0)</f>
        <v>0</v>
      </c>
    </row>
    <row r="1735" customFormat="false" ht="15" hidden="false" customHeight="false" outlineLevel="0" collapsed="false">
      <c r="A1735" s="0" t="s">
        <v>425</v>
      </c>
      <c r="B1735" s="0" t="s">
        <v>75</v>
      </c>
      <c r="C1735" s="0" t="s">
        <v>76</v>
      </c>
      <c r="D1735" s="0" t="n">
        <v>21</v>
      </c>
      <c r="E1735" s="5" t="n">
        <v>45956.5118402778</v>
      </c>
      <c r="F1735" s="0" t="n">
        <v>3.39</v>
      </c>
      <c r="G1735" s="0" t="n">
        <v>17215</v>
      </c>
      <c r="H1735" s="6" t="s">
        <v>74</v>
      </c>
      <c r="I1735" s="6" t="n">
        <f aca="false">D1735*F1735</f>
        <v>71.19</v>
      </c>
      <c r="J1735" s="6" t="n">
        <f aca="false">HOUR(E1735)</f>
        <v>12</v>
      </c>
      <c r="K1735" s="6" t="n">
        <f aca="false">IF(COUNTIF($A$2:$A1735,A1735)=1,1,0)</f>
        <v>0</v>
      </c>
    </row>
    <row r="1736" customFormat="false" ht="15" hidden="false" customHeight="false" outlineLevel="0" collapsed="false">
      <c r="A1736" s="0" t="s">
        <v>425</v>
      </c>
      <c r="B1736" s="0" t="s">
        <v>145</v>
      </c>
      <c r="C1736" s="0" t="s">
        <v>146</v>
      </c>
      <c r="D1736" s="0" t="n">
        <v>14</v>
      </c>
      <c r="E1736" s="5" t="n">
        <v>45956.5118402778</v>
      </c>
      <c r="F1736" s="0" t="n">
        <v>1.85</v>
      </c>
      <c r="G1736" s="0" t="n">
        <v>17215</v>
      </c>
      <c r="H1736" s="6" t="s">
        <v>74</v>
      </c>
      <c r="I1736" s="6" t="n">
        <f aca="false">D1736*F1736</f>
        <v>25.9</v>
      </c>
      <c r="J1736" s="6" t="n">
        <f aca="false">HOUR(E1736)</f>
        <v>12</v>
      </c>
      <c r="K1736" s="6" t="n">
        <f aca="false">IF(COUNTIF($A$2:$A1736,A1736)=1,1,0)</f>
        <v>0</v>
      </c>
    </row>
    <row r="1737" customFormat="false" ht="15" hidden="false" customHeight="false" outlineLevel="0" collapsed="false">
      <c r="A1737" s="0" t="s">
        <v>425</v>
      </c>
      <c r="B1737" s="0" t="s">
        <v>125</v>
      </c>
      <c r="C1737" s="0" t="s">
        <v>126</v>
      </c>
      <c r="D1737" s="0" t="n">
        <v>12</v>
      </c>
      <c r="E1737" s="5" t="n">
        <v>45956.5118402778</v>
      </c>
      <c r="F1737" s="0" t="n">
        <v>1.25</v>
      </c>
      <c r="G1737" s="0" t="n">
        <v>17215</v>
      </c>
      <c r="H1737" s="6" t="s">
        <v>74</v>
      </c>
      <c r="I1737" s="6" t="n">
        <f aca="false">D1737*F1737</f>
        <v>15</v>
      </c>
      <c r="J1737" s="6" t="n">
        <f aca="false">HOUR(E1737)</f>
        <v>12</v>
      </c>
      <c r="K1737" s="6" t="n">
        <f aca="false">IF(COUNTIF($A$2:$A1737,A1737)=1,1,0)</f>
        <v>0</v>
      </c>
    </row>
    <row r="1738" customFormat="false" ht="15" hidden="false" customHeight="false" outlineLevel="0" collapsed="false">
      <c r="A1738" s="0" t="s">
        <v>426</v>
      </c>
      <c r="B1738" s="0" t="s">
        <v>95</v>
      </c>
      <c r="C1738" s="0" t="s">
        <v>96</v>
      </c>
      <c r="D1738" s="0" t="n">
        <v>38</v>
      </c>
      <c r="E1738" s="5" t="n">
        <v>45956.5232291667</v>
      </c>
      <c r="F1738" s="0" t="n">
        <v>2.55</v>
      </c>
      <c r="H1738" s="6" t="s">
        <v>74</v>
      </c>
      <c r="I1738" s="6" t="n">
        <f aca="false">D1738*F1738</f>
        <v>96.9</v>
      </c>
      <c r="J1738" s="6" t="n">
        <f aca="false">HOUR(E1738)</f>
        <v>12</v>
      </c>
      <c r="K1738" s="6" t="n">
        <f aca="false">IF(COUNTIF($A$2:$A1738,A1738)=1,1,0)</f>
        <v>1</v>
      </c>
    </row>
    <row r="1739" customFormat="false" ht="15" hidden="false" customHeight="false" outlineLevel="0" collapsed="false">
      <c r="A1739" s="0" t="s">
        <v>427</v>
      </c>
      <c r="B1739" s="0" t="s">
        <v>63</v>
      </c>
      <c r="C1739" s="0" t="s">
        <v>64</v>
      </c>
      <c r="D1739" s="0" t="n">
        <v>11</v>
      </c>
      <c r="E1739" s="5" t="n">
        <v>45956.5316898148</v>
      </c>
      <c r="F1739" s="0" t="n">
        <v>1.85</v>
      </c>
      <c r="G1739" s="0" t="n">
        <v>17165</v>
      </c>
      <c r="H1739" s="6" t="s">
        <v>74</v>
      </c>
      <c r="I1739" s="6" t="n">
        <f aca="false">D1739*F1739</f>
        <v>20.35</v>
      </c>
      <c r="J1739" s="6" t="n">
        <f aca="false">HOUR(E1739)</f>
        <v>12</v>
      </c>
      <c r="K1739" s="6" t="n">
        <f aca="false">IF(COUNTIF($A$2:$A1739,A1739)=1,1,0)</f>
        <v>1</v>
      </c>
    </row>
    <row r="1740" customFormat="false" ht="15" hidden="false" customHeight="false" outlineLevel="0" collapsed="false">
      <c r="A1740" s="0" t="s">
        <v>428</v>
      </c>
      <c r="B1740" s="0" t="s">
        <v>61</v>
      </c>
      <c r="C1740" s="0" t="s">
        <v>62</v>
      </c>
      <c r="D1740" s="0" t="n">
        <v>18</v>
      </c>
      <c r="E1740" s="5" t="n">
        <v>45956.6373611111</v>
      </c>
      <c r="F1740" s="0" t="n">
        <v>1.65</v>
      </c>
      <c r="G1740" s="0" t="n">
        <v>17074</v>
      </c>
      <c r="H1740" s="6" t="s">
        <v>74</v>
      </c>
      <c r="I1740" s="6" t="n">
        <f aca="false">D1740*F1740</f>
        <v>29.7</v>
      </c>
      <c r="J1740" s="6" t="n">
        <f aca="false">HOUR(E1740)</f>
        <v>15</v>
      </c>
      <c r="K1740" s="6" t="n">
        <f aca="false">IF(COUNTIF($A$2:$A1740,A1740)=1,1,0)</f>
        <v>1</v>
      </c>
    </row>
    <row r="1741" customFormat="false" ht="15" hidden="false" customHeight="false" outlineLevel="0" collapsed="false">
      <c r="A1741" s="0" t="s">
        <v>429</v>
      </c>
      <c r="B1741" s="0" t="s">
        <v>59</v>
      </c>
      <c r="C1741" s="0" t="s">
        <v>60</v>
      </c>
      <c r="D1741" s="0" t="n">
        <v>2</v>
      </c>
      <c r="E1741" s="5" t="n">
        <v>45956.6844675926</v>
      </c>
      <c r="F1741" s="0" t="n">
        <v>0.42</v>
      </c>
      <c r="G1741" s="0" t="n">
        <v>17101</v>
      </c>
      <c r="H1741" s="6" t="s">
        <v>151</v>
      </c>
      <c r="I1741" s="6" t="n">
        <f aca="false">D1741*F1741</f>
        <v>0.84</v>
      </c>
      <c r="J1741" s="6" t="n">
        <f aca="false">HOUR(E1741)</f>
        <v>16</v>
      </c>
      <c r="K1741" s="6" t="n">
        <f aca="false">IF(COUNTIF($A$2:$A1741,A1741)=1,1,0)</f>
        <v>1</v>
      </c>
    </row>
    <row r="1742" customFormat="false" ht="15" hidden="false" customHeight="false" outlineLevel="0" collapsed="false">
      <c r="A1742" s="0" t="s">
        <v>429</v>
      </c>
      <c r="B1742" s="0" t="s">
        <v>65</v>
      </c>
      <c r="C1742" s="0" t="s">
        <v>66</v>
      </c>
      <c r="D1742" s="0" t="n">
        <v>4</v>
      </c>
      <c r="E1742" s="5" t="n">
        <v>45956.6844675926</v>
      </c>
      <c r="F1742" s="0" t="n">
        <v>1.65</v>
      </c>
      <c r="G1742" s="0" t="n">
        <v>17101</v>
      </c>
      <c r="H1742" s="6" t="s">
        <v>151</v>
      </c>
      <c r="I1742" s="6" t="n">
        <f aca="false">D1742*F1742</f>
        <v>6.6</v>
      </c>
      <c r="J1742" s="6" t="n">
        <f aca="false">HOUR(E1742)</f>
        <v>16</v>
      </c>
      <c r="K1742" s="6" t="n">
        <f aca="false">IF(COUNTIF($A$2:$A1742,A1742)=1,1,0)</f>
        <v>0</v>
      </c>
    </row>
    <row r="1743" customFormat="false" ht="15" hidden="false" customHeight="false" outlineLevel="0" collapsed="false">
      <c r="A1743" s="0" t="s">
        <v>429</v>
      </c>
      <c r="B1743" s="0" t="s">
        <v>77</v>
      </c>
      <c r="C1743" s="0" t="s">
        <v>78</v>
      </c>
      <c r="D1743" s="0" t="n">
        <v>17</v>
      </c>
      <c r="E1743" s="5" t="n">
        <v>45956.6844675926</v>
      </c>
      <c r="F1743" s="0" t="n">
        <v>1.65</v>
      </c>
      <c r="G1743" s="0" t="n">
        <v>17101</v>
      </c>
      <c r="H1743" s="6" t="s">
        <v>151</v>
      </c>
      <c r="I1743" s="6" t="n">
        <f aca="false">D1743*F1743</f>
        <v>28.05</v>
      </c>
      <c r="J1743" s="6" t="n">
        <f aca="false">HOUR(E1743)</f>
        <v>16</v>
      </c>
      <c r="K1743" s="6" t="n">
        <f aca="false">IF(COUNTIF($A$2:$A1743,A1743)=1,1,0)</f>
        <v>0</v>
      </c>
    </row>
    <row r="1744" customFormat="false" ht="15" hidden="false" customHeight="false" outlineLevel="0" collapsed="false">
      <c r="A1744" s="0" t="s">
        <v>429</v>
      </c>
      <c r="B1744" s="0" t="s">
        <v>114</v>
      </c>
      <c r="C1744" s="0" t="s">
        <v>115</v>
      </c>
      <c r="D1744" s="0" t="n">
        <v>9</v>
      </c>
      <c r="E1744" s="5" t="n">
        <v>45956.6844675926</v>
      </c>
      <c r="F1744" s="0" t="n">
        <v>2.08</v>
      </c>
      <c r="G1744" s="0" t="n">
        <v>17101</v>
      </c>
      <c r="H1744" s="6" t="s">
        <v>151</v>
      </c>
      <c r="I1744" s="6" t="n">
        <f aca="false">D1744*F1744</f>
        <v>18.72</v>
      </c>
      <c r="J1744" s="6" t="n">
        <f aca="false">HOUR(E1744)</f>
        <v>16</v>
      </c>
      <c r="K1744" s="6" t="n">
        <f aca="false">IF(COUNTIF($A$2:$A1744,A1744)=1,1,0)</f>
        <v>0</v>
      </c>
    </row>
    <row r="1745" customFormat="false" ht="15" hidden="false" customHeight="false" outlineLevel="0" collapsed="false">
      <c r="A1745" s="0" t="s">
        <v>429</v>
      </c>
      <c r="B1745" s="0" t="s">
        <v>40</v>
      </c>
      <c r="C1745" s="0" t="s">
        <v>41</v>
      </c>
      <c r="D1745" s="0" t="n">
        <v>5</v>
      </c>
      <c r="E1745" s="5" t="n">
        <v>45956.6844675926</v>
      </c>
      <c r="F1745" s="0" t="n">
        <v>1.06</v>
      </c>
      <c r="G1745" s="0" t="n">
        <v>17101</v>
      </c>
      <c r="H1745" s="6" t="s">
        <v>151</v>
      </c>
      <c r="I1745" s="6" t="n">
        <f aca="false">D1745*F1745</f>
        <v>5.3</v>
      </c>
      <c r="J1745" s="6" t="n">
        <f aca="false">HOUR(E1745)</f>
        <v>16</v>
      </c>
      <c r="K1745" s="6" t="n">
        <f aca="false">IF(COUNTIF($A$2:$A1745,A1745)=1,1,0)</f>
        <v>0</v>
      </c>
    </row>
    <row r="1746" customFormat="false" ht="15" hidden="false" customHeight="false" outlineLevel="0" collapsed="false">
      <c r="A1746" s="0" t="s">
        <v>429</v>
      </c>
      <c r="B1746" s="0" t="s">
        <v>127</v>
      </c>
      <c r="C1746" s="0" t="s">
        <v>128</v>
      </c>
      <c r="D1746" s="0" t="n">
        <v>1</v>
      </c>
      <c r="E1746" s="5" t="n">
        <v>45956.6844675926</v>
      </c>
      <c r="F1746" s="0" t="n">
        <v>1.45</v>
      </c>
      <c r="G1746" s="0" t="n">
        <v>17101</v>
      </c>
      <c r="H1746" s="6" t="s">
        <v>151</v>
      </c>
      <c r="I1746" s="6" t="n">
        <f aca="false">D1746*F1746</f>
        <v>1.45</v>
      </c>
      <c r="J1746" s="6" t="n">
        <f aca="false">HOUR(E1746)</f>
        <v>16</v>
      </c>
      <c r="K1746" s="6" t="n">
        <f aca="false">IF(COUNTIF($A$2:$A1746,A1746)=1,1,0)</f>
        <v>0</v>
      </c>
    </row>
    <row r="1747" customFormat="false" ht="15" hidden="false" customHeight="false" outlineLevel="0" collapsed="false">
      <c r="A1747" s="0" t="s">
        <v>430</v>
      </c>
      <c r="B1747" s="0" t="s">
        <v>121</v>
      </c>
      <c r="C1747" s="0" t="s">
        <v>122</v>
      </c>
      <c r="D1747" s="0" t="n">
        <v>16</v>
      </c>
      <c r="E1747" s="5" t="n">
        <v>45956.7966666667</v>
      </c>
      <c r="F1747" s="0" t="n">
        <v>2.1</v>
      </c>
      <c r="G1747" s="0" t="n">
        <v>17169</v>
      </c>
      <c r="H1747" s="6" t="s">
        <v>74</v>
      </c>
      <c r="I1747" s="6" t="n">
        <f aca="false">D1747*F1747</f>
        <v>33.6</v>
      </c>
      <c r="J1747" s="6" t="n">
        <f aca="false">HOUR(E1747)</f>
        <v>19</v>
      </c>
      <c r="K1747" s="6" t="n">
        <f aca="false">IF(COUNTIF($A$2:$A1747,A1747)=1,1,0)</f>
        <v>1</v>
      </c>
    </row>
    <row r="1748" customFormat="false" ht="15" hidden="false" customHeight="false" outlineLevel="0" collapsed="false">
      <c r="A1748" s="0" t="s">
        <v>431</v>
      </c>
      <c r="B1748" s="0" t="s">
        <v>43</v>
      </c>
      <c r="C1748" s="0" t="s">
        <v>44</v>
      </c>
      <c r="D1748" s="0" t="n">
        <v>15</v>
      </c>
      <c r="E1748" s="5" t="n">
        <v>45956.8866203704</v>
      </c>
      <c r="F1748" s="0" t="n">
        <v>4.25</v>
      </c>
      <c r="G1748" s="0" t="n">
        <v>17219</v>
      </c>
      <c r="H1748" s="6" t="s">
        <v>74</v>
      </c>
      <c r="I1748" s="6" t="n">
        <f aca="false">D1748*F1748</f>
        <v>63.75</v>
      </c>
      <c r="J1748" s="6" t="n">
        <f aca="false">HOUR(E1748)</f>
        <v>21</v>
      </c>
      <c r="K1748" s="6" t="n">
        <f aca="false">IF(COUNTIF($A$2:$A1748,A1748)=1,1,0)</f>
        <v>1</v>
      </c>
    </row>
    <row r="1749" customFormat="false" ht="15" hidden="false" customHeight="false" outlineLevel="0" collapsed="false">
      <c r="A1749" s="0" t="s">
        <v>431</v>
      </c>
      <c r="B1749" s="0" t="s">
        <v>50</v>
      </c>
      <c r="C1749" s="0" t="s">
        <v>51</v>
      </c>
      <c r="D1749" s="0" t="n">
        <v>9</v>
      </c>
      <c r="E1749" s="5" t="n">
        <v>45956.8866203704</v>
      </c>
      <c r="F1749" s="0" t="n">
        <v>5.95</v>
      </c>
      <c r="G1749" s="0" t="n">
        <v>17219</v>
      </c>
      <c r="H1749" s="6" t="s">
        <v>74</v>
      </c>
      <c r="I1749" s="6" t="n">
        <f aca="false">D1749*F1749</f>
        <v>53.55</v>
      </c>
      <c r="J1749" s="6" t="n">
        <f aca="false">HOUR(E1749)</f>
        <v>21</v>
      </c>
      <c r="K1749" s="6" t="n">
        <f aca="false">IF(COUNTIF($A$2:$A1749,A1749)=1,1,0)</f>
        <v>0</v>
      </c>
    </row>
    <row r="1750" customFormat="false" ht="15" hidden="false" customHeight="false" outlineLevel="0" collapsed="false">
      <c r="A1750" s="0" t="s">
        <v>431</v>
      </c>
      <c r="B1750" s="0" t="s">
        <v>63</v>
      </c>
      <c r="C1750" s="0" t="s">
        <v>64</v>
      </c>
      <c r="D1750" s="0" t="n">
        <v>10</v>
      </c>
      <c r="E1750" s="5" t="n">
        <v>45956.8866203704</v>
      </c>
      <c r="F1750" s="0" t="n">
        <v>1.85</v>
      </c>
      <c r="G1750" s="0" t="n">
        <v>17219</v>
      </c>
      <c r="H1750" s="6" t="s">
        <v>74</v>
      </c>
      <c r="I1750" s="6" t="n">
        <f aca="false">D1750*F1750</f>
        <v>18.5</v>
      </c>
      <c r="J1750" s="6" t="n">
        <f aca="false">HOUR(E1750)</f>
        <v>21</v>
      </c>
      <c r="K1750" s="6" t="n">
        <f aca="false">IF(COUNTIF($A$2:$A1750,A1750)=1,1,0)</f>
        <v>0</v>
      </c>
    </row>
    <row r="1751" customFormat="false" ht="15" hidden="false" customHeight="false" outlineLevel="0" collapsed="false">
      <c r="A1751" s="0" t="s">
        <v>431</v>
      </c>
      <c r="B1751" s="0" t="s">
        <v>95</v>
      </c>
      <c r="C1751" s="0" t="s">
        <v>96</v>
      </c>
      <c r="D1751" s="0" t="n">
        <v>32</v>
      </c>
      <c r="E1751" s="5" t="n">
        <v>45956.8866203704</v>
      </c>
      <c r="F1751" s="0" t="n">
        <v>2.55</v>
      </c>
      <c r="G1751" s="0" t="n">
        <v>17219</v>
      </c>
      <c r="H1751" s="6" t="s">
        <v>74</v>
      </c>
      <c r="I1751" s="6" t="n">
        <f aca="false">D1751*F1751</f>
        <v>81.6</v>
      </c>
      <c r="J1751" s="6" t="n">
        <f aca="false">HOUR(E1751)</f>
        <v>21</v>
      </c>
      <c r="K1751" s="6" t="n">
        <f aca="false">IF(COUNTIF($A$2:$A1751,A1751)=1,1,0)</f>
        <v>0</v>
      </c>
    </row>
    <row r="1752" customFormat="false" ht="15" hidden="false" customHeight="false" outlineLevel="0" collapsed="false">
      <c r="A1752" s="0" t="s">
        <v>431</v>
      </c>
      <c r="B1752" s="0" t="s">
        <v>55</v>
      </c>
      <c r="C1752" s="0" t="s">
        <v>56</v>
      </c>
      <c r="D1752" s="0" t="n">
        <v>4</v>
      </c>
      <c r="E1752" s="5" t="n">
        <v>45956.8866203704</v>
      </c>
      <c r="F1752" s="0" t="n">
        <v>1.65</v>
      </c>
      <c r="G1752" s="0" t="n">
        <v>17219</v>
      </c>
      <c r="H1752" s="6" t="s">
        <v>74</v>
      </c>
      <c r="I1752" s="6" t="n">
        <f aca="false">D1752*F1752</f>
        <v>6.6</v>
      </c>
      <c r="J1752" s="6" t="n">
        <f aca="false">HOUR(E1752)</f>
        <v>21</v>
      </c>
      <c r="K1752" s="6" t="n">
        <f aca="false">IF(COUNTIF($A$2:$A1752,A1752)=1,1,0)</f>
        <v>0</v>
      </c>
    </row>
    <row r="1753" customFormat="false" ht="15" hidden="false" customHeight="false" outlineLevel="0" collapsed="false">
      <c r="A1753" s="0" t="s">
        <v>431</v>
      </c>
      <c r="B1753" s="0" t="s">
        <v>121</v>
      </c>
      <c r="C1753" s="0" t="s">
        <v>122</v>
      </c>
      <c r="D1753" s="0" t="n">
        <v>7</v>
      </c>
      <c r="E1753" s="5" t="n">
        <v>45956.8866203704</v>
      </c>
      <c r="F1753" s="0" t="n">
        <v>2.1</v>
      </c>
      <c r="G1753" s="0" t="n">
        <v>17219</v>
      </c>
      <c r="H1753" s="6" t="s">
        <v>74</v>
      </c>
      <c r="I1753" s="6" t="n">
        <f aca="false">D1753*F1753</f>
        <v>14.7</v>
      </c>
      <c r="J1753" s="6" t="n">
        <f aca="false">HOUR(E1753)</f>
        <v>21</v>
      </c>
      <c r="K1753" s="6" t="n">
        <f aca="false">IF(COUNTIF($A$2:$A1753,A1753)=1,1,0)</f>
        <v>0</v>
      </c>
    </row>
    <row r="1754" customFormat="false" ht="15" hidden="false" customHeight="false" outlineLevel="0" collapsed="false">
      <c r="A1754" s="0" t="s">
        <v>431</v>
      </c>
      <c r="B1754" s="0" t="s">
        <v>91</v>
      </c>
      <c r="C1754" s="0" t="s">
        <v>92</v>
      </c>
      <c r="D1754" s="0" t="n">
        <v>9</v>
      </c>
      <c r="E1754" s="5" t="n">
        <v>45956.8866203704</v>
      </c>
      <c r="F1754" s="0" t="n">
        <v>7.65</v>
      </c>
      <c r="G1754" s="0" t="n">
        <v>17219</v>
      </c>
      <c r="H1754" s="6" t="s">
        <v>74</v>
      </c>
      <c r="I1754" s="6" t="n">
        <f aca="false">D1754*F1754</f>
        <v>68.85</v>
      </c>
      <c r="J1754" s="6" t="n">
        <f aca="false">HOUR(E1754)</f>
        <v>21</v>
      </c>
      <c r="K1754" s="6" t="n">
        <f aca="false">IF(COUNTIF($A$2:$A1754,A1754)=1,1,0)</f>
        <v>0</v>
      </c>
    </row>
    <row r="1755" customFormat="false" ht="15" hidden="false" customHeight="false" outlineLevel="0" collapsed="false">
      <c r="A1755" s="0" t="s">
        <v>431</v>
      </c>
      <c r="B1755" s="0" t="s">
        <v>93</v>
      </c>
      <c r="C1755" s="0" t="s">
        <v>94</v>
      </c>
      <c r="D1755" s="0" t="n">
        <v>7</v>
      </c>
      <c r="E1755" s="5" t="n">
        <v>45956.8866203704</v>
      </c>
      <c r="F1755" s="0" t="n">
        <v>1.69</v>
      </c>
      <c r="G1755" s="0" t="n">
        <v>17219</v>
      </c>
      <c r="H1755" s="6" t="s">
        <v>74</v>
      </c>
      <c r="I1755" s="6" t="n">
        <f aca="false">D1755*F1755</f>
        <v>11.83</v>
      </c>
      <c r="J1755" s="6" t="n">
        <f aca="false">HOUR(E1755)</f>
        <v>21</v>
      </c>
      <c r="K1755" s="6" t="n">
        <f aca="false">IF(COUNTIF($A$2:$A1755,A1755)=1,1,0)</f>
        <v>0</v>
      </c>
    </row>
    <row r="1756" customFormat="false" ht="15" hidden="false" customHeight="false" outlineLevel="0" collapsed="false">
      <c r="A1756" s="0" t="s">
        <v>431</v>
      </c>
      <c r="B1756" s="0" t="s">
        <v>127</v>
      </c>
      <c r="C1756" s="0" t="s">
        <v>128</v>
      </c>
      <c r="D1756" s="0" t="n">
        <v>5</v>
      </c>
      <c r="E1756" s="5" t="n">
        <v>45956.8866203704</v>
      </c>
      <c r="F1756" s="0" t="n">
        <v>1.45</v>
      </c>
      <c r="G1756" s="0" t="n">
        <v>17219</v>
      </c>
      <c r="H1756" s="6" t="s">
        <v>74</v>
      </c>
      <c r="I1756" s="6" t="n">
        <f aca="false">D1756*F1756</f>
        <v>7.25</v>
      </c>
      <c r="J1756" s="6" t="n">
        <f aca="false">HOUR(E1756)</f>
        <v>21</v>
      </c>
      <c r="K1756" s="6" t="n">
        <f aca="false">IF(COUNTIF($A$2:$A1756,A1756)=1,1,0)</f>
        <v>0</v>
      </c>
    </row>
    <row r="1757" customFormat="false" ht="15" hidden="false" customHeight="false" outlineLevel="0" collapsed="false">
      <c r="A1757" s="0" t="s">
        <v>431</v>
      </c>
      <c r="B1757" s="0" t="s">
        <v>72</v>
      </c>
      <c r="C1757" s="0" t="s">
        <v>73</v>
      </c>
      <c r="D1757" s="0" t="n">
        <v>30</v>
      </c>
      <c r="E1757" s="5" t="n">
        <v>45956.8866203704</v>
      </c>
      <c r="F1757" s="0" t="n">
        <v>4.95</v>
      </c>
      <c r="G1757" s="0" t="n">
        <v>17219</v>
      </c>
      <c r="H1757" s="6" t="s">
        <v>74</v>
      </c>
      <c r="I1757" s="6" t="n">
        <f aca="false">D1757*F1757</f>
        <v>148.5</v>
      </c>
      <c r="J1757" s="6" t="n">
        <f aca="false">HOUR(E1757)</f>
        <v>21</v>
      </c>
      <c r="K1757" s="6" t="n">
        <f aca="false">IF(COUNTIF($A$2:$A1757,A1757)=1,1,0)</f>
        <v>0</v>
      </c>
    </row>
    <row r="1758" customFormat="false" ht="15" hidden="false" customHeight="false" outlineLevel="0" collapsed="false">
      <c r="A1758" s="0" t="s">
        <v>432</v>
      </c>
      <c r="B1758" s="0" t="s">
        <v>75</v>
      </c>
      <c r="C1758" s="0" t="s">
        <v>76</v>
      </c>
      <c r="D1758" s="0" t="n">
        <v>6</v>
      </c>
      <c r="E1758" s="5" t="n">
        <v>45957.1414351852</v>
      </c>
      <c r="F1758" s="0" t="n">
        <v>3.39</v>
      </c>
      <c r="G1758" s="0" t="n">
        <v>17221</v>
      </c>
      <c r="H1758" s="6" t="s">
        <v>208</v>
      </c>
      <c r="I1758" s="6" t="n">
        <f aca="false">D1758*F1758</f>
        <v>20.34</v>
      </c>
      <c r="J1758" s="6" t="n">
        <f aca="false">HOUR(E1758)</f>
        <v>3</v>
      </c>
      <c r="K1758" s="6" t="n">
        <f aca="false">IF(COUNTIF($A$2:$A1758,A1758)=1,1,0)</f>
        <v>1</v>
      </c>
    </row>
    <row r="1759" customFormat="false" ht="15" hidden="false" customHeight="false" outlineLevel="0" collapsed="false">
      <c r="A1759" s="0" t="s">
        <v>432</v>
      </c>
      <c r="B1759" s="0" t="s">
        <v>83</v>
      </c>
      <c r="C1759" s="0" t="s">
        <v>84</v>
      </c>
      <c r="D1759" s="0" t="n">
        <v>14</v>
      </c>
      <c r="E1759" s="5" t="n">
        <v>45957.1414351852</v>
      </c>
      <c r="F1759" s="0" t="n">
        <v>2.95</v>
      </c>
      <c r="G1759" s="0" t="n">
        <v>17221</v>
      </c>
      <c r="H1759" s="6" t="s">
        <v>208</v>
      </c>
      <c r="I1759" s="6" t="n">
        <f aca="false">D1759*F1759</f>
        <v>41.3</v>
      </c>
      <c r="J1759" s="6" t="n">
        <f aca="false">HOUR(E1759)</f>
        <v>3</v>
      </c>
      <c r="K1759" s="6" t="n">
        <f aca="false">IF(COUNTIF($A$2:$A1759,A1759)=1,1,0)</f>
        <v>0</v>
      </c>
    </row>
    <row r="1760" customFormat="false" ht="15" hidden="false" customHeight="false" outlineLevel="0" collapsed="false">
      <c r="A1760" s="0" t="s">
        <v>432</v>
      </c>
      <c r="B1760" s="0" t="s">
        <v>121</v>
      </c>
      <c r="C1760" s="0" t="s">
        <v>122</v>
      </c>
      <c r="D1760" s="0" t="n">
        <v>18</v>
      </c>
      <c r="E1760" s="5" t="n">
        <v>45957.1414351852</v>
      </c>
      <c r="F1760" s="0" t="n">
        <v>2.1</v>
      </c>
      <c r="G1760" s="0" t="n">
        <v>17221</v>
      </c>
      <c r="H1760" s="6" t="s">
        <v>208</v>
      </c>
      <c r="I1760" s="6" t="n">
        <f aca="false">D1760*F1760</f>
        <v>37.8</v>
      </c>
      <c r="J1760" s="6" t="n">
        <f aca="false">HOUR(E1760)</f>
        <v>3</v>
      </c>
      <c r="K1760" s="6" t="n">
        <f aca="false">IF(COUNTIF($A$2:$A1760,A1760)=1,1,0)</f>
        <v>0</v>
      </c>
    </row>
    <row r="1761" customFormat="false" ht="15" hidden="false" customHeight="false" outlineLevel="0" collapsed="false">
      <c r="A1761" s="0" t="s">
        <v>433</v>
      </c>
      <c r="B1761" s="0" t="s">
        <v>88</v>
      </c>
      <c r="C1761" s="0" t="s">
        <v>89</v>
      </c>
      <c r="D1761" s="0" t="n">
        <v>2</v>
      </c>
      <c r="E1761" s="5" t="n">
        <v>45957.3346180556</v>
      </c>
      <c r="F1761" s="0" t="n">
        <v>2.75</v>
      </c>
      <c r="G1761" s="0" t="n">
        <v>17051</v>
      </c>
      <c r="H1761" s="6" t="s">
        <v>74</v>
      </c>
      <c r="I1761" s="6" t="n">
        <f aca="false">D1761*F1761</f>
        <v>5.5</v>
      </c>
      <c r="J1761" s="6" t="n">
        <f aca="false">HOUR(E1761)</f>
        <v>8</v>
      </c>
      <c r="K1761" s="6" t="n">
        <f aca="false">IF(COUNTIF($A$2:$A1761,A1761)=1,1,0)</f>
        <v>1</v>
      </c>
    </row>
    <row r="1762" customFormat="false" ht="15" hidden="false" customHeight="false" outlineLevel="0" collapsed="false">
      <c r="A1762" s="0" t="s">
        <v>433</v>
      </c>
      <c r="B1762" s="0" t="s">
        <v>127</v>
      </c>
      <c r="C1762" s="0" t="s">
        <v>128</v>
      </c>
      <c r="D1762" s="0" t="n">
        <v>23</v>
      </c>
      <c r="E1762" s="5" t="n">
        <v>45957.3346180556</v>
      </c>
      <c r="F1762" s="0" t="n">
        <v>1.45</v>
      </c>
      <c r="G1762" s="0" t="n">
        <v>17051</v>
      </c>
      <c r="H1762" s="6" t="s">
        <v>74</v>
      </c>
      <c r="I1762" s="6" t="n">
        <f aca="false">D1762*F1762</f>
        <v>33.35</v>
      </c>
      <c r="J1762" s="6" t="n">
        <f aca="false">HOUR(E1762)</f>
        <v>8</v>
      </c>
      <c r="K1762" s="6" t="n">
        <f aca="false">IF(COUNTIF($A$2:$A1762,A1762)=1,1,0)</f>
        <v>0</v>
      </c>
    </row>
    <row r="1763" customFormat="false" ht="15" hidden="false" customHeight="false" outlineLevel="0" collapsed="false">
      <c r="A1763" s="0" t="s">
        <v>433</v>
      </c>
      <c r="B1763" s="0" t="s">
        <v>121</v>
      </c>
      <c r="C1763" s="0" t="s">
        <v>122</v>
      </c>
      <c r="D1763" s="0" t="n">
        <v>4</v>
      </c>
      <c r="E1763" s="5" t="n">
        <v>45957.3346180556</v>
      </c>
      <c r="F1763" s="0" t="n">
        <v>2.1</v>
      </c>
      <c r="G1763" s="0" t="n">
        <v>17051</v>
      </c>
      <c r="H1763" s="6" t="s">
        <v>74</v>
      </c>
      <c r="I1763" s="6" t="n">
        <f aca="false">D1763*F1763</f>
        <v>8.4</v>
      </c>
      <c r="J1763" s="6" t="n">
        <f aca="false">HOUR(E1763)</f>
        <v>8</v>
      </c>
      <c r="K1763" s="6" t="n">
        <f aca="false">IF(COUNTIF($A$2:$A1763,A1763)=1,1,0)</f>
        <v>0</v>
      </c>
    </row>
    <row r="1764" customFormat="false" ht="15" hidden="false" customHeight="false" outlineLevel="0" collapsed="false">
      <c r="A1764" s="0" t="s">
        <v>433</v>
      </c>
      <c r="B1764" s="0" t="s">
        <v>118</v>
      </c>
      <c r="C1764" s="0" t="s">
        <v>119</v>
      </c>
      <c r="D1764" s="0" t="n">
        <v>12</v>
      </c>
      <c r="E1764" s="5" t="n">
        <v>45957.3346180556</v>
      </c>
      <c r="F1764" s="0" t="n">
        <v>4.95</v>
      </c>
      <c r="G1764" s="0" t="n">
        <v>17051</v>
      </c>
      <c r="H1764" s="6" t="s">
        <v>74</v>
      </c>
      <c r="I1764" s="6" t="n">
        <f aca="false">D1764*F1764</f>
        <v>59.4</v>
      </c>
      <c r="J1764" s="6" t="n">
        <f aca="false">HOUR(E1764)</f>
        <v>8</v>
      </c>
      <c r="K1764" s="6" t="n">
        <f aca="false">IF(COUNTIF($A$2:$A1764,A1764)=1,1,0)</f>
        <v>0</v>
      </c>
    </row>
    <row r="1765" customFormat="false" ht="15" hidden="false" customHeight="false" outlineLevel="0" collapsed="false">
      <c r="A1765" s="0" t="s">
        <v>433</v>
      </c>
      <c r="B1765" s="0" t="s">
        <v>109</v>
      </c>
      <c r="C1765" s="0" t="s">
        <v>110</v>
      </c>
      <c r="D1765" s="0" t="n">
        <v>1</v>
      </c>
      <c r="E1765" s="5" t="n">
        <v>45957.3346180556</v>
      </c>
      <c r="F1765" s="0" t="n">
        <v>0.85</v>
      </c>
      <c r="G1765" s="0" t="n">
        <v>17051</v>
      </c>
      <c r="H1765" s="6" t="s">
        <v>74</v>
      </c>
      <c r="I1765" s="6" t="n">
        <f aca="false">D1765*F1765</f>
        <v>0.85</v>
      </c>
      <c r="J1765" s="6" t="n">
        <f aca="false">HOUR(E1765)</f>
        <v>8</v>
      </c>
      <c r="K1765" s="6" t="n">
        <f aca="false">IF(COUNTIF($A$2:$A1765,A1765)=1,1,0)</f>
        <v>0</v>
      </c>
    </row>
    <row r="1766" customFormat="false" ht="15" hidden="false" customHeight="false" outlineLevel="0" collapsed="false">
      <c r="A1766" s="0" t="s">
        <v>433</v>
      </c>
      <c r="B1766" s="0" t="s">
        <v>91</v>
      </c>
      <c r="C1766" s="0" t="s">
        <v>92</v>
      </c>
      <c r="D1766" s="0" t="n">
        <v>4</v>
      </c>
      <c r="E1766" s="5" t="n">
        <v>45957.3346180556</v>
      </c>
      <c r="F1766" s="0" t="n">
        <v>7.65</v>
      </c>
      <c r="G1766" s="0" t="n">
        <v>17051</v>
      </c>
      <c r="H1766" s="6" t="s">
        <v>74</v>
      </c>
      <c r="I1766" s="6" t="n">
        <f aca="false">D1766*F1766</f>
        <v>30.6</v>
      </c>
      <c r="J1766" s="6" t="n">
        <f aca="false">HOUR(E1766)</f>
        <v>8</v>
      </c>
      <c r="K1766" s="6" t="n">
        <f aca="false">IF(COUNTIF($A$2:$A1766,A1766)=1,1,0)</f>
        <v>0</v>
      </c>
    </row>
    <row r="1767" customFormat="false" ht="15" hidden="false" customHeight="false" outlineLevel="0" collapsed="false">
      <c r="A1767" s="0" t="s">
        <v>433</v>
      </c>
      <c r="B1767" s="0" t="s">
        <v>65</v>
      </c>
      <c r="C1767" s="0" t="s">
        <v>66</v>
      </c>
      <c r="D1767" s="0" t="n">
        <v>22</v>
      </c>
      <c r="E1767" s="5" t="n">
        <v>45957.3346180556</v>
      </c>
      <c r="F1767" s="0" t="n">
        <v>1.65</v>
      </c>
      <c r="G1767" s="0" t="n">
        <v>17051</v>
      </c>
      <c r="H1767" s="6" t="s">
        <v>74</v>
      </c>
      <c r="I1767" s="6" t="n">
        <f aca="false">D1767*F1767</f>
        <v>36.3</v>
      </c>
      <c r="J1767" s="6" t="n">
        <f aca="false">HOUR(E1767)</f>
        <v>8</v>
      </c>
      <c r="K1767" s="6" t="n">
        <f aca="false">IF(COUNTIF($A$2:$A1767,A1767)=1,1,0)</f>
        <v>0</v>
      </c>
    </row>
    <row r="1768" customFormat="false" ht="15" hidden="false" customHeight="false" outlineLevel="0" collapsed="false">
      <c r="A1768" s="0" t="s">
        <v>433</v>
      </c>
      <c r="B1768" s="0" t="s">
        <v>53</v>
      </c>
      <c r="C1768" s="0" t="s">
        <v>54</v>
      </c>
      <c r="D1768" s="0" t="n">
        <v>3</v>
      </c>
      <c r="E1768" s="5" t="n">
        <v>45957.3346180556</v>
      </c>
      <c r="F1768" s="0" t="n">
        <v>2.95</v>
      </c>
      <c r="G1768" s="0" t="n">
        <v>17051</v>
      </c>
      <c r="H1768" s="6" t="s">
        <v>74</v>
      </c>
      <c r="I1768" s="6" t="n">
        <f aca="false">D1768*F1768</f>
        <v>8.85</v>
      </c>
      <c r="J1768" s="6" t="n">
        <f aca="false">HOUR(E1768)</f>
        <v>8</v>
      </c>
      <c r="K1768" s="6" t="n">
        <f aca="false">IF(COUNTIF($A$2:$A1768,A1768)=1,1,0)</f>
        <v>0</v>
      </c>
    </row>
    <row r="1769" customFormat="false" ht="15" hidden="false" customHeight="false" outlineLevel="0" collapsed="false">
      <c r="A1769" s="0" t="s">
        <v>434</v>
      </c>
      <c r="B1769" s="0" t="s">
        <v>63</v>
      </c>
      <c r="C1769" s="0" t="s">
        <v>64</v>
      </c>
      <c r="D1769" s="0" t="n">
        <v>10</v>
      </c>
      <c r="E1769" s="5" t="n">
        <v>45957.4249074074</v>
      </c>
      <c r="F1769" s="0" t="n">
        <v>1.85</v>
      </c>
      <c r="H1769" s="6" t="s">
        <v>74</v>
      </c>
      <c r="I1769" s="6" t="n">
        <f aca="false">D1769*F1769</f>
        <v>18.5</v>
      </c>
      <c r="J1769" s="6" t="n">
        <f aca="false">HOUR(E1769)</f>
        <v>10</v>
      </c>
      <c r="K1769" s="6" t="n">
        <f aca="false">IF(COUNTIF($A$2:$A1769,A1769)=1,1,0)</f>
        <v>1</v>
      </c>
    </row>
    <row r="1770" customFormat="false" ht="15" hidden="false" customHeight="false" outlineLevel="0" collapsed="false">
      <c r="A1770" s="0" t="s">
        <v>434</v>
      </c>
      <c r="B1770" s="0" t="s">
        <v>127</v>
      </c>
      <c r="C1770" s="0" t="s">
        <v>128</v>
      </c>
      <c r="D1770" s="0" t="n">
        <v>19</v>
      </c>
      <c r="E1770" s="5" t="n">
        <v>45957.4249074074</v>
      </c>
      <c r="F1770" s="0" t="n">
        <v>1.45</v>
      </c>
      <c r="H1770" s="6" t="s">
        <v>74</v>
      </c>
      <c r="I1770" s="6" t="n">
        <f aca="false">D1770*F1770</f>
        <v>27.55</v>
      </c>
      <c r="J1770" s="6" t="n">
        <f aca="false">HOUR(E1770)</f>
        <v>10</v>
      </c>
      <c r="K1770" s="6" t="n">
        <f aca="false">IF(COUNTIF($A$2:$A1770,A1770)=1,1,0)</f>
        <v>0</v>
      </c>
    </row>
    <row r="1771" customFormat="false" ht="15" hidden="false" customHeight="false" outlineLevel="0" collapsed="false">
      <c r="A1771" s="0" t="s">
        <v>434</v>
      </c>
      <c r="B1771" s="0" t="s">
        <v>99</v>
      </c>
      <c r="C1771" s="0" t="s">
        <v>100</v>
      </c>
      <c r="D1771" s="0" t="n">
        <v>13</v>
      </c>
      <c r="E1771" s="5" t="n">
        <v>45957.4249074074</v>
      </c>
      <c r="F1771" s="0" t="n">
        <v>2.08</v>
      </c>
      <c r="H1771" s="6" t="s">
        <v>74</v>
      </c>
      <c r="I1771" s="6" t="n">
        <f aca="false">D1771*F1771</f>
        <v>27.04</v>
      </c>
      <c r="J1771" s="6" t="n">
        <f aca="false">HOUR(E1771)</f>
        <v>10</v>
      </c>
      <c r="K1771" s="6" t="n">
        <f aca="false">IF(COUNTIF($A$2:$A1771,A1771)=1,1,0)</f>
        <v>0</v>
      </c>
    </row>
    <row r="1772" customFormat="false" ht="15" hidden="false" customHeight="false" outlineLevel="0" collapsed="false">
      <c r="A1772" s="0" t="s">
        <v>434</v>
      </c>
      <c r="B1772" s="0" t="s">
        <v>118</v>
      </c>
      <c r="C1772" s="0" t="s">
        <v>119</v>
      </c>
      <c r="D1772" s="0" t="n">
        <v>37</v>
      </c>
      <c r="E1772" s="5" t="n">
        <v>45957.4249074074</v>
      </c>
      <c r="F1772" s="0" t="n">
        <v>4.95</v>
      </c>
      <c r="H1772" s="6" t="s">
        <v>74</v>
      </c>
      <c r="I1772" s="6" t="n">
        <f aca="false">D1772*F1772</f>
        <v>183.15</v>
      </c>
      <c r="J1772" s="6" t="n">
        <f aca="false">HOUR(E1772)</f>
        <v>10</v>
      </c>
      <c r="K1772" s="6" t="n">
        <f aca="false">IF(COUNTIF($A$2:$A1772,A1772)=1,1,0)</f>
        <v>0</v>
      </c>
    </row>
    <row r="1773" customFormat="false" ht="15" hidden="false" customHeight="false" outlineLevel="0" collapsed="false">
      <c r="A1773" s="0" t="s">
        <v>434</v>
      </c>
      <c r="B1773" s="0" t="s">
        <v>95</v>
      </c>
      <c r="C1773" s="0" t="s">
        <v>96</v>
      </c>
      <c r="D1773" s="0" t="n">
        <v>26</v>
      </c>
      <c r="E1773" s="5" t="n">
        <v>45957.4249074074</v>
      </c>
      <c r="F1773" s="0" t="n">
        <v>2.55</v>
      </c>
      <c r="H1773" s="6" t="s">
        <v>74</v>
      </c>
      <c r="I1773" s="6" t="n">
        <f aca="false">D1773*F1773</f>
        <v>66.3</v>
      </c>
      <c r="J1773" s="6" t="n">
        <f aca="false">HOUR(E1773)</f>
        <v>10</v>
      </c>
      <c r="K1773" s="6" t="n">
        <f aca="false">IF(COUNTIF($A$2:$A1773,A1773)=1,1,0)</f>
        <v>0</v>
      </c>
    </row>
    <row r="1774" customFormat="false" ht="15" hidden="false" customHeight="false" outlineLevel="0" collapsed="false">
      <c r="A1774" s="0" t="s">
        <v>434</v>
      </c>
      <c r="B1774" s="0" t="s">
        <v>57</v>
      </c>
      <c r="C1774" s="0" t="s">
        <v>58</v>
      </c>
      <c r="D1774" s="0" t="n">
        <v>9</v>
      </c>
      <c r="E1774" s="5" t="n">
        <v>45957.4249074074</v>
      </c>
      <c r="F1774" s="0" t="n">
        <v>2.08</v>
      </c>
      <c r="H1774" s="6" t="s">
        <v>74</v>
      </c>
      <c r="I1774" s="6" t="n">
        <f aca="false">D1774*F1774</f>
        <v>18.72</v>
      </c>
      <c r="J1774" s="6" t="n">
        <f aca="false">HOUR(E1774)</f>
        <v>10</v>
      </c>
      <c r="K1774" s="6" t="n">
        <f aca="false">IF(COUNTIF($A$2:$A1774,A1774)=1,1,0)</f>
        <v>0</v>
      </c>
    </row>
    <row r="1775" customFormat="false" ht="15" hidden="false" customHeight="false" outlineLevel="0" collapsed="false">
      <c r="A1775" s="0" t="s">
        <v>434</v>
      </c>
      <c r="B1775" s="0" t="s">
        <v>69</v>
      </c>
      <c r="C1775" s="0" t="s">
        <v>70</v>
      </c>
      <c r="D1775" s="0" t="n">
        <v>33</v>
      </c>
      <c r="E1775" s="5" t="n">
        <v>45957.4249074074</v>
      </c>
      <c r="F1775" s="0" t="n">
        <v>2.08</v>
      </c>
      <c r="H1775" s="6" t="s">
        <v>74</v>
      </c>
      <c r="I1775" s="6" t="n">
        <f aca="false">D1775*F1775</f>
        <v>68.64</v>
      </c>
      <c r="J1775" s="6" t="n">
        <f aca="false">HOUR(E1775)</f>
        <v>10</v>
      </c>
      <c r="K1775" s="6" t="n">
        <f aca="false">IF(COUNTIF($A$2:$A1775,A1775)=1,1,0)</f>
        <v>0</v>
      </c>
    </row>
    <row r="1776" customFormat="false" ht="15" hidden="false" customHeight="false" outlineLevel="0" collapsed="false">
      <c r="A1776" s="0" t="s">
        <v>434</v>
      </c>
      <c r="B1776" s="0" t="s">
        <v>47</v>
      </c>
      <c r="C1776" s="0" t="s">
        <v>48</v>
      </c>
      <c r="D1776" s="0" t="n">
        <v>45</v>
      </c>
      <c r="E1776" s="5" t="n">
        <v>45957.4249074074</v>
      </c>
      <c r="F1776" s="0" t="n">
        <v>12.75</v>
      </c>
      <c r="H1776" s="6" t="s">
        <v>74</v>
      </c>
      <c r="I1776" s="6" t="n">
        <f aca="false">D1776*F1776</f>
        <v>573.75</v>
      </c>
      <c r="J1776" s="6" t="n">
        <f aca="false">HOUR(E1776)</f>
        <v>10</v>
      </c>
      <c r="K1776" s="6" t="n">
        <f aca="false">IF(COUNTIF($A$2:$A1776,A1776)=1,1,0)</f>
        <v>0</v>
      </c>
    </row>
    <row r="1777" customFormat="false" ht="15" hidden="false" customHeight="false" outlineLevel="0" collapsed="false">
      <c r="A1777" s="0" t="s">
        <v>435</v>
      </c>
      <c r="B1777" s="0" t="s">
        <v>102</v>
      </c>
      <c r="C1777" s="0" t="s">
        <v>103</v>
      </c>
      <c r="D1777" s="0" t="n">
        <v>47</v>
      </c>
      <c r="E1777" s="5" t="n">
        <v>45957.5061458333</v>
      </c>
      <c r="F1777" s="0" t="n">
        <v>8.5</v>
      </c>
      <c r="G1777" s="0" t="n">
        <v>17075</v>
      </c>
      <c r="H1777" s="6" t="s">
        <v>52</v>
      </c>
      <c r="I1777" s="6" t="n">
        <f aca="false">D1777*F1777</f>
        <v>399.5</v>
      </c>
      <c r="J1777" s="6" t="n">
        <f aca="false">HOUR(E1777)</f>
        <v>12</v>
      </c>
      <c r="K1777" s="6" t="n">
        <f aca="false">IF(COUNTIF($A$2:$A1777,A1777)=1,1,0)</f>
        <v>1</v>
      </c>
    </row>
    <row r="1778" customFormat="false" ht="15" hidden="false" customHeight="false" outlineLevel="0" collapsed="false">
      <c r="A1778" s="0" t="s">
        <v>435</v>
      </c>
      <c r="B1778" s="0" t="s">
        <v>75</v>
      </c>
      <c r="C1778" s="0" t="s">
        <v>76</v>
      </c>
      <c r="D1778" s="0" t="n">
        <v>1</v>
      </c>
      <c r="E1778" s="5" t="n">
        <v>45957.5061458333</v>
      </c>
      <c r="F1778" s="0" t="n">
        <v>3.39</v>
      </c>
      <c r="G1778" s="0" t="n">
        <v>17075</v>
      </c>
      <c r="H1778" s="6" t="s">
        <v>52</v>
      </c>
      <c r="I1778" s="6" t="n">
        <f aca="false">D1778*F1778</f>
        <v>3.39</v>
      </c>
      <c r="J1778" s="6" t="n">
        <f aca="false">HOUR(E1778)</f>
        <v>12</v>
      </c>
      <c r="K1778" s="6" t="n">
        <f aca="false">IF(COUNTIF($A$2:$A1778,A1778)=1,1,0)</f>
        <v>0</v>
      </c>
    </row>
    <row r="1779" customFormat="false" ht="15" hidden="false" customHeight="false" outlineLevel="0" collapsed="false">
      <c r="A1779" s="0" t="s">
        <v>435</v>
      </c>
      <c r="B1779" s="0" t="s">
        <v>65</v>
      </c>
      <c r="C1779" s="0" t="s">
        <v>66</v>
      </c>
      <c r="D1779" s="0" t="n">
        <v>4</v>
      </c>
      <c r="E1779" s="5" t="n">
        <v>45957.5061458333</v>
      </c>
      <c r="F1779" s="0" t="n">
        <v>1.65</v>
      </c>
      <c r="G1779" s="0" t="n">
        <v>17075</v>
      </c>
      <c r="H1779" s="6" t="s">
        <v>52</v>
      </c>
      <c r="I1779" s="6" t="n">
        <f aca="false">D1779*F1779</f>
        <v>6.6</v>
      </c>
      <c r="J1779" s="6" t="n">
        <f aca="false">HOUR(E1779)</f>
        <v>12</v>
      </c>
      <c r="K1779" s="6" t="n">
        <f aca="false">IF(COUNTIF($A$2:$A1779,A1779)=1,1,0)</f>
        <v>0</v>
      </c>
    </row>
    <row r="1780" customFormat="false" ht="15" hidden="false" customHeight="false" outlineLevel="0" collapsed="false">
      <c r="A1780" s="0" t="s">
        <v>435</v>
      </c>
      <c r="B1780" s="0" t="s">
        <v>127</v>
      </c>
      <c r="C1780" s="0" t="s">
        <v>128</v>
      </c>
      <c r="D1780" s="0" t="n">
        <v>23</v>
      </c>
      <c r="E1780" s="5" t="n">
        <v>45957.5061458333</v>
      </c>
      <c r="F1780" s="0" t="n">
        <v>1.45</v>
      </c>
      <c r="G1780" s="0" t="n">
        <v>17075</v>
      </c>
      <c r="H1780" s="6" t="s">
        <v>52</v>
      </c>
      <c r="I1780" s="6" t="n">
        <f aca="false">D1780*F1780</f>
        <v>33.35</v>
      </c>
      <c r="J1780" s="6" t="n">
        <f aca="false">HOUR(E1780)</f>
        <v>12</v>
      </c>
      <c r="K1780" s="6" t="n">
        <f aca="false">IF(COUNTIF($A$2:$A1780,A1780)=1,1,0)</f>
        <v>0</v>
      </c>
    </row>
    <row r="1781" customFormat="false" ht="15" hidden="false" customHeight="false" outlineLevel="0" collapsed="false">
      <c r="A1781" s="0" t="s">
        <v>435</v>
      </c>
      <c r="B1781" s="0" t="s">
        <v>134</v>
      </c>
      <c r="C1781" s="0" t="s">
        <v>135</v>
      </c>
      <c r="D1781" s="0" t="n">
        <v>2</v>
      </c>
      <c r="E1781" s="5" t="n">
        <v>45957.5061458333</v>
      </c>
      <c r="F1781" s="0" t="n">
        <v>5.95</v>
      </c>
      <c r="G1781" s="0" t="n">
        <v>17075</v>
      </c>
      <c r="H1781" s="6" t="s">
        <v>52</v>
      </c>
      <c r="I1781" s="6" t="n">
        <f aca="false">D1781*F1781</f>
        <v>11.9</v>
      </c>
      <c r="J1781" s="6" t="n">
        <f aca="false">HOUR(E1781)</f>
        <v>12</v>
      </c>
      <c r="K1781" s="6" t="n">
        <f aca="false">IF(COUNTIF($A$2:$A1781,A1781)=1,1,0)</f>
        <v>0</v>
      </c>
    </row>
    <row r="1782" customFormat="false" ht="15" hidden="false" customHeight="false" outlineLevel="0" collapsed="false">
      <c r="A1782" s="0" t="s">
        <v>435</v>
      </c>
      <c r="B1782" s="0" t="s">
        <v>77</v>
      </c>
      <c r="C1782" s="0" t="s">
        <v>78</v>
      </c>
      <c r="D1782" s="0" t="n">
        <v>24</v>
      </c>
      <c r="E1782" s="5" t="n">
        <v>45957.5061458333</v>
      </c>
      <c r="F1782" s="0" t="n">
        <v>1.65</v>
      </c>
      <c r="G1782" s="0" t="n">
        <v>17075</v>
      </c>
      <c r="H1782" s="6" t="s">
        <v>52</v>
      </c>
      <c r="I1782" s="6" t="n">
        <f aca="false">D1782*F1782</f>
        <v>39.6</v>
      </c>
      <c r="J1782" s="6" t="n">
        <f aca="false">HOUR(E1782)</f>
        <v>12</v>
      </c>
      <c r="K1782" s="6" t="n">
        <f aca="false">IF(COUNTIF($A$2:$A1782,A1782)=1,1,0)</f>
        <v>0</v>
      </c>
    </row>
    <row r="1783" customFormat="false" ht="15" hidden="false" customHeight="false" outlineLevel="0" collapsed="false">
      <c r="A1783" s="0" t="s">
        <v>435</v>
      </c>
      <c r="B1783" s="0" t="s">
        <v>91</v>
      </c>
      <c r="C1783" s="0" t="s">
        <v>92</v>
      </c>
      <c r="D1783" s="0" t="n">
        <v>11</v>
      </c>
      <c r="E1783" s="5" t="n">
        <v>45957.5061458333</v>
      </c>
      <c r="F1783" s="0" t="n">
        <v>7.65</v>
      </c>
      <c r="G1783" s="0" t="n">
        <v>17075</v>
      </c>
      <c r="H1783" s="6" t="s">
        <v>52</v>
      </c>
      <c r="I1783" s="6" t="n">
        <f aca="false">D1783*F1783</f>
        <v>84.15</v>
      </c>
      <c r="J1783" s="6" t="n">
        <f aca="false">HOUR(E1783)</f>
        <v>12</v>
      </c>
      <c r="K1783" s="6" t="n">
        <f aca="false">IF(COUNTIF($A$2:$A1783,A1783)=1,1,0)</f>
        <v>0</v>
      </c>
    </row>
    <row r="1784" customFormat="false" ht="15" hidden="false" customHeight="false" outlineLevel="0" collapsed="false">
      <c r="A1784" s="0" t="s">
        <v>435</v>
      </c>
      <c r="B1784" s="0" t="s">
        <v>140</v>
      </c>
      <c r="C1784" s="0" t="s">
        <v>141</v>
      </c>
      <c r="D1784" s="0" t="n">
        <v>24</v>
      </c>
      <c r="E1784" s="5" t="n">
        <v>45957.5061458333</v>
      </c>
      <c r="F1784" s="0" t="n">
        <v>2.08</v>
      </c>
      <c r="G1784" s="0" t="n">
        <v>17075</v>
      </c>
      <c r="H1784" s="6" t="s">
        <v>52</v>
      </c>
      <c r="I1784" s="6" t="n">
        <f aca="false">D1784*F1784</f>
        <v>49.92</v>
      </c>
      <c r="J1784" s="6" t="n">
        <f aca="false">HOUR(E1784)</f>
        <v>12</v>
      </c>
      <c r="K1784" s="6" t="n">
        <f aca="false">IF(COUNTIF($A$2:$A1784,A1784)=1,1,0)</f>
        <v>0</v>
      </c>
    </row>
    <row r="1785" customFormat="false" ht="15" hidden="false" customHeight="false" outlineLevel="0" collapsed="false">
      <c r="A1785" s="0" t="s">
        <v>435</v>
      </c>
      <c r="B1785" s="0" t="s">
        <v>121</v>
      </c>
      <c r="C1785" s="0" t="s">
        <v>122</v>
      </c>
      <c r="D1785" s="0" t="n">
        <v>23</v>
      </c>
      <c r="E1785" s="5" t="n">
        <v>45957.5061458333</v>
      </c>
      <c r="F1785" s="0" t="n">
        <v>2.1</v>
      </c>
      <c r="G1785" s="0" t="n">
        <v>17075</v>
      </c>
      <c r="H1785" s="6" t="s">
        <v>52</v>
      </c>
      <c r="I1785" s="6" t="n">
        <f aca="false">D1785*F1785</f>
        <v>48.3</v>
      </c>
      <c r="J1785" s="6" t="n">
        <f aca="false">HOUR(E1785)</f>
        <v>12</v>
      </c>
      <c r="K1785" s="6" t="n">
        <f aca="false">IF(COUNTIF($A$2:$A1785,A1785)=1,1,0)</f>
        <v>0</v>
      </c>
    </row>
    <row r="1786" customFormat="false" ht="15" hidden="false" customHeight="false" outlineLevel="0" collapsed="false">
      <c r="A1786" s="0" t="s">
        <v>435</v>
      </c>
      <c r="B1786" s="0" t="s">
        <v>50</v>
      </c>
      <c r="C1786" s="0" t="s">
        <v>51</v>
      </c>
      <c r="D1786" s="0" t="n">
        <v>19</v>
      </c>
      <c r="E1786" s="5" t="n">
        <v>45957.5061458333</v>
      </c>
      <c r="F1786" s="0" t="n">
        <v>5.95</v>
      </c>
      <c r="G1786" s="0" t="n">
        <v>17075</v>
      </c>
      <c r="H1786" s="6" t="s">
        <v>52</v>
      </c>
      <c r="I1786" s="6" t="n">
        <f aca="false">D1786*F1786</f>
        <v>113.05</v>
      </c>
      <c r="J1786" s="6" t="n">
        <f aca="false">HOUR(E1786)</f>
        <v>12</v>
      </c>
      <c r="K1786" s="6" t="n">
        <f aca="false">IF(COUNTIF($A$2:$A1786,A1786)=1,1,0)</f>
        <v>0</v>
      </c>
    </row>
    <row r="1787" customFormat="false" ht="15" hidden="false" customHeight="false" outlineLevel="0" collapsed="false">
      <c r="A1787" s="0" t="s">
        <v>436</v>
      </c>
      <c r="B1787" s="0" t="s">
        <v>145</v>
      </c>
      <c r="C1787" s="0" t="s">
        <v>146</v>
      </c>
      <c r="D1787" s="0" t="n">
        <v>6</v>
      </c>
      <c r="E1787" s="5" t="n">
        <v>45957.5258101852</v>
      </c>
      <c r="F1787" s="0" t="n">
        <v>1.85</v>
      </c>
      <c r="H1787" s="6" t="s">
        <v>74</v>
      </c>
      <c r="I1787" s="6" t="n">
        <f aca="false">D1787*F1787</f>
        <v>11.1</v>
      </c>
      <c r="J1787" s="6" t="n">
        <f aca="false">HOUR(E1787)</f>
        <v>12</v>
      </c>
      <c r="K1787" s="6" t="n">
        <f aca="false">IF(COUNTIF($A$2:$A1787,A1787)=1,1,0)</f>
        <v>1</v>
      </c>
    </row>
    <row r="1788" customFormat="false" ht="15" hidden="false" customHeight="false" outlineLevel="0" collapsed="false">
      <c r="A1788" s="0" t="s">
        <v>437</v>
      </c>
      <c r="B1788" s="0" t="s">
        <v>69</v>
      </c>
      <c r="C1788" s="0" t="s">
        <v>70</v>
      </c>
      <c r="D1788" s="0" t="n">
        <v>7</v>
      </c>
      <c r="E1788" s="5" t="n">
        <v>45957.5371064815</v>
      </c>
      <c r="F1788" s="0" t="n">
        <v>2.08</v>
      </c>
      <c r="G1788" s="0" t="n">
        <v>17010</v>
      </c>
      <c r="H1788" s="6" t="s">
        <v>144</v>
      </c>
      <c r="I1788" s="6" t="n">
        <f aca="false">D1788*F1788</f>
        <v>14.56</v>
      </c>
      <c r="J1788" s="6" t="n">
        <f aca="false">HOUR(E1788)</f>
        <v>12</v>
      </c>
      <c r="K1788" s="6" t="n">
        <f aca="false">IF(COUNTIF($A$2:$A1788,A1788)=1,1,0)</f>
        <v>1</v>
      </c>
    </row>
    <row r="1789" customFormat="false" ht="15" hidden="false" customHeight="false" outlineLevel="0" collapsed="false">
      <c r="A1789" s="0" t="s">
        <v>437</v>
      </c>
      <c r="B1789" s="0" t="s">
        <v>59</v>
      </c>
      <c r="C1789" s="0" t="s">
        <v>60</v>
      </c>
      <c r="D1789" s="0" t="n">
        <v>15</v>
      </c>
      <c r="E1789" s="5" t="n">
        <v>45957.5371064815</v>
      </c>
      <c r="F1789" s="0" t="n">
        <v>0.42</v>
      </c>
      <c r="G1789" s="0" t="n">
        <v>17010</v>
      </c>
      <c r="H1789" s="6" t="s">
        <v>144</v>
      </c>
      <c r="I1789" s="6" t="n">
        <f aca="false">D1789*F1789</f>
        <v>6.3</v>
      </c>
      <c r="J1789" s="6" t="n">
        <f aca="false">HOUR(E1789)</f>
        <v>12</v>
      </c>
      <c r="K1789" s="6" t="n">
        <f aca="false">IF(COUNTIF($A$2:$A1789,A1789)=1,1,0)</f>
        <v>0</v>
      </c>
    </row>
    <row r="1790" customFormat="false" ht="15" hidden="false" customHeight="false" outlineLevel="0" collapsed="false">
      <c r="A1790" s="0" t="s">
        <v>437</v>
      </c>
      <c r="B1790" s="0" t="s">
        <v>47</v>
      </c>
      <c r="C1790" s="0" t="s">
        <v>48</v>
      </c>
      <c r="D1790" s="0" t="n">
        <v>45</v>
      </c>
      <c r="E1790" s="5" t="n">
        <v>45957.5371064815</v>
      </c>
      <c r="F1790" s="0" t="n">
        <v>12.75</v>
      </c>
      <c r="G1790" s="0" t="n">
        <v>17010</v>
      </c>
      <c r="H1790" s="6" t="s">
        <v>144</v>
      </c>
      <c r="I1790" s="6" t="n">
        <f aca="false">D1790*F1790</f>
        <v>573.75</v>
      </c>
      <c r="J1790" s="6" t="n">
        <f aca="false">HOUR(E1790)</f>
        <v>12</v>
      </c>
      <c r="K1790" s="6" t="n">
        <f aca="false">IF(COUNTIF($A$2:$A1790,A1790)=1,1,0)</f>
        <v>0</v>
      </c>
    </row>
    <row r="1791" customFormat="false" ht="15" hidden="false" customHeight="false" outlineLevel="0" collapsed="false">
      <c r="A1791" s="0" t="s">
        <v>437</v>
      </c>
      <c r="B1791" s="0" t="s">
        <v>57</v>
      </c>
      <c r="C1791" s="0" t="s">
        <v>58</v>
      </c>
      <c r="D1791" s="0" t="n">
        <v>13</v>
      </c>
      <c r="E1791" s="5" t="n">
        <v>45957.5371064815</v>
      </c>
      <c r="F1791" s="0" t="n">
        <v>2.08</v>
      </c>
      <c r="G1791" s="0" t="n">
        <v>17010</v>
      </c>
      <c r="H1791" s="6" t="s">
        <v>144</v>
      </c>
      <c r="I1791" s="6" t="n">
        <f aca="false">D1791*F1791</f>
        <v>27.04</v>
      </c>
      <c r="J1791" s="6" t="n">
        <f aca="false">HOUR(E1791)</f>
        <v>12</v>
      </c>
      <c r="K1791" s="6" t="n">
        <f aca="false">IF(COUNTIF($A$2:$A1791,A1791)=1,1,0)</f>
        <v>0</v>
      </c>
    </row>
    <row r="1792" customFormat="false" ht="15" hidden="false" customHeight="false" outlineLevel="0" collapsed="false">
      <c r="A1792" s="0" t="s">
        <v>437</v>
      </c>
      <c r="B1792" s="0" t="s">
        <v>116</v>
      </c>
      <c r="C1792" s="0" t="s">
        <v>117</v>
      </c>
      <c r="D1792" s="0" t="n">
        <v>22</v>
      </c>
      <c r="E1792" s="5" t="n">
        <v>45957.5371064815</v>
      </c>
      <c r="F1792" s="0" t="n">
        <v>1.95</v>
      </c>
      <c r="G1792" s="0" t="n">
        <v>17010</v>
      </c>
      <c r="H1792" s="6" t="s">
        <v>144</v>
      </c>
      <c r="I1792" s="6" t="n">
        <f aca="false">D1792*F1792</f>
        <v>42.9</v>
      </c>
      <c r="J1792" s="6" t="n">
        <f aca="false">HOUR(E1792)</f>
        <v>12</v>
      </c>
      <c r="K1792" s="6" t="n">
        <f aca="false">IF(COUNTIF($A$2:$A1792,A1792)=1,1,0)</f>
        <v>0</v>
      </c>
    </row>
    <row r="1793" customFormat="false" ht="15" hidden="false" customHeight="false" outlineLevel="0" collapsed="false">
      <c r="A1793" s="0" t="s">
        <v>437</v>
      </c>
      <c r="B1793" s="0" t="s">
        <v>63</v>
      </c>
      <c r="C1793" s="0" t="s">
        <v>64</v>
      </c>
      <c r="D1793" s="0" t="n">
        <v>7</v>
      </c>
      <c r="E1793" s="5" t="n">
        <v>45957.5371064815</v>
      </c>
      <c r="F1793" s="0" t="n">
        <v>1.85</v>
      </c>
      <c r="G1793" s="0" t="n">
        <v>17010</v>
      </c>
      <c r="H1793" s="6" t="s">
        <v>144</v>
      </c>
      <c r="I1793" s="6" t="n">
        <f aca="false">D1793*F1793</f>
        <v>12.95</v>
      </c>
      <c r="J1793" s="6" t="n">
        <f aca="false">HOUR(E1793)</f>
        <v>12</v>
      </c>
      <c r="K1793" s="6" t="n">
        <f aca="false">IF(COUNTIF($A$2:$A1793,A1793)=1,1,0)</f>
        <v>0</v>
      </c>
    </row>
    <row r="1794" customFormat="false" ht="15" hidden="false" customHeight="false" outlineLevel="0" collapsed="false">
      <c r="A1794" s="0" t="s">
        <v>437</v>
      </c>
      <c r="B1794" s="0" t="s">
        <v>43</v>
      </c>
      <c r="C1794" s="0" t="s">
        <v>44</v>
      </c>
      <c r="D1794" s="0" t="n">
        <v>21</v>
      </c>
      <c r="E1794" s="5" t="n">
        <v>45957.5371064815</v>
      </c>
      <c r="F1794" s="0" t="n">
        <v>4.25</v>
      </c>
      <c r="G1794" s="0" t="n">
        <v>17010</v>
      </c>
      <c r="H1794" s="6" t="s">
        <v>144</v>
      </c>
      <c r="I1794" s="6" t="n">
        <f aca="false">D1794*F1794</f>
        <v>89.25</v>
      </c>
      <c r="J1794" s="6" t="n">
        <f aca="false">HOUR(E1794)</f>
        <v>12</v>
      </c>
      <c r="K1794" s="6" t="n">
        <f aca="false">IF(COUNTIF($A$2:$A1794,A1794)=1,1,0)</f>
        <v>0</v>
      </c>
    </row>
    <row r="1795" customFormat="false" ht="15" hidden="false" customHeight="false" outlineLevel="0" collapsed="false">
      <c r="A1795" s="0" t="s">
        <v>437</v>
      </c>
      <c r="B1795" s="0" t="s">
        <v>109</v>
      </c>
      <c r="C1795" s="0" t="s">
        <v>110</v>
      </c>
      <c r="D1795" s="0" t="n">
        <v>9</v>
      </c>
      <c r="E1795" s="5" t="n">
        <v>45957.5371064815</v>
      </c>
      <c r="F1795" s="0" t="n">
        <v>0.85</v>
      </c>
      <c r="G1795" s="0" t="n">
        <v>17010</v>
      </c>
      <c r="H1795" s="6" t="s">
        <v>144</v>
      </c>
      <c r="I1795" s="6" t="n">
        <f aca="false">D1795*F1795</f>
        <v>7.65</v>
      </c>
      <c r="J1795" s="6" t="n">
        <f aca="false">HOUR(E1795)</f>
        <v>12</v>
      </c>
      <c r="K1795" s="6" t="n">
        <f aca="false">IF(COUNTIF($A$2:$A1795,A1795)=1,1,0)</f>
        <v>0</v>
      </c>
    </row>
    <row r="1796" customFormat="false" ht="15" hidden="false" customHeight="false" outlineLevel="0" collapsed="false">
      <c r="A1796" s="0" t="s">
        <v>437</v>
      </c>
      <c r="B1796" s="0" t="s">
        <v>95</v>
      </c>
      <c r="C1796" s="0" t="s">
        <v>96</v>
      </c>
      <c r="D1796" s="0" t="n">
        <v>16</v>
      </c>
      <c r="E1796" s="5" t="n">
        <v>45957.5371064815</v>
      </c>
      <c r="F1796" s="0" t="n">
        <v>2.55</v>
      </c>
      <c r="G1796" s="0" t="n">
        <v>17010</v>
      </c>
      <c r="H1796" s="6" t="s">
        <v>144</v>
      </c>
      <c r="I1796" s="6" t="n">
        <f aca="false">D1796*F1796</f>
        <v>40.8</v>
      </c>
      <c r="J1796" s="6" t="n">
        <f aca="false">HOUR(E1796)</f>
        <v>12</v>
      </c>
      <c r="K1796" s="6" t="n">
        <f aca="false">IF(COUNTIF($A$2:$A1796,A1796)=1,1,0)</f>
        <v>0</v>
      </c>
    </row>
    <row r="1797" customFormat="false" ht="15" hidden="false" customHeight="false" outlineLevel="0" collapsed="false">
      <c r="A1797" s="0" t="s">
        <v>437</v>
      </c>
      <c r="B1797" s="0" t="s">
        <v>83</v>
      </c>
      <c r="C1797" s="0" t="s">
        <v>84</v>
      </c>
      <c r="D1797" s="0" t="n">
        <v>22</v>
      </c>
      <c r="E1797" s="5" t="n">
        <v>45957.5371064815</v>
      </c>
      <c r="F1797" s="0" t="n">
        <v>2.95</v>
      </c>
      <c r="G1797" s="0" t="n">
        <v>17010</v>
      </c>
      <c r="H1797" s="6" t="s">
        <v>144</v>
      </c>
      <c r="I1797" s="6" t="n">
        <f aca="false">D1797*F1797</f>
        <v>64.9</v>
      </c>
      <c r="J1797" s="6" t="n">
        <f aca="false">HOUR(E1797)</f>
        <v>12</v>
      </c>
      <c r="K1797" s="6" t="n">
        <f aca="false">IF(COUNTIF($A$2:$A1797,A1797)=1,1,0)</f>
        <v>0</v>
      </c>
    </row>
    <row r="1798" customFormat="false" ht="15" hidden="false" customHeight="false" outlineLevel="0" collapsed="false">
      <c r="A1798" s="0" t="s">
        <v>438</v>
      </c>
      <c r="B1798" s="0" t="s">
        <v>140</v>
      </c>
      <c r="C1798" s="0" t="s">
        <v>141</v>
      </c>
      <c r="D1798" s="0" t="n">
        <v>1</v>
      </c>
      <c r="E1798" s="5" t="n">
        <v>45957.8191203704</v>
      </c>
      <c r="F1798" s="0" t="n">
        <v>2.08</v>
      </c>
      <c r="G1798" s="0" t="n">
        <v>17175</v>
      </c>
      <c r="H1798" s="6" t="s">
        <v>74</v>
      </c>
      <c r="I1798" s="6" t="n">
        <f aca="false">D1798*F1798</f>
        <v>2.08</v>
      </c>
      <c r="J1798" s="6" t="n">
        <f aca="false">HOUR(E1798)</f>
        <v>19</v>
      </c>
      <c r="K1798" s="6" t="n">
        <f aca="false">IF(COUNTIF($A$2:$A1798,A1798)=1,1,0)</f>
        <v>1</v>
      </c>
    </row>
    <row r="1799" customFormat="false" ht="15" hidden="false" customHeight="false" outlineLevel="0" collapsed="false">
      <c r="A1799" s="0" t="s">
        <v>438</v>
      </c>
      <c r="B1799" s="0" t="s">
        <v>99</v>
      </c>
      <c r="C1799" s="0" t="s">
        <v>100</v>
      </c>
      <c r="D1799" s="0" t="n">
        <v>22</v>
      </c>
      <c r="E1799" s="5" t="n">
        <v>45957.8191203704</v>
      </c>
      <c r="F1799" s="0" t="n">
        <v>2.08</v>
      </c>
      <c r="G1799" s="0" t="n">
        <v>17175</v>
      </c>
      <c r="H1799" s="6" t="s">
        <v>74</v>
      </c>
      <c r="I1799" s="6" t="n">
        <f aca="false">D1799*F1799</f>
        <v>45.76</v>
      </c>
      <c r="J1799" s="6" t="n">
        <f aca="false">HOUR(E1799)</f>
        <v>19</v>
      </c>
      <c r="K1799" s="6" t="n">
        <f aca="false">IF(COUNTIF($A$2:$A1799,A1799)=1,1,0)</f>
        <v>0</v>
      </c>
    </row>
    <row r="1800" customFormat="false" ht="15" hidden="false" customHeight="false" outlineLevel="0" collapsed="false">
      <c r="A1800" s="0" t="s">
        <v>438</v>
      </c>
      <c r="B1800" s="0" t="s">
        <v>104</v>
      </c>
      <c r="C1800" s="0" t="s">
        <v>105</v>
      </c>
      <c r="D1800" s="0" t="n">
        <v>1</v>
      </c>
      <c r="E1800" s="5" t="n">
        <v>45957.8191203704</v>
      </c>
      <c r="F1800" s="0" t="n">
        <v>1.65</v>
      </c>
      <c r="G1800" s="0" t="n">
        <v>17175</v>
      </c>
      <c r="H1800" s="6" t="s">
        <v>74</v>
      </c>
      <c r="I1800" s="6" t="n">
        <f aca="false">D1800*F1800</f>
        <v>1.65</v>
      </c>
      <c r="J1800" s="6" t="n">
        <f aca="false">HOUR(E1800)</f>
        <v>19</v>
      </c>
      <c r="K1800" s="6" t="n">
        <f aca="false">IF(COUNTIF($A$2:$A1800,A1800)=1,1,0)</f>
        <v>0</v>
      </c>
    </row>
    <row r="1801" customFormat="false" ht="15" hidden="false" customHeight="false" outlineLevel="0" collapsed="false">
      <c r="A1801" s="0" t="s">
        <v>438</v>
      </c>
      <c r="B1801" s="0" t="s">
        <v>65</v>
      </c>
      <c r="C1801" s="0" t="s">
        <v>66</v>
      </c>
      <c r="D1801" s="0" t="n">
        <v>23</v>
      </c>
      <c r="E1801" s="5" t="n">
        <v>45957.8191203704</v>
      </c>
      <c r="F1801" s="0" t="n">
        <v>1.65</v>
      </c>
      <c r="G1801" s="0" t="n">
        <v>17175</v>
      </c>
      <c r="H1801" s="6" t="s">
        <v>74</v>
      </c>
      <c r="I1801" s="6" t="n">
        <f aca="false">D1801*F1801</f>
        <v>37.95</v>
      </c>
      <c r="J1801" s="6" t="n">
        <f aca="false">HOUR(E1801)</f>
        <v>19</v>
      </c>
      <c r="K1801" s="6" t="n">
        <f aca="false">IF(COUNTIF($A$2:$A1801,A1801)=1,1,0)</f>
        <v>0</v>
      </c>
    </row>
    <row r="1802" customFormat="false" ht="15" hidden="false" customHeight="false" outlineLevel="0" collapsed="false">
      <c r="A1802" s="0" t="s">
        <v>438</v>
      </c>
      <c r="B1802" s="0" t="s">
        <v>134</v>
      </c>
      <c r="C1802" s="0" t="s">
        <v>135</v>
      </c>
      <c r="D1802" s="0" t="n">
        <v>20</v>
      </c>
      <c r="E1802" s="5" t="n">
        <v>45957.8191203704</v>
      </c>
      <c r="F1802" s="0" t="n">
        <v>5.95</v>
      </c>
      <c r="G1802" s="0" t="n">
        <v>17175</v>
      </c>
      <c r="H1802" s="6" t="s">
        <v>74</v>
      </c>
      <c r="I1802" s="6" t="n">
        <f aca="false">D1802*F1802</f>
        <v>119</v>
      </c>
      <c r="J1802" s="6" t="n">
        <f aca="false">HOUR(E1802)</f>
        <v>19</v>
      </c>
      <c r="K1802" s="6" t="n">
        <f aca="false">IF(COUNTIF($A$2:$A1802,A1802)=1,1,0)</f>
        <v>0</v>
      </c>
    </row>
    <row r="1803" customFormat="false" ht="15" hidden="false" customHeight="false" outlineLevel="0" collapsed="false">
      <c r="A1803" s="0" t="s">
        <v>439</v>
      </c>
      <c r="B1803" s="0" t="s">
        <v>118</v>
      </c>
      <c r="C1803" s="0" t="s">
        <v>119</v>
      </c>
      <c r="D1803" s="0" t="n">
        <v>23</v>
      </c>
      <c r="E1803" s="5" t="n">
        <v>45957.8217013889</v>
      </c>
      <c r="F1803" s="0" t="n">
        <v>4.95</v>
      </c>
      <c r="G1803" s="0" t="n">
        <v>17208</v>
      </c>
      <c r="H1803" s="6" t="s">
        <v>74</v>
      </c>
      <c r="I1803" s="6" t="n">
        <f aca="false">D1803*F1803</f>
        <v>113.85</v>
      </c>
      <c r="J1803" s="6" t="n">
        <f aca="false">HOUR(E1803)</f>
        <v>19</v>
      </c>
      <c r="K1803" s="6" t="n">
        <f aca="false">IF(COUNTIF($A$2:$A1803,A1803)=1,1,0)</f>
        <v>1</v>
      </c>
    </row>
    <row r="1804" customFormat="false" ht="15" hidden="false" customHeight="false" outlineLevel="0" collapsed="false">
      <c r="A1804" s="0" t="s">
        <v>439</v>
      </c>
      <c r="B1804" s="0" t="s">
        <v>104</v>
      </c>
      <c r="C1804" s="0" t="s">
        <v>105</v>
      </c>
      <c r="D1804" s="0" t="n">
        <v>9</v>
      </c>
      <c r="E1804" s="5" t="n">
        <v>45957.8217013889</v>
      </c>
      <c r="F1804" s="0" t="n">
        <v>1.65</v>
      </c>
      <c r="G1804" s="0" t="n">
        <v>17208</v>
      </c>
      <c r="H1804" s="6" t="s">
        <v>74</v>
      </c>
      <c r="I1804" s="6" t="n">
        <f aca="false">D1804*F1804</f>
        <v>14.85</v>
      </c>
      <c r="J1804" s="6" t="n">
        <f aca="false">HOUR(E1804)</f>
        <v>19</v>
      </c>
      <c r="K1804" s="6" t="n">
        <f aca="false">IF(COUNTIF($A$2:$A1804,A1804)=1,1,0)</f>
        <v>0</v>
      </c>
    </row>
    <row r="1805" customFormat="false" ht="15" hidden="false" customHeight="false" outlineLevel="0" collapsed="false">
      <c r="A1805" s="0" t="s">
        <v>439</v>
      </c>
      <c r="B1805" s="0" t="s">
        <v>121</v>
      </c>
      <c r="C1805" s="0" t="s">
        <v>122</v>
      </c>
      <c r="D1805" s="0" t="n">
        <v>23</v>
      </c>
      <c r="E1805" s="5" t="n">
        <v>45957.8217013889</v>
      </c>
      <c r="F1805" s="0" t="n">
        <v>2.1</v>
      </c>
      <c r="G1805" s="0" t="n">
        <v>17208</v>
      </c>
      <c r="H1805" s="6" t="s">
        <v>74</v>
      </c>
      <c r="I1805" s="6" t="n">
        <f aca="false">D1805*F1805</f>
        <v>48.3</v>
      </c>
      <c r="J1805" s="6" t="n">
        <f aca="false">HOUR(E1805)</f>
        <v>19</v>
      </c>
      <c r="K1805" s="6" t="n">
        <f aca="false">IF(COUNTIF($A$2:$A1805,A1805)=1,1,0)</f>
        <v>0</v>
      </c>
    </row>
    <row r="1806" customFormat="false" ht="15" hidden="false" customHeight="false" outlineLevel="0" collapsed="false">
      <c r="A1806" s="0" t="s">
        <v>439</v>
      </c>
      <c r="B1806" s="0" t="s">
        <v>137</v>
      </c>
      <c r="C1806" s="0" t="s">
        <v>138</v>
      </c>
      <c r="D1806" s="0" t="n">
        <v>2</v>
      </c>
      <c r="E1806" s="5" t="n">
        <v>45957.8217013889</v>
      </c>
      <c r="F1806" s="0" t="n">
        <v>2.1</v>
      </c>
      <c r="G1806" s="0" t="n">
        <v>17208</v>
      </c>
      <c r="H1806" s="6" t="s">
        <v>74</v>
      </c>
      <c r="I1806" s="6" t="n">
        <f aca="false">D1806*F1806</f>
        <v>4.2</v>
      </c>
      <c r="J1806" s="6" t="n">
        <f aca="false">HOUR(E1806)</f>
        <v>19</v>
      </c>
      <c r="K1806" s="6" t="n">
        <f aca="false">IF(COUNTIF($A$2:$A1806,A1806)=1,1,0)</f>
        <v>0</v>
      </c>
    </row>
    <row r="1807" customFormat="false" ht="15" hidden="false" customHeight="false" outlineLevel="0" collapsed="false">
      <c r="A1807" s="0" t="s">
        <v>439</v>
      </c>
      <c r="B1807" s="0" t="s">
        <v>43</v>
      </c>
      <c r="C1807" s="0" t="s">
        <v>44</v>
      </c>
      <c r="D1807" s="0" t="n">
        <v>8</v>
      </c>
      <c r="E1807" s="5" t="n">
        <v>45957.8217013889</v>
      </c>
      <c r="F1807" s="0" t="n">
        <v>4.25</v>
      </c>
      <c r="G1807" s="0" t="n">
        <v>17208</v>
      </c>
      <c r="H1807" s="6" t="s">
        <v>74</v>
      </c>
      <c r="I1807" s="6" t="n">
        <f aca="false">D1807*F1807</f>
        <v>34</v>
      </c>
      <c r="J1807" s="6" t="n">
        <f aca="false">HOUR(E1807)</f>
        <v>19</v>
      </c>
      <c r="K1807" s="6" t="n">
        <f aca="false">IF(COUNTIF($A$2:$A1807,A1807)=1,1,0)</f>
        <v>0</v>
      </c>
    </row>
    <row r="1808" customFormat="false" ht="15" hidden="false" customHeight="false" outlineLevel="0" collapsed="false">
      <c r="A1808" s="0" t="s">
        <v>439</v>
      </c>
      <c r="B1808" s="0" t="s">
        <v>79</v>
      </c>
      <c r="C1808" s="0" t="s">
        <v>80</v>
      </c>
      <c r="D1808" s="0" t="n">
        <v>15</v>
      </c>
      <c r="E1808" s="5" t="n">
        <v>45957.8217013889</v>
      </c>
      <c r="F1808" s="0" t="n">
        <v>3.39</v>
      </c>
      <c r="G1808" s="0" t="n">
        <v>17208</v>
      </c>
      <c r="H1808" s="6" t="s">
        <v>74</v>
      </c>
      <c r="I1808" s="6" t="n">
        <f aca="false">D1808*F1808</f>
        <v>50.85</v>
      </c>
      <c r="J1808" s="6" t="n">
        <f aca="false">HOUR(E1808)</f>
        <v>19</v>
      </c>
      <c r="K1808" s="6" t="n">
        <f aca="false">IF(COUNTIF($A$2:$A1808,A1808)=1,1,0)</f>
        <v>0</v>
      </c>
    </row>
    <row r="1809" customFormat="false" ht="15" hidden="false" customHeight="false" outlineLevel="0" collapsed="false">
      <c r="A1809" s="0" t="s">
        <v>439</v>
      </c>
      <c r="B1809" s="0" t="s">
        <v>81</v>
      </c>
      <c r="C1809" s="0" t="s">
        <v>82</v>
      </c>
      <c r="D1809" s="0" t="n">
        <v>11</v>
      </c>
      <c r="E1809" s="5" t="n">
        <v>45957.8217013889</v>
      </c>
      <c r="F1809" s="0" t="n">
        <v>1.65</v>
      </c>
      <c r="G1809" s="0" t="n">
        <v>17208</v>
      </c>
      <c r="H1809" s="6" t="s">
        <v>74</v>
      </c>
      <c r="I1809" s="6" t="n">
        <f aca="false">D1809*F1809</f>
        <v>18.15</v>
      </c>
      <c r="J1809" s="6" t="n">
        <f aca="false">HOUR(E1809)</f>
        <v>19</v>
      </c>
      <c r="K1809" s="6" t="n">
        <f aca="false">IF(COUNTIF($A$2:$A1809,A1809)=1,1,0)</f>
        <v>0</v>
      </c>
    </row>
    <row r="1810" customFormat="false" ht="15" hidden="false" customHeight="false" outlineLevel="0" collapsed="false">
      <c r="A1810" s="0" t="s">
        <v>439</v>
      </c>
      <c r="B1810" s="0" t="s">
        <v>99</v>
      </c>
      <c r="C1810" s="0" t="s">
        <v>100</v>
      </c>
      <c r="D1810" s="0" t="n">
        <v>22</v>
      </c>
      <c r="E1810" s="5" t="n">
        <v>45957.8217013889</v>
      </c>
      <c r="F1810" s="0" t="n">
        <v>2.08</v>
      </c>
      <c r="G1810" s="0" t="n">
        <v>17208</v>
      </c>
      <c r="H1810" s="6" t="s">
        <v>74</v>
      </c>
      <c r="I1810" s="6" t="n">
        <f aca="false">D1810*F1810</f>
        <v>45.76</v>
      </c>
      <c r="J1810" s="6" t="n">
        <f aca="false">HOUR(E1810)</f>
        <v>19</v>
      </c>
      <c r="K1810" s="6" t="n">
        <f aca="false">IF(COUNTIF($A$2:$A1810,A1810)=1,1,0)</f>
        <v>0</v>
      </c>
    </row>
    <row r="1811" customFormat="false" ht="15" hidden="false" customHeight="false" outlineLevel="0" collapsed="false">
      <c r="A1811" s="0" t="s">
        <v>439</v>
      </c>
      <c r="B1811" s="0" t="s">
        <v>125</v>
      </c>
      <c r="C1811" s="0" t="s">
        <v>126</v>
      </c>
      <c r="D1811" s="0" t="n">
        <v>8</v>
      </c>
      <c r="E1811" s="5" t="n">
        <v>45957.8217013889</v>
      </c>
      <c r="F1811" s="0" t="n">
        <v>1.25</v>
      </c>
      <c r="G1811" s="0" t="n">
        <v>17208</v>
      </c>
      <c r="H1811" s="6" t="s">
        <v>74</v>
      </c>
      <c r="I1811" s="6" t="n">
        <f aca="false">D1811*F1811</f>
        <v>10</v>
      </c>
      <c r="J1811" s="6" t="n">
        <f aca="false">HOUR(E1811)</f>
        <v>19</v>
      </c>
      <c r="K1811" s="6" t="n">
        <f aca="false">IF(COUNTIF($A$2:$A1811,A1811)=1,1,0)</f>
        <v>0</v>
      </c>
    </row>
    <row r="1812" customFormat="false" ht="15" hidden="false" customHeight="false" outlineLevel="0" collapsed="false">
      <c r="A1812" s="0" t="s">
        <v>439</v>
      </c>
      <c r="B1812" s="0" t="s">
        <v>93</v>
      </c>
      <c r="C1812" s="0" t="s">
        <v>94</v>
      </c>
      <c r="D1812" s="0" t="n">
        <v>24</v>
      </c>
      <c r="E1812" s="5" t="n">
        <v>45957.8217013889</v>
      </c>
      <c r="F1812" s="0" t="n">
        <v>1.69</v>
      </c>
      <c r="G1812" s="0" t="n">
        <v>17208</v>
      </c>
      <c r="H1812" s="6" t="s">
        <v>74</v>
      </c>
      <c r="I1812" s="6" t="n">
        <f aca="false">D1812*F1812</f>
        <v>40.56</v>
      </c>
      <c r="J1812" s="6" t="n">
        <f aca="false">HOUR(E1812)</f>
        <v>19</v>
      </c>
      <c r="K1812" s="6" t="n">
        <f aca="false">IF(COUNTIF($A$2:$A1812,A1812)=1,1,0)</f>
        <v>0</v>
      </c>
    </row>
    <row r="1813" customFormat="false" ht="15" hidden="false" customHeight="false" outlineLevel="0" collapsed="false">
      <c r="A1813" s="0" t="s">
        <v>440</v>
      </c>
      <c r="B1813" s="0" t="s">
        <v>77</v>
      </c>
      <c r="C1813" s="0" t="s">
        <v>78</v>
      </c>
      <c r="D1813" s="0" t="n">
        <v>11</v>
      </c>
      <c r="E1813" s="5" t="n">
        <v>45958.2862037037</v>
      </c>
      <c r="F1813" s="0" t="n">
        <v>1.65</v>
      </c>
      <c r="G1813" s="0" t="n">
        <v>17000</v>
      </c>
      <c r="H1813" s="6" t="s">
        <v>208</v>
      </c>
      <c r="I1813" s="6" t="n">
        <f aca="false">D1813*F1813</f>
        <v>18.15</v>
      </c>
      <c r="J1813" s="6" t="n">
        <f aca="false">HOUR(E1813)</f>
        <v>6</v>
      </c>
      <c r="K1813" s="6" t="n">
        <f aca="false">IF(COUNTIF($A$2:$A1813,A1813)=1,1,0)</f>
        <v>1</v>
      </c>
    </row>
    <row r="1814" customFormat="false" ht="15" hidden="false" customHeight="false" outlineLevel="0" collapsed="false">
      <c r="A1814" s="0" t="s">
        <v>440</v>
      </c>
      <c r="B1814" s="0" t="s">
        <v>93</v>
      </c>
      <c r="C1814" s="0" t="s">
        <v>94</v>
      </c>
      <c r="D1814" s="0" t="n">
        <v>20</v>
      </c>
      <c r="E1814" s="5" t="n">
        <v>45958.2862037037</v>
      </c>
      <c r="F1814" s="0" t="n">
        <v>1.69</v>
      </c>
      <c r="G1814" s="0" t="n">
        <v>17000</v>
      </c>
      <c r="H1814" s="6" t="s">
        <v>208</v>
      </c>
      <c r="I1814" s="6" t="n">
        <f aca="false">D1814*F1814</f>
        <v>33.8</v>
      </c>
      <c r="J1814" s="6" t="n">
        <f aca="false">HOUR(E1814)</f>
        <v>6</v>
      </c>
      <c r="K1814" s="6" t="n">
        <f aca="false">IF(COUNTIF($A$2:$A1814,A1814)=1,1,0)</f>
        <v>0</v>
      </c>
    </row>
    <row r="1815" customFormat="false" ht="15" hidden="false" customHeight="false" outlineLevel="0" collapsed="false">
      <c r="A1815" s="0" t="s">
        <v>440</v>
      </c>
      <c r="B1815" s="0" t="s">
        <v>134</v>
      </c>
      <c r="C1815" s="0" t="s">
        <v>135</v>
      </c>
      <c r="D1815" s="0" t="n">
        <v>7</v>
      </c>
      <c r="E1815" s="5" t="n">
        <v>45958.2862037037</v>
      </c>
      <c r="F1815" s="0" t="n">
        <v>5.95</v>
      </c>
      <c r="G1815" s="0" t="n">
        <v>17000</v>
      </c>
      <c r="H1815" s="6" t="s">
        <v>208</v>
      </c>
      <c r="I1815" s="6" t="n">
        <f aca="false">D1815*F1815</f>
        <v>41.65</v>
      </c>
      <c r="J1815" s="6" t="n">
        <f aca="false">HOUR(E1815)</f>
        <v>6</v>
      </c>
      <c r="K1815" s="6" t="n">
        <f aca="false">IF(COUNTIF($A$2:$A1815,A1815)=1,1,0)</f>
        <v>0</v>
      </c>
    </row>
    <row r="1816" customFormat="false" ht="15" hidden="false" customHeight="false" outlineLevel="0" collapsed="false">
      <c r="A1816" s="0" t="s">
        <v>441</v>
      </c>
      <c r="B1816" s="0" t="s">
        <v>93</v>
      </c>
      <c r="C1816" s="0" t="s">
        <v>94</v>
      </c>
      <c r="D1816" s="0" t="n">
        <v>19</v>
      </c>
      <c r="E1816" s="5" t="n">
        <v>45958.4163888889</v>
      </c>
      <c r="F1816" s="0" t="n">
        <v>1.69</v>
      </c>
      <c r="G1816" s="0" t="n">
        <v>17014</v>
      </c>
      <c r="H1816" s="6" t="s">
        <v>74</v>
      </c>
      <c r="I1816" s="6" t="n">
        <f aca="false">D1816*F1816</f>
        <v>32.11</v>
      </c>
      <c r="J1816" s="6" t="n">
        <f aca="false">HOUR(E1816)</f>
        <v>9</v>
      </c>
      <c r="K1816" s="6" t="n">
        <f aca="false">IF(COUNTIF($A$2:$A1816,A1816)=1,1,0)</f>
        <v>1</v>
      </c>
    </row>
    <row r="1817" customFormat="false" ht="15" hidden="false" customHeight="false" outlineLevel="0" collapsed="false">
      <c r="A1817" s="0" t="s">
        <v>441</v>
      </c>
      <c r="B1817" s="0" t="s">
        <v>116</v>
      </c>
      <c r="C1817" s="0" t="s">
        <v>117</v>
      </c>
      <c r="D1817" s="0" t="n">
        <v>11</v>
      </c>
      <c r="E1817" s="5" t="n">
        <v>45958.4163888889</v>
      </c>
      <c r="F1817" s="0" t="n">
        <v>1.95</v>
      </c>
      <c r="G1817" s="0" t="n">
        <v>17014</v>
      </c>
      <c r="H1817" s="6" t="s">
        <v>74</v>
      </c>
      <c r="I1817" s="6" t="n">
        <f aca="false">D1817*F1817</f>
        <v>21.45</v>
      </c>
      <c r="J1817" s="6" t="n">
        <f aca="false">HOUR(E1817)</f>
        <v>9</v>
      </c>
      <c r="K1817" s="6" t="n">
        <f aca="false">IF(COUNTIF($A$2:$A1817,A1817)=1,1,0)</f>
        <v>0</v>
      </c>
    </row>
    <row r="1818" customFormat="false" ht="15" hidden="false" customHeight="false" outlineLevel="0" collapsed="false">
      <c r="A1818" s="0" t="s">
        <v>441</v>
      </c>
      <c r="B1818" s="0" t="s">
        <v>137</v>
      </c>
      <c r="C1818" s="0" t="s">
        <v>138</v>
      </c>
      <c r="D1818" s="0" t="n">
        <v>4</v>
      </c>
      <c r="E1818" s="5" t="n">
        <v>45958.4163888889</v>
      </c>
      <c r="F1818" s="0" t="n">
        <v>2.1</v>
      </c>
      <c r="G1818" s="0" t="n">
        <v>17014</v>
      </c>
      <c r="H1818" s="6" t="s">
        <v>74</v>
      </c>
      <c r="I1818" s="6" t="n">
        <f aca="false">D1818*F1818</f>
        <v>8.4</v>
      </c>
      <c r="J1818" s="6" t="n">
        <f aca="false">HOUR(E1818)</f>
        <v>9</v>
      </c>
      <c r="K1818" s="6" t="n">
        <f aca="false">IF(COUNTIF($A$2:$A1818,A1818)=1,1,0)</f>
        <v>0</v>
      </c>
    </row>
    <row r="1819" customFormat="false" ht="15" hidden="false" customHeight="false" outlineLevel="0" collapsed="false">
      <c r="A1819" s="0" t="s">
        <v>441</v>
      </c>
      <c r="B1819" s="0" t="s">
        <v>125</v>
      </c>
      <c r="C1819" s="0" t="s">
        <v>126</v>
      </c>
      <c r="D1819" s="0" t="n">
        <v>10</v>
      </c>
      <c r="E1819" s="5" t="n">
        <v>45958.4163888889</v>
      </c>
      <c r="F1819" s="0" t="n">
        <v>1.25</v>
      </c>
      <c r="G1819" s="0" t="n">
        <v>17014</v>
      </c>
      <c r="H1819" s="6" t="s">
        <v>74</v>
      </c>
      <c r="I1819" s="6" t="n">
        <f aca="false">D1819*F1819</f>
        <v>12.5</v>
      </c>
      <c r="J1819" s="6" t="n">
        <f aca="false">HOUR(E1819)</f>
        <v>9</v>
      </c>
      <c r="K1819" s="6" t="n">
        <f aca="false">IF(COUNTIF($A$2:$A1819,A1819)=1,1,0)</f>
        <v>0</v>
      </c>
    </row>
    <row r="1820" customFormat="false" ht="15" hidden="false" customHeight="false" outlineLevel="0" collapsed="false">
      <c r="A1820" s="0" t="s">
        <v>441</v>
      </c>
      <c r="B1820" s="0" t="s">
        <v>43</v>
      </c>
      <c r="C1820" s="0" t="s">
        <v>44</v>
      </c>
      <c r="D1820" s="0" t="n">
        <v>6</v>
      </c>
      <c r="E1820" s="5" t="n">
        <v>45958.4163888889</v>
      </c>
      <c r="F1820" s="0" t="n">
        <v>4.25</v>
      </c>
      <c r="G1820" s="0" t="n">
        <v>17014</v>
      </c>
      <c r="H1820" s="6" t="s">
        <v>74</v>
      </c>
      <c r="I1820" s="6" t="n">
        <f aca="false">D1820*F1820</f>
        <v>25.5</v>
      </c>
      <c r="J1820" s="6" t="n">
        <f aca="false">HOUR(E1820)</f>
        <v>9</v>
      </c>
      <c r="K1820" s="6" t="n">
        <f aca="false">IF(COUNTIF($A$2:$A1820,A1820)=1,1,0)</f>
        <v>0</v>
      </c>
    </row>
    <row r="1821" customFormat="false" ht="15" hidden="false" customHeight="false" outlineLevel="0" collapsed="false">
      <c r="A1821" s="0" t="s">
        <v>441</v>
      </c>
      <c r="B1821" s="0" t="s">
        <v>45</v>
      </c>
      <c r="C1821" s="0" t="s">
        <v>46</v>
      </c>
      <c r="D1821" s="0" t="n">
        <v>18</v>
      </c>
      <c r="E1821" s="5" t="n">
        <v>45958.4163888889</v>
      </c>
      <c r="F1821" s="0" t="n">
        <v>2.1</v>
      </c>
      <c r="G1821" s="0" t="n">
        <v>17014</v>
      </c>
      <c r="H1821" s="6" t="s">
        <v>74</v>
      </c>
      <c r="I1821" s="6" t="n">
        <f aca="false">D1821*F1821</f>
        <v>37.8</v>
      </c>
      <c r="J1821" s="6" t="n">
        <f aca="false">HOUR(E1821)</f>
        <v>9</v>
      </c>
      <c r="K1821" s="6" t="n">
        <f aca="false">IF(COUNTIF($A$2:$A1821,A1821)=1,1,0)</f>
        <v>0</v>
      </c>
    </row>
    <row r="1822" customFormat="false" ht="15" hidden="false" customHeight="false" outlineLevel="0" collapsed="false">
      <c r="A1822" s="0" t="s">
        <v>442</v>
      </c>
      <c r="B1822" s="0" t="s">
        <v>91</v>
      </c>
      <c r="C1822" s="0" t="s">
        <v>92</v>
      </c>
      <c r="D1822" s="0" t="n">
        <v>24</v>
      </c>
      <c r="E1822" s="5" t="n">
        <v>45958.7357523148</v>
      </c>
      <c r="F1822" s="0" t="n">
        <v>7.65</v>
      </c>
      <c r="G1822" s="0" t="n">
        <v>17231</v>
      </c>
      <c r="H1822" s="6" t="s">
        <v>208</v>
      </c>
      <c r="I1822" s="6" t="n">
        <f aca="false">D1822*F1822</f>
        <v>183.6</v>
      </c>
      <c r="J1822" s="6" t="n">
        <f aca="false">HOUR(E1822)</f>
        <v>17</v>
      </c>
      <c r="K1822" s="6" t="n">
        <f aca="false">IF(COUNTIF($A$2:$A1822,A1822)=1,1,0)</f>
        <v>1</v>
      </c>
    </row>
    <row r="1823" customFormat="false" ht="15" hidden="false" customHeight="false" outlineLevel="0" collapsed="false">
      <c r="A1823" s="0" t="s">
        <v>442</v>
      </c>
      <c r="B1823" s="0" t="s">
        <v>86</v>
      </c>
      <c r="C1823" s="0" t="s">
        <v>87</v>
      </c>
      <c r="D1823" s="0" t="n">
        <v>3</v>
      </c>
      <c r="E1823" s="5" t="n">
        <v>45958.7357523148</v>
      </c>
      <c r="F1823" s="0" t="n">
        <v>4.25</v>
      </c>
      <c r="G1823" s="0" t="n">
        <v>17231</v>
      </c>
      <c r="H1823" s="6" t="s">
        <v>208</v>
      </c>
      <c r="I1823" s="6" t="n">
        <f aca="false">D1823*F1823</f>
        <v>12.75</v>
      </c>
      <c r="J1823" s="6" t="n">
        <f aca="false">HOUR(E1823)</f>
        <v>17</v>
      </c>
      <c r="K1823" s="6" t="n">
        <f aca="false">IF(COUNTIF($A$2:$A1823,A1823)=1,1,0)</f>
        <v>0</v>
      </c>
    </row>
    <row r="1824" customFormat="false" ht="15" hidden="false" customHeight="false" outlineLevel="0" collapsed="false">
      <c r="A1824" s="0" t="s">
        <v>442</v>
      </c>
      <c r="B1824" s="0" t="s">
        <v>121</v>
      </c>
      <c r="C1824" s="0" t="s">
        <v>122</v>
      </c>
      <c r="D1824" s="0" t="n">
        <v>13</v>
      </c>
      <c r="E1824" s="5" t="n">
        <v>45958.7357523148</v>
      </c>
      <c r="F1824" s="0" t="n">
        <v>2.1</v>
      </c>
      <c r="G1824" s="0" t="n">
        <v>17231</v>
      </c>
      <c r="H1824" s="6" t="s">
        <v>208</v>
      </c>
      <c r="I1824" s="6" t="n">
        <f aca="false">D1824*F1824</f>
        <v>27.3</v>
      </c>
      <c r="J1824" s="6" t="n">
        <f aca="false">HOUR(E1824)</f>
        <v>17</v>
      </c>
      <c r="K1824" s="6" t="n">
        <f aca="false">IF(COUNTIF($A$2:$A1824,A1824)=1,1,0)</f>
        <v>0</v>
      </c>
    </row>
    <row r="1825" customFormat="false" ht="15" hidden="false" customHeight="false" outlineLevel="0" collapsed="false">
      <c r="A1825" s="0" t="s">
        <v>443</v>
      </c>
      <c r="B1825" s="0" t="s">
        <v>47</v>
      </c>
      <c r="C1825" s="0" t="s">
        <v>48</v>
      </c>
      <c r="D1825" s="0" t="n">
        <v>39</v>
      </c>
      <c r="E1825" s="5" t="n">
        <v>45958.7990740741</v>
      </c>
      <c r="F1825" s="0" t="n">
        <v>12.75</v>
      </c>
      <c r="G1825" s="0" t="n">
        <v>17223</v>
      </c>
      <c r="H1825" s="6" t="s">
        <v>52</v>
      </c>
      <c r="I1825" s="6" t="n">
        <f aca="false">D1825*F1825</f>
        <v>497.25</v>
      </c>
      <c r="J1825" s="6" t="n">
        <f aca="false">HOUR(E1825)</f>
        <v>19</v>
      </c>
      <c r="K1825" s="6" t="n">
        <f aca="false">IF(COUNTIF($A$2:$A1825,A1825)=1,1,0)</f>
        <v>1</v>
      </c>
    </row>
    <row r="1826" customFormat="false" ht="15" hidden="false" customHeight="false" outlineLevel="0" collapsed="false">
      <c r="A1826" s="0" t="s">
        <v>443</v>
      </c>
      <c r="B1826" s="0" t="s">
        <v>127</v>
      </c>
      <c r="C1826" s="0" t="s">
        <v>128</v>
      </c>
      <c r="D1826" s="0" t="n">
        <v>1</v>
      </c>
      <c r="E1826" s="5" t="n">
        <v>45958.7990740741</v>
      </c>
      <c r="F1826" s="0" t="n">
        <v>1.45</v>
      </c>
      <c r="G1826" s="0" t="n">
        <v>17223</v>
      </c>
      <c r="H1826" s="6" t="s">
        <v>52</v>
      </c>
      <c r="I1826" s="6" t="n">
        <f aca="false">D1826*F1826</f>
        <v>1.45</v>
      </c>
      <c r="J1826" s="6" t="n">
        <f aca="false">HOUR(E1826)</f>
        <v>19</v>
      </c>
      <c r="K1826" s="6" t="n">
        <f aca="false">IF(COUNTIF($A$2:$A1826,A1826)=1,1,0)</f>
        <v>0</v>
      </c>
    </row>
    <row r="1827" customFormat="false" ht="15" hidden="false" customHeight="false" outlineLevel="0" collapsed="false">
      <c r="A1827" s="0" t="s">
        <v>443</v>
      </c>
      <c r="B1827" s="0" t="s">
        <v>81</v>
      </c>
      <c r="C1827" s="0" t="s">
        <v>82</v>
      </c>
      <c r="D1827" s="0" t="n">
        <v>6</v>
      </c>
      <c r="E1827" s="5" t="n">
        <v>45958.7990740741</v>
      </c>
      <c r="F1827" s="0" t="n">
        <v>1.65</v>
      </c>
      <c r="G1827" s="0" t="n">
        <v>17223</v>
      </c>
      <c r="H1827" s="6" t="s">
        <v>52</v>
      </c>
      <c r="I1827" s="6" t="n">
        <f aca="false">D1827*F1827</f>
        <v>9.9</v>
      </c>
      <c r="J1827" s="6" t="n">
        <f aca="false">HOUR(E1827)</f>
        <v>19</v>
      </c>
      <c r="K1827" s="6" t="n">
        <f aca="false">IF(COUNTIF($A$2:$A1827,A1827)=1,1,0)</f>
        <v>0</v>
      </c>
    </row>
    <row r="1828" customFormat="false" ht="15" hidden="false" customHeight="false" outlineLevel="0" collapsed="false">
      <c r="A1828" s="0" t="s">
        <v>443</v>
      </c>
      <c r="B1828" s="0" t="s">
        <v>63</v>
      </c>
      <c r="C1828" s="0" t="s">
        <v>64</v>
      </c>
      <c r="D1828" s="0" t="n">
        <v>7</v>
      </c>
      <c r="E1828" s="5" t="n">
        <v>45958.7990740741</v>
      </c>
      <c r="F1828" s="0" t="n">
        <v>1.85</v>
      </c>
      <c r="G1828" s="0" t="n">
        <v>17223</v>
      </c>
      <c r="H1828" s="6" t="s">
        <v>52</v>
      </c>
      <c r="I1828" s="6" t="n">
        <f aca="false">D1828*F1828</f>
        <v>12.95</v>
      </c>
      <c r="J1828" s="6" t="n">
        <f aca="false">HOUR(E1828)</f>
        <v>19</v>
      </c>
      <c r="K1828" s="6" t="n">
        <f aca="false">IF(COUNTIF($A$2:$A1828,A1828)=1,1,0)</f>
        <v>0</v>
      </c>
    </row>
    <row r="1829" customFormat="false" ht="15" hidden="false" customHeight="false" outlineLevel="0" collapsed="false">
      <c r="A1829" s="0" t="s">
        <v>443</v>
      </c>
      <c r="B1829" s="0" t="s">
        <v>137</v>
      </c>
      <c r="C1829" s="0" t="s">
        <v>138</v>
      </c>
      <c r="D1829" s="0" t="n">
        <v>19</v>
      </c>
      <c r="E1829" s="5" t="n">
        <v>45958.7990740741</v>
      </c>
      <c r="F1829" s="0" t="n">
        <v>2.1</v>
      </c>
      <c r="G1829" s="0" t="n">
        <v>17223</v>
      </c>
      <c r="H1829" s="6" t="s">
        <v>52</v>
      </c>
      <c r="I1829" s="6" t="n">
        <f aca="false">D1829*F1829</f>
        <v>39.9</v>
      </c>
      <c r="J1829" s="6" t="n">
        <f aca="false">HOUR(E1829)</f>
        <v>19</v>
      </c>
      <c r="K1829" s="6" t="n">
        <f aca="false">IF(COUNTIF($A$2:$A1829,A1829)=1,1,0)</f>
        <v>0</v>
      </c>
    </row>
    <row r="1830" customFormat="false" ht="15" hidden="false" customHeight="false" outlineLevel="0" collapsed="false">
      <c r="A1830" s="0" t="s">
        <v>443</v>
      </c>
      <c r="B1830" s="0" t="s">
        <v>79</v>
      </c>
      <c r="C1830" s="0" t="s">
        <v>80</v>
      </c>
      <c r="D1830" s="0" t="n">
        <v>4</v>
      </c>
      <c r="E1830" s="5" t="n">
        <v>45958.7990740741</v>
      </c>
      <c r="F1830" s="0" t="n">
        <v>3.39</v>
      </c>
      <c r="G1830" s="0" t="n">
        <v>17223</v>
      </c>
      <c r="H1830" s="6" t="s">
        <v>52</v>
      </c>
      <c r="I1830" s="6" t="n">
        <f aca="false">D1830*F1830</f>
        <v>13.56</v>
      </c>
      <c r="J1830" s="6" t="n">
        <f aca="false">HOUR(E1830)</f>
        <v>19</v>
      </c>
      <c r="K1830" s="6" t="n">
        <f aca="false">IF(COUNTIF($A$2:$A1830,A1830)=1,1,0)</f>
        <v>0</v>
      </c>
    </row>
    <row r="1831" customFormat="false" ht="15" hidden="false" customHeight="false" outlineLevel="0" collapsed="false">
      <c r="A1831" s="0" t="s">
        <v>443</v>
      </c>
      <c r="B1831" s="0" t="s">
        <v>134</v>
      </c>
      <c r="C1831" s="0" t="s">
        <v>135</v>
      </c>
      <c r="D1831" s="0" t="n">
        <v>15</v>
      </c>
      <c r="E1831" s="5" t="n">
        <v>45958.7990740741</v>
      </c>
      <c r="F1831" s="0" t="n">
        <v>5.95</v>
      </c>
      <c r="G1831" s="0" t="n">
        <v>17223</v>
      </c>
      <c r="H1831" s="6" t="s">
        <v>52</v>
      </c>
      <c r="I1831" s="6" t="n">
        <f aca="false">D1831*F1831</f>
        <v>89.25</v>
      </c>
      <c r="J1831" s="6" t="n">
        <f aca="false">HOUR(E1831)</f>
        <v>19</v>
      </c>
      <c r="K1831" s="6" t="n">
        <f aca="false">IF(COUNTIF($A$2:$A1831,A1831)=1,1,0)</f>
        <v>0</v>
      </c>
    </row>
    <row r="1832" customFormat="false" ht="15" hidden="false" customHeight="false" outlineLevel="0" collapsed="false">
      <c r="A1832" s="0" t="s">
        <v>443</v>
      </c>
      <c r="B1832" s="0" t="s">
        <v>55</v>
      </c>
      <c r="C1832" s="0" t="s">
        <v>56</v>
      </c>
      <c r="D1832" s="0" t="n">
        <v>7</v>
      </c>
      <c r="E1832" s="5" t="n">
        <v>45958.7990740741</v>
      </c>
      <c r="F1832" s="0" t="n">
        <v>1.65</v>
      </c>
      <c r="G1832" s="0" t="n">
        <v>17223</v>
      </c>
      <c r="H1832" s="6" t="s">
        <v>52</v>
      </c>
      <c r="I1832" s="6" t="n">
        <f aca="false">D1832*F1832</f>
        <v>11.55</v>
      </c>
      <c r="J1832" s="6" t="n">
        <f aca="false">HOUR(E1832)</f>
        <v>19</v>
      </c>
      <c r="K1832" s="6" t="n">
        <f aca="false">IF(COUNTIF($A$2:$A1832,A1832)=1,1,0)</f>
        <v>0</v>
      </c>
    </row>
    <row r="1833" customFormat="false" ht="15" hidden="false" customHeight="false" outlineLevel="0" collapsed="false">
      <c r="A1833" s="0" t="s">
        <v>443</v>
      </c>
      <c r="B1833" s="0" t="s">
        <v>109</v>
      </c>
      <c r="C1833" s="0" t="s">
        <v>110</v>
      </c>
      <c r="D1833" s="0" t="n">
        <v>12</v>
      </c>
      <c r="E1833" s="5" t="n">
        <v>45958.7990740741</v>
      </c>
      <c r="F1833" s="0" t="n">
        <v>0.85</v>
      </c>
      <c r="G1833" s="0" t="n">
        <v>17223</v>
      </c>
      <c r="H1833" s="6" t="s">
        <v>52</v>
      </c>
      <c r="I1833" s="6" t="n">
        <f aca="false">D1833*F1833</f>
        <v>10.2</v>
      </c>
      <c r="J1833" s="6" t="n">
        <f aca="false">HOUR(E1833)</f>
        <v>19</v>
      </c>
      <c r="K1833" s="6" t="n">
        <f aca="false">IF(COUNTIF($A$2:$A1833,A1833)=1,1,0)</f>
        <v>0</v>
      </c>
    </row>
    <row r="1834" customFormat="false" ht="15" hidden="false" customHeight="false" outlineLevel="0" collapsed="false">
      <c r="A1834" s="0" t="s">
        <v>444</v>
      </c>
      <c r="B1834" s="0" t="s">
        <v>72</v>
      </c>
      <c r="C1834" s="0" t="s">
        <v>73</v>
      </c>
      <c r="D1834" s="0" t="n">
        <v>-9</v>
      </c>
      <c r="E1834" s="5" t="n">
        <v>45958.810162037</v>
      </c>
      <c r="F1834" s="0" t="n">
        <v>4.95</v>
      </c>
      <c r="G1834" s="0" t="n">
        <v>17079</v>
      </c>
      <c r="H1834" s="6" t="s">
        <v>74</v>
      </c>
      <c r="I1834" s="6" t="n">
        <f aca="false">D1834*F1834</f>
        <v>-44.55</v>
      </c>
      <c r="J1834" s="6" t="n">
        <f aca="false">HOUR(E1834)</f>
        <v>19</v>
      </c>
      <c r="K1834" s="6" t="n">
        <f aca="false">IF(COUNTIF($A$2:$A1834,A1834)=1,1,0)</f>
        <v>1</v>
      </c>
    </row>
    <row r="1835" customFormat="false" ht="15" hidden="false" customHeight="false" outlineLevel="0" collapsed="false">
      <c r="A1835" s="0" t="s">
        <v>444</v>
      </c>
      <c r="B1835" s="0" t="s">
        <v>104</v>
      </c>
      <c r="C1835" s="0" t="s">
        <v>105</v>
      </c>
      <c r="D1835" s="0" t="n">
        <v>-13</v>
      </c>
      <c r="E1835" s="5" t="n">
        <v>45958.810162037</v>
      </c>
      <c r="F1835" s="0" t="n">
        <v>1.65</v>
      </c>
      <c r="G1835" s="0" t="n">
        <v>17079</v>
      </c>
      <c r="H1835" s="6" t="s">
        <v>74</v>
      </c>
      <c r="I1835" s="6" t="n">
        <f aca="false">D1835*F1835</f>
        <v>-21.45</v>
      </c>
      <c r="J1835" s="6" t="n">
        <f aca="false">HOUR(E1835)</f>
        <v>19</v>
      </c>
      <c r="K1835" s="6" t="n">
        <f aca="false">IF(COUNTIF($A$2:$A1835,A1835)=1,1,0)</f>
        <v>0</v>
      </c>
    </row>
    <row r="1836" customFormat="false" ht="15" hidden="false" customHeight="false" outlineLevel="0" collapsed="false">
      <c r="A1836" s="0" t="s">
        <v>444</v>
      </c>
      <c r="B1836" s="0" t="s">
        <v>95</v>
      </c>
      <c r="C1836" s="0" t="s">
        <v>96</v>
      </c>
      <c r="D1836" s="0" t="n">
        <v>-6</v>
      </c>
      <c r="E1836" s="5" t="n">
        <v>45958.810162037</v>
      </c>
      <c r="F1836" s="0" t="n">
        <v>2.55</v>
      </c>
      <c r="G1836" s="0" t="n">
        <v>17079</v>
      </c>
      <c r="H1836" s="6" t="s">
        <v>74</v>
      </c>
      <c r="I1836" s="6" t="n">
        <f aca="false">D1836*F1836</f>
        <v>-15.3</v>
      </c>
      <c r="J1836" s="6" t="n">
        <f aca="false">HOUR(E1836)</f>
        <v>19</v>
      </c>
      <c r="K1836" s="6" t="n">
        <f aca="false">IF(COUNTIF($A$2:$A1836,A1836)=1,1,0)</f>
        <v>0</v>
      </c>
    </row>
    <row r="1837" customFormat="false" ht="15" hidden="false" customHeight="false" outlineLevel="0" collapsed="false">
      <c r="A1837" s="0" t="s">
        <v>444</v>
      </c>
      <c r="B1837" s="0" t="s">
        <v>50</v>
      </c>
      <c r="C1837" s="0" t="s">
        <v>51</v>
      </c>
      <c r="D1837" s="0" t="n">
        <v>-9</v>
      </c>
      <c r="E1837" s="5" t="n">
        <v>45958.810162037</v>
      </c>
      <c r="F1837" s="0" t="n">
        <v>5.95</v>
      </c>
      <c r="G1837" s="0" t="n">
        <v>17079</v>
      </c>
      <c r="H1837" s="6" t="s">
        <v>74</v>
      </c>
      <c r="I1837" s="6" t="n">
        <f aca="false">D1837*F1837</f>
        <v>-53.55</v>
      </c>
      <c r="J1837" s="6" t="n">
        <f aca="false">HOUR(E1837)</f>
        <v>19</v>
      </c>
      <c r="K1837" s="6" t="n">
        <f aca="false">IF(COUNTIF($A$2:$A1837,A1837)=1,1,0)</f>
        <v>0</v>
      </c>
    </row>
    <row r="1838" customFormat="false" ht="15" hidden="false" customHeight="false" outlineLevel="0" collapsed="false">
      <c r="A1838" s="0" t="s">
        <v>445</v>
      </c>
      <c r="B1838" s="0" t="s">
        <v>127</v>
      </c>
      <c r="C1838" s="0" t="s">
        <v>128</v>
      </c>
      <c r="D1838" s="0" t="n">
        <v>-11</v>
      </c>
      <c r="E1838" s="5" t="n">
        <v>45958.9263425926</v>
      </c>
      <c r="F1838" s="0" t="n">
        <v>1.45</v>
      </c>
      <c r="G1838" s="0" t="n">
        <v>17129</v>
      </c>
      <c r="H1838" s="6" t="s">
        <v>74</v>
      </c>
      <c r="I1838" s="6" t="n">
        <f aca="false">D1838*F1838</f>
        <v>-15.95</v>
      </c>
      <c r="J1838" s="6" t="n">
        <f aca="false">HOUR(E1838)</f>
        <v>22</v>
      </c>
      <c r="K1838" s="6" t="n">
        <f aca="false">IF(COUNTIF($A$2:$A1838,A1838)=1,1,0)</f>
        <v>1</v>
      </c>
    </row>
    <row r="1839" customFormat="false" ht="15" hidden="false" customHeight="false" outlineLevel="0" collapsed="false">
      <c r="A1839" s="0" t="s">
        <v>445</v>
      </c>
      <c r="B1839" s="0" t="s">
        <v>72</v>
      </c>
      <c r="C1839" s="0" t="s">
        <v>73</v>
      </c>
      <c r="D1839" s="0" t="n">
        <v>-47</v>
      </c>
      <c r="E1839" s="5" t="n">
        <v>45958.9263425926</v>
      </c>
      <c r="F1839" s="0" t="n">
        <v>4.95</v>
      </c>
      <c r="G1839" s="0" t="n">
        <v>17129</v>
      </c>
      <c r="H1839" s="6" t="s">
        <v>74</v>
      </c>
      <c r="I1839" s="6" t="n">
        <f aca="false">D1839*F1839</f>
        <v>-232.65</v>
      </c>
      <c r="J1839" s="6" t="n">
        <f aca="false">HOUR(E1839)</f>
        <v>22</v>
      </c>
      <c r="K1839" s="6" t="n">
        <f aca="false">IF(COUNTIF($A$2:$A1839,A1839)=1,1,0)</f>
        <v>0</v>
      </c>
    </row>
    <row r="1840" customFormat="false" ht="15" hidden="false" customHeight="false" outlineLevel="0" collapsed="false">
      <c r="A1840" s="0" t="s">
        <v>445</v>
      </c>
      <c r="B1840" s="0" t="s">
        <v>63</v>
      </c>
      <c r="C1840" s="0" t="s">
        <v>64</v>
      </c>
      <c r="D1840" s="0" t="n">
        <v>-12</v>
      </c>
      <c r="E1840" s="5" t="n">
        <v>45958.9263425926</v>
      </c>
      <c r="F1840" s="0" t="n">
        <v>1.85</v>
      </c>
      <c r="G1840" s="0" t="n">
        <v>17129</v>
      </c>
      <c r="H1840" s="6" t="s">
        <v>74</v>
      </c>
      <c r="I1840" s="6" t="n">
        <f aca="false">D1840*F1840</f>
        <v>-22.2</v>
      </c>
      <c r="J1840" s="6" t="n">
        <f aca="false">HOUR(E1840)</f>
        <v>22</v>
      </c>
      <c r="K1840" s="6" t="n">
        <f aca="false">IF(COUNTIF($A$2:$A1840,A1840)=1,1,0)</f>
        <v>0</v>
      </c>
    </row>
    <row r="1841" customFormat="false" ht="15" hidden="false" customHeight="false" outlineLevel="0" collapsed="false">
      <c r="A1841" s="0" t="s">
        <v>445</v>
      </c>
      <c r="B1841" s="0" t="s">
        <v>75</v>
      </c>
      <c r="C1841" s="0" t="s">
        <v>76</v>
      </c>
      <c r="D1841" s="0" t="n">
        <v>-16</v>
      </c>
      <c r="E1841" s="5" t="n">
        <v>45958.9263425926</v>
      </c>
      <c r="F1841" s="0" t="n">
        <v>3.39</v>
      </c>
      <c r="G1841" s="0" t="n">
        <v>17129</v>
      </c>
      <c r="H1841" s="6" t="s">
        <v>74</v>
      </c>
      <c r="I1841" s="6" t="n">
        <f aca="false">D1841*F1841</f>
        <v>-54.24</v>
      </c>
      <c r="J1841" s="6" t="n">
        <f aca="false">HOUR(E1841)</f>
        <v>22</v>
      </c>
      <c r="K1841" s="6" t="n">
        <f aca="false">IF(COUNTIF($A$2:$A1841,A1841)=1,1,0)</f>
        <v>0</v>
      </c>
    </row>
    <row r="1842" customFormat="false" ht="15" hidden="false" customHeight="false" outlineLevel="0" collapsed="false">
      <c r="A1842" s="0" t="s">
        <v>445</v>
      </c>
      <c r="B1842" s="0" t="s">
        <v>134</v>
      </c>
      <c r="C1842" s="0" t="s">
        <v>135</v>
      </c>
      <c r="D1842" s="0" t="n">
        <v>-14</v>
      </c>
      <c r="E1842" s="5" t="n">
        <v>45958.9263425926</v>
      </c>
      <c r="F1842" s="0" t="n">
        <v>5.95</v>
      </c>
      <c r="G1842" s="0" t="n">
        <v>17129</v>
      </c>
      <c r="H1842" s="6" t="s">
        <v>74</v>
      </c>
      <c r="I1842" s="6" t="n">
        <f aca="false">D1842*F1842</f>
        <v>-83.3</v>
      </c>
      <c r="J1842" s="6" t="n">
        <f aca="false">HOUR(E1842)</f>
        <v>22</v>
      </c>
      <c r="K1842" s="6" t="n">
        <f aca="false">IF(COUNTIF($A$2:$A1842,A1842)=1,1,0)</f>
        <v>0</v>
      </c>
    </row>
    <row r="1843" customFormat="false" ht="15" hidden="false" customHeight="false" outlineLevel="0" collapsed="false">
      <c r="A1843" s="0" t="s">
        <v>445</v>
      </c>
      <c r="B1843" s="0" t="s">
        <v>50</v>
      </c>
      <c r="C1843" s="0" t="s">
        <v>51</v>
      </c>
      <c r="D1843" s="0" t="n">
        <v>-1</v>
      </c>
      <c r="E1843" s="5" t="n">
        <v>45958.9263425926</v>
      </c>
      <c r="F1843" s="0" t="n">
        <v>5.95</v>
      </c>
      <c r="G1843" s="0" t="n">
        <v>17129</v>
      </c>
      <c r="H1843" s="6" t="s">
        <v>74</v>
      </c>
      <c r="I1843" s="6" t="n">
        <f aca="false">D1843*F1843</f>
        <v>-5.95</v>
      </c>
      <c r="J1843" s="6" t="n">
        <f aca="false">HOUR(E1843)</f>
        <v>22</v>
      </c>
      <c r="K1843" s="6" t="n">
        <f aca="false">IF(COUNTIF($A$2:$A1843,A1843)=1,1,0)</f>
        <v>0</v>
      </c>
    </row>
    <row r="1844" customFormat="false" ht="15" hidden="false" customHeight="false" outlineLevel="0" collapsed="false">
      <c r="A1844" s="0" t="s">
        <v>445</v>
      </c>
      <c r="B1844" s="0" t="s">
        <v>116</v>
      </c>
      <c r="C1844" s="0" t="s">
        <v>117</v>
      </c>
      <c r="D1844" s="0" t="n">
        <v>-24</v>
      </c>
      <c r="E1844" s="5" t="n">
        <v>45958.9263425926</v>
      </c>
      <c r="F1844" s="0" t="n">
        <v>1.95</v>
      </c>
      <c r="G1844" s="0" t="n">
        <v>17129</v>
      </c>
      <c r="H1844" s="6" t="s">
        <v>74</v>
      </c>
      <c r="I1844" s="6" t="n">
        <f aca="false">D1844*F1844</f>
        <v>-46.8</v>
      </c>
      <c r="J1844" s="6" t="n">
        <f aca="false">HOUR(E1844)</f>
        <v>22</v>
      </c>
      <c r="K1844" s="6" t="n">
        <f aca="false">IF(COUNTIF($A$2:$A1844,A1844)=1,1,0)</f>
        <v>0</v>
      </c>
    </row>
    <row r="1845" customFormat="false" ht="15" hidden="false" customHeight="false" outlineLevel="0" collapsed="false">
      <c r="A1845" s="0" t="s">
        <v>446</v>
      </c>
      <c r="B1845" s="0" t="s">
        <v>109</v>
      </c>
      <c r="C1845" s="0" t="s">
        <v>110</v>
      </c>
      <c r="D1845" s="0" t="n">
        <v>20</v>
      </c>
      <c r="E1845" s="5" t="n">
        <v>45959.3341898148</v>
      </c>
      <c r="F1845" s="0" t="n">
        <v>0.85</v>
      </c>
      <c r="G1845" s="0" t="n">
        <v>17146</v>
      </c>
      <c r="H1845" s="6" t="s">
        <v>74</v>
      </c>
      <c r="I1845" s="6" t="n">
        <f aca="false">D1845*F1845</f>
        <v>17</v>
      </c>
      <c r="J1845" s="6" t="n">
        <f aca="false">HOUR(E1845)</f>
        <v>8</v>
      </c>
      <c r="K1845" s="6" t="n">
        <f aca="false">IF(COUNTIF($A$2:$A1845,A1845)=1,1,0)</f>
        <v>1</v>
      </c>
    </row>
    <row r="1846" customFormat="false" ht="15" hidden="false" customHeight="false" outlineLevel="0" collapsed="false">
      <c r="A1846" s="0" t="s">
        <v>446</v>
      </c>
      <c r="B1846" s="0" t="s">
        <v>121</v>
      </c>
      <c r="C1846" s="0" t="s">
        <v>122</v>
      </c>
      <c r="D1846" s="0" t="n">
        <v>12</v>
      </c>
      <c r="E1846" s="5" t="n">
        <v>45959.3341898148</v>
      </c>
      <c r="F1846" s="0" t="n">
        <v>2.1</v>
      </c>
      <c r="G1846" s="0" t="n">
        <v>17146</v>
      </c>
      <c r="H1846" s="6" t="s">
        <v>74</v>
      </c>
      <c r="I1846" s="6" t="n">
        <f aca="false">D1846*F1846</f>
        <v>25.2</v>
      </c>
      <c r="J1846" s="6" t="n">
        <f aca="false">HOUR(E1846)</f>
        <v>8</v>
      </c>
      <c r="K1846" s="6" t="n">
        <f aca="false">IF(COUNTIF($A$2:$A1846,A1846)=1,1,0)</f>
        <v>0</v>
      </c>
    </row>
    <row r="1847" customFormat="false" ht="15" hidden="false" customHeight="false" outlineLevel="0" collapsed="false">
      <c r="A1847" s="0" t="s">
        <v>446</v>
      </c>
      <c r="B1847" s="0" t="s">
        <v>63</v>
      </c>
      <c r="C1847" s="0" t="s">
        <v>64</v>
      </c>
      <c r="D1847" s="0" t="n">
        <v>10</v>
      </c>
      <c r="E1847" s="5" t="n">
        <v>45959.3341898148</v>
      </c>
      <c r="F1847" s="0" t="n">
        <v>1.85</v>
      </c>
      <c r="G1847" s="0" t="n">
        <v>17146</v>
      </c>
      <c r="H1847" s="6" t="s">
        <v>74</v>
      </c>
      <c r="I1847" s="6" t="n">
        <f aca="false">D1847*F1847</f>
        <v>18.5</v>
      </c>
      <c r="J1847" s="6" t="n">
        <f aca="false">HOUR(E1847)</f>
        <v>8</v>
      </c>
      <c r="K1847" s="6" t="n">
        <f aca="false">IF(COUNTIF($A$2:$A1847,A1847)=1,1,0)</f>
        <v>0</v>
      </c>
    </row>
    <row r="1848" customFormat="false" ht="15" hidden="false" customHeight="false" outlineLevel="0" collapsed="false">
      <c r="A1848" s="0" t="s">
        <v>446</v>
      </c>
      <c r="B1848" s="0" t="s">
        <v>69</v>
      </c>
      <c r="C1848" s="0" t="s">
        <v>70</v>
      </c>
      <c r="D1848" s="0" t="n">
        <v>12</v>
      </c>
      <c r="E1848" s="5" t="n">
        <v>45959.3341898148</v>
      </c>
      <c r="F1848" s="0" t="n">
        <v>2.08</v>
      </c>
      <c r="G1848" s="0" t="n">
        <v>17146</v>
      </c>
      <c r="H1848" s="6" t="s">
        <v>74</v>
      </c>
      <c r="I1848" s="6" t="n">
        <f aca="false">D1848*F1848</f>
        <v>24.96</v>
      </c>
      <c r="J1848" s="6" t="n">
        <f aca="false">HOUR(E1848)</f>
        <v>8</v>
      </c>
      <c r="K1848" s="6" t="n">
        <f aca="false">IF(COUNTIF($A$2:$A1848,A1848)=1,1,0)</f>
        <v>0</v>
      </c>
    </row>
    <row r="1849" customFormat="false" ht="15" hidden="false" customHeight="false" outlineLevel="0" collapsed="false">
      <c r="A1849" s="0" t="s">
        <v>447</v>
      </c>
      <c r="B1849" s="0" t="s">
        <v>79</v>
      </c>
      <c r="C1849" s="0" t="s">
        <v>80</v>
      </c>
      <c r="D1849" s="0" t="n">
        <v>22</v>
      </c>
      <c r="E1849" s="5" t="n">
        <v>45959.3899652778</v>
      </c>
      <c r="F1849" s="0" t="n">
        <v>3.39</v>
      </c>
      <c r="G1849" s="0" t="n">
        <v>17114</v>
      </c>
      <c r="H1849" s="6" t="s">
        <v>188</v>
      </c>
      <c r="I1849" s="6" t="n">
        <f aca="false">D1849*F1849</f>
        <v>74.58</v>
      </c>
      <c r="J1849" s="6" t="n">
        <f aca="false">HOUR(E1849)</f>
        <v>9</v>
      </c>
      <c r="K1849" s="6" t="n">
        <f aca="false">IF(COUNTIF($A$2:$A1849,A1849)=1,1,0)</f>
        <v>1</v>
      </c>
    </row>
    <row r="1850" customFormat="false" ht="15" hidden="false" customHeight="false" outlineLevel="0" collapsed="false">
      <c r="A1850" s="0" t="s">
        <v>447</v>
      </c>
      <c r="B1850" s="0" t="s">
        <v>125</v>
      </c>
      <c r="C1850" s="0" t="s">
        <v>126</v>
      </c>
      <c r="D1850" s="0" t="n">
        <v>21</v>
      </c>
      <c r="E1850" s="5" t="n">
        <v>45959.3899652778</v>
      </c>
      <c r="F1850" s="0" t="n">
        <v>1.25</v>
      </c>
      <c r="G1850" s="0" t="n">
        <v>17114</v>
      </c>
      <c r="H1850" s="6" t="s">
        <v>188</v>
      </c>
      <c r="I1850" s="6" t="n">
        <f aca="false">D1850*F1850</f>
        <v>26.25</v>
      </c>
      <c r="J1850" s="6" t="n">
        <f aca="false">HOUR(E1850)</f>
        <v>9</v>
      </c>
      <c r="K1850" s="6" t="n">
        <f aca="false">IF(COUNTIF($A$2:$A1850,A1850)=1,1,0)</f>
        <v>0</v>
      </c>
    </row>
    <row r="1851" customFormat="false" ht="15" hidden="false" customHeight="false" outlineLevel="0" collapsed="false">
      <c r="A1851" s="0" t="s">
        <v>447</v>
      </c>
      <c r="B1851" s="0" t="s">
        <v>86</v>
      </c>
      <c r="C1851" s="0" t="s">
        <v>87</v>
      </c>
      <c r="D1851" s="0" t="n">
        <v>18</v>
      </c>
      <c r="E1851" s="5" t="n">
        <v>45959.3899652778</v>
      </c>
      <c r="F1851" s="0" t="n">
        <v>4.25</v>
      </c>
      <c r="G1851" s="0" t="n">
        <v>17114</v>
      </c>
      <c r="H1851" s="6" t="s">
        <v>188</v>
      </c>
      <c r="I1851" s="6" t="n">
        <f aca="false">D1851*F1851</f>
        <v>76.5</v>
      </c>
      <c r="J1851" s="6" t="n">
        <f aca="false">HOUR(E1851)</f>
        <v>9</v>
      </c>
      <c r="K1851" s="6" t="n">
        <f aca="false">IF(COUNTIF($A$2:$A1851,A1851)=1,1,0)</f>
        <v>0</v>
      </c>
    </row>
    <row r="1852" customFormat="false" ht="15" hidden="false" customHeight="false" outlineLevel="0" collapsed="false">
      <c r="A1852" s="0" t="s">
        <v>447</v>
      </c>
      <c r="B1852" s="0" t="s">
        <v>118</v>
      </c>
      <c r="C1852" s="0" t="s">
        <v>119</v>
      </c>
      <c r="D1852" s="0" t="n">
        <v>24</v>
      </c>
      <c r="E1852" s="5" t="n">
        <v>45959.3899652778</v>
      </c>
      <c r="F1852" s="0" t="n">
        <v>4.95</v>
      </c>
      <c r="G1852" s="0" t="n">
        <v>17114</v>
      </c>
      <c r="H1852" s="6" t="s">
        <v>188</v>
      </c>
      <c r="I1852" s="6" t="n">
        <f aca="false">D1852*F1852</f>
        <v>118.8</v>
      </c>
      <c r="J1852" s="6" t="n">
        <f aca="false">HOUR(E1852)</f>
        <v>9</v>
      </c>
      <c r="K1852" s="6" t="n">
        <f aca="false">IF(COUNTIF($A$2:$A1852,A1852)=1,1,0)</f>
        <v>0</v>
      </c>
    </row>
    <row r="1853" customFormat="false" ht="15" hidden="false" customHeight="false" outlineLevel="0" collapsed="false">
      <c r="A1853" s="0" t="s">
        <v>447</v>
      </c>
      <c r="B1853" s="0" t="s">
        <v>72</v>
      </c>
      <c r="C1853" s="0" t="s">
        <v>73</v>
      </c>
      <c r="D1853" s="0" t="n">
        <v>6</v>
      </c>
      <c r="E1853" s="5" t="n">
        <v>45959.3899652778</v>
      </c>
      <c r="F1853" s="0" t="n">
        <v>4.95</v>
      </c>
      <c r="G1853" s="0" t="n">
        <v>17114</v>
      </c>
      <c r="H1853" s="6" t="s">
        <v>188</v>
      </c>
      <c r="I1853" s="6" t="n">
        <f aca="false">D1853*F1853</f>
        <v>29.7</v>
      </c>
      <c r="J1853" s="6" t="n">
        <f aca="false">HOUR(E1853)</f>
        <v>9</v>
      </c>
      <c r="K1853" s="6" t="n">
        <f aca="false">IF(COUNTIF($A$2:$A1853,A1853)=1,1,0)</f>
        <v>0</v>
      </c>
    </row>
    <row r="1854" customFormat="false" ht="15" hidden="false" customHeight="false" outlineLevel="0" collapsed="false">
      <c r="A1854" s="0" t="s">
        <v>447</v>
      </c>
      <c r="B1854" s="0" t="s">
        <v>81</v>
      </c>
      <c r="C1854" s="0" t="s">
        <v>82</v>
      </c>
      <c r="D1854" s="0" t="n">
        <v>20</v>
      </c>
      <c r="E1854" s="5" t="n">
        <v>45959.3899652778</v>
      </c>
      <c r="F1854" s="0" t="n">
        <v>1.65</v>
      </c>
      <c r="G1854" s="0" t="n">
        <v>17114</v>
      </c>
      <c r="H1854" s="6" t="s">
        <v>188</v>
      </c>
      <c r="I1854" s="6" t="n">
        <f aca="false">D1854*F1854</f>
        <v>33</v>
      </c>
      <c r="J1854" s="6" t="n">
        <f aca="false">HOUR(E1854)</f>
        <v>9</v>
      </c>
      <c r="K1854" s="6" t="n">
        <f aca="false">IF(COUNTIF($A$2:$A1854,A1854)=1,1,0)</f>
        <v>0</v>
      </c>
    </row>
    <row r="1855" customFormat="false" ht="15" hidden="false" customHeight="false" outlineLevel="0" collapsed="false">
      <c r="A1855" s="0" t="s">
        <v>447</v>
      </c>
      <c r="B1855" s="0" t="s">
        <v>109</v>
      </c>
      <c r="C1855" s="0" t="s">
        <v>110</v>
      </c>
      <c r="D1855" s="0" t="n">
        <v>19</v>
      </c>
      <c r="E1855" s="5" t="n">
        <v>45959.3899652778</v>
      </c>
      <c r="F1855" s="0" t="n">
        <v>0.85</v>
      </c>
      <c r="G1855" s="0" t="n">
        <v>17114</v>
      </c>
      <c r="H1855" s="6" t="s">
        <v>188</v>
      </c>
      <c r="I1855" s="6" t="n">
        <f aca="false">D1855*F1855</f>
        <v>16.15</v>
      </c>
      <c r="J1855" s="6" t="n">
        <f aca="false">HOUR(E1855)</f>
        <v>9</v>
      </c>
      <c r="K1855" s="6" t="n">
        <f aca="false">IF(COUNTIF($A$2:$A1855,A1855)=1,1,0)</f>
        <v>0</v>
      </c>
    </row>
    <row r="1856" customFormat="false" ht="15" hidden="false" customHeight="false" outlineLevel="0" collapsed="false">
      <c r="A1856" s="0" t="s">
        <v>447</v>
      </c>
      <c r="B1856" s="0" t="s">
        <v>69</v>
      </c>
      <c r="C1856" s="0" t="s">
        <v>70</v>
      </c>
      <c r="D1856" s="0" t="n">
        <v>36</v>
      </c>
      <c r="E1856" s="5" t="n">
        <v>45959.3899652778</v>
      </c>
      <c r="F1856" s="0" t="n">
        <v>2.08</v>
      </c>
      <c r="G1856" s="0" t="n">
        <v>17114</v>
      </c>
      <c r="H1856" s="6" t="s">
        <v>188</v>
      </c>
      <c r="I1856" s="6" t="n">
        <f aca="false">D1856*F1856</f>
        <v>74.88</v>
      </c>
      <c r="J1856" s="6" t="n">
        <f aca="false">HOUR(E1856)</f>
        <v>9</v>
      </c>
      <c r="K1856" s="6" t="n">
        <f aca="false">IF(COUNTIF($A$2:$A1856,A1856)=1,1,0)</f>
        <v>0</v>
      </c>
    </row>
    <row r="1857" customFormat="false" ht="15" hidden="false" customHeight="false" outlineLevel="0" collapsed="false">
      <c r="A1857" s="0" t="s">
        <v>447</v>
      </c>
      <c r="B1857" s="0" t="s">
        <v>55</v>
      </c>
      <c r="C1857" s="0" t="s">
        <v>56</v>
      </c>
      <c r="D1857" s="0" t="n">
        <v>4</v>
      </c>
      <c r="E1857" s="5" t="n">
        <v>45959.3899652778</v>
      </c>
      <c r="F1857" s="0" t="n">
        <v>1.65</v>
      </c>
      <c r="G1857" s="0" t="n">
        <v>17114</v>
      </c>
      <c r="H1857" s="6" t="s">
        <v>188</v>
      </c>
      <c r="I1857" s="6" t="n">
        <f aca="false">D1857*F1857</f>
        <v>6.6</v>
      </c>
      <c r="J1857" s="6" t="n">
        <f aca="false">HOUR(E1857)</f>
        <v>9</v>
      </c>
      <c r="K1857" s="6" t="n">
        <f aca="false">IF(COUNTIF($A$2:$A1857,A1857)=1,1,0)</f>
        <v>0</v>
      </c>
    </row>
    <row r="1858" customFormat="false" ht="15" hidden="false" customHeight="false" outlineLevel="0" collapsed="false">
      <c r="A1858" s="0" t="s">
        <v>448</v>
      </c>
      <c r="B1858" s="0" t="s">
        <v>77</v>
      </c>
      <c r="C1858" s="0" t="s">
        <v>78</v>
      </c>
      <c r="D1858" s="0" t="n">
        <v>22</v>
      </c>
      <c r="E1858" s="5" t="n">
        <v>45959.3906597222</v>
      </c>
      <c r="F1858" s="0" t="n">
        <v>1.65</v>
      </c>
      <c r="G1858" s="0" t="n">
        <v>17140</v>
      </c>
      <c r="H1858" s="6" t="s">
        <v>74</v>
      </c>
      <c r="I1858" s="6" t="n">
        <f aca="false">D1858*F1858</f>
        <v>36.3</v>
      </c>
      <c r="J1858" s="6" t="n">
        <f aca="false">HOUR(E1858)</f>
        <v>9</v>
      </c>
      <c r="K1858" s="6" t="n">
        <f aca="false">IF(COUNTIF($A$2:$A1858,A1858)=1,1,0)</f>
        <v>1</v>
      </c>
    </row>
    <row r="1859" customFormat="false" ht="15" hidden="false" customHeight="false" outlineLevel="0" collapsed="false">
      <c r="A1859" s="0" t="s">
        <v>448</v>
      </c>
      <c r="B1859" s="0" t="s">
        <v>116</v>
      </c>
      <c r="C1859" s="0" t="s">
        <v>117</v>
      </c>
      <c r="D1859" s="0" t="n">
        <v>19</v>
      </c>
      <c r="E1859" s="5" t="n">
        <v>45959.3906597222</v>
      </c>
      <c r="F1859" s="0" t="n">
        <v>1.95</v>
      </c>
      <c r="G1859" s="0" t="n">
        <v>17140</v>
      </c>
      <c r="H1859" s="6" t="s">
        <v>74</v>
      </c>
      <c r="I1859" s="6" t="n">
        <f aca="false">D1859*F1859</f>
        <v>37.05</v>
      </c>
      <c r="J1859" s="6" t="n">
        <f aca="false">HOUR(E1859)</f>
        <v>9</v>
      </c>
      <c r="K1859" s="6" t="n">
        <f aca="false">IF(COUNTIF($A$2:$A1859,A1859)=1,1,0)</f>
        <v>0</v>
      </c>
    </row>
    <row r="1860" customFormat="false" ht="15" hidden="false" customHeight="false" outlineLevel="0" collapsed="false">
      <c r="A1860" s="0" t="s">
        <v>448</v>
      </c>
      <c r="B1860" s="0" t="s">
        <v>57</v>
      </c>
      <c r="C1860" s="0" t="s">
        <v>58</v>
      </c>
      <c r="D1860" s="0" t="n">
        <v>21</v>
      </c>
      <c r="E1860" s="5" t="n">
        <v>45959.3906597222</v>
      </c>
      <c r="F1860" s="0" t="n">
        <v>2.08</v>
      </c>
      <c r="G1860" s="0" t="n">
        <v>17140</v>
      </c>
      <c r="H1860" s="6" t="s">
        <v>74</v>
      </c>
      <c r="I1860" s="6" t="n">
        <f aca="false">D1860*F1860</f>
        <v>43.68</v>
      </c>
      <c r="J1860" s="6" t="n">
        <f aca="false">HOUR(E1860)</f>
        <v>9</v>
      </c>
      <c r="K1860" s="6" t="n">
        <f aca="false">IF(COUNTIF($A$2:$A1860,A1860)=1,1,0)</f>
        <v>0</v>
      </c>
    </row>
    <row r="1861" customFormat="false" ht="15" hidden="false" customHeight="false" outlineLevel="0" collapsed="false">
      <c r="A1861" s="0" t="s">
        <v>449</v>
      </c>
      <c r="B1861" s="0" t="s">
        <v>43</v>
      </c>
      <c r="C1861" s="0" t="s">
        <v>44</v>
      </c>
      <c r="D1861" s="0" t="n">
        <v>6</v>
      </c>
      <c r="E1861" s="5" t="n">
        <v>45959.4013657407</v>
      </c>
      <c r="F1861" s="0" t="n">
        <v>4.25</v>
      </c>
      <c r="G1861" s="0" t="n">
        <v>17239</v>
      </c>
      <c r="H1861" s="6" t="s">
        <v>151</v>
      </c>
      <c r="I1861" s="6" t="n">
        <f aca="false">D1861*F1861</f>
        <v>25.5</v>
      </c>
      <c r="J1861" s="6" t="n">
        <f aca="false">HOUR(E1861)</f>
        <v>9</v>
      </c>
      <c r="K1861" s="6" t="n">
        <f aca="false">IF(COUNTIF($A$2:$A1861,A1861)=1,1,0)</f>
        <v>1</v>
      </c>
    </row>
    <row r="1862" customFormat="false" ht="15" hidden="false" customHeight="false" outlineLevel="0" collapsed="false">
      <c r="A1862" s="0" t="s">
        <v>449</v>
      </c>
      <c r="B1862" s="0" t="s">
        <v>69</v>
      </c>
      <c r="C1862" s="0" t="s">
        <v>70</v>
      </c>
      <c r="D1862" s="0" t="n">
        <v>36</v>
      </c>
      <c r="E1862" s="5" t="n">
        <v>45959.4013657407</v>
      </c>
      <c r="F1862" s="0" t="n">
        <v>2.08</v>
      </c>
      <c r="G1862" s="0" t="n">
        <v>17239</v>
      </c>
      <c r="H1862" s="6" t="s">
        <v>151</v>
      </c>
      <c r="I1862" s="6" t="n">
        <f aca="false">D1862*F1862</f>
        <v>74.88</v>
      </c>
      <c r="J1862" s="6" t="n">
        <f aca="false">HOUR(E1862)</f>
        <v>9</v>
      </c>
      <c r="K1862" s="6" t="n">
        <f aca="false">IF(COUNTIF($A$2:$A1862,A1862)=1,1,0)</f>
        <v>0</v>
      </c>
    </row>
    <row r="1863" customFormat="false" ht="15" hidden="false" customHeight="false" outlineLevel="0" collapsed="false">
      <c r="A1863" s="0" t="s">
        <v>449</v>
      </c>
      <c r="B1863" s="0" t="s">
        <v>61</v>
      </c>
      <c r="C1863" s="0" t="s">
        <v>62</v>
      </c>
      <c r="D1863" s="0" t="n">
        <v>22</v>
      </c>
      <c r="E1863" s="5" t="n">
        <v>45959.4013657407</v>
      </c>
      <c r="F1863" s="0" t="n">
        <v>1.65</v>
      </c>
      <c r="G1863" s="0" t="n">
        <v>17239</v>
      </c>
      <c r="H1863" s="6" t="s">
        <v>151</v>
      </c>
      <c r="I1863" s="6" t="n">
        <f aca="false">D1863*F1863</f>
        <v>36.3</v>
      </c>
      <c r="J1863" s="6" t="n">
        <f aca="false">HOUR(E1863)</f>
        <v>9</v>
      </c>
      <c r="K1863" s="6" t="n">
        <f aca="false">IF(COUNTIF($A$2:$A1863,A1863)=1,1,0)</f>
        <v>0</v>
      </c>
    </row>
    <row r="1864" customFormat="false" ht="15" hidden="false" customHeight="false" outlineLevel="0" collapsed="false">
      <c r="A1864" s="0" t="s">
        <v>450</v>
      </c>
      <c r="B1864" s="0" t="s">
        <v>118</v>
      </c>
      <c r="C1864" s="0" t="s">
        <v>119</v>
      </c>
      <c r="D1864" s="0" t="n">
        <v>41</v>
      </c>
      <c r="E1864" s="5" t="n">
        <v>45959.406099537</v>
      </c>
      <c r="F1864" s="0" t="n">
        <v>4.95</v>
      </c>
      <c r="G1864" s="0" t="n">
        <v>17249</v>
      </c>
      <c r="H1864" s="6" t="s">
        <v>144</v>
      </c>
      <c r="I1864" s="6" t="n">
        <f aca="false">D1864*F1864</f>
        <v>202.95</v>
      </c>
      <c r="J1864" s="6" t="n">
        <f aca="false">HOUR(E1864)</f>
        <v>9</v>
      </c>
      <c r="K1864" s="6" t="n">
        <f aca="false">IF(COUNTIF($A$2:$A1864,A1864)=1,1,0)</f>
        <v>1</v>
      </c>
    </row>
    <row r="1865" customFormat="false" ht="15" hidden="false" customHeight="false" outlineLevel="0" collapsed="false">
      <c r="A1865" s="0" t="s">
        <v>450</v>
      </c>
      <c r="B1865" s="0" t="s">
        <v>81</v>
      </c>
      <c r="C1865" s="0" t="s">
        <v>82</v>
      </c>
      <c r="D1865" s="0" t="n">
        <v>23</v>
      </c>
      <c r="E1865" s="5" t="n">
        <v>45959.406099537</v>
      </c>
      <c r="F1865" s="0" t="n">
        <v>1.65</v>
      </c>
      <c r="G1865" s="0" t="n">
        <v>17249</v>
      </c>
      <c r="H1865" s="6" t="s">
        <v>144</v>
      </c>
      <c r="I1865" s="6" t="n">
        <f aca="false">D1865*F1865</f>
        <v>37.95</v>
      </c>
      <c r="J1865" s="6" t="n">
        <f aca="false">HOUR(E1865)</f>
        <v>9</v>
      </c>
      <c r="K1865" s="6" t="n">
        <f aca="false">IF(COUNTIF($A$2:$A1865,A1865)=1,1,0)</f>
        <v>0</v>
      </c>
    </row>
    <row r="1866" customFormat="false" ht="15" hidden="false" customHeight="false" outlineLevel="0" collapsed="false">
      <c r="A1866" s="0" t="s">
        <v>450</v>
      </c>
      <c r="B1866" s="0" t="s">
        <v>79</v>
      </c>
      <c r="C1866" s="0" t="s">
        <v>80</v>
      </c>
      <c r="D1866" s="0" t="n">
        <v>24</v>
      </c>
      <c r="E1866" s="5" t="n">
        <v>45959.406099537</v>
      </c>
      <c r="F1866" s="0" t="n">
        <v>3.39</v>
      </c>
      <c r="G1866" s="0" t="n">
        <v>17249</v>
      </c>
      <c r="H1866" s="6" t="s">
        <v>144</v>
      </c>
      <c r="I1866" s="6" t="n">
        <f aca="false">D1866*F1866</f>
        <v>81.36</v>
      </c>
      <c r="J1866" s="6" t="n">
        <f aca="false">HOUR(E1866)</f>
        <v>9</v>
      </c>
      <c r="K1866" s="6" t="n">
        <f aca="false">IF(COUNTIF($A$2:$A1866,A1866)=1,1,0)</f>
        <v>0</v>
      </c>
    </row>
    <row r="1867" customFormat="false" ht="15" hidden="false" customHeight="false" outlineLevel="0" collapsed="false">
      <c r="A1867" s="0" t="s">
        <v>450</v>
      </c>
      <c r="B1867" s="0" t="s">
        <v>121</v>
      </c>
      <c r="C1867" s="0" t="s">
        <v>122</v>
      </c>
      <c r="D1867" s="0" t="n">
        <v>13</v>
      </c>
      <c r="E1867" s="5" t="n">
        <v>45959.406099537</v>
      </c>
      <c r="F1867" s="0" t="n">
        <v>2.1</v>
      </c>
      <c r="G1867" s="0" t="n">
        <v>17249</v>
      </c>
      <c r="H1867" s="6" t="s">
        <v>144</v>
      </c>
      <c r="I1867" s="6" t="n">
        <f aca="false">D1867*F1867</f>
        <v>27.3</v>
      </c>
      <c r="J1867" s="6" t="n">
        <f aca="false">HOUR(E1867)</f>
        <v>9</v>
      </c>
      <c r="K1867" s="6" t="n">
        <f aca="false">IF(COUNTIF($A$2:$A1867,A1867)=1,1,0)</f>
        <v>0</v>
      </c>
    </row>
    <row r="1868" customFormat="false" ht="15" hidden="false" customHeight="false" outlineLevel="0" collapsed="false">
      <c r="A1868" s="0" t="s">
        <v>450</v>
      </c>
      <c r="B1868" s="0" t="s">
        <v>127</v>
      </c>
      <c r="C1868" s="0" t="s">
        <v>128</v>
      </c>
      <c r="D1868" s="0" t="n">
        <v>19</v>
      </c>
      <c r="E1868" s="5" t="n">
        <v>45959.406099537</v>
      </c>
      <c r="F1868" s="0" t="n">
        <v>1.45</v>
      </c>
      <c r="G1868" s="0" t="n">
        <v>17249</v>
      </c>
      <c r="H1868" s="6" t="s">
        <v>144</v>
      </c>
      <c r="I1868" s="6" t="n">
        <f aca="false">D1868*F1868</f>
        <v>27.55</v>
      </c>
      <c r="J1868" s="6" t="n">
        <f aca="false">HOUR(E1868)</f>
        <v>9</v>
      </c>
      <c r="K1868" s="6" t="n">
        <f aca="false">IF(COUNTIF($A$2:$A1868,A1868)=1,1,0)</f>
        <v>0</v>
      </c>
    </row>
    <row r="1869" customFormat="false" ht="15" hidden="false" customHeight="false" outlineLevel="0" collapsed="false">
      <c r="A1869" s="0" t="s">
        <v>450</v>
      </c>
      <c r="B1869" s="0" t="s">
        <v>99</v>
      </c>
      <c r="C1869" s="0" t="s">
        <v>100</v>
      </c>
      <c r="D1869" s="0" t="n">
        <v>5</v>
      </c>
      <c r="E1869" s="5" t="n">
        <v>45959.406099537</v>
      </c>
      <c r="F1869" s="0" t="n">
        <v>2.08</v>
      </c>
      <c r="G1869" s="0" t="n">
        <v>17249</v>
      </c>
      <c r="H1869" s="6" t="s">
        <v>144</v>
      </c>
      <c r="I1869" s="6" t="n">
        <f aca="false">D1869*F1869</f>
        <v>10.4</v>
      </c>
      <c r="J1869" s="6" t="n">
        <f aca="false">HOUR(E1869)</f>
        <v>9</v>
      </c>
      <c r="K1869" s="6" t="n">
        <f aca="false">IF(COUNTIF($A$2:$A1869,A1869)=1,1,0)</f>
        <v>0</v>
      </c>
    </row>
    <row r="1870" customFormat="false" ht="15" hidden="false" customHeight="false" outlineLevel="0" collapsed="false">
      <c r="A1870" s="0" t="s">
        <v>450</v>
      </c>
      <c r="B1870" s="0" t="s">
        <v>57</v>
      </c>
      <c r="C1870" s="0" t="s">
        <v>58</v>
      </c>
      <c r="D1870" s="0" t="n">
        <v>12</v>
      </c>
      <c r="E1870" s="5" t="n">
        <v>45959.406099537</v>
      </c>
      <c r="F1870" s="0" t="n">
        <v>2.08</v>
      </c>
      <c r="G1870" s="0" t="n">
        <v>17249</v>
      </c>
      <c r="H1870" s="6" t="s">
        <v>144</v>
      </c>
      <c r="I1870" s="6" t="n">
        <f aca="false">D1870*F1870</f>
        <v>24.96</v>
      </c>
      <c r="J1870" s="6" t="n">
        <f aca="false">HOUR(E1870)</f>
        <v>9</v>
      </c>
      <c r="K1870" s="6" t="n">
        <f aca="false">IF(COUNTIF($A$2:$A1870,A1870)=1,1,0)</f>
        <v>0</v>
      </c>
    </row>
    <row r="1871" customFormat="false" ht="15" hidden="false" customHeight="false" outlineLevel="0" collapsed="false">
      <c r="A1871" s="0" t="s">
        <v>451</v>
      </c>
      <c r="B1871" s="0" t="s">
        <v>125</v>
      </c>
      <c r="C1871" s="0" t="s">
        <v>126</v>
      </c>
      <c r="D1871" s="0" t="n">
        <v>4</v>
      </c>
      <c r="E1871" s="5" t="n">
        <v>45959.4242013889</v>
      </c>
      <c r="F1871" s="0" t="n">
        <v>1.25</v>
      </c>
      <c r="G1871" s="0" t="n">
        <v>17008</v>
      </c>
      <c r="H1871" s="6" t="s">
        <v>74</v>
      </c>
      <c r="I1871" s="6" t="n">
        <f aca="false">D1871*F1871</f>
        <v>5</v>
      </c>
      <c r="J1871" s="6" t="n">
        <f aca="false">HOUR(E1871)</f>
        <v>10</v>
      </c>
      <c r="K1871" s="6" t="n">
        <f aca="false">IF(COUNTIF($A$2:$A1871,A1871)=1,1,0)</f>
        <v>1</v>
      </c>
    </row>
    <row r="1872" customFormat="false" ht="15" hidden="false" customHeight="false" outlineLevel="0" collapsed="false">
      <c r="A1872" s="0" t="s">
        <v>451</v>
      </c>
      <c r="B1872" s="0" t="s">
        <v>91</v>
      </c>
      <c r="C1872" s="0" t="s">
        <v>92</v>
      </c>
      <c r="D1872" s="0" t="n">
        <v>9</v>
      </c>
      <c r="E1872" s="5" t="n">
        <v>45959.4242013889</v>
      </c>
      <c r="F1872" s="0" t="n">
        <v>7.65</v>
      </c>
      <c r="G1872" s="0" t="n">
        <v>17008</v>
      </c>
      <c r="H1872" s="6" t="s">
        <v>74</v>
      </c>
      <c r="I1872" s="6" t="n">
        <f aca="false">D1872*F1872</f>
        <v>68.85</v>
      </c>
      <c r="J1872" s="6" t="n">
        <f aca="false">HOUR(E1872)</f>
        <v>10</v>
      </c>
      <c r="K1872" s="6" t="n">
        <f aca="false">IF(COUNTIF($A$2:$A1872,A1872)=1,1,0)</f>
        <v>0</v>
      </c>
    </row>
    <row r="1873" customFormat="false" ht="15" hidden="false" customHeight="false" outlineLevel="0" collapsed="false">
      <c r="A1873" s="0" t="s">
        <v>451</v>
      </c>
      <c r="B1873" s="0" t="s">
        <v>116</v>
      </c>
      <c r="C1873" s="0" t="s">
        <v>117</v>
      </c>
      <c r="D1873" s="0" t="n">
        <v>14</v>
      </c>
      <c r="E1873" s="5" t="n">
        <v>45959.4242013889</v>
      </c>
      <c r="F1873" s="0" t="n">
        <v>1.95</v>
      </c>
      <c r="G1873" s="0" t="n">
        <v>17008</v>
      </c>
      <c r="H1873" s="6" t="s">
        <v>74</v>
      </c>
      <c r="I1873" s="6" t="n">
        <f aca="false">D1873*F1873</f>
        <v>27.3</v>
      </c>
      <c r="J1873" s="6" t="n">
        <f aca="false">HOUR(E1873)</f>
        <v>10</v>
      </c>
      <c r="K1873" s="6" t="n">
        <f aca="false">IF(COUNTIF($A$2:$A1873,A1873)=1,1,0)</f>
        <v>0</v>
      </c>
    </row>
    <row r="1874" customFormat="false" ht="15" hidden="false" customHeight="false" outlineLevel="0" collapsed="false">
      <c r="A1874" s="0" t="s">
        <v>452</v>
      </c>
      <c r="B1874" s="0" t="s">
        <v>95</v>
      </c>
      <c r="C1874" s="0" t="s">
        <v>96</v>
      </c>
      <c r="D1874" s="0" t="n">
        <v>36</v>
      </c>
      <c r="E1874" s="5" t="n">
        <v>45959.4621064815</v>
      </c>
      <c r="F1874" s="0" t="n">
        <v>2.55</v>
      </c>
      <c r="G1874" s="0" t="n">
        <v>17237</v>
      </c>
      <c r="H1874" s="6" t="s">
        <v>74</v>
      </c>
      <c r="I1874" s="6" t="n">
        <f aca="false">D1874*F1874</f>
        <v>91.8</v>
      </c>
      <c r="J1874" s="6" t="n">
        <f aca="false">HOUR(E1874)</f>
        <v>11</v>
      </c>
      <c r="K1874" s="6" t="n">
        <f aca="false">IF(COUNTIF($A$2:$A1874,A1874)=1,1,0)</f>
        <v>1</v>
      </c>
    </row>
    <row r="1875" customFormat="false" ht="15" hidden="false" customHeight="false" outlineLevel="0" collapsed="false">
      <c r="A1875" s="0" t="s">
        <v>452</v>
      </c>
      <c r="B1875" s="0" t="s">
        <v>116</v>
      </c>
      <c r="C1875" s="0" t="s">
        <v>117</v>
      </c>
      <c r="D1875" s="0" t="n">
        <v>5</v>
      </c>
      <c r="E1875" s="5" t="n">
        <v>45959.4621064815</v>
      </c>
      <c r="F1875" s="0" t="n">
        <v>1.95</v>
      </c>
      <c r="G1875" s="0" t="n">
        <v>17237</v>
      </c>
      <c r="H1875" s="6" t="s">
        <v>74</v>
      </c>
      <c r="I1875" s="6" t="n">
        <f aca="false">D1875*F1875</f>
        <v>9.75</v>
      </c>
      <c r="J1875" s="6" t="n">
        <f aca="false">HOUR(E1875)</f>
        <v>11</v>
      </c>
      <c r="K1875" s="6" t="n">
        <f aca="false">IF(COUNTIF($A$2:$A1875,A1875)=1,1,0)</f>
        <v>0</v>
      </c>
    </row>
    <row r="1876" customFormat="false" ht="15" hidden="false" customHeight="false" outlineLevel="0" collapsed="false">
      <c r="A1876" s="0" t="s">
        <v>452</v>
      </c>
      <c r="B1876" s="0" t="s">
        <v>134</v>
      </c>
      <c r="C1876" s="0" t="s">
        <v>135</v>
      </c>
      <c r="D1876" s="0" t="n">
        <v>22</v>
      </c>
      <c r="E1876" s="5" t="n">
        <v>45959.4621064815</v>
      </c>
      <c r="F1876" s="0" t="n">
        <v>5.95</v>
      </c>
      <c r="G1876" s="0" t="n">
        <v>17237</v>
      </c>
      <c r="H1876" s="6" t="s">
        <v>74</v>
      </c>
      <c r="I1876" s="6" t="n">
        <f aca="false">D1876*F1876</f>
        <v>130.9</v>
      </c>
      <c r="J1876" s="6" t="n">
        <f aca="false">HOUR(E1876)</f>
        <v>11</v>
      </c>
      <c r="K1876" s="6" t="n">
        <f aca="false">IF(COUNTIF($A$2:$A1876,A1876)=1,1,0)</f>
        <v>0</v>
      </c>
    </row>
    <row r="1877" customFormat="false" ht="15" hidden="false" customHeight="false" outlineLevel="0" collapsed="false">
      <c r="A1877" s="0" t="s">
        <v>452</v>
      </c>
      <c r="B1877" s="0" t="s">
        <v>83</v>
      </c>
      <c r="C1877" s="0" t="s">
        <v>84</v>
      </c>
      <c r="D1877" s="0" t="n">
        <v>8</v>
      </c>
      <c r="E1877" s="5" t="n">
        <v>45959.4621064815</v>
      </c>
      <c r="F1877" s="0" t="n">
        <v>2.95</v>
      </c>
      <c r="G1877" s="0" t="n">
        <v>17237</v>
      </c>
      <c r="H1877" s="6" t="s">
        <v>74</v>
      </c>
      <c r="I1877" s="6" t="n">
        <f aca="false">D1877*F1877</f>
        <v>23.6</v>
      </c>
      <c r="J1877" s="6" t="n">
        <f aca="false">HOUR(E1877)</f>
        <v>11</v>
      </c>
      <c r="K1877" s="6" t="n">
        <f aca="false">IF(COUNTIF($A$2:$A1877,A1877)=1,1,0)</f>
        <v>0</v>
      </c>
    </row>
    <row r="1878" customFormat="false" ht="15" hidden="false" customHeight="false" outlineLevel="0" collapsed="false">
      <c r="A1878" s="0" t="s">
        <v>452</v>
      </c>
      <c r="B1878" s="0" t="s">
        <v>77</v>
      </c>
      <c r="C1878" s="0" t="s">
        <v>78</v>
      </c>
      <c r="D1878" s="0" t="n">
        <v>9</v>
      </c>
      <c r="E1878" s="5" t="n">
        <v>45959.4621064815</v>
      </c>
      <c r="F1878" s="0" t="n">
        <v>1.65</v>
      </c>
      <c r="G1878" s="0" t="n">
        <v>17237</v>
      </c>
      <c r="H1878" s="6" t="s">
        <v>74</v>
      </c>
      <c r="I1878" s="6" t="n">
        <f aca="false">D1878*F1878</f>
        <v>14.85</v>
      </c>
      <c r="J1878" s="6" t="n">
        <f aca="false">HOUR(E1878)</f>
        <v>11</v>
      </c>
      <c r="K1878" s="6" t="n">
        <f aca="false">IF(COUNTIF($A$2:$A1878,A1878)=1,1,0)</f>
        <v>0</v>
      </c>
    </row>
    <row r="1879" customFormat="false" ht="15" hidden="false" customHeight="false" outlineLevel="0" collapsed="false">
      <c r="A1879" s="0" t="s">
        <v>452</v>
      </c>
      <c r="B1879" s="0" t="s">
        <v>145</v>
      </c>
      <c r="C1879" s="0" t="s">
        <v>146</v>
      </c>
      <c r="D1879" s="0" t="n">
        <v>20</v>
      </c>
      <c r="E1879" s="5" t="n">
        <v>45959.4621064815</v>
      </c>
      <c r="F1879" s="0" t="n">
        <v>1.85</v>
      </c>
      <c r="G1879" s="0" t="n">
        <v>17237</v>
      </c>
      <c r="H1879" s="6" t="s">
        <v>74</v>
      </c>
      <c r="I1879" s="6" t="n">
        <f aca="false">D1879*F1879</f>
        <v>37</v>
      </c>
      <c r="J1879" s="6" t="n">
        <f aca="false">HOUR(E1879)</f>
        <v>11</v>
      </c>
      <c r="K1879" s="6" t="n">
        <f aca="false">IF(COUNTIF($A$2:$A1879,A1879)=1,1,0)</f>
        <v>0</v>
      </c>
    </row>
    <row r="1880" customFormat="false" ht="15" hidden="false" customHeight="false" outlineLevel="0" collapsed="false">
      <c r="A1880" s="0" t="s">
        <v>452</v>
      </c>
      <c r="B1880" s="0" t="s">
        <v>57</v>
      </c>
      <c r="C1880" s="0" t="s">
        <v>58</v>
      </c>
      <c r="D1880" s="0" t="n">
        <v>19</v>
      </c>
      <c r="E1880" s="5" t="n">
        <v>45959.4621064815</v>
      </c>
      <c r="F1880" s="0" t="n">
        <v>2.08</v>
      </c>
      <c r="G1880" s="0" t="n">
        <v>17237</v>
      </c>
      <c r="H1880" s="6" t="s">
        <v>74</v>
      </c>
      <c r="I1880" s="6" t="n">
        <f aca="false">D1880*F1880</f>
        <v>39.52</v>
      </c>
      <c r="J1880" s="6" t="n">
        <f aca="false">HOUR(E1880)</f>
        <v>11</v>
      </c>
      <c r="K1880" s="6" t="n">
        <f aca="false">IF(COUNTIF($A$2:$A1880,A1880)=1,1,0)</f>
        <v>0</v>
      </c>
    </row>
    <row r="1881" customFormat="false" ht="15" hidden="false" customHeight="false" outlineLevel="0" collapsed="false">
      <c r="A1881" s="0" t="s">
        <v>453</v>
      </c>
      <c r="B1881" s="0" t="s">
        <v>79</v>
      </c>
      <c r="C1881" s="0" t="s">
        <v>80</v>
      </c>
      <c r="D1881" s="0" t="n">
        <v>8</v>
      </c>
      <c r="E1881" s="5" t="n">
        <v>45959.5150462963</v>
      </c>
      <c r="F1881" s="0" t="n">
        <v>3.39</v>
      </c>
      <c r="G1881" s="0" t="n">
        <v>17113</v>
      </c>
      <c r="H1881" s="6" t="s">
        <v>74</v>
      </c>
      <c r="I1881" s="6" t="n">
        <f aca="false">D1881*F1881</f>
        <v>27.12</v>
      </c>
      <c r="J1881" s="6" t="n">
        <f aca="false">HOUR(E1881)</f>
        <v>12</v>
      </c>
      <c r="K1881" s="6" t="n">
        <f aca="false">IF(COUNTIF($A$2:$A1881,A1881)=1,1,0)</f>
        <v>1</v>
      </c>
    </row>
    <row r="1882" customFormat="false" ht="15" hidden="false" customHeight="false" outlineLevel="0" collapsed="false">
      <c r="A1882" s="0" t="s">
        <v>453</v>
      </c>
      <c r="B1882" s="0" t="s">
        <v>145</v>
      </c>
      <c r="C1882" s="0" t="s">
        <v>146</v>
      </c>
      <c r="D1882" s="0" t="n">
        <v>13</v>
      </c>
      <c r="E1882" s="5" t="n">
        <v>45959.5150462963</v>
      </c>
      <c r="F1882" s="0" t="n">
        <v>1.85</v>
      </c>
      <c r="G1882" s="0" t="n">
        <v>17113</v>
      </c>
      <c r="H1882" s="6" t="s">
        <v>74</v>
      </c>
      <c r="I1882" s="6" t="n">
        <f aca="false">D1882*F1882</f>
        <v>24.05</v>
      </c>
      <c r="J1882" s="6" t="n">
        <f aca="false">HOUR(E1882)</f>
        <v>12</v>
      </c>
      <c r="K1882" s="6" t="n">
        <f aca="false">IF(COUNTIF($A$2:$A1882,A1882)=1,1,0)</f>
        <v>0</v>
      </c>
    </row>
    <row r="1883" customFormat="false" ht="15" hidden="false" customHeight="false" outlineLevel="0" collapsed="false">
      <c r="A1883" s="0" t="s">
        <v>453</v>
      </c>
      <c r="B1883" s="0" t="s">
        <v>99</v>
      </c>
      <c r="C1883" s="0" t="s">
        <v>100</v>
      </c>
      <c r="D1883" s="0" t="n">
        <v>6</v>
      </c>
      <c r="E1883" s="5" t="n">
        <v>45959.5150462963</v>
      </c>
      <c r="F1883" s="0" t="n">
        <v>2.08</v>
      </c>
      <c r="G1883" s="0" t="n">
        <v>17113</v>
      </c>
      <c r="H1883" s="6" t="s">
        <v>74</v>
      </c>
      <c r="I1883" s="6" t="n">
        <f aca="false">D1883*F1883</f>
        <v>12.48</v>
      </c>
      <c r="J1883" s="6" t="n">
        <f aca="false">HOUR(E1883)</f>
        <v>12</v>
      </c>
      <c r="K1883" s="6" t="n">
        <f aca="false">IF(COUNTIF($A$2:$A1883,A1883)=1,1,0)</f>
        <v>0</v>
      </c>
    </row>
    <row r="1884" customFormat="false" ht="15" hidden="false" customHeight="false" outlineLevel="0" collapsed="false">
      <c r="A1884" s="0" t="s">
        <v>453</v>
      </c>
      <c r="B1884" s="0" t="s">
        <v>53</v>
      </c>
      <c r="C1884" s="0" t="s">
        <v>54</v>
      </c>
      <c r="D1884" s="0" t="n">
        <v>6</v>
      </c>
      <c r="E1884" s="5" t="n">
        <v>45959.5150462963</v>
      </c>
      <c r="F1884" s="0" t="n">
        <v>2.95</v>
      </c>
      <c r="G1884" s="0" t="n">
        <v>17113</v>
      </c>
      <c r="H1884" s="6" t="s">
        <v>74</v>
      </c>
      <c r="I1884" s="6" t="n">
        <f aca="false">D1884*F1884</f>
        <v>17.7</v>
      </c>
      <c r="J1884" s="6" t="n">
        <f aca="false">HOUR(E1884)</f>
        <v>12</v>
      </c>
      <c r="K1884" s="6" t="n">
        <f aca="false">IF(COUNTIF($A$2:$A1884,A1884)=1,1,0)</f>
        <v>0</v>
      </c>
    </row>
    <row r="1885" customFormat="false" ht="15" hidden="false" customHeight="false" outlineLevel="0" collapsed="false">
      <c r="A1885" s="0" t="s">
        <v>453</v>
      </c>
      <c r="B1885" s="0" t="s">
        <v>77</v>
      </c>
      <c r="C1885" s="0" t="s">
        <v>78</v>
      </c>
      <c r="D1885" s="0" t="n">
        <v>18</v>
      </c>
      <c r="E1885" s="5" t="n">
        <v>45959.5150462963</v>
      </c>
      <c r="F1885" s="0" t="n">
        <v>1.65</v>
      </c>
      <c r="G1885" s="0" t="n">
        <v>17113</v>
      </c>
      <c r="H1885" s="6" t="s">
        <v>74</v>
      </c>
      <c r="I1885" s="6" t="n">
        <f aca="false">D1885*F1885</f>
        <v>29.7</v>
      </c>
      <c r="J1885" s="6" t="n">
        <f aca="false">HOUR(E1885)</f>
        <v>12</v>
      </c>
      <c r="K1885" s="6" t="n">
        <f aca="false">IF(COUNTIF($A$2:$A1885,A1885)=1,1,0)</f>
        <v>0</v>
      </c>
    </row>
    <row r="1886" customFormat="false" ht="15" hidden="false" customHeight="false" outlineLevel="0" collapsed="false">
      <c r="A1886" s="0" t="s">
        <v>453</v>
      </c>
      <c r="B1886" s="0" t="s">
        <v>69</v>
      </c>
      <c r="C1886" s="0" t="s">
        <v>70</v>
      </c>
      <c r="D1886" s="0" t="n">
        <v>32</v>
      </c>
      <c r="E1886" s="5" t="n">
        <v>45959.5150462963</v>
      </c>
      <c r="F1886" s="0" t="n">
        <v>2.08</v>
      </c>
      <c r="G1886" s="0" t="n">
        <v>17113</v>
      </c>
      <c r="H1886" s="6" t="s">
        <v>74</v>
      </c>
      <c r="I1886" s="6" t="n">
        <f aca="false">D1886*F1886</f>
        <v>66.56</v>
      </c>
      <c r="J1886" s="6" t="n">
        <f aca="false">HOUR(E1886)</f>
        <v>12</v>
      </c>
      <c r="K1886" s="6" t="n">
        <f aca="false">IF(COUNTIF($A$2:$A1886,A1886)=1,1,0)</f>
        <v>0</v>
      </c>
    </row>
    <row r="1887" customFormat="false" ht="15" hidden="false" customHeight="false" outlineLevel="0" collapsed="false">
      <c r="A1887" s="0" t="s">
        <v>453</v>
      </c>
      <c r="B1887" s="0" t="s">
        <v>63</v>
      </c>
      <c r="C1887" s="0" t="s">
        <v>64</v>
      </c>
      <c r="D1887" s="0" t="n">
        <v>12</v>
      </c>
      <c r="E1887" s="5" t="n">
        <v>45959.5150462963</v>
      </c>
      <c r="F1887" s="0" t="n">
        <v>1.85</v>
      </c>
      <c r="G1887" s="0" t="n">
        <v>17113</v>
      </c>
      <c r="H1887" s="6" t="s">
        <v>74</v>
      </c>
      <c r="I1887" s="6" t="n">
        <f aca="false">D1887*F1887</f>
        <v>22.2</v>
      </c>
      <c r="J1887" s="6" t="n">
        <f aca="false">HOUR(E1887)</f>
        <v>12</v>
      </c>
      <c r="K1887" s="6" t="n">
        <f aca="false">IF(COUNTIF($A$2:$A1887,A1887)=1,1,0)</f>
        <v>0</v>
      </c>
    </row>
    <row r="1888" customFormat="false" ht="15" hidden="false" customHeight="false" outlineLevel="0" collapsed="false">
      <c r="A1888" s="0" t="s">
        <v>453</v>
      </c>
      <c r="B1888" s="0" t="s">
        <v>45</v>
      </c>
      <c r="C1888" s="0" t="s">
        <v>46</v>
      </c>
      <c r="D1888" s="0" t="n">
        <v>2</v>
      </c>
      <c r="E1888" s="5" t="n">
        <v>45959.5150462963</v>
      </c>
      <c r="F1888" s="0" t="n">
        <v>2.1</v>
      </c>
      <c r="G1888" s="0" t="n">
        <v>17113</v>
      </c>
      <c r="H1888" s="6" t="s">
        <v>74</v>
      </c>
      <c r="I1888" s="6" t="n">
        <f aca="false">D1888*F1888</f>
        <v>4.2</v>
      </c>
      <c r="J1888" s="6" t="n">
        <f aca="false">HOUR(E1888)</f>
        <v>12</v>
      </c>
      <c r="K1888" s="6" t="n">
        <f aca="false">IF(COUNTIF($A$2:$A1888,A1888)=1,1,0)</f>
        <v>0</v>
      </c>
    </row>
    <row r="1889" customFormat="false" ht="15" hidden="false" customHeight="false" outlineLevel="0" collapsed="false">
      <c r="A1889" s="0" t="s">
        <v>453</v>
      </c>
      <c r="B1889" s="0" t="s">
        <v>121</v>
      </c>
      <c r="C1889" s="0" t="s">
        <v>122</v>
      </c>
      <c r="D1889" s="0" t="n">
        <v>11</v>
      </c>
      <c r="E1889" s="5" t="n">
        <v>45959.5150462963</v>
      </c>
      <c r="F1889" s="0" t="n">
        <v>2.1</v>
      </c>
      <c r="G1889" s="0" t="n">
        <v>17113</v>
      </c>
      <c r="H1889" s="6" t="s">
        <v>74</v>
      </c>
      <c r="I1889" s="6" t="n">
        <f aca="false">D1889*F1889</f>
        <v>23.1</v>
      </c>
      <c r="J1889" s="6" t="n">
        <f aca="false">HOUR(E1889)</f>
        <v>12</v>
      </c>
      <c r="K1889" s="6" t="n">
        <f aca="false">IF(COUNTIF($A$2:$A1889,A1889)=1,1,0)</f>
        <v>0</v>
      </c>
    </row>
    <row r="1890" customFormat="false" ht="15" hidden="false" customHeight="false" outlineLevel="0" collapsed="false">
      <c r="A1890" s="0" t="s">
        <v>453</v>
      </c>
      <c r="B1890" s="0" t="s">
        <v>88</v>
      </c>
      <c r="C1890" s="0" t="s">
        <v>89</v>
      </c>
      <c r="D1890" s="0" t="n">
        <v>24</v>
      </c>
      <c r="E1890" s="5" t="n">
        <v>45959.5150462963</v>
      </c>
      <c r="F1890" s="0" t="n">
        <v>2.75</v>
      </c>
      <c r="G1890" s="0" t="n">
        <v>17113</v>
      </c>
      <c r="H1890" s="6" t="s">
        <v>74</v>
      </c>
      <c r="I1890" s="6" t="n">
        <f aca="false">D1890*F1890</f>
        <v>66</v>
      </c>
      <c r="J1890" s="6" t="n">
        <f aca="false">HOUR(E1890)</f>
        <v>12</v>
      </c>
      <c r="K1890" s="6" t="n">
        <f aca="false">IF(COUNTIF($A$2:$A1890,A1890)=1,1,0)</f>
        <v>0</v>
      </c>
    </row>
    <row r="1891" customFormat="false" ht="15" hidden="false" customHeight="false" outlineLevel="0" collapsed="false">
      <c r="A1891" s="0" t="s">
        <v>454</v>
      </c>
      <c r="B1891" s="0" t="s">
        <v>86</v>
      </c>
      <c r="C1891" s="0" t="s">
        <v>87</v>
      </c>
      <c r="D1891" s="0" t="n">
        <v>10</v>
      </c>
      <c r="E1891" s="5" t="n">
        <v>45959.5735416667</v>
      </c>
      <c r="F1891" s="0" t="n">
        <v>4.25</v>
      </c>
      <c r="H1891" s="6" t="s">
        <v>98</v>
      </c>
      <c r="I1891" s="6" t="n">
        <f aca="false">D1891*F1891</f>
        <v>42.5</v>
      </c>
      <c r="J1891" s="6" t="n">
        <f aca="false">HOUR(E1891)</f>
        <v>13</v>
      </c>
      <c r="K1891" s="6" t="n">
        <f aca="false">IF(COUNTIF($A$2:$A1891,A1891)=1,1,0)</f>
        <v>1</v>
      </c>
    </row>
    <row r="1892" customFormat="false" ht="15" hidden="false" customHeight="false" outlineLevel="0" collapsed="false">
      <c r="A1892" s="0" t="s">
        <v>454</v>
      </c>
      <c r="B1892" s="0" t="s">
        <v>137</v>
      </c>
      <c r="C1892" s="0" t="s">
        <v>138</v>
      </c>
      <c r="D1892" s="0" t="n">
        <v>4</v>
      </c>
      <c r="E1892" s="5" t="n">
        <v>45959.5735416667</v>
      </c>
      <c r="F1892" s="0" t="n">
        <v>2.1</v>
      </c>
      <c r="H1892" s="6" t="s">
        <v>98</v>
      </c>
      <c r="I1892" s="6" t="n">
        <f aca="false">D1892*F1892</f>
        <v>8.4</v>
      </c>
      <c r="J1892" s="6" t="n">
        <f aca="false">HOUR(E1892)</f>
        <v>13</v>
      </c>
      <c r="K1892" s="6" t="n">
        <f aca="false">IF(COUNTIF($A$2:$A1892,A1892)=1,1,0)</f>
        <v>0</v>
      </c>
    </row>
    <row r="1893" customFormat="false" ht="15" hidden="false" customHeight="false" outlineLevel="0" collapsed="false">
      <c r="A1893" s="0" t="s">
        <v>454</v>
      </c>
      <c r="B1893" s="0" t="s">
        <v>75</v>
      </c>
      <c r="C1893" s="0" t="s">
        <v>76</v>
      </c>
      <c r="D1893" s="0" t="n">
        <v>18</v>
      </c>
      <c r="E1893" s="5" t="n">
        <v>45959.5735416667</v>
      </c>
      <c r="F1893" s="0" t="n">
        <v>3.39</v>
      </c>
      <c r="H1893" s="6" t="s">
        <v>98</v>
      </c>
      <c r="I1893" s="6" t="n">
        <f aca="false">D1893*F1893</f>
        <v>61.02</v>
      </c>
      <c r="J1893" s="6" t="n">
        <f aca="false">HOUR(E1893)</f>
        <v>13</v>
      </c>
      <c r="K1893" s="6" t="n">
        <f aca="false">IF(COUNTIF($A$2:$A1893,A1893)=1,1,0)</f>
        <v>0</v>
      </c>
    </row>
    <row r="1894" customFormat="false" ht="15" hidden="false" customHeight="false" outlineLevel="0" collapsed="false">
      <c r="A1894" s="0" t="s">
        <v>455</v>
      </c>
      <c r="B1894" s="0" t="s">
        <v>75</v>
      </c>
      <c r="C1894" s="0" t="s">
        <v>76</v>
      </c>
      <c r="D1894" s="0" t="n">
        <v>5</v>
      </c>
      <c r="E1894" s="5" t="n">
        <v>45959.652025463</v>
      </c>
      <c r="F1894" s="0" t="n">
        <v>3.39</v>
      </c>
      <c r="G1894" s="0" t="n">
        <v>17003</v>
      </c>
      <c r="H1894" s="6" t="s">
        <v>74</v>
      </c>
      <c r="I1894" s="6" t="n">
        <f aca="false">D1894*F1894</f>
        <v>16.95</v>
      </c>
      <c r="J1894" s="6" t="n">
        <f aca="false">HOUR(E1894)</f>
        <v>15</v>
      </c>
      <c r="K1894" s="6" t="n">
        <f aca="false">IF(COUNTIF($A$2:$A1894,A1894)=1,1,0)</f>
        <v>1</v>
      </c>
    </row>
    <row r="1895" customFormat="false" ht="15" hidden="false" customHeight="false" outlineLevel="0" collapsed="false">
      <c r="A1895" s="0" t="s">
        <v>455</v>
      </c>
      <c r="B1895" s="0" t="s">
        <v>109</v>
      </c>
      <c r="C1895" s="0" t="s">
        <v>110</v>
      </c>
      <c r="D1895" s="0" t="n">
        <v>2</v>
      </c>
      <c r="E1895" s="5" t="n">
        <v>45959.652025463</v>
      </c>
      <c r="F1895" s="0" t="n">
        <v>0.85</v>
      </c>
      <c r="G1895" s="0" t="n">
        <v>17003</v>
      </c>
      <c r="H1895" s="6" t="s">
        <v>74</v>
      </c>
      <c r="I1895" s="6" t="n">
        <f aca="false">D1895*F1895</f>
        <v>1.7</v>
      </c>
      <c r="J1895" s="6" t="n">
        <f aca="false">HOUR(E1895)</f>
        <v>15</v>
      </c>
      <c r="K1895" s="6" t="n">
        <f aca="false">IF(COUNTIF($A$2:$A1895,A1895)=1,1,0)</f>
        <v>0</v>
      </c>
    </row>
    <row r="1896" customFormat="false" ht="15" hidden="false" customHeight="false" outlineLevel="0" collapsed="false">
      <c r="A1896" s="0" t="s">
        <v>456</v>
      </c>
      <c r="B1896" s="0" t="s">
        <v>140</v>
      </c>
      <c r="C1896" s="0" t="s">
        <v>141</v>
      </c>
      <c r="D1896" s="0" t="n">
        <v>18</v>
      </c>
      <c r="E1896" s="5" t="n">
        <v>45959.7117013889</v>
      </c>
      <c r="F1896" s="0" t="n">
        <v>2.08</v>
      </c>
      <c r="G1896" s="0" t="n">
        <v>17205</v>
      </c>
      <c r="H1896" s="6" t="s">
        <v>74</v>
      </c>
      <c r="I1896" s="6" t="n">
        <f aca="false">D1896*F1896</f>
        <v>37.44</v>
      </c>
      <c r="J1896" s="6" t="n">
        <f aca="false">HOUR(E1896)</f>
        <v>17</v>
      </c>
      <c r="K1896" s="6" t="n">
        <f aca="false">IF(COUNTIF($A$2:$A1896,A1896)=1,1,0)</f>
        <v>1</v>
      </c>
    </row>
    <row r="1897" customFormat="false" ht="15" hidden="false" customHeight="false" outlineLevel="0" collapsed="false">
      <c r="A1897" s="0" t="s">
        <v>456</v>
      </c>
      <c r="B1897" s="0" t="s">
        <v>63</v>
      </c>
      <c r="C1897" s="0" t="s">
        <v>64</v>
      </c>
      <c r="D1897" s="0" t="n">
        <v>19</v>
      </c>
      <c r="E1897" s="5" t="n">
        <v>45959.7117013889</v>
      </c>
      <c r="F1897" s="0" t="n">
        <v>1.85</v>
      </c>
      <c r="G1897" s="0" t="n">
        <v>17205</v>
      </c>
      <c r="H1897" s="6" t="s">
        <v>74</v>
      </c>
      <c r="I1897" s="6" t="n">
        <f aca="false">D1897*F1897</f>
        <v>35.15</v>
      </c>
      <c r="J1897" s="6" t="n">
        <f aca="false">HOUR(E1897)</f>
        <v>17</v>
      </c>
      <c r="K1897" s="6" t="n">
        <f aca="false">IF(COUNTIF($A$2:$A1897,A1897)=1,1,0)</f>
        <v>0</v>
      </c>
    </row>
    <row r="1898" customFormat="false" ht="15" hidden="false" customHeight="false" outlineLevel="0" collapsed="false">
      <c r="A1898" s="0" t="s">
        <v>456</v>
      </c>
      <c r="B1898" s="0" t="s">
        <v>125</v>
      </c>
      <c r="C1898" s="0" t="s">
        <v>126</v>
      </c>
      <c r="D1898" s="0" t="n">
        <v>3</v>
      </c>
      <c r="E1898" s="5" t="n">
        <v>45959.7117013889</v>
      </c>
      <c r="F1898" s="0" t="n">
        <v>1.25</v>
      </c>
      <c r="G1898" s="0" t="n">
        <v>17205</v>
      </c>
      <c r="H1898" s="6" t="s">
        <v>74</v>
      </c>
      <c r="I1898" s="6" t="n">
        <f aca="false">D1898*F1898</f>
        <v>3.75</v>
      </c>
      <c r="J1898" s="6" t="n">
        <f aca="false">HOUR(E1898)</f>
        <v>17</v>
      </c>
      <c r="K1898" s="6" t="n">
        <f aca="false">IF(COUNTIF($A$2:$A1898,A1898)=1,1,0)</f>
        <v>0</v>
      </c>
    </row>
    <row r="1899" customFormat="false" ht="15" hidden="false" customHeight="false" outlineLevel="0" collapsed="false">
      <c r="A1899" s="0" t="s">
        <v>456</v>
      </c>
      <c r="B1899" s="0" t="s">
        <v>45</v>
      </c>
      <c r="C1899" s="0" t="s">
        <v>46</v>
      </c>
      <c r="D1899" s="0" t="n">
        <v>8</v>
      </c>
      <c r="E1899" s="5" t="n">
        <v>45959.7117013889</v>
      </c>
      <c r="F1899" s="0" t="n">
        <v>2.1</v>
      </c>
      <c r="G1899" s="0" t="n">
        <v>17205</v>
      </c>
      <c r="H1899" s="6" t="s">
        <v>74</v>
      </c>
      <c r="I1899" s="6" t="n">
        <f aca="false">D1899*F1899</f>
        <v>16.8</v>
      </c>
      <c r="J1899" s="6" t="n">
        <f aca="false">HOUR(E1899)</f>
        <v>17</v>
      </c>
      <c r="K1899" s="6" t="n">
        <f aca="false">IF(COUNTIF($A$2:$A1899,A1899)=1,1,0)</f>
        <v>0</v>
      </c>
    </row>
    <row r="1900" customFormat="false" ht="15" hidden="false" customHeight="false" outlineLevel="0" collapsed="false">
      <c r="A1900" s="0" t="s">
        <v>456</v>
      </c>
      <c r="B1900" s="0" t="s">
        <v>77</v>
      </c>
      <c r="C1900" s="0" t="s">
        <v>78</v>
      </c>
      <c r="D1900" s="0" t="n">
        <v>5</v>
      </c>
      <c r="E1900" s="5" t="n">
        <v>45959.7117013889</v>
      </c>
      <c r="F1900" s="0" t="n">
        <v>1.65</v>
      </c>
      <c r="G1900" s="0" t="n">
        <v>17205</v>
      </c>
      <c r="H1900" s="6" t="s">
        <v>74</v>
      </c>
      <c r="I1900" s="6" t="n">
        <f aca="false">D1900*F1900</f>
        <v>8.25</v>
      </c>
      <c r="J1900" s="6" t="n">
        <f aca="false">HOUR(E1900)</f>
        <v>17</v>
      </c>
      <c r="K1900" s="6" t="n">
        <f aca="false">IF(COUNTIF($A$2:$A1900,A1900)=1,1,0)</f>
        <v>0</v>
      </c>
    </row>
    <row r="1901" customFormat="false" ht="15" hidden="false" customHeight="false" outlineLevel="0" collapsed="false">
      <c r="A1901" s="0" t="s">
        <v>456</v>
      </c>
      <c r="B1901" s="0" t="s">
        <v>145</v>
      </c>
      <c r="C1901" s="0" t="s">
        <v>146</v>
      </c>
      <c r="D1901" s="0" t="n">
        <v>6</v>
      </c>
      <c r="E1901" s="5" t="n">
        <v>45959.7117013889</v>
      </c>
      <c r="F1901" s="0" t="n">
        <v>1.85</v>
      </c>
      <c r="G1901" s="0" t="n">
        <v>17205</v>
      </c>
      <c r="H1901" s="6" t="s">
        <v>74</v>
      </c>
      <c r="I1901" s="6" t="n">
        <f aca="false">D1901*F1901</f>
        <v>11.1</v>
      </c>
      <c r="J1901" s="6" t="n">
        <f aca="false">HOUR(E1901)</f>
        <v>17</v>
      </c>
      <c r="K1901" s="6" t="n">
        <f aca="false">IF(COUNTIF($A$2:$A1901,A1901)=1,1,0)</f>
        <v>0</v>
      </c>
    </row>
    <row r="1902" customFormat="false" ht="15" hidden="false" customHeight="false" outlineLevel="0" collapsed="false">
      <c r="A1902" s="0" t="s">
        <v>457</v>
      </c>
      <c r="B1902" s="0" t="s">
        <v>45</v>
      </c>
      <c r="C1902" s="0" t="s">
        <v>46</v>
      </c>
      <c r="D1902" s="0" t="n">
        <v>10</v>
      </c>
      <c r="E1902" s="5" t="n">
        <v>45959.7198842593</v>
      </c>
      <c r="F1902" s="0" t="n">
        <v>2.1</v>
      </c>
      <c r="G1902" s="0" t="n">
        <v>17140</v>
      </c>
      <c r="H1902" s="6" t="s">
        <v>74</v>
      </c>
      <c r="I1902" s="6" t="n">
        <f aca="false">D1902*F1902</f>
        <v>21</v>
      </c>
      <c r="J1902" s="6" t="n">
        <f aca="false">HOUR(E1902)</f>
        <v>17</v>
      </c>
      <c r="K1902" s="6" t="n">
        <f aca="false">IF(COUNTIF($A$2:$A1902,A1902)=1,1,0)</f>
        <v>1</v>
      </c>
    </row>
    <row r="1903" customFormat="false" ht="15" hidden="false" customHeight="false" outlineLevel="0" collapsed="false">
      <c r="A1903" s="0" t="s">
        <v>457</v>
      </c>
      <c r="B1903" s="0" t="s">
        <v>55</v>
      </c>
      <c r="C1903" s="0" t="s">
        <v>56</v>
      </c>
      <c r="D1903" s="0" t="n">
        <v>20</v>
      </c>
      <c r="E1903" s="5" t="n">
        <v>45959.7198842593</v>
      </c>
      <c r="F1903" s="0" t="n">
        <v>1.65</v>
      </c>
      <c r="G1903" s="0" t="n">
        <v>17140</v>
      </c>
      <c r="H1903" s="6" t="s">
        <v>74</v>
      </c>
      <c r="I1903" s="6" t="n">
        <f aca="false">D1903*F1903</f>
        <v>33</v>
      </c>
      <c r="J1903" s="6" t="n">
        <f aca="false">HOUR(E1903)</f>
        <v>17</v>
      </c>
      <c r="K1903" s="6" t="n">
        <f aca="false">IF(COUNTIF($A$2:$A1903,A1903)=1,1,0)</f>
        <v>0</v>
      </c>
    </row>
    <row r="1904" customFormat="false" ht="15" hidden="false" customHeight="false" outlineLevel="0" collapsed="false">
      <c r="A1904" s="0" t="s">
        <v>457</v>
      </c>
      <c r="B1904" s="0" t="s">
        <v>57</v>
      </c>
      <c r="C1904" s="0" t="s">
        <v>58</v>
      </c>
      <c r="D1904" s="0" t="n">
        <v>9</v>
      </c>
      <c r="E1904" s="5" t="n">
        <v>45959.7198842593</v>
      </c>
      <c r="F1904" s="0" t="n">
        <v>2.08</v>
      </c>
      <c r="G1904" s="0" t="n">
        <v>17140</v>
      </c>
      <c r="H1904" s="6" t="s">
        <v>74</v>
      </c>
      <c r="I1904" s="6" t="n">
        <f aca="false">D1904*F1904</f>
        <v>18.72</v>
      </c>
      <c r="J1904" s="6" t="n">
        <f aca="false">HOUR(E1904)</f>
        <v>17</v>
      </c>
      <c r="K1904" s="6" t="n">
        <f aca="false">IF(COUNTIF($A$2:$A1904,A1904)=1,1,0)</f>
        <v>0</v>
      </c>
    </row>
    <row r="1905" customFormat="false" ht="15" hidden="false" customHeight="false" outlineLevel="0" collapsed="false">
      <c r="A1905" s="0" t="s">
        <v>457</v>
      </c>
      <c r="B1905" s="0" t="s">
        <v>102</v>
      </c>
      <c r="C1905" s="0" t="s">
        <v>103</v>
      </c>
      <c r="D1905" s="0" t="n">
        <v>10</v>
      </c>
      <c r="E1905" s="5" t="n">
        <v>45959.7198842593</v>
      </c>
      <c r="F1905" s="0" t="n">
        <v>8.5</v>
      </c>
      <c r="G1905" s="0" t="n">
        <v>17140</v>
      </c>
      <c r="H1905" s="6" t="s">
        <v>74</v>
      </c>
      <c r="I1905" s="6" t="n">
        <f aca="false">D1905*F1905</f>
        <v>85</v>
      </c>
      <c r="J1905" s="6" t="n">
        <f aca="false">HOUR(E1905)</f>
        <v>17</v>
      </c>
      <c r="K1905" s="6" t="n">
        <f aca="false">IF(COUNTIF($A$2:$A1905,A1905)=1,1,0)</f>
        <v>0</v>
      </c>
    </row>
    <row r="1906" customFormat="false" ht="15" hidden="false" customHeight="false" outlineLevel="0" collapsed="false">
      <c r="A1906" s="0" t="s">
        <v>457</v>
      </c>
      <c r="B1906" s="0" t="s">
        <v>69</v>
      </c>
      <c r="C1906" s="0" t="s">
        <v>70</v>
      </c>
      <c r="D1906" s="0" t="n">
        <v>31</v>
      </c>
      <c r="E1906" s="5" t="n">
        <v>45959.7198842593</v>
      </c>
      <c r="F1906" s="0" t="n">
        <v>2.08</v>
      </c>
      <c r="G1906" s="0" t="n">
        <v>17140</v>
      </c>
      <c r="H1906" s="6" t="s">
        <v>74</v>
      </c>
      <c r="I1906" s="6" t="n">
        <f aca="false">D1906*F1906</f>
        <v>64.48</v>
      </c>
      <c r="J1906" s="6" t="n">
        <f aca="false">HOUR(E1906)</f>
        <v>17</v>
      </c>
      <c r="K1906" s="6" t="n">
        <f aca="false">IF(COUNTIF($A$2:$A1906,A1906)=1,1,0)</f>
        <v>0</v>
      </c>
    </row>
    <row r="1907" customFormat="false" ht="15" hidden="false" customHeight="false" outlineLevel="0" collapsed="false">
      <c r="A1907" s="0" t="s">
        <v>457</v>
      </c>
      <c r="B1907" s="0" t="s">
        <v>47</v>
      </c>
      <c r="C1907" s="0" t="s">
        <v>48</v>
      </c>
      <c r="D1907" s="0" t="n">
        <v>38</v>
      </c>
      <c r="E1907" s="5" t="n">
        <v>45959.7198842593</v>
      </c>
      <c r="F1907" s="0" t="n">
        <v>12.75</v>
      </c>
      <c r="G1907" s="0" t="n">
        <v>17140</v>
      </c>
      <c r="H1907" s="6" t="s">
        <v>74</v>
      </c>
      <c r="I1907" s="6" t="n">
        <f aca="false">D1907*F1907</f>
        <v>484.5</v>
      </c>
      <c r="J1907" s="6" t="n">
        <f aca="false">HOUR(E1907)</f>
        <v>17</v>
      </c>
      <c r="K1907" s="6" t="n">
        <f aca="false">IF(COUNTIF($A$2:$A1907,A1907)=1,1,0)</f>
        <v>0</v>
      </c>
    </row>
    <row r="1908" customFormat="false" ht="15" hidden="false" customHeight="false" outlineLevel="0" collapsed="false">
      <c r="A1908" s="0" t="s">
        <v>457</v>
      </c>
      <c r="B1908" s="0" t="s">
        <v>50</v>
      </c>
      <c r="C1908" s="0" t="s">
        <v>51</v>
      </c>
      <c r="D1908" s="0" t="n">
        <v>12</v>
      </c>
      <c r="E1908" s="5" t="n">
        <v>45959.7198842593</v>
      </c>
      <c r="F1908" s="0" t="n">
        <v>5.95</v>
      </c>
      <c r="G1908" s="0" t="n">
        <v>17140</v>
      </c>
      <c r="H1908" s="6" t="s">
        <v>74</v>
      </c>
      <c r="I1908" s="6" t="n">
        <f aca="false">D1908*F1908</f>
        <v>71.4</v>
      </c>
      <c r="J1908" s="6" t="n">
        <f aca="false">HOUR(E1908)</f>
        <v>17</v>
      </c>
      <c r="K1908" s="6" t="n">
        <f aca="false">IF(COUNTIF($A$2:$A1908,A1908)=1,1,0)</f>
        <v>0</v>
      </c>
    </row>
    <row r="1909" customFormat="false" ht="15" hidden="false" customHeight="false" outlineLevel="0" collapsed="false">
      <c r="A1909" s="0" t="s">
        <v>458</v>
      </c>
      <c r="B1909" s="0" t="s">
        <v>145</v>
      </c>
      <c r="C1909" s="0" t="s">
        <v>146</v>
      </c>
      <c r="D1909" s="0" t="n">
        <v>3</v>
      </c>
      <c r="E1909" s="5" t="n">
        <v>45959.8871990741</v>
      </c>
      <c r="F1909" s="0" t="n">
        <v>1.85</v>
      </c>
      <c r="G1909" s="0" t="n">
        <v>17021</v>
      </c>
      <c r="H1909" s="6" t="s">
        <v>52</v>
      </c>
      <c r="I1909" s="6" t="n">
        <f aca="false">D1909*F1909</f>
        <v>5.55</v>
      </c>
      <c r="J1909" s="6" t="n">
        <f aca="false">HOUR(E1909)</f>
        <v>21</v>
      </c>
      <c r="K1909" s="6" t="n">
        <f aca="false">IF(COUNTIF($A$2:$A1909,A1909)=1,1,0)</f>
        <v>1</v>
      </c>
    </row>
    <row r="1910" customFormat="false" ht="15" hidden="false" customHeight="false" outlineLevel="0" collapsed="false">
      <c r="A1910" s="0" t="s">
        <v>458</v>
      </c>
      <c r="B1910" s="0" t="s">
        <v>55</v>
      </c>
      <c r="C1910" s="0" t="s">
        <v>56</v>
      </c>
      <c r="D1910" s="0" t="n">
        <v>20</v>
      </c>
      <c r="E1910" s="5" t="n">
        <v>45959.8871990741</v>
      </c>
      <c r="F1910" s="0" t="n">
        <v>1.65</v>
      </c>
      <c r="G1910" s="0" t="n">
        <v>17021</v>
      </c>
      <c r="H1910" s="6" t="s">
        <v>52</v>
      </c>
      <c r="I1910" s="6" t="n">
        <f aca="false">D1910*F1910</f>
        <v>33</v>
      </c>
      <c r="J1910" s="6" t="n">
        <f aca="false">HOUR(E1910)</f>
        <v>21</v>
      </c>
      <c r="K1910" s="6" t="n">
        <f aca="false">IF(COUNTIF($A$2:$A1910,A1910)=1,1,0)</f>
        <v>0</v>
      </c>
    </row>
    <row r="1911" customFormat="false" ht="15" hidden="false" customHeight="false" outlineLevel="0" collapsed="false">
      <c r="A1911" s="0" t="s">
        <v>458</v>
      </c>
      <c r="B1911" s="0" t="s">
        <v>118</v>
      </c>
      <c r="C1911" s="0" t="s">
        <v>119</v>
      </c>
      <c r="D1911" s="0" t="n">
        <v>25</v>
      </c>
      <c r="E1911" s="5" t="n">
        <v>45959.8871990741</v>
      </c>
      <c r="F1911" s="0" t="n">
        <v>4.95</v>
      </c>
      <c r="G1911" s="0" t="n">
        <v>17021</v>
      </c>
      <c r="H1911" s="6" t="s">
        <v>52</v>
      </c>
      <c r="I1911" s="6" t="n">
        <f aca="false">D1911*F1911</f>
        <v>123.75</v>
      </c>
      <c r="J1911" s="6" t="n">
        <f aca="false">HOUR(E1911)</f>
        <v>21</v>
      </c>
      <c r="K1911" s="6" t="n">
        <f aca="false">IF(COUNTIF($A$2:$A1911,A1911)=1,1,0)</f>
        <v>0</v>
      </c>
    </row>
    <row r="1912" customFormat="false" ht="15" hidden="false" customHeight="false" outlineLevel="0" collapsed="false">
      <c r="A1912" s="0" t="s">
        <v>458</v>
      </c>
      <c r="B1912" s="0" t="s">
        <v>134</v>
      </c>
      <c r="C1912" s="0" t="s">
        <v>135</v>
      </c>
      <c r="D1912" s="0" t="n">
        <v>20</v>
      </c>
      <c r="E1912" s="5" t="n">
        <v>45959.8871990741</v>
      </c>
      <c r="F1912" s="0" t="n">
        <v>5.95</v>
      </c>
      <c r="G1912" s="0" t="n">
        <v>17021</v>
      </c>
      <c r="H1912" s="6" t="s">
        <v>52</v>
      </c>
      <c r="I1912" s="6" t="n">
        <f aca="false">D1912*F1912</f>
        <v>119</v>
      </c>
      <c r="J1912" s="6" t="n">
        <f aca="false">HOUR(E1912)</f>
        <v>21</v>
      </c>
      <c r="K1912" s="6" t="n">
        <f aca="false">IF(COUNTIF($A$2:$A1912,A1912)=1,1,0)</f>
        <v>0</v>
      </c>
    </row>
    <row r="1913" customFormat="false" ht="15" hidden="false" customHeight="false" outlineLevel="0" collapsed="false">
      <c r="A1913" s="0" t="s">
        <v>458</v>
      </c>
      <c r="B1913" s="0" t="s">
        <v>93</v>
      </c>
      <c r="C1913" s="0" t="s">
        <v>94</v>
      </c>
      <c r="D1913" s="0" t="n">
        <v>24</v>
      </c>
      <c r="E1913" s="5" t="n">
        <v>45959.8871990741</v>
      </c>
      <c r="F1913" s="0" t="n">
        <v>1.69</v>
      </c>
      <c r="G1913" s="0" t="n">
        <v>17021</v>
      </c>
      <c r="H1913" s="6" t="s">
        <v>52</v>
      </c>
      <c r="I1913" s="6" t="n">
        <f aca="false">D1913*F1913</f>
        <v>40.56</v>
      </c>
      <c r="J1913" s="6" t="n">
        <f aca="false">HOUR(E1913)</f>
        <v>21</v>
      </c>
      <c r="K1913" s="6" t="n">
        <f aca="false">IF(COUNTIF($A$2:$A1913,A1913)=1,1,0)</f>
        <v>0</v>
      </c>
    </row>
    <row r="1914" customFormat="false" ht="15" hidden="false" customHeight="false" outlineLevel="0" collapsed="false">
      <c r="A1914" s="0" t="s">
        <v>458</v>
      </c>
      <c r="B1914" s="0" t="s">
        <v>53</v>
      </c>
      <c r="C1914" s="0" t="s">
        <v>54</v>
      </c>
      <c r="D1914" s="0" t="n">
        <v>22</v>
      </c>
      <c r="E1914" s="5" t="n">
        <v>45959.8871990741</v>
      </c>
      <c r="F1914" s="0" t="n">
        <v>2.95</v>
      </c>
      <c r="G1914" s="0" t="n">
        <v>17021</v>
      </c>
      <c r="H1914" s="6" t="s">
        <v>52</v>
      </c>
      <c r="I1914" s="6" t="n">
        <f aca="false">D1914*F1914</f>
        <v>64.9</v>
      </c>
      <c r="J1914" s="6" t="n">
        <f aca="false">HOUR(E1914)</f>
        <v>21</v>
      </c>
      <c r="K1914" s="6" t="n">
        <f aca="false">IF(COUNTIF($A$2:$A1914,A1914)=1,1,0)</f>
        <v>0</v>
      </c>
    </row>
    <row r="1915" customFormat="false" ht="15" hidden="false" customHeight="false" outlineLevel="0" collapsed="false">
      <c r="A1915" s="0" t="s">
        <v>458</v>
      </c>
      <c r="B1915" s="0" t="s">
        <v>83</v>
      </c>
      <c r="C1915" s="0" t="s">
        <v>84</v>
      </c>
      <c r="D1915" s="0" t="n">
        <v>4</v>
      </c>
      <c r="E1915" s="5" t="n">
        <v>45959.8871990741</v>
      </c>
      <c r="F1915" s="0" t="n">
        <v>2.95</v>
      </c>
      <c r="G1915" s="0" t="n">
        <v>17021</v>
      </c>
      <c r="H1915" s="6" t="s">
        <v>52</v>
      </c>
      <c r="I1915" s="6" t="n">
        <f aca="false">D1915*F1915</f>
        <v>11.8</v>
      </c>
      <c r="J1915" s="6" t="n">
        <f aca="false">HOUR(E1915)</f>
        <v>21</v>
      </c>
      <c r="K1915" s="6" t="n">
        <f aca="false">IF(COUNTIF($A$2:$A1915,A1915)=1,1,0)</f>
        <v>0</v>
      </c>
    </row>
    <row r="1916" customFormat="false" ht="15" hidden="false" customHeight="false" outlineLevel="0" collapsed="false">
      <c r="A1916" s="0" t="s">
        <v>459</v>
      </c>
      <c r="B1916" s="0" t="s">
        <v>116</v>
      </c>
      <c r="C1916" s="0" t="s">
        <v>117</v>
      </c>
      <c r="D1916" s="0" t="n">
        <v>1</v>
      </c>
      <c r="E1916" s="5" t="n">
        <v>45960.155474537</v>
      </c>
      <c r="F1916" s="0" t="n">
        <v>1.95</v>
      </c>
      <c r="G1916" s="0" t="n">
        <v>17137</v>
      </c>
      <c r="H1916" s="6" t="s">
        <v>68</v>
      </c>
      <c r="I1916" s="6" t="n">
        <f aca="false">D1916*F1916</f>
        <v>1.95</v>
      </c>
      <c r="J1916" s="6" t="n">
        <f aca="false">HOUR(E1916)</f>
        <v>3</v>
      </c>
      <c r="K1916" s="6" t="n">
        <f aca="false">IF(COUNTIF($A$2:$A1916,A1916)=1,1,0)</f>
        <v>1</v>
      </c>
    </row>
    <row r="1917" customFormat="false" ht="15" hidden="false" customHeight="false" outlineLevel="0" collapsed="false">
      <c r="A1917" s="0" t="s">
        <v>459</v>
      </c>
      <c r="B1917" s="0" t="s">
        <v>109</v>
      </c>
      <c r="C1917" s="0" t="s">
        <v>110</v>
      </c>
      <c r="D1917" s="0" t="n">
        <v>13</v>
      </c>
      <c r="E1917" s="5" t="n">
        <v>45960.155474537</v>
      </c>
      <c r="F1917" s="0" t="n">
        <v>0.85</v>
      </c>
      <c r="G1917" s="0" t="n">
        <v>17137</v>
      </c>
      <c r="H1917" s="6" t="s">
        <v>68</v>
      </c>
      <c r="I1917" s="6" t="n">
        <f aca="false">D1917*F1917</f>
        <v>11.05</v>
      </c>
      <c r="J1917" s="6" t="n">
        <f aca="false">HOUR(E1917)</f>
        <v>3</v>
      </c>
      <c r="K1917" s="6" t="n">
        <f aca="false">IF(COUNTIF($A$2:$A1917,A1917)=1,1,0)</f>
        <v>0</v>
      </c>
    </row>
    <row r="1918" customFormat="false" ht="15" hidden="false" customHeight="false" outlineLevel="0" collapsed="false">
      <c r="A1918" s="0" t="s">
        <v>459</v>
      </c>
      <c r="B1918" s="0" t="s">
        <v>127</v>
      </c>
      <c r="C1918" s="0" t="s">
        <v>128</v>
      </c>
      <c r="D1918" s="0" t="n">
        <v>11</v>
      </c>
      <c r="E1918" s="5" t="n">
        <v>45960.155474537</v>
      </c>
      <c r="F1918" s="0" t="n">
        <v>1.45</v>
      </c>
      <c r="G1918" s="0" t="n">
        <v>17137</v>
      </c>
      <c r="H1918" s="6" t="s">
        <v>68</v>
      </c>
      <c r="I1918" s="6" t="n">
        <f aca="false">D1918*F1918</f>
        <v>15.95</v>
      </c>
      <c r="J1918" s="6" t="n">
        <f aca="false">HOUR(E1918)</f>
        <v>3</v>
      </c>
      <c r="K1918" s="6" t="n">
        <f aca="false">IF(COUNTIF($A$2:$A1918,A1918)=1,1,0)</f>
        <v>0</v>
      </c>
    </row>
    <row r="1919" customFormat="false" ht="15" hidden="false" customHeight="false" outlineLevel="0" collapsed="false">
      <c r="A1919" s="0" t="s">
        <v>459</v>
      </c>
      <c r="B1919" s="0" t="s">
        <v>114</v>
      </c>
      <c r="C1919" s="0" t="s">
        <v>115</v>
      </c>
      <c r="D1919" s="0" t="n">
        <v>3</v>
      </c>
      <c r="E1919" s="5" t="n">
        <v>45960.155474537</v>
      </c>
      <c r="F1919" s="0" t="n">
        <v>2.08</v>
      </c>
      <c r="G1919" s="0" t="n">
        <v>17137</v>
      </c>
      <c r="H1919" s="6" t="s">
        <v>68</v>
      </c>
      <c r="I1919" s="6" t="n">
        <f aca="false">D1919*F1919</f>
        <v>6.24</v>
      </c>
      <c r="J1919" s="6" t="n">
        <f aca="false">HOUR(E1919)</f>
        <v>3</v>
      </c>
      <c r="K1919" s="6" t="n">
        <f aca="false">IF(COUNTIF($A$2:$A1919,A1919)=1,1,0)</f>
        <v>0</v>
      </c>
    </row>
    <row r="1920" customFormat="false" ht="15" hidden="false" customHeight="false" outlineLevel="0" collapsed="false">
      <c r="A1920" s="0" t="s">
        <v>459</v>
      </c>
      <c r="B1920" s="0" t="s">
        <v>65</v>
      </c>
      <c r="C1920" s="0" t="s">
        <v>66</v>
      </c>
      <c r="D1920" s="0" t="n">
        <v>18</v>
      </c>
      <c r="E1920" s="5" t="n">
        <v>45960.155474537</v>
      </c>
      <c r="F1920" s="0" t="n">
        <v>1.65</v>
      </c>
      <c r="G1920" s="0" t="n">
        <v>17137</v>
      </c>
      <c r="H1920" s="6" t="s">
        <v>68</v>
      </c>
      <c r="I1920" s="6" t="n">
        <f aca="false">D1920*F1920</f>
        <v>29.7</v>
      </c>
      <c r="J1920" s="6" t="n">
        <f aca="false">HOUR(E1920)</f>
        <v>3</v>
      </c>
      <c r="K1920" s="6" t="n">
        <f aca="false">IF(COUNTIF($A$2:$A1920,A1920)=1,1,0)</f>
        <v>0</v>
      </c>
    </row>
    <row r="1921" customFormat="false" ht="15" hidden="false" customHeight="false" outlineLevel="0" collapsed="false">
      <c r="A1921" s="0" t="s">
        <v>459</v>
      </c>
      <c r="B1921" s="0" t="s">
        <v>134</v>
      </c>
      <c r="C1921" s="0" t="s">
        <v>135</v>
      </c>
      <c r="D1921" s="0" t="n">
        <v>22</v>
      </c>
      <c r="E1921" s="5" t="n">
        <v>45960.155474537</v>
      </c>
      <c r="F1921" s="0" t="n">
        <v>5.95</v>
      </c>
      <c r="G1921" s="0" t="n">
        <v>17137</v>
      </c>
      <c r="H1921" s="6" t="s">
        <v>68</v>
      </c>
      <c r="I1921" s="6" t="n">
        <f aca="false">D1921*F1921</f>
        <v>130.9</v>
      </c>
      <c r="J1921" s="6" t="n">
        <f aca="false">HOUR(E1921)</f>
        <v>3</v>
      </c>
      <c r="K1921" s="6" t="n">
        <f aca="false">IF(COUNTIF($A$2:$A1921,A1921)=1,1,0)</f>
        <v>0</v>
      </c>
    </row>
    <row r="1922" customFormat="false" ht="15" hidden="false" customHeight="false" outlineLevel="0" collapsed="false">
      <c r="A1922" s="0" t="s">
        <v>459</v>
      </c>
      <c r="B1922" s="0" t="s">
        <v>137</v>
      </c>
      <c r="C1922" s="0" t="s">
        <v>138</v>
      </c>
      <c r="D1922" s="0" t="n">
        <v>22</v>
      </c>
      <c r="E1922" s="5" t="n">
        <v>45960.155474537</v>
      </c>
      <c r="F1922" s="0" t="n">
        <v>2.1</v>
      </c>
      <c r="G1922" s="0" t="n">
        <v>17137</v>
      </c>
      <c r="H1922" s="6" t="s">
        <v>68</v>
      </c>
      <c r="I1922" s="6" t="n">
        <f aca="false">D1922*F1922</f>
        <v>46.2</v>
      </c>
      <c r="J1922" s="6" t="n">
        <f aca="false">HOUR(E1922)</f>
        <v>3</v>
      </c>
      <c r="K1922" s="6" t="n">
        <f aca="false">IF(COUNTIF($A$2:$A1922,A1922)=1,1,0)</f>
        <v>0</v>
      </c>
    </row>
    <row r="1923" customFormat="false" ht="15" hidden="false" customHeight="false" outlineLevel="0" collapsed="false">
      <c r="A1923" s="0" t="s">
        <v>459</v>
      </c>
      <c r="B1923" s="0" t="s">
        <v>83</v>
      </c>
      <c r="C1923" s="0" t="s">
        <v>84</v>
      </c>
      <c r="D1923" s="0" t="n">
        <v>6</v>
      </c>
      <c r="E1923" s="5" t="n">
        <v>45960.155474537</v>
      </c>
      <c r="F1923" s="0" t="n">
        <v>2.95</v>
      </c>
      <c r="G1923" s="0" t="n">
        <v>17137</v>
      </c>
      <c r="H1923" s="6" t="s">
        <v>68</v>
      </c>
      <c r="I1923" s="6" t="n">
        <f aca="false">D1923*F1923</f>
        <v>17.7</v>
      </c>
      <c r="J1923" s="6" t="n">
        <f aca="false">HOUR(E1923)</f>
        <v>3</v>
      </c>
      <c r="K1923" s="6" t="n">
        <f aca="false">IF(COUNTIF($A$2:$A1923,A1923)=1,1,0)</f>
        <v>0</v>
      </c>
    </row>
    <row r="1924" customFormat="false" ht="15" hidden="false" customHeight="false" outlineLevel="0" collapsed="false">
      <c r="A1924" s="0" t="s">
        <v>459</v>
      </c>
      <c r="B1924" s="0" t="s">
        <v>88</v>
      </c>
      <c r="C1924" s="0" t="s">
        <v>89</v>
      </c>
      <c r="D1924" s="0" t="n">
        <v>14</v>
      </c>
      <c r="E1924" s="5" t="n">
        <v>45960.155474537</v>
      </c>
      <c r="F1924" s="0" t="n">
        <v>2.75</v>
      </c>
      <c r="G1924" s="0" t="n">
        <v>17137</v>
      </c>
      <c r="H1924" s="6" t="s">
        <v>68</v>
      </c>
      <c r="I1924" s="6" t="n">
        <f aca="false">D1924*F1924</f>
        <v>38.5</v>
      </c>
      <c r="J1924" s="6" t="n">
        <f aca="false">HOUR(E1924)</f>
        <v>3</v>
      </c>
      <c r="K1924" s="6" t="n">
        <f aca="false">IF(COUNTIF($A$2:$A1924,A1924)=1,1,0)</f>
        <v>0</v>
      </c>
    </row>
    <row r="1925" customFormat="false" ht="15" hidden="false" customHeight="false" outlineLevel="0" collapsed="false">
      <c r="A1925" s="0" t="s">
        <v>459</v>
      </c>
      <c r="B1925" s="0" t="s">
        <v>53</v>
      </c>
      <c r="C1925" s="0" t="s">
        <v>54</v>
      </c>
      <c r="D1925" s="0" t="n">
        <v>23</v>
      </c>
      <c r="E1925" s="5" t="n">
        <v>45960.155474537</v>
      </c>
      <c r="F1925" s="0" t="n">
        <v>2.95</v>
      </c>
      <c r="G1925" s="0" t="n">
        <v>17137</v>
      </c>
      <c r="H1925" s="6" t="s">
        <v>68</v>
      </c>
      <c r="I1925" s="6" t="n">
        <f aca="false">D1925*F1925</f>
        <v>67.85</v>
      </c>
      <c r="J1925" s="6" t="n">
        <f aca="false">HOUR(E1925)</f>
        <v>3</v>
      </c>
      <c r="K1925" s="6" t="n">
        <f aca="false">IF(COUNTIF($A$2:$A1925,A1925)=1,1,0)</f>
        <v>0</v>
      </c>
    </row>
    <row r="1926" customFormat="false" ht="15" hidden="false" customHeight="false" outlineLevel="0" collapsed="false">
      <c r="A1926" s="0" t="s">
        <v>460</v>
      </c>
      <c r="B1926" s="0" t="s">
        <v>59</v>
      </c>
      <c r="C1926" s="0" t="s">
        <v>60</v>
      </c>
      <c r="D1926" s="0" t="n">
        <v>20</v>
      </c>
      <c r="E1926" s="5" t="n">
        <v>45960.3843171296</v>
      </c>
      <c r="F1926" s="0" t="n">
        <v>0.42</v>
      </c>
      <c r="G1926" s="0" t="n">
        <v>17128</v>
      </c>
      <c r="H1926" s="6" t="s">
        <v>113</v>
      </c>
      <c r="I1926" s="6" t="n">
        <f aca="false">D1926*F1926</f>
        <v>8.4</v>
      </c>
      <c r="J1926" s="6" t="n">
        <f aca="false">HOUR(E1926)</f>
        <v>9</v>
      </c>
      <c r="K1926" s="6" t="n">
        <f aca="false">IF(COUNTIF($A$2:$A1926,A1926)=1,1,0)</f>
        <v>1</v>
      </c>
    </row>
    <row r="1927" customFormat="false" ht="15" hidden="false" customHeight="false" outlineLevel="0" collapsed="false">
      <c r="A1927" s="0" t="s">
        <v>460</v>
      </c>
      <c r="B1927" s="0" t="s">
        <v>95</v>
      </c>
      <c r="C1927" s="0" t="s">
        <v>96</v>
      </c>
      <c r="D1927" s="0" t="n">
        <v>18</v>
      </c>
      <c r="E1927" s="5" t="n">
        <v>45960.3843171296</v>
      </c>
      <c r="F1927" s="0" t="n">
        <v>2.55</v>
      </c>
      <c r="G1927" s="0" t="n">
        <v>17128</v>
      </c>
      <c r="H1927" s="6" t="s">
        <v>113</v>
      </c>
      <c r="I1927" s="6" t="n">
        <f aca="false">D1927*F1927</f>
        <v>45.9</v>
      </c>
      <c r="J1927" s="6" t="n">
        <f aca="false">HOUR(E1927)</f>
        <v>9</v>
      </c>
      <c r="K1927" s="6" t="n">
        <f aca="false">IF(COUNTIF($A$2:$A1927,A1927)=1,1,0)</f>
        <v>0</v>
      </c>
    </row>
    <row r="1928" customFormat="false" ht="15" hidden="false" customHeight="false" outlineLevel="0" collapsed="false">
      <c r="A1928" s="0" t="s">
        <v>461</v>
      </c>
      <c r="B1928" s="0" t="s">
        <v>95</v>
      </c>
      <c r="C1928" s="0" t="s">
        <v>96</v>
      </c>
      <c r="D1928" s="0" t="n">
        <v>30</v>
      </c>
      <c r="E1928" s="5" t="n">
        <v>45960.4296527778</v>
      </c>
      <c r="F1928" s="0" t="n">
        <v>2.55</v>
      </c>
      <c r="H1928" s="6" t="s">
        <v>113</v>
      </c>
      <c r="I1928" s="6" t="n">
        <f aca="false">D1928*F1928</f>
        <v>76.5</v>
      </c>
      <c r="J1928" s="6" t="n">
        <f aca="false">HOUR(E1928)</f>
        <v>10</v>
      </c>
      <c r="K1928" s="6" t="n">
        <f aca="false">IF(COUNTIF($A$2:$A1928,A1928)=1,1,0)</f>
        <v>1</v>
      </c>
    </row>
    <row r="1929" customFormat="false" ht="15" hidden="false" customHeight="false" outlineLevel="0" collapsed="false">
      <c r="A1929" s="0" t="s">
        <v>461</v>
      </c>
      <c r="B1929" s="0" t="s">
        <v>121</v>
      </c>
      <c r="C1929" s="0" t="s">
        <v>122</v>
      </c>
      <c r="D1929" s="0" t="n">
        <v>7</v>
      </c>
      <c r="E1929" s="5" t="n">
        <v>45960.4296527778</v>
      </c>
      <c r="F1929" s="0" t="n">
        <v>2.1</v>
      </c>
      <c r="H1929" s="6" t="s">
        <v>113</v>
      </c>
      <c r="I1929" s="6" t="n">
        <f aca="false">D1929*F1929</f>
        <v>14.7</v>
      </c>
      <c r="J1929" s="6" t="n">
        <f aca="false">HOUR(E1929)</f>
        <v>10</v>
      </c>
      <c r="K1929" s="6" t="n">
        <f aca="false">IF(COUNTIF($A$2:$A1929,A1929)=1,1,0)</f>
        <v>0</v>
      </c>
    </row>
    <row r="1930" customFormat="false" ht="15" hidden="false" customHeight="false" outlineLevel="0" collapsed="false">
      <c r="A1930" s="0" t="s">
        <v>461</v>
      </c>
      <c r="B1930" s="0" t="s">
        <v>140</v>
      </c>
      <c r="C1930" s="0" t="s">
        <v>141</v>
      </c>
      <c r="D1930" s="0" t="n">
        <v>7</v>
      </c>
      <c r="E1930" s="5" t="n">
        <v>45960.4296527778</v>
      </c>
      <c r="F1930" s="0" t="n">
        <v>2.08</v>
      </c>
      <c r="H1930" s="6" t="s">
        <v>113</v>
      </c>
      <c r="I1930" s="6" t="n">
        <f aca="false">D1930*F1930</f>
        <v>14.56</v>
      </c>
      <c r="J1930" s="6" t="n">
        <f aca="false">HOUR(E1930)</f>
        <v>10</v>
      </c>
      <c r="K1930" s="6" t="n">
        <f aca="false">IF(COUNTIF($A$2:$A1930,A1930)=1,1,0)</f>
        <v>0</v>
      </c>
    </row>
    <row r="1931" customFormat="false" ht="15" hidden="false" customHeight="false" outlineLevel="0" collapsed="false">
      <c r="A1931" s="0" t="s">
        <v>461</v>
      </c>
      <c r="B1931" s="0" t="s">
        <v>43</v>
      </c>
      <c r="C1931" s="0" t="s">
        <v>44</v>
      </c>
      <c r="D1931" s="0" t="n">
        <v>23</v>
      </c>
      <c r="E1931" s="5" t="n">
        <v>45960.4296527778</v>
      </c>
      <c r="F1931" s="0" t="n">
        <v>4.25</v>
      </c>
      <c r="H1931" s="6" t="s">
        <v>113</v>
      </c>
      <c r="I1931" s="6" t="n">
        <f aca="false">D1931*F1931</f>
        <v>97.75</v>
      </c>
      <c r="J1931" s="6" t="n">
        <f aca="false">HOUR(E1931)</f>
        <v>10</v>
      </c>
      <c r="K1931" s="6" t="n">
        <f aca="false">IF(COUNTIF($A$2:$A1931,A1931)=1,1,0)</f>
        <v>0</v>
      </c>
    </row>
    <row r="1932" customFormat="false" ht="15" hidden="false" customHeight="false" outlineLevel="0" collapsed="false">
      <c r="A1932" s="0" t="s">
        <v>461</v>
      </c>
      <c r="B1932" s="0" t="s">
        <v>114</v>
      </c>
      <c r="C1932" s="0" t="s">
        <v>115</v>
      </c>
      <c r="D1932" s="0" t="n">
        <v>10</v>
      </c>
      <c r="E1932" s="5" t="n">
        <v>45960.4296527778</v>
      </c>
      <c r="F1932" s="0" t="n">
        <v>2.08</v>
      </c>
      <c r="H1932" s="6" t="s">
        <v>113</v>
      </c>
      <c r="I1932" s="6" t="n">
        <f aca="false">D1932*F1932</f>
        <v>20.8</v>
      </c>
      <c r="J1932" s="6" t="n">
        <f aca="false">HOUR(E1932)</f>
        <v>10</v>
      </c>
      <c r="K1932" s="6" t="n">
        <f aca="false">IF(COUNTIF($A$2:$A1932,A1932)=1,1,0)</f>
        <v>0</v>
      </c>
    </row>
    <row r="1933" customFormat="false" ht="15" hidden="false" customHeight="false" outlineLevel="0" collapsed="false">
      <c r="A1933" s="0" t="s">
        <v>461</v>
      </c>
      <c r="B1933" s="0" t="s">
        <v>125</v>
      </c>
      <c r="C1933" s="0" t="s">
        <v>126</v>
      </c>
      <c r="D1933" s="0" t="n">
        <v>1</v>
      </c>
      <c r="E1933" s="5" t="n">
        <v>45960.4296527778</v>
      </c>
      <c r="F1933" s="0" t="n">
        <v>1.25</v>
      </c>
      <c r="H1933" s="6" t="s">
        <v>113</v>
      </c>
      <c r="I1933" s="6" t="n">
        <f aca="false">D1933*F1933</f>
        <v>1.25</v>
      </c>
      <c r="J1933" s="6" t="n">
        <f aca="false">HOUR(E1933)</f>
        <v>10</v>
      </c>
      <c r="K1933" s="6" t="n">
        <f aca="false">IF(COUNTIF($A$2:$A1933,A1933)=1,1,0)</f>
        <v>0</v>
      </c>
    </row>
    <row r="1934" customFormat="false" ht="15" hidden="false" customHeight="false" outlineLevel="0" collapsed="false">
      <c r="A1934" s="0" t="s">
        <v>461</v>
      </c>
      <c r="B1934" s="0" t="s">
        <v>145</v>
      </c>
      <c r="C1934" s="0" t="s">
        <v>146</v>
      </c>
      <c r="D1934" s="0" t="n">
        <v>15</v>
      </c>
      <c r="E1934" s="5" t="n">
        <v>45960.4296527778</v>
      </c>
      <c r="F1934" s="0" t="n">
        <v>1.85</v>
      </c>
      <c r="H1934" s="6" t="s">
        <v>113</v>
      </c>
      <c r="I1934" s="6" t="n">
        <f aca="false">D1934*F1934</f>
        <v>27.75</v>
      </c>
      <c r="J1934" s="6" t="n">
        <f aca="false">HOUR(E1934)</f>
        <v>10</v>
      </c>
      <c r="K1934" s="6" t="n">
        <f aca="false">IF(COUNTIF($A$2:$A1934,A1934)=1,1,0)</f>
        <v>0</v>
      </c>
    </row>
    <row r="1935" customFormat="false" ht="15" hidden="false" customHeight="false" outlineLevel="0" collapsed="false">
      <c r="A1935" s="0" t="s">
        <v>461</v>
      </c>
      <c r="B1935" s="0" t="s">
        <v>63</v>
      </c>
      <c r="C1935" s="0" t="s">
        <v>64</v>
      </c>
      <c r="D1935" s="0" t="n">
        <v>17</v>
      </c>
      <c r="E1935" s="5" t="n">
        <v>45960.4296527778</v>
      </c>
      <c r="F1935" s="0" t="n">
        <v>1.85</v>
      </c>
      <c r="H1935" s="6" t="s">
        <v>113</v>
      </c>
      <c r="I1935" s="6" t="n">
        <f aca="false">D1935*F1935</f>
        <v>31.45</v>
      </c>
      <c r="J1935" s="6" t="n">
        <f aca="false">HOUR(E1935)</f>
        <v>10</v>
      </c>
      <c r="K1935" s="6" t="n">
        <f aca="false">IF(COUNTIF($A$2:$A1935,A1935)=1,1,0)</f>
        <v>0</v>
      </c>
    </row>
    <row r="1936" customFormat="false" ht="15" hidden="false" customHeight="false" outlineLevel="0" collapsed="false">
      <c r="A1936" s="0" t="s">
        <v>461</v>
      </c>
      <c r="B1936" s="0" t="s">
        <v>118</v>
      </c>
      <c r="C1936" s="0" t="s">
        <v>119</v>
      </c>
      <c r="D1936" s="0" t="n">
        <v>44</v>
      </c>
      <c r="E1936" s="5" t="n">
        <v>45960.4296527778</v>
      </c>
      <c r="F1936" s="0" t="n">
        <v>4.95</v>
      </c>
      <c r="H1936" s="6" t="s">
        <v>113</v>
      </c>
      <c r="I1936" s="6" t="n">
        <f aca="false">D1936*F1936</f>
        <v>217.8</v>
      </c>
      <c r="J1936" s="6" t="n">
        <f aca="false">HOUR(E1936)</f>
        <v>10</v>
      </c>
      <c r="K1936" s="6" t="n">
        <f aca="false">IF(COUNTIF($A$2:$A1936,A1936)=1,1,0)</f>
        <v>0</v>
      </c>
    </row>
    <row r="1937" customFormat="false" ht="15" hidden="false" customHeight="false" outlineLevel="0" collapsed="false">
      <c r="A1937" s="0" t="s">
        <v>462</v>
      </c>
      <c r="B1937" s="0" t="s">
        <v>40</v>
      </c>
      <c r="C1937" s="0" t="s">
        <v>41</v>
      </c>
      <c r="D1937" s="0" t="n">
        <v>2</v>
      </c>
      <c r="E1937" s="5" t="n">
        <v>45960.4344097222</v>
      </c>
      <c r="F1937" s="0" t="n">
        <v>1.06</v>
      </c>
      <c r="G1937" s="0" t="n">
        <v>17208</v>
      </c>
      <c r="H1937" s="6" t="s">
        <v>74</v>
      </c>
      <c r="I1937" s="6" t="n">
        <f aca="false">D1937*F1937</f>
        <v>2.12</v>
      </c>
      <c r="J1937" s="6" t="n">
        <f aca="false">HOUR(E1937)</f>
        <v>10</v>
      </c>
      <c r="K1937" s="6" t="n">
        <f aca="false">IF(COUNTIF($A$2:$A1937,A1937)=1,1,0)</f>
        <v>1</v>
      </c>
    </row>
    <row r="1938" customFormat="false" ht="15" hidden="false" customHeight="false" outlineLevel="0" collapsed="false">
      <c r="A1938" s="0" t="s">
        <v>462</v>
      </c>
      <c r="B1938" s="0" t="s">
        <v>114</v>
      </c>
      <c r="C1938" s="0" t="s">
        <v>115</v>
      </c>
      <c r="D1938" s="0" t="n">
        <v>3</v>
      </c>
      <c r="E1938" s="5" t="n">
        <v>45960.4344097222</v>
      </c>
      <c r="F1938" s="0" t="n">
        <v>2.08</v>
      </c>
      <c r="G1938" s="0" t="n">
        <v>17208</v>
      </c>
      <c r="H1938" s="6" t="s">
        <v>74</v>
      </c>
      <c r="I1938" s="6" t="n">
        <f aca="false">D1938*F1938</f>
        <v>6.24</v>
      </c>
      <c r="J1938" s="6" t="n">
        <f aca="false">HOUR(E1938)</f>
        <v>10</v>
      </c>
      <c r="K1938" s="6" t="n">
        <f aca="false">IF(COUNTIF($A$2:$A1938,A1938)=1,1,0)</f>
        <v>0</v>
      </c>
    </row>
    <row r="1939" customFormat="false" ht="15" hidden="false" customHeight="false" outlineLevel="0" collapsed="false">
      <c r="A1939" s="0" t="s">
        <v>462</v>
      </c>
      <c r="B1939" s="0" t="s">
        <v>45</v>
      </c>
      <c r="C1939" s="0" t="s">
        <v>46</v>
      </c>
      <c r="D1939" s="0" t="n">
        <v>11</v>
      </c>
      <c r="E1939" s="5" t="n">
        <v>45960.4344097222</v>
      </c>
      <c r="F1939" s="0" t="n">
        <v>2.1</v>
      </c>
      <c r="G1939" s="0" t="n">
        <v>17208</v>
      </c>
      <c r="H1939" s="6" t="s">
        <v>74</v>
      </c>
      <c r="I1939" s="6" t="n">
        <f aca="false">D1939*F1939</f>
        <v>23.1</v>
      </c>
      <c r="J1939" s="6" t="n">
        <f aca="false">HOUR(E1939)</f>
        <v>10</v>
      </c>
      <c r="K1939" s="6" t="n">
        <f aca="false">IF(COUNTIF($A$2:$A1939,A1939)=1,1,0)</f>
        <v>0</v>
      </c>
    </row>
    <row r="1940" customFormat="false" ht="15" hidden="false" customHeight="false" outlineLevel="0" collapsed="false">
      <c r="A1940" s="0" t="s">
        <v>462</v>
      </c>
      <c r="B1940" s="0" t="s">
        <v>121</v>
      </c>
      <c r="C1940" s="0" t="s">
        <v>122</v>
      </c>
      <c r="D1940" s="0" t="n">
        <v>8</v>
      </c>
      <c r="E1940" s="5" t="n">
        <v>45960.4344097222</v>
      </c>
      <c r="F1940" s="0" t="n">
        <v>2.1</v>
      </c>
      <c r="G1940" s="0" t="n">
        <v>17208</v>
      </c>
      <c r="H1940" s="6" t="s">
        <v>74</v>
      </c>
      <c r="I1940" s="6" t="n">
        <f aca="false">D1940*F1940</f>
        <v>16.8</v>
      </c>
      <c r="J1940" s="6" t="n">
        <f aca="false">HOUR(E1940)</f>
        <v>10</v>
      </c>
      <c r="K1940" s="6" t="n">
        <f aca="false">IF(COUNTIF($A$2:$A1940,A1940)=1,1,0)</f>
        <v>0</v>
      </c>
    </row>
    <row r="1941" customFormat="false" ht="15" hidden="false" customHeight="false" outlineLevel="0" collapsed="false">
      <c r="A1941" s="0" t="s">
        <v>463</v>
      </c>
      <c r="B1941" s="0" t="s">
        <v>107</v>
      </c>
      <c r="C1941" s="0" t="s">
        <v>108</v>
      </c>
      <c r="D1941" s="0" t="n">
        <v>13</v>
      </c>
      <c r="E1941" s="5" t="n">
        <v>45960.4575694444</v>
      </c>
      <c r="F1941" s="0" t="n">
        <v>3.75</v>
      </c>
      <c r="G1941" s="0" t="n">
        <v>17209</v>
      </c>
      <c r="H1941" s="6" t="s">
        <v>151</v>
      </c>
      <c r="I1941" s="6" t="n">
        <f aca="false">D1941*F1941</f>
        <v>48.75</v>
      </c>
      <c r="J1941" s="6" t="n">
        <f aca="false">HOUR(E1941)</f>
        <v>10</v>
      </c>
      <c r="K1941" s="6" t="n">
        <f aca="false">IF(COUNTIF($A$2:$A1941,A1941)=1,1,0)</f>
        <v>1</v>
      </c>
    </row>
    <row r="1942" customFormat="false" ht="15" hidden="false" customHeight="false" outlineLevel="0" collapsed="false">
      <c r="A1942" s="0" t="s">
        <v>463</v>
      </c>
      <c r="B1942" s="0" t="s">
        <v>95</v>
      </c>
      <c r="C1942" s="0" t="s">
        <v>96</v>
      </c>
      <c r="D1942" s="0" t="n">
        <v>26</v>
      </c>
      <c r="E1942" s="5" t="n">
        <v>45960.4575694444</v>
      </c>
      <c r="F1942" s="0" t="n">
        <v>2.55</v>
      </c>
      <c r="G1942" s="0" t="n">
        <v>17209</v>
      </c>
      <c r="H1942" s="6" t="s">
        <v>151</v>
      </c>
      <c r="I1942" s="6" t="n">
        <f aca="false">D1942*F1942</f>
        <v>66.3</v>
      </c>
      <c r="J1942" s="6" t="n">
        <f aca="false">HOUR(E1942)</f>
        <v>10</v>
      </c>
      <c r="K1942" s="6" t="n">
        <f aca="false">IF(COUNTIF($A$2:$A1942,A1942)=1,1,0)</f>
        <v>0</v>
      </c>
    </row>
    <row r="1943" customFormat="false" ht="15" hidden="false" customHeight="false" outlineLevel="0" collapsed="false">
      <c r="A1943" s="0" t="s">
        <v>463</v>
      </c>
      <c r="B1943" s="0" t="s">
        <v>53</v>
      </c>
      <c r="C1943" s="0" t="s">
        <v>54</v>
      </c>
      <c r="D1943" s="0" t="n">
        <v>21</v>
      </c>
      <c r="E1943" s="5" t="n">
        <v>45960.4575694444</v>
      </c>
      <c r="F1943" s="0" t="n">
        <v>2.95</v>
      </c>
      <c r="G1943" s="0" t="n">
        <v>17209</v>
      </c>
      <c r="H1943" s="6" t="s">
        <v>151</v>
      </c>
      <c r="I1943" s="6" t="n">
        <f aca="false">D1943*F1943</f>
        <v>61.95</v>
      </c>
      <c r="J1943" s="6" t="n">
        <f aca="false">HOUR(E1943)</f>
        <v>10</v>
      </c>
      <c r="K1943" s="6" t="n">
        <f aca="false">IF(COUNTIF($A$2:$A1943,A1943)=1,1,0)</f>
        <v>0</v>
      </c>
    </row>
    <row r="1944" customFormat="false" ht="15" hidden="false" customHeight="false" outlineLevel="0" collapsed="false">
      <c r="A1944" s="0" t="s">
        <v>463</v>
      </c>
      <c r="B1944" s="0" t="s">
        <v>125</v>
      </c>
      <c r="C1944" s="0" t="s">
        <v>126</v>
      </c>
      <c r="D1944" s="0" t="n">
        <v>4</v>
      </c>
      <c r="E1944" s="5" t="n">
        <v>45960.4575694444</v>
      </c>
      <c r="F1944" s="0" t="n">
        <v>1.25</v>
      </c>
      <c r="G1944" s="0" t="n">
        <v>17209</v>
      </c>
      <c r="H1944" s="6" t="s">
        <v>151</v>
      </c>
      <c r="I1944" s="6" t="n">
        <f aca="false">D1944*F1944</f>
        <v>5</v>
      </c>
      <c r="J1944" s="6" t="n">
        <f aca="false">HOUR(E1944)</f>
        <v>10</v>
      </c>
      <c r="K1944" s="6" t="n">
        <f aca="false">IF(COUNTIF($A$2:$A1944,A1944)=1,1,0)</f>
        <v>0</v>
      </c>
    </row>
    <row r="1945" customFormat="false" ht="15" hidden="false" customHeight="false" outlineLevel="0" collapsed="false">
      <c r="A1945" s="0" t="s">
        <v>463</v>
      </c>
      <c r="B1945" s="0" t="s">
        <v>63</v>
      </c>
      <c r="C1945" s="0" t="s">
        <v>64</v>
      </c>
      <c r="D1945" s="0" t="n">
        <v>9</v>
      </c>
      <c r="E1945" s="5" t="n">
        <v>45960.4575694444</v>
      </c>
      <c r="F1945" s="0" t="n">
        <v>1.85</v>
      </c>
      <c r="G1945" s="0" t="n">
        <v>17209</v>
      </c>
      <c r="H1945" s="6" t="s">
        <v>151</v>
      </c>
      <c r="I1945" s="6" t="n">
        <f aca="false">D1945*F1945</f>
        <v>16.65</v>
      </c>
      <c r="J1945" s="6" t="n">
        <f aca="false">HOUR(E1945)</f>
        <v>10</v>
      </c>
      <c r="K1945" s="6" t="n">
        <f aca="false">IF(COUNTIF($A$2:$A1945,A1945)=1,1,0)</f>
        <v>0</v>
      </c>
    </row>
    <row r="1946" customFormat="false" ht="15" hidden="false" customHeight="false" outlineLevel="0" collapsed="false">
      <c r="A1946" s="0" t="s">
        <v>464</v>
      </c>
      <c r="B1946" s="0" t="s">
        <v>140</v>
      </c>
      <c r="C1946" s="0" t="s">
        <v>141</v>
      </c>
      <c r="D1946" s="0" t="n">
        <v>5</v>
      </c>
      <c r="E1946" s="5" t="n">
        <v>45960.5200231482</v>
      </c>
      <c r="F1946" s="0" t="n">
        <v>2.08</v>
      </c>
      <c r="G1946" s="0" t="n">
        <v>17064</v>
      </c>
      <c r="H1946" s="6" t="s">
        <v>68</v>
      </c>
      <c r="I1946" s="6" t="n">
        <f aca="false">D1946*F1946</f>
        <v>10.4</v>
      </c>
      <c r="J1946" s="6" t="n">
        <f aca="false">HOUR(E1946)</f>
        <v>12</v>
      </c>
      <c r="K1946" s="6" t="n">
        <f aca="false">IF(COUNTIF($A$2:$A1946,A1946)=1,1,0)</f>
        <v>1</v>
      </c>
    </row>
    <row r="1947" customFormat="false" ht="15" hidden="false" customHeight="false" outlineLevel="0" collapsed="false">
      <c r="A1947" s="0" t="s">
        <v>464</v>
      </c>
      <c r="B1947" s="0" t="s">
        <v>99</v>
      </c>
      <c r="C1947" s="0" t="s">
        <v>100</v>
      </c>
      <c r="D1947" s="0" t="n">
        <v>16</v>
      </c>
      <c r="E1947" s="5" t="n">
        <v>45960.5200231482</v>
      </c>
      <c r="F1947" s="0" t="n">
        <v>2.08</v>
      </c>
      <c r="G1947" s="0" t="n">
        <v>17064</v>
      </c>
      <c r="H1947" s="6" t="s">
        <v>68</v>
      </c>
      <c r="I1947" s="6" t="n">
        <f aca="false">D1947*F1947</f>
        <v>33.28</v>
      </c>
      <c r="J1947" s="6" t="n">
        <f aca="false">HOUR(E1947)</f>
        <v>12</v>
      </c>
      <c r="K1947" s="6" t="n">
        <f aca="false">IF(COUNTIF($A$2:$A1947,A1947)=1,1,0)</f>
        <v>0</v>
      </c>
    </row>
    <row r="1948" customFormat="false" ht="15" hidden="false" customHeight="false" outlineLevel="0" collapsed="false">
      <c r="A1948" s="0" t="s">
        <v>464</v>
      </c>
      <c r="B1948" s="0" t="s">
        <v>61</v>
      </c>
      <c r="C1948" s="0" t="s">
        <v>62</v>
      </c>
      <c r="D1948" s="0" t="n">
        <v>18</v>
      </c>
      <c r="E1948" s="5" t="n">
        <v>45960.5200231482</v>
      </c>
      <c r="F1948" s="0" t="n">
        <v>1.65</v>
      </c>
      <c r="G1948" s="0" t="n">
        <v>17064</v>
      </c>
      <c r="H1948" s="6" t="s">
        <v>68</v>
      </c>
      <c r="I1948" s="6" t="n">
        <f aca="false">D1948*F1948</f>
        <v>29.7</v>
      </c>
      <c r="J1948" s="6" t="n">
        <f aca="false">HOUR(E1948)</f>
        <v>12</v>
      </c>
      <c r="K1948" s="6" t="n">
        <f aca="false">IF(COUNTIF($A$2:$A1948,A1948)=1,1,0)</f>
        <v>0</v>
      </c>
    </row>
    <row r="1949" customFormat="false" ht="15" hidden="false" customHeight="false" outlineLevel="0" collapsed="false">
      <c r="A1949" s="0" t="s">
        <v>464</v>
      </c>
      <c r="B1949" s="0" t="s">
        <v>145</v>
      </c>
      <c r="C1949" s="0" t="s">
        <v>146</v>
      </c>
      <c r="D1949" s="0" t="n">
        <v>15</v>
      </c>
      <c r="E1949" s="5" t="n">
        <v>45960.5200231482</v>
      </c>
      <c r="F1949" s="0" t="n">
        <v>1.85</v>
      </c>
      <c r="G1949" s="0" t="n">
        <v>17064</v>
      </c>
      <c r="H1949" s="6" t="s">
        <v>68</v>
      </c>
      <c r="I1949" s="6" t="n">
        <f aca="false">D1949*F1949</f>
        <v>27.75</v>
      </c>
      <c r="J1949" s="6" t="n">
        <f aca="false">HOUR(E1949)</f>
        <v>12</v>
      </c>
      <c r="K1949" s="6" t="n">
        <f aca="false">IF(COUNTIF($A$2:$A1949,A1949)=1,1,0)</f>
        <v>0</v>
      </c>
    </row>
    <row r="1950" customFormat="false" ht="15" hidden="false" customHeight="false" outlineLevel="0" collapsed="false">
      <c r="A1950" s="0" t="s">
        <v>464</v>
      </c>
      <c r="B1950" s="0" t="s">
        <v>55</v>
      </c>
      <c r="D1950" s="0" t="n">
        <v>4</v>
      </c>
      <c r="E1950" s="5" t="n">
        <v>45960.5200231482</v>
      </c>
      <c r="F1950" s="0" t="n">
        <v>1.65</v>
      </c>
      <c r="G1950" s="0" t="n">
        <v>17064</v>
      </c>
      <c r="H1950" s="6" t="s">
        <v>68</v>
      </c>
      <c r="I1950" s="6" t="n">
        <f aca="false">D1950*F1950</f>
        <v>6.6</v>
      </c>
      <c r="J1950" s="6" t="n">
        <f aca="false">HOUR(E1950)</f>
        <v>12</v>
      </c>
      <c r="K1950" s="6" t="n">
        <f aca="false">IF(COUNTIF($A$2:$A1950,A1950)=1,1,0)</f>
        <v>0</v>
      </c>
    </row>
    <row r="1951" customFormat="false" ht="15" hidden="false" customHeight="false" outlineLevel="0" collapsed="false">
      <c r="A1951" s="0" t="s">
        <v>464</v>
      </c>
      <c r="B1951" s="0" t="s">
        <v>43</v>
      </c>
      <c r="C1951" s="0" t="s">
        <v>44</v>
      </c>
      <c r="D1951" s="0" t="n">
        <v>5</v>
      </c>
      <c r="E1951" s="5" t="n">
        <v>45960.5200231482</v>
      </c>
      <c r="F1951" s="0" t="n">
        <v>4.25</v>
      </c>
      <c r="G1951" s="0" t="n">
        <v>17064</v>
      </c>
      <c r="H1951" s="6" t="s">
        <v>68</v>
      </c>
      <c r="I1951" s="6" t="n">
        <f aca="false">D1951*F1951</f>
        <v>21.25</v>
      </c>
      <c r="J1951" s="6" t="n">
        <f aca="false">HOUR(E1951)</f>
        <v>12</v>
      </c>
      <c r="K1951" s="6" t="n">
        <f aca="false">IF(COUNTIF($A$2:$A1951,A1951)=1,1,0)</f>
        <v>0</v>
      </c>
    </row>
    <row r="1952" customFormat="false" ht="15" hidden="false" customHeight="false" outlineLevel="0" collapsed="false">
      <c r="A1952" s="0" t="s">
        <v>464</v>
      </c>
      <c r="B1952" s="0" t="s">
        <v>104</v>
      </c>
      <c r="C1952" s="0" t="s">
        <v>105</v>
      </c>
      <c r="D1952" s="0" t="n">
        <v>14</v>
      </c>
      <c r="E1952" s="5" t="n">
        <v>45960.5200231482</v>
      </c>
      <c r="F1952" s="0" t="n">
        <v>1.65</v>
      </c>
      <c r="G1952" s="0" t="n">
        <v>17064</v>
      </c>
      <c r="H1952" s="6" t="s">
        <v>68</v>
      </c>
      <c r="I1952" s="6" t="n">
        <f aca="false">D1952*F1952</f>
        <v>23.1</v>
      </c>
      <c r="J1952" s="6" t="n">
        <f aca="false">HOUR(E1952)</f>
        <v>12</v>
      </c>
      <c r="K1952" s="6" t="n">
        <f aca="false">IF(COUNTIF($A$2:$A1952,A1952)=1,1,0)</f>
        <v>0</v>
      </c>
    </row>
    <row r="1953" customFormat="false" ht="15" hidden="false" customHeight="false" outlineLevel="0" collapsed="false">
      <c r="A1953" s="0" t="s">
        <v>464</v>
      </c>
      <c r="B1953" s="0" t="s">
        <v>102</v>
      </c>
      <c r="C1953" s="0" t="s">
        <v>103</v>
      </c>
      <c r="D1953" s="0" t="n">
        <v>18</v>
      </c>
      <c r="E1953" s="5" t="n">
        <v>45960.5200231482</v>
      </c>
      <c r="F1953" s="0" t="n">
        <v>8.5</v>
      </c>
      <c r="G1953" s="0" t="n">
        <v>17064</v>
      </c>
      <c r="H1953" s="6" t="s">
        <v>68</v>
      </c>
      <c r="I1953" s="6" t="n">
        <f aca="false">D1953*F1953</f>
        <v>153</v>
      </c>
      <c r="J1953" s="6" t="n">
        <f aca="false">HOUR(E1953)</f>
        <v>12</v>
      </c>
      <c r="K1953" s="6" t="n">
        <f aca="false">IF(COUNTIF($A$2:$A1953,A1953)=1,1,0)</f>
        <v>0</v>
      </c>
    </row>
    <row r="1954" customFormat="false" ht="15" hidden="false" customHeight="false" outlineLevel="0" collapsed="false">
      <c r="A1954" s="0" t="s">
        <v>464</v>
      </c>
      <c r="B1954" s="0" t="s">
        <v>63</v>
      </c>
      <c r="C1954" s="0" t="s">
        <v>64</v>
      </c>
      <c r="D1954" s="0" t="n">
        <v>14</v>
      </c>
      <c r="E1954" s="5" t="n">
        <v>45960.5200231482</v>
      </c>
      <c r="F1954" s="0" t="n">
        <v>1.85</v>
      </c>
      <c r="G1954" s="0" t="n">
        <v>17064</v>
      </c>
      <c r="H1954" s="6" t="s">
        <v>68</v>
      </c>
      <c r="I1954" s="6" t="n">
        <f aca="false">D1954*F1954</f>
        <v>25.9</v>
      </c>
      <c r="J1954" s="6" t="n">
        <f aca="false">HOUR(E1954)</f>
        <v>12</v>
      </c>
      <c r="K1954" s="6" t="n">
        <f aca="false">IF(COUNTIF($A$2:$A1954,A1954)=1,1,0)</f>
        <v>0</v>
      </c>
    </row>
    <row r="1955" customFormat="false" ht="15" hidden="false" customHeight="false" outlineLevel="0" collapsed="false">
      <c r="A1955" s="0" t="s">
        <v>465</v>
      </c>
      <c r="B1955" s="0" t="s">
        <v>134</v>
      </c>
      <c r="C1955" s="0" t="s">
        <v>135</v>
      </c>
      <c r="D1955" s="0" t="n">
        <v>12</v>
      </c>
      <c r="E1955" s="5" t="n">
        <v>45960.6837731482</v>
      </c>
      <c r="F1955" s="0" t="n">
        <v>5.95</v>
      </c>
      <c r="G1955" s="0" t="n">
        <v>17124</v>
      </c>
      <c r="H1955" s="6" t="s">
        <v>74</v>
      </c>
      <c r="I1955" s="6" t="n">
        <f aca="false">D1955*F1955</f>
        <v>71.4</v>
      </c>
      <c r="J1955" s="6" t="n">
        <f aca="false">HOUR(E1955)</f>
        <v>16</v>
      </c>
      <c r="K1955" s="6" t="n">
        <f aca="false">IF(COUNTIF($A$2:$A1955,A1955)=1,1,0)</f>
        <v>1</v>
      </c>
    </row>
    <row r="1956" customFormat="false" ht="15" hidden="false" customHeight="false" outlineLevel="0" collapsed="false">
      <c r="A1956" s="0" t="s">
        <v>465</v>
      </c>
      <c r="B1956" s="0" t="s">
        <v>79</v>
      </c>
      <c r="C1956" s="0" t="s">
        <v>80</v>
      </c>
      <c r="D1956" s="0" t="n">
        <v>1</v>
      </c>
      <c r="E1956" s="5" t="n">
        <v>45960.6837731482</v>
      </c>
      <c r="F1956" s="0" t="n">
        <v>3.39</v>
      </c>
      <c r="G1956" s="0" t="n">
        <v>17124</v>
      </c>
      <c r="H1956" s="6" t="s">
        <v>74</v>
      </c>
      <c r="I1956" s="6" t="n">
        <f aca="false">D1956*F1956</f>
        <v>3.39</v>
      </c>
      <c r="J1956" s="6" t="n">
        <f aca="false">HOUR(E1956)</f>
        <v>16</v>
      </c>
      <c r="K1956" s="6" t="n">
        <f aca="false">IF(COUNTIF($A$2:$A1956,A1956)=1,1,0)</f>
        <v>0</v>
      </c>
    </row>
    <row r="1957" customFormat="false" ht="15" hidden="false" customHeight="false" outlineLevel="0" collapsed="false">
      <c r="A1957" s="0" t="s">
        <v>466</v>
      </c>
      <c r="B1957" s="0" t="s">
        <v>137</v>
      </c>
      <c r="C1957" s="0" t="s">
        <v>138</v>
      </c>
      <c r="D1957" s="0" t="n">
        <v>-3</v>
      </c>
      <c r="E1957" s="5" t="n">
        <v>45960.6996759259</v>
      </c>
      <c r="F1957" s="0" t="n">
        <v>2.1</v>
      </c>
      <c r="G1957" s="0" t="n">
        <v>17241</v>
      </c>
      <c r="H1957" s="6" t="s">
        <v>74</v>
      </c>
      <c r="I1957" s="6" t="n">
        <f aca="false">D1957*F1957</f>
        <v>-6.3</v>
      </c>
      <c r="J1957" s="6" t="n">
        <f aca="false">HOUR(E1957)</f>
        <v>16</v>
      </c>
      <c r="K1957" s="6" t="n">
        <f aca="false">IF(COUNTIF($A$2:$A1957,A1957)=1,1,0)</f>
        <v>1</v>
      </c>
    </row>
    <row r="1958" customFormat="false" ht="15" hidden="false" customHeight="false" outlineLevel="0" collapsed="false">
      <c r="A1958" s="0" t="s">
        <v>466</v>
      </c>
      <c r="B1958" s="0" t="s">
        <v>43</v>
      </c>
      <c r="C1958" s="0" t="s">
        <v>44</v>
      </c>
      <c r="D1958" s="0" t="n">
        <v>-17</v>
      </c>
      <c r="E1958" s="5" t="n">
        <v>45960.6996759259</v>
      </c>
      <c r="F1958" s="0" t="n">
        <v>4.25</v>
      </c>
      <c r="G1958" s="0" t="n">
        <v>17241</v>
      </c>
      <c r="H1958" s="6" t="s">
        <v>74</v>
      </c>
      <c r="I1958" s="6" t="n">
        <f aca="false">D1958*F1958</f>
        <v>-72.25</v>
      </c>
      <c r="J1958" s="6" t="n">
        <f aca="false">HOUR(E1958)</f>
        <v>16</v>
      </c>
      <c r="K1958" s="6" t="n">
        <f aca="false">IF(COUNTIF($A$2:$A1958,A1958)=1,1,0)</f>
        <v>0</v>
      </c>
    </row>
    <row r="1959" customFormat="false" ht="15" hidden="false" customHeight="false" outlineLevel="0" collapsed="false">
      <c r="A1959" s="0" t="s">
        <v>466</v>
      </c>
      <c r="B1959" s="0" t="s">
        <v>81</v>
      </c>
      <c r="C1959" s="0" t="s">
        <v>82</v>
      </c>
      <c r="D1959" s="0" t="n">
        <v>-2</v>
      </c>
      <c r="E1959" s="5" t="n">
        <v>45960.6996759259</v>
      </c>
      <c r="F1959" s="0" t="n">
        <v>1.65</v>
      </c>
      <c r="G1959" s="0" t="n">
        <v>17241</v>
      </c>
      <c r="H1959" s="6" t="s">
        <v>74</v>
      </c>
      <c r="I1959" s="6" t="n">
        <f aca="false">D1959*F1959</f>
        <v>-3.3</v>
      </c>
      <c r="J1959" s="6" t="n">
        <f aca="false">HOUR(E1959)</f>
        <v>16</v>
      </c>
      <c r="K1959" s="6" t="n">
        <f aca="false">IF(COUNTIF($A$2:$A1959,A1959)=1,1,0)</f>
        <v>0</v>
      </c>
    </row>
    <row r="1960" customFormat="false" ht="15" hidden="false" customHeight="false" outlineLevel="0" collapsed="false">
      <c r="A1960" s="0" t="s">
        <v>466</v>
      </c>
      <c r="B1960" s="0" t="s">
        <v>88</v>
      </c>
      <c r="C1960" s="0" t="s">
        <v>89</v>
      </c>
      <c r="D1960" s="0" t="n">
        <v>-4</v>
      </c>
      <c r="E1960" s="5" t="n">
        <v>45960.6996759259</v>
      </c>
      <c r="F1960" s="0" t="n">
        <v>2.75</v>
      </c>
      <c r="G1960" s="0" t="n">
        <v>17241</v>
      </c>
      <c r="H1960" s="6" t="s">
        <v>74</v>
      </c>
      <c r="I1960" s="6" t="n">
        <f aca="false">D1960*F1960</f>
        <v>-11</v>
      </c>
      <c r="J1960" s="6" t="n">
        <f aca="false">HOUR(E1960)</f>
        <v>16</v>
      </c>
      <c r="K1960" s="6" t="n">
        <f aca="false">IF(COUNTIF($A$2:$A1960,A1960)=1,1,0)</f>
        <v>0</v>
      </c>
    </row>
    <row r="1961" customFormat="false" ht="15" hidden="false" customHeight="false" outlineLevel="0" collapsed="false">
      <c r="A1961" s="0" t="s">
        <v>466</v>
      </c>
      <c r="B1961" s="0" t="s">
        <v>93</v>
      </c>
      <c r="C1961" s="0" t="s">
        <v>94</v>
      </c>
      <c r="D1961" s="0" t="n">
        <v>-11</v>
      </c>
      <c r="E1961" s="5" t="n">
        <v>45960.6996759259</v>
      </c>
      <c r="F1961" s="0" t="n">
        <v>1.69</v>
      </c>
      <c r="G1961" s="0" t="n">
        <v>17241</v>
      </c>
      <c r="H1961" s="6" t="s">
        <v>74</v>
      </c>
      <c r="I1961" s="6" t="n">
        <f aca="false">D1961*F1961</f>
        <v>-18.59</v>
      </c>
      <c r="J1961" s="6" t="n">
        <f aca="false">HOUR(E1961)</f>
        <v>16</v>
      </c>
      <c r="K1961" s="6" t="n">
        <f aca="false">IF(COUNTIF($A$2:$A1961,A1961)=1,1,0)</f>
        <v>0</v>
      </c>
    </row>
    <row r="1962" customFormat="false" ht="15" hidden="false" customHeight="false" outlineLevel="0" collapsed="false">
      <c r="A1962" s="0" t="s">
        <v>466</v>
      </c>
      <c r="B1962" s="0" t="s">
        <v>69</v>
      </c>
      <c r="C1962" s="0" t="s">
        <v>70</v>
      </c>
      <c r="D1962" s="0" t="n">
        <v>-32</v>
      </c>
      <c r="E1962" s="5" t="n">
        <v>45960.6996759259</v>
      </c>
      <c r="F1962" s="0" t="n">
        <v>2.08</v>
      </c>
      <c r="G1962" s="0" t="n">
        <v>17241</v>
      </c>
      <c r="H1962" s="6" t="s">
        <v>74</v>
      </c>
      <c r="I1962" s="6" t="n">
        <f aca="false">D1962*F1962</f>
        <v>-66.56</v>
      </c>
      <c r="J1962" s="6" t="n">
        <f aca="false">HOUR(E1962)</f>
        <v>16</v>
      </c>
      <c r="K1962" s="6" t="n">
        <f aca="false">IF(COUNTIF($A$2:$A1962,A1962)=1,1,0)</f>
        <v>0</v>
      </c>
    </row>
    <row r="1963" customFormat="false" ht="15" hidden="false" customHeight="false" outlineLevel="0" collapsed="false">
      <c r="A1963" s="0" t="s">
        <v>467</v>
      </c>
      <c r="B1963" s="0" t="s">
        <v>99</v>
      </c>
      <c r="C1963" s="0" t="s">
        <v>100</v>
      </c>
      <c r="D1963" s="0" t="n">
        <v>13</v>
      </c>
      <c r="E1963" s="5" t="n">
        <v>45960.705462963</v>
      </c>
      <c r="F1963" s="0" t="n">
        <v>2.08</v>
      </c>
      <c r="G1963" s="0" t="n">
        <v>17090</v>
      </c>
      <c r="H1963" s="6" t="s">
        <v>74</v>
      </c>
      <c r="I1963" s="6" t="n">
        <f aca="false">D1963*F1963</f>
        <v>27.04</v>
      </c>
      <c r="J1963" s="6" t="n">
        <f aca="false">HOUR(E1963)</f>
        <v>16</v>
      </c>
      <c r="K1963" s="6" t="n">
        <f aca="false">IF(COUNTIF($A$2:$A1963,A1963)=1,1,0)</f>
        <v>1</v>
      </c>
    </row>
    <row r="1964" customFormat="false" ht="15" hidden="false" customHeight="false" outlineLevel="0" collapsed="false">
      <c r="A1964" s="0" t="s">
        <v>467</v>
      </c>
      <c r="B1964" s="0" t="s">
        <v>140</v>
      </c>
      <c r="C1964" s="0" t="s">
        <v>141</v>
      </c>
      <c r="D1964" s="0" t="n">
        <v>4</v>
      </c>
      <c r="E1964" s="5" t="n">
        <v>45960.705462963</v>
      </c>
      <c r="F1964" s="0" t="n">
        <v>2.08</v>
      </c>
      <c r="G1964" s="0" t="n">
        <v>17090</v>
      </c>
      <c r="H1964" s="6" t="s">
        <v>74</v>
      </c>
      <c r="I1964" s="6" t="n">
        <f aca="false">D1964*F1964</f>
        <v>8.32</v>
      </c>
      <c r="J1964" s="6" t="n">
        <f aca="false">HOUR(E1964)</f>
        <v>16</v>
      </c>
      <c r="K1964" s="6" t="n">
        <f aca="false">IF(COUNTIF($A$2:$A1964,A1964)=1,1,0)</f>
        <v>0</v>
      </c>
    </row>
    <row r="1965" customFormat="false" ht="15" hidden="false" customHeight="false" outlineLevel="0" collapsed="false">
      <c r="A1965" s="0" t="s">
        <v>467</v>
      </c>
      <c r="B1965" s="0" t="s">
        <v>59</v>
      </c>
      <c r="C1965" s="0" t="s">
        <v>60</v>
      </c>
      <c r="D1965" s="0" t="n">
        <v>5</v>
      </c>
      <c r="E1965" s="5" t="n">
        <v>45960.705462963</v>
      </c>
      <c r="F1965" s="0" t="n">
        <v>0.42</v>
      </c>
      <c r="G1965" s="0" t="n">
        <v>17090</v>
      </c>
      <c r="H1965" s="6" t="s">
        <v>74</v>
      </c>
      <c r="I1965" s="6" t="n">
        <f aca="false">D1965*F1965</f>
        <v>2.1</v>
      </c>
      <c r="J1965" s="6" t="n">
        <f aca="false">HOUR(E1965)</f>
        <v>16</v>
      </c>
      <c r="K1965" s="6" t="n">
        <f aca="false">IF(COUNTIF($A$2:$A1965,A1965)=1,1,0)</f>
        <v>0</v>
      </c>
    </row>
    <row r="1966" customFormat="false" ht="15" hidden="false" customHeight="false" outlineLevel="0" collapsed="false">
      <c r="A1966" s="0" t="s">
        <v>467</v>
      </c>
      <c r="B1966" s="0" t="s">
        <v>127</v>
      </c>
      <c r="C1966" s="0" t="s">
        <v>128</v>
      </c>
      <c r="D1966" s="0" t="n">
        <v>6</v>
      </c>
      <c r="E1966" s="5" t="n">
        <v>45960.705462963</v>
      </c>
      <c r="F1966" s="0" t="n">
        <v>1.45</v>
      </c>
      <c r="G1966" s="0" t="n">
        <v>17090</v>
      </c>
      <c r="H1966" s="6" t="s">
        <v>74</v>
      </c>
      <c r="I1966" s="6" t="n">
        <f aca="false">D1966*F1966</f>
        <v>8.7</v>
      </c>
      <c r="J1966" s="6" t="n">
        <f aca="false">HOUR(E1966)</f>
        <v>16</v>
      </c>
      <c r="K1966" s="6" t="n">
        <f aca="false">IF(COUNTIF($A$2:$A1966,A1966)=1,1,0)</f>
        <v>0</v>
      </c>
    </row>
    <row r="1967" customFormat="false" ht="15" hidden="false" customHeight="false" outlineLevel="0" collapsed="false">
      <c r="A1967" s="0" t="s">
        <v>467</v>
      </c>
      <c r="B1967" s="0" t="s">
        <v>109</v>
      </c>
      <c r="C1967" s="0" t="s">
        <v>110</v>
      </c>
      <c r="D1967" s="0" t="n">
        <v>3</v>
      </c>
      <c r="E1967" s="5" t="n">
        <v>45960.705462963</v>
      </c>
      <c r="F1967" s="0" t="n">
        <v>0.85</v>
      </c>
      <c r="G1967" s="0" t="n">
        <v>17090</v>
      </c>
      <c r="H1967" s="6" t="s">
        <v>74</v>
      </c>
      <c r="I1967" s="6" t="n">
        <f aca="false">D1967*F1967</f>
        <v>2.55</v>
      </c>
      <c r="J1967" s="6" t="n">
        <f aca="false">HOUR(E1967)</f>
        <v>16</v>
      </c>
      <c r="K1967" s="6" t="n">
        <f aca="false">IF(COUNTIF($A$2:$A1967,A1967)=1,1,0)</f>
        <v>0</v>
      </c>
    </row>
    <row r="1968" customFormat="false" ht="15" hidden="false" customHeight="false" outlineLevel="0" collapsed="false">
      <c r="A1968" s="0" t="s">
        <v>467</v>
      </c>
      <c r="B1968" s="0" t="s">
        <v>102</v>
      </c>
      <c r="C1968" s="0" t="s">
        <v>103</v>
      </c>
      <c r="D1968" s="0" t="n">
        <v>30</v>
      </c>
      <c r="E1968" s="5" t="n">
        <v>45960.705462963</v>
      </c>
      <c r="F1968" s="0" t="n">
        <v>8.5</v>
      </c>
      <c r="G1968" s="0" t="n">
        <v>17090</v>
      </c>
      <c r="H1968" s="6" t="s">
        <v>74</v>
      </c>
      <c r="I1968" s="6" t="n">
        <f aca="false">D1968*F1968</f>
        <v>255</v>
      </c>
      <c r="J1968" s="6" t="n">
        <f aca="false">HOUR(E1968)</f>
        <v>16</v>
      </c>
      <c r="K1968" s="6" t="n">
        <f aca="false">IF(COUNTIF($A$2:$A1968,A1968)=1,1,0)</f>
        <v>0</v>
      </c>
    </row>
    <row r="1969" customFormat="false" ht="15" hidden="false" customHeight="false" outlineLevel="0" collapsed="false">
      <c r="A1969" s="0" t="s">
        <v>467</v>
      </c>
      <c r="B1969" s="0" t="s">
        <v>134</v>
      </c>
      <c r="C1969" s="0" t="s">
        <v>135</v>
      </c>
      <c r="D1969" s="0" t="n">
        <v>1</v>
      </c>
      <c r="E1969" s="5" t="n">
        <v>45960.705462963</v>
      </c>
      <c r="F1969" s="0" t="n">
        <v>5.95</v>
      </c>
      <c r="G1969" s="0" t="n">
        <v>17090</v>
      </c>
      <c r="H1969" s="6" t="s">
        <v>74</v>
      </c>
      <c r="I1969" s="6" t="n">
        <f aca="false">D1969*F1969</f>
        <v>5.95</v>
      </c>
      <c r="J1969" s="6" t="n">
        <f aca="false">HOUR(E1969)</f>
        <v>16</v>
      </c>
      <c r="K1969" s="6" t="n">
        <f aca="false">IF(COUNTIF($A$2:$A1969,A1969)=1,1,0)</f>
        <v>0</v>
      </c>
    </row>
    <row r="1970" customFormat="false" ht="15" hidden="false" customHeight="false" outlineLevel="0" collapsed="false">
      <c r="A1970" s="0" t="s">
        <v>467</v>
      </c>
      <c r="B1970" s="0" t="s">
        <v>43</v>
      </c>
      <c r="C1970" s="0" t="s">
        <v>44</v>
      </c>
      <c r="D1970" s="0" t="n">
        <v>23</v>
      </c>
      <c r="E1970" s="5" t="n">
        <v>45960.705462963</v>
      </c>
      <c r="F1970" s="0" t="n">
        <v>4.25</v>
      </c>
      <c r="G1970" s="0" t="n">
        <v>17090</v>
      </c>
      <c r="H1970" s="6" t="s">
        <v>74</v>
      </c>
      <c r="I1970" s="6" t="n">
        <f aca="false">D1970*F1970</f>
        <v>97.75</v>
      </c>
      <c r="J1970" s="6" t="n">
        <f aca="false">HOUR(E1970)</f>
        <v>16</v>
      </c>
      <c r="K1970" s="6" t="n">
        <f aca="false">IF(COUNTIF($A$2:$A1970,A1970)=1,1,0)</f>
        <v>0</v>
      </c>
    </row>
    <row r="1971" customFormat="false" ht="15" hidden="false" customHeight="false" outlineLevel="0" collapsed="false">
      <c r="A1971" s="0" t="s">
        <v>467</v>
      </c>
      <c r="B1971" s="0" t="s">
        <v>79</v>
      </c>
      <c r="C1971" s="0" t="s">
        <v>80</v>
      </c>
      <c r="D1971" s="0" t="n">
        <v>16</v>
      </c>
      <c r="E1971" s="5" t="n">
        <v>45960.705462963</v>
      </c>
      <c r="F1971" s="0" t="n">
        <v>3.39</v>
      </c>
      <c r="G1971" s="0" t="n">
        <v>17090</v>
      </c>
      <c r="H1971" s="6" t="s">
        <v>74</v>
      </c>
      <c r="I1971" s="6" t="n">
        <f aca="false">D1971*F1971</f>
        <v>54.24</v>
      </c>
      <c r="J1971" s="6" t="n">
        <f aca="false">HOUR(E1971)</f>
        <v>16</v>
      </c>
      <c r="K1971" s="6" t="n">
        <f aca="false">IF(COUNTIF($A$2:$A1971,A1971)=1,1,0)</f>
        <v>0</v>
      </c>
    </row>
    <row r="1972" customFormat="false" ht="15" hidden="false" customHeight="false" outlineLevel="0" collapsed="false">
      <c r="A1972" s="0" t="s">
        <v>468</v>
      </c>
      <c r="B1972" s="0" t="s">
        <v>79</v>
      </c>
      <c r="C1972" s="0" t="s">
        <v>80</v>
      </c>
      <c r="D1972" s="0" t="n">
        <v>3</v>
      </c>
      <c r="E1972" s="5" t="n">
        <v>45960.9583101852</v>
      </c>
      <c r="F1972" s="0" t="n">
        <v>3.39</v>
      </c>
      <c r="H1972" s="6" t="s">
        <v>74</v>
      </c>
      <c r="I1972" s="6" t="n">
        <f aca="false">D1972*F1972</f>
        <v>10.17</v>
      </c>
      <c r="J1972" s="6" t="n">
        <f aca="false">HOUR(E1972)</f>
        <v>22</v>
      </c>
      <c r="K1972" s="6" t="n">
        <f aca="false">IF(COUNTIF($A$2:$A1972,A1972)=1,1,0)</f>
        <v>1</v>
      </c>
    </row>
    <row r="1973" customFormat="false" ht="15" hidden="false" customHeight="false" outlineLevel="0" collapsed="false">
      <c r="A1973" s="0" t="s">
        <v>468</v>
      </c>
      <c r="B1973" s="0" t="s">
        <v>69</v>
      </c>
      <c r="C1973" s="0" t="s">
        <v>70</v>
      </c>
      <c r="D1973" s="0" t="n">
        <v>43</v>
      </c>
      <c r="E1973" s="5" t="n">
        <v>45960.9583101852</v>
      </c>
      <c r="F1973" s="0" t="n">
        <v>2.08</v>
      </c>
      <c r="H1973" s="6" t="s">
        <v>74</v>
      </c>
      <c r="I1973" s="6" t="n">
        <f aca="false">D1973*F1973</f>
        <v>89.44</v>
      </c>
      <c r="J1973" s="6" t="n">
        <f aca="false">HOUR(E1973)</f>
        <v>22</v>
      </c>
      <c r="K1973" s="6" t="n">
        <f aca="false">IF(COUNTIF($A$2:$A1973,A1973)=1,1,0)</f>
        <v>0</v>
      </c>
    </row>
    <row r="1974" customFormat="false" ht="15" hidden="false" customHeight="false" outlineLevel="0" collapsed="false">
      <c r="A1974" s="0" t="s">
        <v>468</v>
      </c>
      <c r="B1974" s="0" t="s">
        <v>134</v>
      </c>
      <c r="C1974" s="0" t="s">
        <v>135</v>
      </c>
      <c r="D1974" s="0" t="n">
        <v>17</v>
      </c>
      <c r="E1974" s="5" t="n">
        <v>45960.9583101852</v>
      </c>
      <c r="F1974" s="0" t="n">
        <v>5.95</v>
      </c>
      <c r="H1974" s="6" t="s">
        <v>74</v>
      </c>
      <c r="I1974" s="6" t="n">
        <f aca="false">D1974*F1974</f>
        <v>101.15</v>
      </c>
      <c r="J1974" s="6" t="n">
        <f aca="false">HOUR(E1974)</f>
        <v>22</v>
      </c>
      <c r="K1974" s="6" t="n">
        <f aca="false">IF(COUNTIF($A$2:$A1974,A1974)=1,1,0)</f>
        <v>0</v>
      </c>
    </row>
    <row r="1975" customFormat="false" ht="15" hidden="false" customHeight="false" outlineLevel="0" collapsed="false">
      <c r="A1975" s="0" t="s">
        <v>468</v>
      </c>
      <c r="B1975" s="0" t="s">
        <v>45</v>
      </c>
      <c r="C1975" s="0" t="s">
        <v>46</v>
      </c>
      <c r="D1975" s="0" t="n">
        <v>24</v>
      </c>
      <c r="E1975" s="5" t="n">
        <v>45960.9583101852</v>
      </c>
      <c r="F1975" s="0" t="n">
        <v>2.1</v>
      </c>
      <c r="H1975" s="6" t="s">
        <v>74</v>
      </c>
      <c r="I1975" s="6" t="n">
        <f aca="false">D1975*F1975</f>
        <v>50.4</v>
      </c>
      <c r="J1975" s="6" t="n">
        <f aca="false">HOUR(E1975)</f>
        <v>22</v>
      </c>
      <c r="K1975" s="6" t="n">
        <f aca="false">IF(COUNTIF($A$2:$A1975,A1975)=1,1,0)</f>
        <v>0</v>
      </c>
    </row>
    <row r="1976" customFormat="false" ht="15" hidden="false" customHeight="false" outlineLevel="0" collapsed="false">
      <c r="A1976" s="0" t="s">
        <v>468</v>
      </c>
      <c r="B1976" s="0" t="s">
        <v>114</v>
      </c>
      <c r="C1976" s="0" t="s">
        <v>115</v>
      </c>
      <c r="D1976" s="0" t="n">
        <v>6</v>
      </c>
      <c r="E1976" s="5" t="n">
        <v>45960.9583101852</v>
      </c>
      <c r="F1976" s="0" t="n">
        <v>2.08</v>
      </c>
      <c r="H1976" s="6" t="s">
        <v>74</v>
      </c>
      <c r="I1976" s="6" t="n">
        <f aca="false">D1976*F1976</f>
        <v>12.48</v>
      </c>
      <c r="J1976" s="6" t="n">
        <f aca="false">HOUR(E1976)</f>
        <v>22</v>
      </c>
      <c r="K1976" s="6" t="n">
        <f aca="false">IF(COUNTIF($A$2:$A1976,A1976)=1,1,0)</f>
        <v>0</v>
      </c>
    </row>
    <row r="1977" customFormat="false" ht="15" hidden="false" customHeight="false" outlineLevel="0" collapsed="false">
      <c r="A1977" s="0" t="s">
        <v>468</v>
      </c>
      <c r="B1977" s="0" t="s">
        <v>131</v>
      </c>
      <c r="C1977" s="0" t="s">
        <v>132</v>
      </c>
      <c r="D1977" s="0" t="n">
        <v>4</v>
      </c>
      <c r="E1977" s="5" t="n">
        <v>45960.9583101852</v>
      </c>
      <c r="F1977" s="0" t="n">
        <v>3.39</v>
      </c>
      <c r="H1977" s="6" t="s">
        <v>74</v>
      </c>
      <c r="I1977" s="6" t="n">
        <f aca="false">D1977*F1977</f>
        <v>13.56</v>
      </c>
      <c r="J1977" s="6" t="n">
        <f aca="false">HOUR(E1977)</f>
        <v>22</v>
      </c>
      <c r="K1977" s="6" t="n">
        <f aca="false">IF(COUNTIF($A$2:$A1977,A1977)=1,1,0)</f>
        <v>0</v>
      </c>
    </row>
    <row r="1978" customFormat="false" ht="15" hidden="false" customHeight="false" outlineLevel="0" collapsed="false">
      <c r="A1978" s="0" t="s">
        <v>468</v>
      </c>
      <c r="B1978" s="0" t="s">
        <v>125</v>
      </c>
      <c r="C1978" s="0" t="s">
        <v>126</v>
      </c>
      <c r="D1978" s="0" t="n">
        <v>24</v>
      </c>
      <c r="E1978" s="5" t="n">
        <v>45960.9583101852</v>
      </c>
      <c r="F1978" s="0" t="n">
        <v>1.25</v>
      </c>
      <c r="H1978" s="6" t="s">
        <v>74</v>
      </c>
      <c r="I1978" s="6" t="n">
        <f aca="false">D1978*F1978</f>
        <v>30</v>
      </c>
      <c r="J1978" s="6" t="n">
        <f aca="false">HOUR(E1978)</f>
        <v>22</v>
      </c>
      <c r="K1978" s="6" t="n">
        <f aca="false">IF(COUNTIF($A$2:$A1978,A1978)=1,1,0)</f>
        <v>0</v>
      </c>
    </row>
    <row r="1979" customFormat="false" ht="15" hidden="false" customHeight="false" outlineLevel="0" collapsed="false">
      <c r="A1979" s="0" t="s">
        <v>468</v>
      </c>
      <c r="B1979" s="0" t="s">
        <v>63</v>
      </c>
      <c r="C1979" s="0" t="s">
        <v>64</v>
      </c>
      <c r="D1979" s="0" t="n">
        <v>7</v>
      </c>
      <c r="E1979" s="5" t="n">
        <v>45960.9583101852</v>
      </c>
      <c r="F1979" s="0" t="n">
        <v>1.85</v>
      </c>
      <c r="H1979" s="6" t="s">
        <v>74</v>
      </c>
      <c r="I1979" s="6" t="n">
        <f aca="false">D1979*F1979</f>
        <v>12.95</v>
      </c>
      <c r="J1979" s="6" t="n">
        <f aca="false">HOUR(E1979)</f>
        <v>22</v>
      </c>
      <c r="K1979" s="6" t="n">
        <f aca="false">IF(COUNTIF($A$2:$A1979,A1979)=1,1,0)</f>
        <v>0</v>
      </c>
    </row>
    <row r="1980" customFormat="false" ht="15" hidden="false" customHeight="false" outlineLevel="0" collapsed="false">
      <c r="A1980" s="0" t="s">
        <v>469</v>
      </c>
      <c r="B1980" s="0" t="s">
        <v>134</v>
      </c>
      <c r="C1980" s="0" t="s">
        <v>135</v>
      </c>
      <c r="D1980" s="0" t="n">
        <v>5</v>
      </c>
      <c r="E1980" s="5" t="n">
        <v>45960.963287037</v>
      </c>
      <c r="F1980" s="0" t="n">
        <v>5.95</v>
      </c>
      <c r="G1980" s="0" t="n">
        <v>17046</v>
      </c>
      <c r="H1980" s="6" t="s">
        <v>74</v>
      </c>
      <c r="I1980" s="6" t="n">
        <f aca="false">D1980*F1980</f>
        <v>29.75</v>
      </c>
      <c r="J1980" s="6" t="n">
        <f aca="false">HOUR(E1980)</f>
        <v>23</v>
      </c>
      <c r="K1980" s="6" t="n">
        <f aca="false">IF(COUNTIF($A$2:$A1980,A1980)=1,1,0)</f>
        <v>1</v>
      </c>
    </row>
    <row r="1981" customFormat="false" ht="15" hidden="false" customHeight="false" outlineLevel="0" collapsed="false">
      <c r="A1981" s="0" t="s">
        <v>469</v>
      </c>
      <c r="B1981" s="0" t="s">
        <v>131</v>
      </c>
      <c r="C1981" s="0" t="s">
        <v>132</v>
      </c>
      <c r="D1981" s="0" t="n">
        <v>20</v>
      </c>
      <c r="E1981" s="5" t="n">
        <v>45960.963287037</v>
      </c>
      <c r="F1981" s="0" t="n">
        <v>3.39</v>
      </c>
      <c r="G1981" s="0" t="n">
        <v>17046</v>
      </c>
      <c r="H1981" s="6" t="s">
        <v>74</v>
      </c>
      <c r="I1981" s="6" t="n">
        <f aca="false">D1981*F1981</f>
        <v>67.8</v>
      </c>
      <c r="J1981" s="6" t="n">
        <f aca="false">HOUR(E1981)</f>
        <v>23</v>
      </c>
      <c r="K1981" s="6" t="n">
        <f aca="false">IF(COUNTIF($A$2:$A1981,A1981)=1,1,0)</f>
        <v>0</v>
      </c>
    </row>
    <row r="1982" customFormat="false" ht="15" hidden="false" customHeight="false" outlineLevel="0" collapsed="false">
      <c r="A1982" s="0" t="s">
        <v>469</v>
      </c>
      <c r="B1982" s="0" t="s">
        <v>102</v>
      </c>
      <c r="C1982" s="0" t="s">
        <v>103</v>
      </c>
      <c r="D1982" s="0" t="n">
        <v>31</v>
      </c>
      <c r="E1982" s="5" t="n">
        <v>45960.963287037</v>
      </c>
      <c r="F1982" s="0" t="n">
        <v>8.5</v>
      </c>
      <c r="G1982" s="0" t="n">
        <v>17046</v>
      </c>
      <c r="H1982" s="6" t="s">
        <v>74</v>
      </c>
      <c r="I1982" s="6" t="n">
        <f aca="false">D1982*F1982</f>
        <v>263.5</v>
      </c>
      <c r="J1982" s="6" t="n">
        <f aca="false">HOUR(E1982)</f>
        <v>23</v>
      </c>
      <c r="K1982" s="6" t="n">
        <f aca="false">IF(COUNTIF($A$2:$A1982,A1982)=1,1,0)</f>
        <v>0</v>
      </c>
    </row>
    <row r="1983" customFormat="false" ht="15" hidden="false" customHeight="false" outlineLevel="0" collapsed="false">
      <c r="A1983" s="0" t="s">
        <v>470</v>
      </c>
      <c r="B1983" s="0" t="s">
        <v>45</v>
      </c>
      <c r="C1983" s="0" t="s">
        <v>46</v>
      </c>
      <c r="D1983" s="0" t="n">
        <v>16</v>
      </c>
      <c r="E1983" s="5" t="n">
        <v>45961.2976967593</v>
      </c>
      <c r="F1983" s="0" t="n">
        <v>2.1</v>
      </c>
      <c r="G1983" s="0" t="n">
        <v>17162</v>
      </c>
      <c r="H1983" s="6" t="s">
        <v>74</v>
      </c>
      <c r="I1983" s="6" t="n">
        <f aca="false">D1983*F1983</f>
        <v>33.6</v>
      </c>
      <c r="J1983" s="6" t="n">
        <f aca="false">HOUR(E1983)</f>
        <v>7</v>
      </c>
      <c r="K1983" s="6" t="n">
        <f aca="false">IF(COUNTIF($A$2:$A1983,A1983)=1,1,0)</f>
        <v>1</v>
      </c>
    </row>
    <row r="1984" customFormat="false" ht="15" hidden="false" customHeight="false" outlineLevel="0" collapsed="false">
      <c r="A1984" s="0" t="s">
        <v>470</v>
      </c>
      <c r="B1984" s="0" t="s">
        <v>95</v>
      </c>
      <c r="C1984" s="0" t="s">
        <v>96</v>
      </c>
      <c r="D1984" s="0" t="n">
        <v>46</v>
      </c>
      <c r="E1984" s="5" t="n">
        <v>45961.2976967593</v>
      </c>
      <c r="F1984" s="0" t="n">
        <v>2.55</v>
      </c>
      <c r="G1984" s="0" t="n">
        <v>17162</v>
      </c>
      <c r="H1984" s="6" t="s">
        <v>74</v>
      </c>
      <c r="I1984" s="6" t="n">
        <f aca="false">D1984*F1984</f>
        <v>117.3</v>
      </c>
      <c r="J1984" s="6" t="n">
        <f aca="false">HOUR(E1984)</f>
        <v>7</v>
      </c>
      <c r="K1984" s="6" t="n">
        <f aca="false">IF(COUNTIF($A$2:$A1984,A1984)=1,1,0)</f>
        <v>0</v>
      </c>
    </row>
    <row r="1985" customFormat="false" ht="15" hidden="false" customHeight="false" outlineLevel="0" collapsed="false">
      <c r="A1985" s="0" t="s">
        <v>471</v>
      </c>
      <c r="B1985" s="0" t="s">
        <v>99</v>
      </c>
      <c r="C1985" s="0" t="s">
        <v>100</v>
      </c>
      <c r="D1985" s="0" t="n">
        <v>12</v>
      </c>
      <c r="E1985" s="5" t="n">
        <v>45961.3581481482</v>
      </c>
      <c r="F1985" s="0" t="n">
        <v>2.08</v>
      </c>
      <c r="G1985" s="0" t="n">
        <v>17141</v>
      </c>
      <c r="H1985" s="6" t="s">
        <v>74</v>
      </c>
      <c r="I1985" s="6" t="n">
        <f aca="false">D1985*F1985</f>
        <v>24.96</v>
      </c>
      <c r="J1985" s="6" t="n">
        <f aca="false">HOUR(E1985)</f>
        <v>8</v>
      </c>
      <c r="K1985" s="6" t="n">
        <f aca="false">IF(COUNTIF($A$2:$A1985,A1985)=1,1,0)</f>
        <v>1</v>
      </c>
    </row>
    <row r="1986" customFormat="false" ht="15" hidden="false" customHeight="false" outlineLevel="0" collapsed="false">
      <c r="A1986" s="0" t="s">
        <v>471</v>
      </c>
      <c r="B1986" s="0" t="s">
        <v>61</v>
      </c>
      <c r="C1986" s="0" t="s">
        <v>62</v>
      </c>
      <c r="D1986" s="0" t="n">
        <v>11</v>
      </c>
      <c r="E1986" s="5" t="n">
        <v>45961.3581481482</v>
      </c>
      <c r="F1986" s="0" t="n">
        <v>1.65</v>
      </c>
      <c r="G1986" s="0" t="n">
        <v>17141</v>
      </c>
      <c r="H1986" s="6" t="s">
        <v>74</v>
      </c>
      <c r="I1986" s="6" t="n">
        <f aca="false">D1986*F1986</f>
        <v>18.15</v>
      </c>
      <c r="J1986" s="6" t="n">
        <f aca="false">HOUR(E1986)</f>
        <v>8</v>
      </c>
      <c r="K1986" s="6" t="n">
        <f aca="false">IF(COUNTIF($A$2:$A1986,A1986)=1,1,0)</f>
        <v>0</v>
      </c>
    </row>
    <row r="1987" customFormat="false" ht="15" hidden="false" customHeight="false" outlineLevel="0" collapsed="false">
      <c r="A1987" s="0" t="s">
        <v>471</v>
      </c>
      <c r="B1987" s="0" t="s">
        <v>145</v>
      </c>
      <c r="C1987" s="0" t="s">
        <v>146</v>
      </c>
      <c r="D1987" s="0" t="n">
        <v>2</v>
      </c>
      <c r="E1987" s="5" t="n">
        <v>45961.3581481482</v>
      </c>
      <c r="F1987" s="0" t="n">
        <v>1.85</v>
      </c>
      <c r="G1987" s="0" t="n">
        <v>17141</v>
      </c>
      <c r="H1987" s="6" t="s">
        <v>74</v>
      </c>
      <c r="I1987" s="6" t="n">
        <f aca="false">D1987*F1987</f>
        <v>3.7</v>
      </c>
      <c r="J1987" s="6" t="n">
        <f aca="false">HOUR(E1987)</f>
        <v>8</v>
      </c>
      <c r="K1987" s="6" t="n">
        <f aca="false">IF(COUNTIF($A$2:$A1987,A1987)=1,1,0)</f>
        <v>0</v>
      </c>
    </row>
    <row r="1988" customFormat="false" ht="15" hidden="false" customHeight="false" outlineLevel="0" collapsed="false">
      <c r="A1988" s="0" t="s">
        <v>471</v>
      </c>
      <c r="B1988" s="0" t="s">
        <v>50</v>
      </c>
      <c r="C1988" s="0" t="s">
        <v>51</v>
      </c>
      <c r="D1988" s="0" t="n">
        <v>10</v>
      </c>
      <c r="E1988" s="5" t="n">
        <v>45961.3581481482</v>
      </c>
      <c r="F1988" s="0" t="n">
        <v>5.95</v>
      </c>
      <c r="G1988" s="0" t="n">
        <v>17141</v>
      </c>
      <c r="H1988" s="6" t="s">
        <v>74</v>
      </c>
      <c r="I1988" s="6" t="n">
        <f aca="false">D1988*F1988</f>
        <v>59.5</v>
      </c>
      <c r="J1988" s="6" t="n">
        <f aca="false">HOUR(E1988)</f>
        <v>8</v>
      </c>
      <c r="K1988" s="6" t="n">
        <f aca="false">IF(COUNTIF($A$2:$A1988,A1988)=1,1,0)</f>
        <v>0</v>
      </c>
    </row>
    <row r="1989" customFormat="false" ht="15" hidden="false" customHeight="false" outlineLevel="0" collapsed="false">
      <c r="A1989" s="0" t="s">
        <v>471</v>
      </c>
      <c r="B1989" s="0" t="s">
        <v>88</v>
      </c>
      <c r="C1989" s="0" t="s">
        <v>89</v>
      </c>
      <c r="D1989" s="0" t="n">
        <v>17</v>
      </c>
      <c r="E1989" s="5" t="n">
        <v>45961.3581481482</v>
      </c>
      <c r="F1989" s="0" t="n">
        <v>2.75</v>
      </c>
      <c r="G1989" s="0" t="n">
        <v>17141</v>
      </c>
      <c r="H1989" s="6" t="s">
        <v>74</v>
      </c>
      <c r="I1989" s="6" t="n">
        <f aca="false">D1989*F1989</f>
        <v>46.75</v>
      </c>
      <c r="J1989" s="6" t="n">
        <f aca="false">HOUR(E1989)</f>
        <v>8</v>
      </c>
      <c r="K1989" s="6" t="n">
        <f aca="false">IF(COUNTIF($A$2:$A1989,A1989)=1,1,0)</f>
        <v>0</v>
      </c>
    </row>
    <row r="1990" customFormat="false" ht="15" hidden="false" customHeight="false" outlineLevel="0" collapsed="false">
      <c r="A1990" s="0" t="s">
        <v>471</v>
      </c>
      <c r="B1990" s="0" t="s">
        <v>131</v>
      </c>
      <c r="C1990" s="0" t="s">
        <v>132</v>
      </c>
      <c r="D1990" s="0" t="n">
        <v>7</v>
      </c>
      <c r="E1990" s="5" t="n">
        <v>45961.3581481482</v>
      </c>
      <c r="F1990" s="0" t="n">
        <v>3.39</v>
      </c>
      <c r="G1990" s="0" t="n">
        <v>17141</v>
      </c>
      <c r="H1990" s="6" t="s">
        <v>74</v>
      </c>
      <c r="I1990" s="6" t="n">
        <f aca="false">D1990*F1990</f>
        <v>23.73</v>
      </c>
      <c r="J1990" s="6" t="n">
        <f aca="false">HOUR(E1990)</f>
        <v>8</v>
      </c>
      <c r="K1990" s="6" t="n">
        <f aca="false">IF(COUNTIF($A$2:$A1990,A1990)=1,1,0)</f>
        <v>0</v>
      </c>
    </row>
    <row r="1991" customFormat="false" ht="15" hidden="false" customHeight="false" outlineLevel="0" collapsed="false">
      <c r="A1991" s="0" t="s">
        <v>472</v>
      </c>
      <c r="B1991" s="0" t="s">
        <v>81</v>
      </c>
      <c r="C1991" s="0" t="s">
        <v>82</v>
      </c>
      <c r="D1991" s="0" t="n">
        <v>22</v>
      </c>
      <c r="E1991" s="5" t="n">
        <v>45961.417025463</v>
      </c>
      <c r="F1991" s="0" t="n">
        <v>1.65</v>
      </c>
      <c r="G1991" s="0" t="n">
        <v>17156</v>
      </c>
      <c r="H1991" s="6" t="s">
        <v>74</v>
      </c>
      <c r="I1991" s="6" t="n">
        <f aca="false">D1991*F1991</f>
        <v>36.3</v>
      </c>
      <c r="J1991" s="6" t="n">
        <f aca="false">HOUR(E1991)</f>
        <v>10</v>
      </c>
      <c r="K1991" s="6" t="n">
        <f aca="false">IF(COUNTIF($A$2:$A1991,A1991)=1,1,0)</f>
        <v>1</v>
      </c>
    </row>
    <row r="1992" customFormat="false" ht="15" hidden="false" customHeight="false" outlineLevel="0" collapsed="false">
      <c r="A1992" s="0" t="s">
        <v>472</v>
      </c>
      <c r="B1992" s="0" t="s">
        <v>140</v>
      </c>
      <c r="C1992" s="0" t="s">
        <v>141</v>
      </c>
      <c r="D1992" s="0" t="n">
        <v>13</v>
      </c>
      <c r="E1992" s="5" t="n">
        <v>45961.417025463</v>
      </c>
      <c r="F1992" s="0" t="n">
        <v>2.08</v>
      </c>
      <c r="G1992" s="0" t="n">
        <v>17156</v>
      </c>
      <c r="H1992" s="6" t="s">
        <v>74</v>
      </c>
      <c r="I1992" s="6" t="n">
        <f aca="false">D1992*F1992</f>
        <v>27.04</v>
      </c>
      <c r="J1992" s="6" t="n">
        <f aca="false">HOUR(E1992)</f>
        <v>10</v>
      </c>
      <c r="K1992" s="6" t="n">
        <f aca="false">IF(COUNTIF($A$2:$A1992,A1992)=1,1,0)</f>
        <v>0</v>
      </c>
    </row>
    <row r="1993" customFormat="false" ht="15" hidden="false" customHeight="false" outlineLevel="0" collapsed="false">
      <c r="A1993" s="0" t="s">
        <v>473</v>
      </c>
      <c r="B1993" s="0" t="s">
        <v>95</v>
      </c>
      <c r="C1993" s="0" t="s">
        <v>96</v>
      </c>
      <c r="D1993" s="0" t="n">
        <v>28</v>
      </c>
      <c r="E1993" s="5" t="n">
        <v>45961.5001041667</v>
      </c>
      <c r="F1993" s="0" t="n">
        <v>2.55</v>
      </c>
      <c r="G1993" s="0" t="n">
        <v>17006</v>
      </c>
      <c r="H1993" s="6" t="s">
        <v>113</v>
      </c>
      <c r="I1993" s="6" t="n">
        <f aca="false">D1993*F1993</f>
        <v>71.4</v>
      </c>
      <c r="J1993" s="6" t="n">
        <f aca="false">HOUR(E1993)</f>
        <v>12</v>
      </c>
      <c r="K1993" s="6" t="n">
        <f aca="false">IF(COUNTIF($A$2:$A1993,A1993)=1,1,0)</f>
        <v>1</v>
      </c>
    </row>
    <row r="1994" customFormat="false" ht="15" hidden="false" customHeight="false" outlineLevel="0" collapsed="false">
      <c r="A1994" s="0" t="s">
        <v>474</v>
      </c>
      <c r="B1994" s="0" t="s">
        <v>114</v>
      </c>
      <c r="C1994" s="0" t="s">
        <v>115</v>
      </c>
      <c r="D1994" s="0" t="n">
        <v>1</v>
      </c>
      <c r="E1994" s="5" t="n">
        <v>45961.5216319444</v>
      </c>
      <c r="F1994" s="0" t="n">
        <v>2.08</v>
      </c>
      <c r="G1994" s="0" t="n">
        <v>17258</v>
      </c>
      <c r="H1994" s="6" t="s">
        <v>263</v>
      </c>
      <c r="I1994" s="6" t="n">
        <f aca="false">D1994*F1994</f>
        <v>2.08</v>
      </c>
      <c r="J1994" s="6" t="n">
        <f aca="false">HOUR(E1994)</f>
        <v>12</v>
      </c>
      <c r="K1994" s="6" t="n">
        <f aca="false">IF(COUNTIF($A$2:$A1994,A1994)=1,1,0)</f>
        <v>1</v>
      </c>
    </row>
    <row r="1995" customFormat="false" ht="15" hidden="false" customHeight="false" outlineLevel="0" collapsed="false">
      <c r="A1995" s="0" t="s">
        <v>474</v>
      </c>
      <c r="B1995" s="0" t="s">
        <v>121</v>
      </c>
      <c r="C1995" s="0" t="s">
        <v>122</v>
      </c>
      <c r="D1995" s="0" t="n">
        <v>9</v>
      </c>
      <c r="E1995" s="5" t="n">
        <v>45961.5216319444</v>
      </c>
      <c r="F1995" s="0" t="n">
        <v>2.1</v>
      </c>
      <c r="G1995" s="0" t="n">
        <v>17258</v>
      </c>
      <c r="H1995" s="6" t="s">
        <v>263</v>
      </c>
      <c r="I1995" s="6" t="n">
        <f aca="false">D1995*F1995</f>
        <v>18.9</v>
      </c>
      <c r="J1995" s="6" t="n">
        <f aca="false">HOUR(E1995)</f>
        <v>12</v>
      </c>
      <c r="K1995" s="6" t="n">
        <f aca="false">IF(COUNTIF($A$2:$A1995,A1995)=1,1,0)</f>
        <v>0</v>
      </c>
    </row>
    <row r="1996" customFormat="false" ht="15" hidden="false" customHeight="false" outlineLevel="0" collapsed="false">
      <c r="A1996" s="0" t="s">
        <v>474</v>
      </c>
      <c r="B1996" s="0" t="s">
        <v>107</v>
      </c>
      <c r="C1996" s="0" t="s">
        <v>108</v>
      </c>
      <c r="D1996" s="0" t="n">
        <v>2</v>
      </c>
      <c r="E1996" s="5" t="n">
        <v>45961.5216319444</v>
      </c>
      <c r="F1996" s="0" t="n">
        <v>3.75</v>
      </c>
      <c r="G1996" s="0" t="n">
        <v>17258</v>
      </c>
      <c r="H1996" s="6" t="s">
        <v>263</v>
      </c>
      <c r="I1996" s="6" t="n">
        <f aca="false">D1996*F1996</f>
        <v>7.5</v>
      </c>
      <c r="J1996" s="6" t="n">
        <f aca="false">HOUR(E1996)</f>
        <v>12</v>
      </c>
      <c r="K1996" s="6" t="n">
        <f aca="false">IF(COUNTIF($A$2:$A1996,A1996)=1,1,0)</f>
        <v>0</v>
      </c>
    </row>
    <row r="1997" customFormat="false" ht="15" hidden="false" customHeight="false" outlineLevel="0" collapsed="false">
      <c r="A1997" s="0" t="s">
        <v>474</v>
      </c>
      <c r="B1997" s="0" t="s">
        <v>102</v>
      </c>
      <c r="C1997" s="0" t="s">
        <v>103</v>
      </c>
      <c r="D1997" s="0" t="n">
        <v>13</v>
      </c>
      <c r="E1997" s="5" t="n">
        <v>45961.5216319444</v>
      </c>
      <c r="F1997" s="0" t="n">
        <v>8.5</v>
      </c>
      <c r="G1997" s="0" t="n">
        <v>17258</v>
      </c>
      <c r="H1997" s="6" t="s">
        <v>263</v>
      </c>
      <c r="I1997" s="6" t="n">
        <f aca="false">D1997*F1997</f>
        <v>110.5</v>
      </c>
      <c r="J1997" s="6" t="n">
        <f aca="false">HOUR(E1997)</f>
        <v>12</v>
      </c>
      <c r="K1997" s="6" t="n">
        <f aca="false">IF(COUNTIF($A$2:$A1997,A1997)=1,1,0)</f>
        <v>0</v>
      </c>
    </row>
    <row r="1998" customFormat="false" ht="15" hidden="false" customHeight="false" outlineLevel="0" collapsed="false">
      <c r="A1998" s="0" t="s">
        <v>474</v>
      </c>
      <c r="B1998" s="0" t="s">
        <v>116</v>
      </c>
      <c r="C1998" s="0" t="s">
        <v>117</v>
      </c>
      <c r="D1998" s="0" t="n">
        <v>20</v>
      </c>
      <c r="E1998" s="5" t="n">
        <v>45961.5216319444</v>
      </c>
      <c r="F1998" s="0" t="n">
        <v>1.95</v>
      </c>
      <c r="G1998" s="0" t="n">
        <v>17258</v>
      </c>
      <c r="H1998" s="6" t="s">
        <v>263</v>
      </c>
      <c r="I1998" s="6" t="n">
        <f aca="false">D1998*F1998</f>
        <v>39</v>
      </c>
      <c r="J1998" s="6" t="n">
        <f aca="false">HOUR(E1998)</f>
        <v>12</v>
      </c>
      <c r="K1998" s="6" t="n">
        <f aca="false">IF(COUNTIF($A$2:$A1998,A1998)=1,1,0)</f>
        <v>0</v>
      </c>
    </row>
    <row r="1999" customFormat="false" ht="15" hidden="false" customHeight="false" outlineLevel="0" collapsed="false">
      <c r="A1999" s="0" t="s">
        <v>474</v>
      </c>
      <c r="B1999" s="0" t="s">
        <v>131</v>
      </c>
      <c r="C1999" s="0" t="s">
        <v>132</v>
      </c>
      <c r="D1999" s="0" t="n">
        <v>18</v>
      </c>
      <c r="E1999" s="5" t="n">
        <v>45961.5216319444</v>
      </c>
      <c r="F1999" s="0" t="n">
        <v>3.39</v>
      </c>
      <c r="G1999" s="0" t="n">
        <v>17258</v>
      </c>
      <c r="H1999" s="6" t="s">
        <v>263</v>
      </c>
      <c r="I1999" s="6" t="n">
        <f aca="false">D1999*F1999</f>
        <v>61.02</v>
      </c>
      <c r="J1999" s="6" t="n">
        <f aca="false">HOUR(E1999)</f>
        <v>12</v>
      </c>
      <c r="K1999" s="6" t="n">
        <f aca="false">IF(COUNTIF($A$2:$A1999,A1999)=1,1,0)</f>
        <v>0</v>
      </c>
    </row>
    <row r="2000" customFormat="false" ht="15" hidden="false" customHeight="false" outlineLevel="0" collapsed="false">
      <c r="A2000" s="0" t="s">
        <v>474</v>
      </c>
      <c r="B2000" s="0" t="s">
        <v>86</v>
      </c>
      <c r="C2000" s="0" t="s">
        <v>87</v>
      </c>
      <c r="D2000" s="0" t="n">
        <v>23</v>
      </c>
      <c r="E2000" s="5" t="n">
        <v>45961.5216319444</v>
      </c>
      <c r="F2000" s="0" t="n">
        <v>4.25</v>
      </c>
      <c r="G2000" s="0" t="n">
        <v>17258</v>
      </c>
      <c r="H2000" s="6" t="s">
        <v>263</v>
      </c>
      <c r="I2000" s="6" t="n">
        <f aca="false">D2000*F2000</f>
        <v>97.75</v>
      </c>
      <c r="J2000" s="6" t="n">
        <f aca="false">HOUR(E2000)</f>
        <v>12</v>
      </c>
      <c r="K2000" s="6" t="n">
        <f aca="false">IF(COUNTIF($A$2:$A2000,A2000)=1,1,0)</f>
        <v>0</v>
      </c>
    </row>
    <row r="2001" customFormat="false" ht="15" hidden="false" customHeight="false" outlineLevel="0" collapsed="false">
      <c r="A2001" s="0" t="s">
        <v>475</v>
      </c>
      <c r="B2001" s="0" t="s">
        <v>86</v>
      </c>
      <c r="C2001" s="0" t="s">
        <v>87</v>
      </c>
      <c r="D2001" s="0" t="n">
        <v>9</v>
      </c>
      <c r="E2001" s="5" t="n">
        <v>45961.7888194445</v>
      </c>
      <c r="F2001" s="0" t="n">
        <v>4.25</v>
      </c>
      <c r="G2001" s="0" t="n">
        <v>17215</v>
      </c>
      <c r="H2001" s="6" t="s">
        <v>52</v>
      </c>
      <c r="I2001" s="6" t="n">
        <f aca="false">D2001*F2001</f>
        <v>38.25</v>
      </c>
      <c r="J2001" s="6" t="n">
        <f aca="false">HOUR(E2001)</f>
        <v>18</v>
      </c>
      <c r="K2001" s="6" t="n">
        <f aca="false">IF(COUNTIF($A$2:$A2001,A2001)=1,1,0)</f>
        <v>1</v>
      </c>
    </row>
    <row r="2002" customFormat="false" ht="15" hidden="false" customHeight="false" outlineLevel="0" collapsed="false">
      <c r="A2002" s="0" t="s">
        <v>476</v>
      </c>
      <c r="B2002" s="0" t="s">
        <v>75</v>
      </c>
      <c r="C2002" s="0" t="s">
        <v>76</v>
      </c>
      <c r="D2002" s="0" t="n">
        <v>13</v>
      </c>
      <c r="E2002" s="5" t="n">
        <v>45961.8373611111</v>
      </c>
      <c r="F2002" s="0" t="n">
        <v>3.39</v>
      </c>
      <c r="G2002" s="0" t="n">
        <v>17211</v>
      </c>
      <c r="H2002" s="6" t="s">
        <v>74</v>
      </c>
      <c r="I2002" s="6" t="n">
        <f aca="false">D2002*F2002</f>
        <v>44.07</v>
      </c>
      <c r="J2002" s="6" t="n">
        <f aca="false">HOUR(E2002)</f>
        <v>20</v>
      </c>
      <c r="K2002" s="6" t="n">
        <f aca="false">IF(COUNTIF($A$2:$A2002,A2002)=1,1,0)</f>
        <v>1</v>
      </c>
    </row>
    <row r="2003" customFormat="false" ht="15" hidden="false" customHeight="false" outlineLevel="0" collapsed="false">
      <c r="A2003" s="0" t="s">
        <v>476</v>
      </c>
      <c r="B2003" s="0" t="s">
        <v>109</v>
      </c>
      <c r="C2003" s="0" t="s">
        <v>110</v>
      </c>
      <c r="D2003" s="0" t="n">
        <v>18</v>
      </c>
      <c r="E2003" s="5" t="n">
        <v>45961.8373611111</v>
      </c>
      <c r="F2003" s="0" t="n">
        <v>0.85</v>
      </c>
      <c r="G2003" s="0" t="n">
        <v>17211</v>
      </c>
      <c r="H2003" s="6" t="s">
        <v>74</v>
      </c>
      <c r="I2003" s="6" t="n">
        <f aca="false">D2003*F2003</f>
        <v>15.3</v>
      </c>
      <c r="J2003" s="6" t="n">
        <f aca="false">HOUR(E2003)</f>
        <v>20</v>
      </c>
      <c r="K2003" s="6" t="n">
        <f aca="false">IF(COUNTIF($A$2:$A2003,A2003)=1,1,0)</f>
        <v>0</v>
      </c>
    </row>
    <row r="2004" customFormat="false" ht="15" hidden="false" customHeight="false" outlineLevel="0" collapsed="false">
      <c r="A2004" s="0" t="s">
        <v>476</v>
      </c>
      <c r="B2004" s="0" t="s">
        <v>118</v>
      </c>
      <c r="C2004" s="0" t="s">
        <v>119</v>
      </c>
      <c r="D2004" s="0" t="n">
        <v>34</v>
      </c>
      <c r="E2004" s="5" t="n">
        <v>45961.8373611111</v>
      </c>
      <c r="F2004" s="0" t="n">
        <v>4.95</v>
      </c>
      <c r="G2004" s="0" t="n">
        <v>17211</v>
      </c>
      <c r="H2004" s="6" t="s">
        <v>74</v>
      </c>
      <c r="I2004" s="6" t="n">
        <f aca="false">D2004*F2004</f>
        <v>168.3</v>
      </c>
      <c r="J2004" s="6" t="n">
        <f aca="false">HOUR(E2004)</f>
        <v>20</v>
      </c>
      <c r="K2004" s="6" t="n">
        <f aca="false">IF(COUNTIF($A$2:$A2004,A2004)=1,1,0)</f>
        <v>0</v>
      </c>
    </row>
    <row r="2005" customFormat="false" ht="15" hidden="false" customHeight="false" outlineLevel="0" collapsed="false">
      <c r="A2005" s="0" t="s">
        <v>476</v>
      </c>
      <c r="B2005" s="0" t="s">
        <v>77</v>
      </c>
      <c r="C2005" s="0" t="s">
        <v>78</v>
      </c>
      <c r="D2005" s="0" t="n">
        <v>9</v>
      </c>
      <c r="E2005" s="5" t="n">
        <v>45961.8373611111</v>
      </c>
      <c r="F2005" s="0" t="n">
        <v>1.65</v>
      </c>
      <c r="G2005" s="0" t="n">
        <v>17211</v>
      </c>
      <c r="H2005" s="6" t="s">
        <v>74</v>
      </c>
      <c r="I2005" s="6" t="n">
        <f aca="false">D2005*F2005</f>
        <v>14.85</v>
      </c>
      <c r="J2005" s="6" t="n">
        <f aca="false">HOUR(E2005)</f>
        <v>20</v>
      </c>
      <c r="K2005" s="6" t="n">
        <f aca="false">IF(COUNTIF($A$2:$A2005,A2005)=1,1,0)</f>
        <v>0</v>
      </c>
    </row>
    <row r="2006" customFormat="false" ht="15" hidden="false" customHeight="false" outlineLevel="0" collapsed="false">
      <c r="A2006" s="0" t="s">
        <v>476</v>
      </c>
      <c r="B2006" s="0" t="s">
        <v>131</v>
      </c>
      <c r="C2006" s="0" t="s">
        <v>132</v>
      </c>
      <c r="D2006" s="0" t="n">
        <v>2</v>
      </c>
      <c r="E2006" s="5" t="n">
        <v>45961.8373611111</v>
      </c>
      <c r="F2006" s="0" t="n">
        <v>3.39</v>
      </c>
      <c r="G2006" s="0" t="n">
        <v>17211</v>
      </c>
      <c r="H2006" s="6" t="s">
        <v>74</v>
      </c>
      <c r="I2006" s="6" t="n">
        <f aca="false">D2006*F2006</f>
        <v>6.78</v>
      </c>
      <c r="J2006" s="6" t="n">
        <f aca="false">HOUR(E2006)</f>
        <v>20</v>
      </c>
      <c r="K2006" s="6" t="n">
        <f aca="false">IF(COUNTIF($A$2:$A2006,A2006)=1,1,0)</f>
        <v>0</v>
      </c>
    </row>
    <row r="2007" customFormat="false" ht="15" hidden="false" customHeight="false" outlineLevel="0" collapsed="false">
      <c r="A2007" s="0" t="s">
        <v>476</v>
      </c>
      <c r="B2007" s="0" t="s">
        <v>53</v>
      </c>
      <c r="C2007" s="0" t="s">
        <v>54</v>
      </c>
      <c r="D2007" s="0" t="n">
        <v>18</v>
      </c>
      <c r="E2007" s="5" t="n">
        <v>45961.8373611111</v>
      </c>
      <c r="F2007" s="0" t="n">
        <v>2.95</v>
      </c>
      <c r="G2007" s="0" t="n">
        <v>17211</v>
      </c>
      <c r="H2007" s="6" t="s">
        <v>74</v>
      </c>
      <c r="I2007" s="6" t="n">
        <f aca="false">D2007*F2007</f>
        <v>53.1</v>
      </c>
      <c r="J2007" s="6" t="n">
        <f aca="false">HOUR(E2007)</f>
        <v>20</v>
      </c>
      <c r="K2007" s="6" t="n">
        <f aca="false">IF(COUNTIF($A$2:$A2007,A2007)=1,1,0)</f>
        <v>0</v>
      </c>
    </row>
    <row r="2008" customFormat="false" ht="15" hidden="false" customHeight="false" outlineLevel="0" collapsed="false">
      <c r="A2008" s="0" t="s">
        <v>477</v>
      </c>
      <c r="B2008" s="0" t="s">
        <v>116</v>
      </c>
      <c r="C2008" s="0" t="s">
        <v>117</v>
      </c>
      <c r="D2008" s="0" t="n">
        <v>3</v>
      </c>
      <c r="E2008" s="5" t="n">
        <v>45961.9214930556</v>
      </c>
      <c r="F2008" s="0" t="n">
        <v>1.95</v>
      </c>
      <c r="G2008" s="0" t="n">
        <v>17215</v>
      </c>
      <c r="H2008" s="6" t="s">
        <v>263</v>
      </c>
      <c r="I2008" s="6" t="n">
        <f aca="false">D2008*F2008</f>
        <v>5.85</v>
      </c>
      <c r="J2008" s="6" t="n">
        <f aca="false">HOUR(E2008)</f>
        <v>22</v>
      </c>
      <c r="K2008" s="6" t="n">
        <f aca="false">IF(COUNTIF($A$2:$A2008,A2008)=1,1,0)</f>
        <v>1</v>
      </c>
    </row>
    <row r="2009" customFormat="false" ht="15" hidden="false" customHeight="false" outlineLevel="0" collapsed="false">
      <c r="A2009" s="0" t="s">
        <v>477</v>
      </c>
      <c r="B2009" s="0" t="s">
        <v>131</v>
      </c>
      <c r="C2009" s="0" t="s">
        <v>132</v>
      </c>
      <c r="D2009" s="0" t="n">
        <v>2</v>
      </c>
      <c r="E2009" s="5" t="n">
        <v>45961.9214930556</v>
      </c>
      <c r="F2009" s="0" t="n">
        <v>3.39</v>
      </c>
      <c r="G2009" s="0" t="n">
        <v>17215</v>
      </c>
      <c r="H2009" s="6" t="s">
        <v>263</v>
      </c>
      <c r="I2009" s="6" t="n">
        <f aca="false">D2009*F2009</f>
        <v>6.78</v>
      </c>
      <c r="J2009" s="6" t="n">
        <f aca="false">HOUR(E2009)</f>
        <v>22</v>
      </c>
      <c r="K2009" s="6" t="n">
        <f aca="false">IF(COUNTIF($A$2:$A2009,A2009)=1,1,0)</f>
        <v>0</v>
      </c>
    </row>
    <row r="2010" customFormat="false" ht="15" hidden="false" customHeight="false" outlineLevel="0" collapsed="false">
      <c r="A2010" s="0" t="s">
        <v>478</v>
      </c>
      <c r="B2010" s="0" t="s">
        <v>127</v>
      </c>
      <c r="C2010" s="0" t="s">
        <v>128</v>
      </c>
      <c r="D2010" s="0" t="n">
        <v>19</v>
      </c>
      <c r="E2010" s="5" t="n">
        <v>45962.0988425926</v>
      </c>
      <c r="F2010" s="0" t="n">
        <v>1.45</v>
      </c>
      <c r="G2010" s="0" t="n">
        <v>17197</v>
      </c>
      <c r="H2010" s="6" t="s">
        <v>113</v>
      </c>
      <c r="I2010" s="6" t="n">
        <f aca="false">D2010*F2010</f>
        <v>27.55</v>
      </c>
      <c r="J2010" s="6" t="n">
        <f aca="false">HOUR(E2010)</f>
        <v>2</v>
      </c>
      <c r="K2010" s="6" t="n">
        <f aca="false">IF(COUNTIF($A$2:$A2010,A2010)=1,1,0)</f>
        <v>1</v>
      </c>
    </row>
    <row r="2011" customFormat="false" ht="15" hidden="false" customHeight="false" outlineLevel="0" collapsed="false">
      <c r="A2011" s="0" t="s">
        <v>478</v>
      </c>
      <c r="B2011" s="0" t="s">
        <v>116</v>
      </c>
      <c r="C2011" s="0" t="s">
        <v>117</v>
      </c>
      <c r="D2011" s="0" t="n">
        <v>5</v>
      </c>
      <c r="E2011" s="5" t="n">
        <v>45962.0988425926</v>
      </c>
      <c r="F2011" s="0" t="n">
        <v>1.95</v>
      </c>
      <c r="G2011" s="0" t="n">
        <v>17197</v>
      </c>
      <c r="H2011" s="6" t="s">
        <v>113</v>
      </c>
      <c r="I2011" s="6" t="n">
        <f aca="false">D2011*F2011</f>
        <v>9.75</v>
      </c>
      <c r="J2011" s="6" t="n">
        <f aca="false">HOUR(E2011)</f>
        <v>2</v>
      </c>
      <c r="K2011" s="6" t="n">
        <f aca="false">IF(COUNTIF($A$2:$A2011,A2011)=1,1,0)</f>
        <v>0</v>
      </c>
    </row>
    <row r="2012" customFormat="false" ht="15" hidden="false" customHeight="false" outlineLevel="0" collapsed="false">
      <c r="A2012" s="0" t="s">
        <v>478</v>
      </c>
      <c r="B2012" s="0" t="s">
        <v>137</v>
      </c>
      <c r="C2012" s="0" t="s">
        <v>138</v>
      </c>
      <c r="D2012" s="0" t="n">
        <v>13</v>
      </c>
      <c r="E2012" s="5" t="n">
        <v>45962.0988425926</v>
      </c>
      <c r="F2012" s="0" t="n">
        <v>2.1</v>
      </c>
      <c r="G2012" s="0" t="n">
        <v>17197</v>
      </c>
      <c r="H2012" s="6" t="s">
        <v>113</v>
      </c>
      <c r="I2012" s="6" t="n">
        <f aca="false">D2012*F2012</f>
        <v>27.3</v>
      </c>
      <c r="J2012" s="6" t="n">
        <f aca="false">HOUR(E2012)</f>
        <v>2</v>
      </c>
      <c r="K2012" s="6" t="n">
        <f aca="false">IF(COUNTIF($A$2:$A2012,A2012)=1,1,0)</f>
        <v>0</v>
      </c>
    </row>
    <row r="2013" customFormat="false" ht="15" hidden="false" customHeight="false" outlineLevel="0" collapsed="false">
      <c r="A2013" s="0" t="s">
        <v>478</v>
      </c>
      <c r="B2013" s="0" t="s">
        <v>50</v>
      </c>
      <c r="C2013" s="0" t="s">
        <v>51</v>
      </c>
      <c r="D2013" s="0" t="n">
        <v>7</v>
      </c>
      <c r="E2013" s="5" t="n">
        <v>45962.0988425926</v>
      </c>
      <c r="F2013" s="0" t="n">
        <v>5.95</v>
      </c>
      <c r="G2013" s="0" t="n">
        <v>17197</v>
      </c>
      <c r="H2013" s="6" t="s">
        <v>113</v>
      </c>
      <c r="I2013" s="6" t="n">
        <f aca="false">D2013*F2013</f>
        <v>41.65</v>
      </c>
      <c r="J2013" s="6" t="n">
        <f aca="false">HOUR(E2013)</f>
        <v>2</v>
      </c>
      <c r="K2013" s="6" t="n">
        <f aca="false">IF(COUNTIF($A$2:$A2013,A2013)=1,1,0)</f>
        <v>0</v>
      </c>
    </row>
    <row r="2014" customFormat="false" ht="15" hidden="false" customHeight="false" outlineLevel="0" collapsed="false">
      <c r="A2014" s="0" t="s">
        <v>478</v>
      </c>
      <c r="B2014" s="0" t="s">
        <v>125</v>
      </c>
      <c r="C2014" s="0" t="s">
        <v>126</v>
      </c>
      <c r="D2014" s="0" t="n">
        <v>4</v>
      </c>
      <c r="E2014" s="5" t="n">
        <v>45962.0988425926</v>
      </c>
      <c r="F2014" s="0" t="n">
        <v>1.25</v>
      </c>
      <c r="G2014" s="0" t="n">
        <v>17197</v>
      </c>
      <c r="H2014" s="6" t="s">
        <v>113</v>
      </c>
      <c r="I2014" s="6" t="n">
        <f aca="false">D2014*F2014</f>
        <v>5</v>
      </c>
      <c r="J2014" s="6" t="n">
        <f aca="false">HOUR(E2014)</f>
        <v>2</v>
      </c>
      <c r="K2014" s="6" t="n">
        <f aca="false">IF(COUNTIF($A$2:$A2014,A2014)=1,1,0)</f>
        <v>0</v>
      </c>
    </row>
    <row r="2015" customFormat="false" ht="15" hidden="false" customHeight="false" outlineLevel="0" collapsed="false">
      <c r="A2015" s="0" t="s">
        <v>479</v>
      </c>
      <c r="B2015" s="0" t="s">
        <v>131</v>
      </c>
      <c r="C2015" s="0" t="s">
        <v>132</v>
      </c>
      <c r="D2015" s="0" t="n">
        <v>-7</v>
      </c>
      <c r="E2015" s="5" t="n">
        <v>45962.2163888889</v>
      </c>
      <c r="F2015" s="0" t="n">
        <v>3.39</v>
      </c>
      <c r="G2015" s="0" t="n">
        <v>17240</v>
      </c>
      <c r="H2015" s="6" t="s">
        <v>42</v>
      </c>
      <c r="I2015" s="6" t="n">
        <f aca="false">D2015*F2015</f>
        <v>-23.73</v>
      </c>
      <c r="J2015" s="6" t="n">
        <f aca="false">HOUR(E2015)</f>
        <v>5</v>
      </c>
      <c r="K2015" s="6" t="n">
        <f aca="false">IF(COUNTIF($A$2:$A2015,A2015)=1,1,0)</f>
        <v>1</v>
      </c>
    </row>
    <row r="2016" customFormat="false" ht="15" hidden="false" customHeight="false" outlineLevel="0" collapsed="false">
      <c r="A2016" s="0" t="s">
        <v>480</v>
      </c>
      <c r="B2016" s="0" t="s">
        <v>43</v>
      </c>
      <c r="C2016" s="0" t="s">
        <v>44</v>
      </c>
      <c r="D2016" s="0" t="n">
        <v>16</v>
      </c>
      <c r="E2016" s="5" t="n">
        <v>45962.3351388889</v>
      </c>
      <c r="F2016" s="0" t="n">
        <v>4.25</v>
      </c>
      <c r="G2016" s="0" t="n">
        <v>17225</v>
      </c>
      <c r="H2016" s="6" t="s">
        <v>74</v>
      </c>
      <c r="I2016" s="6" t="n">
        <f aca="false">D2016*F2016</f>
        <v>68</v>
      </c>
      <c r="J2016" s="6" t="n">
        <f aca="false">HOUR(E2016)</f>
        <v>8</v>
      </c>
      <c r="K2016" s="6" t="n">
        <f aca="false">IF(COUNTIF($A$2:$A2016,A2016)=1,1,0)</f>
        <v>1</v>
      </c>
    </row>
    <row r="2017" customFormat="false" ht="15" hidden="false" customHeight="false" outlineLevel="0" collapsed="false">
      <c r="A2017" s="0" t="s">
        <v>480</v>
      </c>
      <c r="B2017" s="0" t="s">
        <v>40</v>
      </c>
      <c r="C2017" s="0" t="s">
        <v>41</v>
      </c>
      <c r="D2017" s="0" t="n">
        <v>11</v>
      </c>
      <c r="E2017" s="5" t="n">
        <v>45962.3351388889</v>
      </c>
      <c r="F2017" s="0" t="n">
        <v>1.06</v>
      </c>
      <c r="G2017" s="0" t="n">
        <v>17225</v>
      </c>
      <c r="H2017" s="6" t="s">
        <v>74</v>
      </c>
      <c r="I2017" s="6" t="n">
        <f aca="false">D2017*F2017</f>
        <v>11.66</v>
      </c>
      <c r="J2017" s="6" t="n">
        <f aca="false">HOUR(E2017)</f>
        <v>8</v>
      </c>
      <c r="K2017" s="6" t="n">
        <f aca="false">IF(COUNTIF($A$2:$A2017,A2017)=1,1,0)</f>
        <v>0</v>
      </c>
    </row>
    <row r="2018" customFormat="false" ht="15" hidden="false" customHeight="false" outlineLevel="0" collapsed="false">
      <c r="A2018" s="0" t="s">
        <v>480</v>
      </c>
      <c r="B2018" s="0" t="s">
        <v>93</v>
      </c>
      <c r="C2018" s="0" t="s">
        <v>94</v>
      </c>
      <c r="D2018" s="0" t="n">
        <v>24</v>
      </c>
      <c r="E2018" s="5" t="n">
        <v>45962.3351388889</v>
      </c>
      <c r="F2018" s="0" t="n">
        <v>1.69</v>
      </c>
      <c r="G2018" s="0" t="n">
        <v>17225</v>
      </c>
      <c r="H2018" s="6" t="s">
        <v>74</v>
      </c>
      <c r="I2018" s="6" t="n">
        <f aca="false">D2018*F2018</f>
        <v>40.56</v>
      </c>
      <c r="J2018" s="6" t="n">
        <f aca="false">HOUR(E2018)</f>
        <v>8</v>
      </c>
      <c r="K2018" s="6" t="n">
        <f aca="false">IF(COUNTIF($A$2:$A2018,A2018)=1,1,0)</f>
        <v>0</v>
      </c>
    </row>
    <row r="2019" customFormat="false" ht="15" hidden="false" customHeight="false" outlineLevel="0" collapsed="false">
      <c r="A2019" s="0" t="s">
        <v>480</v>
      </c>
      <c r="B2019" s="0" t="s">
        <v>116</v>
      </c>
      <c r="C2019" s="0" t="s">
        <v>117</v>
      </c>
      <c r="D2019" s="0" t="n">
        <v>23</v>
      </c>
      <c r="E2019" s="5" t="n">
        <v>45962.3351388889</v>
      </c>
      <c r="F2019" s="0" t="n">
        <v>1.95</v>
      </c>
      <c r="G2019" s="0" t="n">
        <v>17225</v>
      </c>
      <c r="H2019" s="6" t="s">
        <v>74</v>
      </c>
      <c r="I2019" s="6" t="n">
        <f aca="false">D2019*F2019</f>
        <v>44.85</v>
      </c>
      <c r="J2019" s="6" t="n">
        <f aca="false">HOUR(E2019)</f>
        <v>8</v>
      </c>
      <c r="K2019" s="6" t="n">
        <f aca="false">IF(COUNTIF($A$2:$A2019,A2019)=1,1,0)</f>
        <v>0</v>
      </c>
    </row>
    <row r="2020" customFormat="false" ht="15" hidden="false" customHeight="false" outlineLevel="0" collapsed="false">
      <c r="A2020" s="0" t="s">
        <v>480</v>
      </c>
      <c r="B2020" s="0" t="s">
        <v>45</v>
      </c>
      <c r="C2020" s="0" t="s">
        <v>46</v>
      </c>
      <c r="D2020" s="0" t="n">
        <v>7</v>
      </c>
      <c r="E2020" s="5" t="n">
        <v>45962.3351388889</v>
      </c>
      <c r="F2020" s="0" t="n">
        <v>2.1</v>
      </c>
      <c r="G2020" s="0" t="n">
        <v>17225</v>
      </c>
      <c r="H2020" s="6" t="s">
        <v>74</v>
      </c>
      <c r="I2020" s="6" t="n">
        <f aca="false">D2020*F2020</f>
        <v>14.7</v>
      </c>
      <c r="J2020" s="6" t="n">
        <f aca="false">HOUR(E2020)</f>
        <v>8</v>
      </c>
      <c r="K2020" s="6" t="n">
        <f aca="false">IF(COUNTIF($A$2:$A2020,A2020)=1,1,0)</f>
        <v>0</v>
      </c>
    </row>
    <row r="2021" customFormat="false" ht="15" hidden="false" customHeight="false" outlineLevel="0" collapsed="false">
      <c r="A2021" s="0" t="s">
        <v>480</v>
      </c>
      <c r="B2021" s="0" t="s">
        <v>102</v>
      </c>
      <c r="C2021" s="0" t="s">
        <v>103</v>
      </c>
      <c r="D2021" s="0" t="n">
        <v>36</v>
      </c>
      <c r="E2021" s="5" t="n">
        <v>45962.3351388889</v>
      </c>
      <c r="F2021" s="0" t="n">
        <v>8.5</v>
      </c>
      <c r="G2021" s="0" t="n">
        <v>17225</v>
      </c>
      <c r="H2021" s="6" t="s">
        <v>74</v>
      </c>
      <c r="I2021" s="6" t="n">
        <f aca="false">D2021*F2021</f>
        <v>306</v>
      </c>
      <c r="J2021" s="6" t="n">
        <f aca="false">HOUR(E2021)</f>
        <v>8</v>
      </c>
      <c r="K2021" s="6" t="n">
        <f aca="false">IF(COUNTIF($A$2:$A2021,A2021)=1,1,0)</f>
        <v>0</v>
      </c>
    </row>
    <row r="2022" customFormat="false" ht="15" hidden="false" customHeight="false" outlineLevel="0" collapsed="false">
      <c r="A2022" s="0" t="s">
        <v>481</v>
      </c>
      <c r="B2022" s="0" t="s">
        <v>107</v>
      </c>
      <c r="C2022" s="0" t="s">
        <v>108</v>
      </c>
      <c r="D2022" s="0" t="n">
        <v>3</v>
      </c>
      <c r="E2022" s="5" t="n">
        <v>45962.4229861111</v>
      </c>
      <c r="F2022" s="0" t="n">
        <v>3.75</v>
      </c>
      <c r="G2022" s="0" t="n">
        <v>17214</v>
      </c>
      <c r="H2022" s="6" t="s">
        <v>74</v>
      </c>
      <c r="I2022" s="6" t="n">
        <f aca="false">D2022*F2022</f>
        <v>11.25</v>
      </c>
      <c r="J2022" s="6" t="n">
        <f aca="false">HOUR(E2022)</f>
        <v>10</v>
      </c>
      <c r="K2022" s="6" t="n">
        <f aca="false">IF(COUNTIF($A$2:$A2022,A2022)=1,1,0)</f>
        <v>1</v>
      </c>
    </row>
    <row r="2023" customFormat="false" ht="15" hidden="false" customHeight="false" outlineLevel="0" collapsed="false">
      <c r="A2023" s="0" t="s">
        <v>481</v>
      </c>
      <c r="B2023" s="0" t="s">
        <v>125</v>
      </c>
      <c r="C2023" s="0" t="s">
        <v>126</v>
      </c>
      <c r="D2023" s="0" t="n">
        <v>10</v>
      </c>
      <c r="E2023" s="5" t="n">
        <v>45962.4229861111</v>
      </c>
      <c r="F2023" s="0" t="n">
        <v>1.25</v>
      </c>
      <c r="G2023" s="0" t="n">
        <v>17214</v>
      </c>
      <c r="H2023" s="6" t="s">
        <v>74</v>
      </c>
      <c r="I2023" s="6" t="n">
        <f aca="false">D2023*F2023</f>
        <v>12.5</v>
      </c>
      <c r="J2023" s="6" t="n">
        <f aca="false">HOUR(E2023)</f>
        <v>10</v>
      </c>
      <c r="K2023" s="6" t="n">
        <f aca="false">IF(COUNTIF($A$2:$A2023,A2023)=1,1,0)</f>
        <v>0</v>
      </c>
    </row>
    <row r="2024" customFormat="false" ht="15" hidden="false" customHeight="false" outlineLevel="0" collapsed="false">
      <c r="A2024" s="0" t="s">
        <v>481</v>
      </c>
      <c r="B2024" s="0" t="s">
        <v>140</v>
      </c>
      <c r="C2024" s="0" t="s">
        <v>141</v>
      </c>
      <c r="D2024" s="0" t="n">
        <v>15</v>
      </c>
      <c r="E2024" s="5" t="n">
        <v>45962.4229861111</v>
      </c>
      <c r="F2024" s="0" t="n">
        <v>2.08</v>
      </c>
      <c r="G2024" s="0" t="n">
        <v>17214</v>
      </c>
      <c r="H2024" s="6" t="s">
        <v>74</v>
      </c>
      <c r="I2024" s="6" t="n">
        <f aca="false">D2024*F2024</f>
        <v>31.2</v>
      </c>
      <c r="J2024" s="6" t="n">
        <f aca="false">HOUR(E2024)</f>
        <v>10</v>
      </c>
      <c r="K2024" s="6" t="n">
        <f aca="false">IF(COUNTIF($A$2:$A2024,A2024)=1,1,0)</f>
        <v>0</v>
      </c>
    </row>
    <row r="2025" customFormat="false" ht="15" hidden="false" customHeight="false" outlineLevel="0" collapsed="false">
      <c r="A2025" s="0" t="s">
        <v>481</v>
      </c>
      <c r="B2025" s="0" t="s">
        <v>121</v>
      </c>
      <c r="C2025" s="0" t="s">
        <v>122</v>
      </c>
      <c r="D2025" s="0" t="n">
        <v>16</v>
      </c>
      <c r="E2025" s="5" t="n">
        <v>45962.4229861111</v>
      </c>
      <c r="F2025" s="0" t="n">
        <v>2.1</v>
      </c>
      <c r="G2025" s="0" t="n">
        <v>17214</v>
      </c>
      <c r="H2025" s="6" t="s">
        <v>74</v>
      </c>
      <c r="I2025" s="6" t="n">
        <f aca="false">D2025*F2025</f>
        <v>33.6</v>
      </c>
      <c r="J2025" s="6" t="n">
        <f aca="false">HOUR(E2025)</f>
        <v>10</v>
      </c>
      <c r="K2025" s="6" t="n">
        <f aca="false">IF(COUNTIF($A$2:$A2025,A2025)=1,1,0)</f>
        <v>0</v>
      </c>
    </row>
    <row r="2026" customFormat="false" ht="15" hidden="false" customHeight="false" outlineLevel="0" collapsed="false">
      <c r="A2026" s="0" t="s">
        <v>482</v>
      </c>
      <c r="B2026" s="0" t="s">
        <v>88</v>
      </c>
      <c r="C2026" s="0" t="s">
        <v>89</v>
      </c>
      <c r="D2026" s="0" t="n">
        <v>11</v>
      </c>
      <c r="E2026" s="5" t="n">
        <v>45962.4495138889</v>
      </c>
      <c r="F2026" s="0" t="n">
        <v>2.75</v>
      </c>
      <c r="G2026" s="0" t="n">
        <v>17087</v>
      </c>
      <c r="H2026" s="6" t="s">
        <v>74</v>
      </c>
      <c r="I2026" s="6" t="n">
        <f aca="false">D2026*F2026</f>
        <v>30.25</v>
      </c>
      <c r="J2026" s="6" t="n">
        <f aca="false">HOUR(E2026)</f>
        <v>10</v>
      </c>
      <c r="K2026" s="6" t="n">
        <f aca="false">IF(COUNTIF($A$2:$A2026,A2026)=1,1,0)</f>
        <v>1</v>
      </c>
    </row>
    <row r="2027" customFormat="false" ht="15" hidden="false" customHeight="false" outlineLevel="0" collapsed="false">
      <c r="A2027" s="0" t="s">
        <v>483</v>
      </c>
      <c r="B2027" s="0" t="s">
        <v>134</v>
      </c>
      <c r="C2027" s="0" t="s">
        <v>135</v>
      </c>
      <c r="D2027" s="0" t="n">
        <v>11</v>
      </c>
      <c r="E2027" s="5" t="n">
        <v>45962.4922800926</v>
      </c>
      <c r="F2027" s="0" t="n">
        <v>5.95</v>
      </c>
      <c r="G2027" s="0" t="n">
        <v>17137</v>
      </c>
      <c r="H2027" s="6" t="s">
        <v>113</v>
      </c>
      <c r="I2027" s="6" t="n">
        <f aca="false">D2027*F2027</f>
        <v>65.45</v>
      </c>
      <c r="J2027" s="6" t="n">
        <f aca="false">HOUR(E2027)</f>
        <v>11</v>
      </c>
      <c r="K2027" s="6" t="n">
        <f aca="false">IF(COUNTIF($A$2:$A2027,A2027)=1,1,0)</f>
        <v>1</v>
      </c>
    </row>
    <row r="2028" customFormat="false" ht="15" hidden="false" customHeight="false" outlineLevel="0" collapsed="false">
      <c r="A2028" s="0" t="s">
        <v>483</v>
      </c>
      <c r="B2028" s="0" t="s">
        <v>69</v>
      </c>
      <c r="C2028" s="0" t="s">
        <v>70</v>
      </c>
      <c r="D2028" s="0" t="n">
        <v>35</v>
      </c>
      <c r="E2028" s="5" t="n">
        <v>45962.4922800926</v>
      </c>
      <c r="F2028" s="0" t="n">
        <v>2.08</v>
      </c>
      <c r="G2028" s="0" t="n">
        <v>17137</v>
      </c>
      <c r="H2028" s="6" t="s">
        <v>113</v>
      </c>
      <c r="I2028" s="6" t="n">
        <f aca="false">D2028*F2028</f>
        <v>72.8</v>
      </c>
      <c r="J2028" s="6" t="n">
        <f aca="false">HOUR(E2028)</f>
        <v>11</v>
      </c>
      <c r="K2028" s="6" t="n">
        <f aca="false">IF(COUNTIF($A$2:$A2028,A2028)=1,1,0)</f>
        <v>0</v>
      </c>
    </row>
    <row r="2029" customFormat="false" ht="15" hidden="false" customHeight="false" outlineLevel="0" collapsed="false">
      <c r="A2029" s="0" t="s">
        <v>483</v>
      </c>
      <c r="B2029" s="0" t="s">
        <v>118</v>
      </c>
      <c r="C2029" s="0" t="s">
        <v>119</v>
      </c>
      <c r="D2029" s="0" t="n">
        <v>28</v>
      </c>
      <c r="E2029" s="5" t="n">
        <v>45962.4922800926</v>
      </c>
      <c r="F2029" s="0" t="n">
        <v>4.95</v>
      </c>
      <c r="G2029" s="0" t="n">
        <v>17137</v>
      </c>
      <c r="H2029" s="6" t="s">
        <v>113</v>
      </c>
      <c r="I2029" s="6" t="n">
        <f aca="false">D2029*F2029</f>
        <v>138.6</v>
      </c>
      <c r="J2029" s="6" t="n">
        <f aca="false">HOUR(E2029)</f>
        <v>11</v>
      </c>
      <c r="K2029" s="6" t="n">
        <f aca="false">IF(COUNTIF($A$2:$A2029,A2029)=1,1,0)</f>
        <v>0</v>
      </c>
    </row>
    <row r="2030" customFormat="false" ht="15" hidden="false" customHeight="false" outlineLevel="0" collapsed="false">
      <c r="A2030" s="0" t="s">
        <v>483</v>
      </c>
      <c r="B2030" s="0" t="s">
        <v>40</v>
      </c>
      <c r="C2030" s="0" t="s">
        <v>41</v>
      </c>
      <c r="D2030" s="0" t="n">
        <v>18</v>
      </c>
      <c r="E2030" s="5" t="n">
        <v>45962.4922800926</v>
      </c>
      <c r="F2030" s="0" t="n">
        <v>1.06</v>
      </c>
      <c r="G2030" s="0" t="n">
        <v>17137</v>
      </c>
      <c r="H2030" s="6" t="s">
        <v>113</v>
      </c>
      <c r="I2030" s="6" t="n">
        <f aca="false">D2030*F2030</f>
        <v>19.08</v>
      </c>
      <c r="J2030" s="6" t="n">
        <f aca="false">HOUR(E2030)</f>
        <v>11</v>
      </c>
      <c r="K2030" s="6" t="n">
        <f aca="false">IF(COUNTIF($A$2:$A2030,A2030)=1,1,0)</f>
        <v>0</v>
      </c>
    </row>
    <row r="2031" customFormat="false" ht="15" hidden="false" customHeight="false" outlineLevel="0" collapsed="false">
      <c r="A2031" s="0" t="s">
        <v>483</v>
      </c>
      <c r="B2031" s="0" t="s">
        <v>65</v>
      </c>
      <c r="C2031" s="0" t="s">
        <v>66</v>
      </c>
      <c r="D2031" s="0" t="n">
        <v>14</v>
      </c>
      <c r="E2031" s="5" t="n">
        <v>45962.4922800926</v>
      </c>
      <c r="F2031" s="0" t="n">
        <v>1.65</v>
      </c>
      <c r="G2031" s="0" t="n">
        <v>17137</v>
      </c>
      <c r="H2031" s="6" t="s">
        <v>113</v>
      </c>
      <c r="I2031" s="6" t="n">
        <f aca="false">D2031*F2031</f>
        <v>23.1</v>
      </c>
      <c r="J2031" s="6" t="n">
        <f aca="false">HOUR(E2031)</f>
        <v>11</v>
      </c>
      <c r="K2031" s="6" t="n">
        <f aca="false">IF(COUNTIF($A$2:$A2031,A2031)=1,1,0)</f>
        <v>0</v>
      </c>
    </row>
    <row r="2032" customFormat="false" ht="15" hidden="false" customHeight="false" outlineLevel="0" collapsed="false">
      <c r="A2032" s="0" t="s">
        <v>483</v>
      </c>
      <c r="B2032" s="0" t="s">
        <v>91</v>
      </c>
      <c r="C2032" s="0" t="s">
        <v>92</v>
      </c>
      <c r="D2032" s="0" t="n">
        <v>15</v>
      </c>
      <c r="E2032" s="5" t="n">
        <v>45962.4922800926</v>
      </c>
      <c r="F2032" s="0" t="n">
        <v>7.65</v>
      </c>
      <c r="G2032" s="0" t="n">
        <v>17137</v>
      </c>
      <c r="H2032" s="6" t="s">
        <v>113</v>
      </c>
      <c r="I2032" s="6" t="n">
        <f aca="false">D2032*F2032</f>
        <v>114.75</v>
      </c>
      <c r="J2032" s="6" t="n">
        <f aca="false">HOUR(E2032)</f>
        <v>11</v>
      </c>
      <c r="K2032" s="6" t="n">
        <f aca="false">IF(COUNTIF($A$2:$A2032,A2032)=1,1,0)</f>
        <v>0</v>
      </c>
    </row>
    <row r="2033" customFormat="false" ht="15" hidden="false" customHeight="false" outlineLevel="0" collapsed="false">
      <c r="A2033" s="0" t="s">
        <v>483</v>
      </c>
      <c r="B2033" s="0" t="s">
        <v>75</v>
      </c>
      <c r="C2033" s="0" t="s">
        <v>76</v>
      </c>
      <c r="D2033" s="0" t="n">
        <v>24</v>
      </c>
      <c r="E2033" s="5" t="n">
        <v>45962.4922800926</v>
      </c>
      <c r="F2033" s="0" t="n">
        <v>3.39</v>
      </c>
      <c r="G2033" s="0" t="n">
        <v>17137</v>
      </c>
      <c r="H2033" s="6" t="s">
        <v>113</v>
      </c>
      <c r="I2033" s="6" t="n">
        <f aca="false">D2033*F2033</f>
        <v>81.36</v>
      </c>
      <c r="J2033" s="6" t="n">
        <f aca="false">HOUR(E2033)</f>
        <v>11</v>
      </c>
      <c r="K2033" s="6" t="n">
        <f aca="false">IF(COUNTIF($A$2:$A2033,A2033)=1,1,0)</f>
        <v>0</v>
      </c>
    </row>
    <row r="2034" customFormat="false" ht="15" hidden="false" customHeight="false" outlineLevel="0" collapsed="false">
      <c r="A2034" s="0" t="s">
        <v>484</v>
      </c>
      <c r="B2034" s="0" t="s">
        <v>69</v>
      </c>
      <c r="C2034" s="0" t="s">
        <v>70</v>
      </c>
      <c r="D2034" s="0" t="n">
        <v>29</v>
      </c>
      <c r="E2034" s="5" t="n">
        <v>45962.6303472222</v>
      </c>
      <c r="F2034" s="0" t="n">
        <v>2.08</v>
      </c>
      <c r="G2034" s="0" t="n">
        <v>17020</v>
      </c>
      <c r="H2034" s="6" t="s">
        <v>113</v>
      </c>
      <c r="I2034" s="6" t="n">
        <f aca="false">D2034*F2034</f>
        <v>60.32</v>
      </c>
      <c r="J2034" s="6" t="n">
        <f aca="false">HOUR(E2034)</f>
        <v>15</v>
      </c>
      <c r="K2034" s="6" t="n">
        <f aca="false">IF(COUNTIF($A$2:$A2034,A2034)=1,1,0)</f>
        <v>1</v>
      </c>
    </row>
    <row r="2035" customFormat="false" ht="15" hidden="false" customHeight="false" outlineLevel="0" collapsed="false">
      <c r="A2035" s="0" t="s">
        <v>484</v>
      </c>
      <c r="B2035" s="0" t="s">
        <v>121</v>
      </c>
      <c r="C2035" s="0" t="s">
        <v>122</v>
      </c>
      <c r="D2035" s="0" t="n">
        <v>15</v>
      </c>
      <c r="E2035" s="5" t="n">
        <v>45962.6303472222</v>
      </c>
      <c r="F2035" s="0" t="n">
        <v>2.1</v>
      </c>
      <c r="G2035" s="0" t="n">
        <v>17020</v>
      </c>
      <c r="H2035" s="6" t="s">
        <v>113</v>
      </c>
      <c r="I2035" s="6" t="n">
        <f aca="false">D2035*F2035</f>
        <v>31.5</v>
      </c>
      <c r="J2035" s="6" t="n">
        <f aca="false">HOUR(E2035)</f>
        <v>15</v>
      </c>
      <c r="K2035" s="6" t="n">
        <f aca="false">IF(COUNTIF($A$2:$A2035,A2035)=1,1,0)</f>
        <v>0</v>
      </c>
    </row>
    <row r="2036" customFormat="false" ht="15" hidden="false" customHeight="false" outlineLevel="0" collapsed="false">
      <c r="A2036" s="0" t="s">
        <v>484</v>
      </c>
      <c r="B2036" s="0" t="s">
        <v>83</v>
      </c>
      <c r="C2036" s="0" t="s">
        <v>84</v>
      </c>
      <c r="D2036" s="0" t="n">
        <v>19</v>
      </c>
      <c r="E2036" s="5" t="n">
        <v>45962.6303472222</v>
      </c>
      <c r="F2036" s="0" t="n">
        <v>2.95</v>
      </c>
      <c r="G2036" s="0" t="n">
        <v>17020</v>
      </c>
      <c r="H2036" s="6" t="s">
        <v>113</v>
      </c>
      <c r="I2036" s="6" t="n">
        <f aca="false">D2036*F2036</f>
        <v>56.05</v>
      </c>
      <c r="J2036" s="6" t="n">
        <f aca="false">HOUR(E2036)</f>
        <v>15</v>
      </c>
      <c r="K2036" s="6" t="n">
        <f aca="false">IF(COUNTIF($A$2:$A2036,A2036)=1,1,0)</f>
        <v>0</v>
      </c>
    </row>
    <row r="2037" customFormat="false" ht="15" hidden="false" customHeight="false" outlineLevel="0" collapsed="false">
      <c r="A2037" s="0" t="s">
        <v>485</v>
      </c>
      <c r="B2037" s="0" t="s">
        <v>50</v>
      </c>
      <c r="C2037" s="0" t="s">
        <v>51</v>
      </c>
      <c r="D2037" s="0" t="n">
        <v>22</v>
      </c>
      <c r="E2037" s="5" t="n">
        <v>45962.6875231482</v>
      </c>
      <c r="F2037" s="0" t="n">
        <v>5.95</v>
      </c>
      <c r="G2037" s="0" t="n">
        <v>17014</v>
      </c>
      <c r="H2037" s="6" t="s">
        <v>74</v>
      </c>
      <c r="I2037" s="6" t="n">
        <f aca="false">D2037*F2037</f>
        <v>130.9</v>
      </c>
      <c r="J2037" s="6" t="n">
        <f aca="false">HOUR(E2037)</f>
        <v>16</v>
      </c>
      <c r="K2037" s="6" t="n">
        <f aca="false">IF(COUNTIF($A$2:$A2037,A2037)=1,1,0)</f>
        <v>1</v>
      </c>
    </row>
    <row r="2038" customFormat="false" ht="15" hidden="false" customHeight="false" outlineLevel="0" collapsed="false">
      <c r="A2038" s="0" t="s">
        <v>485</v>
      </c>
      <c r="B2038" s="0" t="s">
        <v>114</v>
      </c>
      <c r="C2038" s="0" t="s">
        <v>115</v>
      </c>
      <c r="D2038" s="0" t="n">
        <v>20</v>
      </c>
      <c r="E2038" s="5" t="n">
        <v>45962.6875231482</v>
      </c>
      <c r="F2038" s="0" t="n">
        <v>2.08</v>
      </c>
      <c r="G2038" s="0" t="n">
        <v>17014</v>
      </c>
      <c r="H2038" s="6" t="s">
        <v>74</v>
      </c>
      <c r="I2038" s="6" t="n">
        <f aca="false">D2038*F2038</f>
        <v>41.6</v>
      </c>
      <c r="J2038" s="6" t="n">
        <f aca="false">HOUR(E2038)</f>
        <v>16</v>
      </c>
      <c r="K2038" s="6" t="n">
        <f aca="false">IF(COUNTIF($A$2:$A2038,A2038)=1,1,0)</f>
        <v>0</v>
      </c>
    </row>
    <row r="2039" customFormat="false" ht="15" hidden="false" customHeight="false" outlineLevel="0" collapsed="false">
      <c r="A2039" s="0" t="s">
        <v>485</v>
      </c>
      <c r="B2039" s="0" t="s">
        <v>55</v>
      </c>
      <c r="C2039" s="0" t="s">
        <v>56</v>
      </c>
      <c r="D2039" s="0" t="n">
        <v>5</v>
      </c>
      <c r="E2039" s="5" t="n">
        <v>45962.6875231482</v>
      </c>
      <c r="F2039" s="0" t="n">
        <v>1.65</v>
      </c>
      <c r="G2039" s="0" t="n">
        <v>17014</v>
      </c>
      <c r="H2039" s="6" t="s">
        <v>74</v>
      </c>
      <c r="I2039" s="6" t="n">
        <f aca="false">D2039*F2039</f>
        <v>8.25</v>
      </c>
      <c r="J2039" s="6" t="n">
        <f aca="false">HOUR(E2039)</f>
        <v>16</v>
      </c>
      <c r="K2039" s="6" t="n">
        <f aca="false">IF(COUNTIF($A$2:$A2039,A2039)=1,1,0)</f>
        <v>0</v>
      </c>
    </row>
    <row r="2040" customFormat="false" ht="15" hidden="false" customHeight="false" outlineLevel="0" collapsed="false">
      <c r="A2040" s="0" t="s">
        <v>486</v>
      </c>
      <c r="B2040" s="0" t="s">
        <v>69</v>
      </c>
      <c r="C2040" s="0" t="s">
        <v>70</v>
      </c>
      <c r="D2040" s="0" t="n">
        <v>35</v>
      </c>
      <c r="E2040" s="5" t="n">
        <v>45962.7577777778</v>
      </c>
      <c r="F2040" s="0" t="n">
        <v>2.08</v>
      </c>
      <c r="G2040" s="0" t="n">
        <v>17010</v>
      </c>
      <c r="H2040" s="6" t="s">
        <v>74</v>
      </c>
      <c r="I2040" s="6" t="n">
        <f aca="false">D2040*F2040</f>
        <v>72.8</v>
      </c>
      <c r="J2040" s="6" t="n">
        <f aca="false">HOUR(E2040)</f>
        <v>18</v>
      </c>
      <c r="K2040" s="6" t="n">
        <f aca="false">IF(COUNTIF($A$2:$A2040,A2040)=1,1,0)</f>
        <v>1</v>
      </c>
    </row>
    <row r="2041" customFormat="false" ht="15" hidden="false" customHeight="false" outlineLevel="0" collapsed="false">
      <c r="A2041" s="0" t="s">
        <v>486</v>
      </c>
      <c r="B2041" s="0" t="s">
        <v>99</v>
      </c>
      <c r="C2041" s="0" t="s">
        <v>100</v>
      </c>
      <c r="D2041" s="0" t="n">
        <v>17</v>
      </c>
      <c r="E2041" s="5" t="n">
        <v>45962.7577777778</v>
      </c>
      <c r="F2041" s="0" t="n">
        <v>2.08</v>
      </c>
      <c r="G2041" s="0" t="n">
        <v>17010</v>
      </c>
      <c r="H2041" s="6" t="s">
        <v>74</v>
      </c>
      <c r="I2041" s="6" t="n">
        <f aca="false">D2041*F2041</f>
        <v>35.36</v>
      </c>
      <c r="J2041" s="6" t="n">
        <f aca="false">HOUR(E2041)</f>
        <v>18</v>
      </c>
      <c r="K2041" s="6" t="n">
        <f aca="false">IF(COUNTIF($A$2:$A2041,A2041)=1,1,0)</f>
        <v>0</v>
      </c>
    </row>
    <row r="2042" customFormat="false" ht="15" hidden="false" customHeight="false" outlineLevel="0" collapsed="false">
      <c r="A2042" s="0" t="s">
        <v>486</v>
      </c>
      <c r="B2042" s="0" t="s">
        <v>63</v>
      </c>
      <c r="C2042" s="0" t="s">
        <v>64</v>
      </c>
      <c r="D2042" s="0" t="n">
        <v>12</v>
      </c>
      <c r="E2042" s="5" t="n">
        <v>45962.7577777778</v>
      </c>
      <c r="F2042" s="0" t="n">
        <v>1.85</v>
      </c>
      <c r="G2042" s="0" t="n">
        <v>17010</v>
      </c>
      <c r="H2042" s="6" t="s">
        <v>74</v>
      </c>
      <c r="I2042" s="6" t="n">
        <f aca="false">D2042*F2042</f>
        <v>22.2</v>
      </c>
      <c r="J2042" s="6" t="n">
        <f aca="false">HOUR(E2042)</f>
        <v>18</v>
      </c>
      <c r="K2042" s="6" t="n">
        <f aca="false">IF(COUNTIF($A$2:$A2042,A2042)=1,1,0)</f>
        <v>0</v>
      </c>
    </row>
    <row r="2043" customFormat="false" ht="15" hidden="false" customHeight="false" outlineLevel="0" collapsed="false">
      <c r="A2043" s="0" t="s">
        <v>487</v>
      </c>
      <c r="B2043" s="0" t="s">
        <v>127</v>
      </c>
      <c r="C2043" s="0" t="s">
        <v>128</v>
      </c>
      <c r="D2043" s="0" t="n">
        <v>2</v>
      </c>
      <c r="E2043" s="5" t="n">
        <v>45962.7718865741</v>
      </c>
      <c r="F2043" s="0" t="n">
        <v>1.45</v>
      </c>
      <c r="H2043" s="6" t="s">
        <v>113</v>
      </c>
      <c r="I2043" s="6" t="n">
        <f aca="false">D2043*F2043</f>
        <v>2.9</v>
      </c>
      <c r="J2043" s="6" t="n">
        <f aca="false">HOUR(E2043)</f>
        <v>18</v>
      </c>
      <c r="K2043" s="6" t="n">
        <f aca="false">IF(COUNTIF($A$2:$A2043,A2043)=1,1,0)</f>
        <v>1</v>
      </c>
    </row>
    <row r="2044" customFormat="false" ht="15" hidden="false" customHeight="false" outlineLevel="0" collapsed="false">
      <c r="A2044" s="0" t="s">
        <v>488</v>
      </c>
      <c r="B2044" s="0" t="s">
        <v>59</v>
      </c>
      <c r="C2044" s="0" t="s">
        <v>60</v>
      </c>
      <c r="D2044" s="0" t="n">
        <v>10</v>
      </c>
      <c r="E2044" s="5" t="n">
        <v>45962.7744097222</v>
      </c>
      <c r="F2044" s="0" t="n">
        <v>0.42</v>
      </c>
      <c r="H2044" s="6" t="s">
        <v>74</v>
      </c>
      <c r="I2044" s="6" t="n">
        <f aca="false">D2044*F2044</f>
        <v>4.2</v>
      </c>
      <c r="J2044" s="6" t="n">
        <f aca="false">HOUR(E2044)</f>
        <v>18</v>
      </c>
      <c r="K2044" s="6" t="n">
        <f aca="false">IF(COUNTIF($A$2:$A2044,A2044)=1,1,0)</f>
        <v>1</v>
      </c>
    </row>
    <row r="2045" customFormat="false" ht="15" hidden="false" customHeight="false" outlineLevel="0" collapsed="false">
      <c r="A2045" s="0" t="s">
        <v>488</v>
      </c>
      <c r="B2045" s="0" t="s">
        <v>104</v>
      </c>
      <c r="C2045" s="0" t="s">
        <v>105</v>
      </c>
      <c r="D2045" s="0" t="n">
        <v>1</v>
      </c>
      <c r="E2045" s="5" t="n">
        <v>45962.7744097222</v>
      </c>
      <c r="F2045" s="0" t="n">
        <v>1.65</v>
      </c>
      <c r="H2045" s="6" t="s">
        <v>74</v>
      </c>
      <c r="I2045" s="6" t="n">
        <f aca="false">D2045*F2045</f>
        <v>1.65</v>
      </c>
      <c r="J2045" s="6" t="n">
        <f aca="false">HOUR(E2045)</f>
        <v>18</v>
      </c>
      <c r="K2045" s="6" t="n">
        <f aca="false">IF(COUNTIF($A$2:$A2045,A2045)=1,1,0)</f>
        <v>0</v>
      </c>
    </row>
    <row r="2046" customFormat="false" ht="15" hidden="false" customHeight="false" outlineLevel="0" collapsed="false">
      <c r="A2046" s="0" t="s">
        <v>488</v>
      </c>
      <c r="B2046" s="0" t="s">
        <v>45</v>
      </c>
      <c r="C2046" s="0" t="s">
        <v>46</v>
      </c>
      <c r="D2046" s="0" t="n">
        <v>14</v>
      </c>
      <c r="E2046" s="5" t="n">
        <v>45962.7744097222</v>
      </c>
      <c r="F2046" s="0" t="n">
        <v>2.1</v>
      </c>
      <c r="H2046" s="6" t="s">
        <v>74</v>
      </c>
      <c r="I2046" s="6" t="n">
        <f aca="false">D2046*F2046</f>
        <v>29.4</v>
      </c>
      <c r="J2046" s="6" t="n">
        <f aca="false">HOUR(E2046)</f>
        <v>18</v>
      </c>
      <c r="K2046" s="6" t="n">
        <f aca="false">IF(COUNTIF($A$2:$A2046,A2046)=1,1,0)</f>
        <v>0</v>
      </c>
    </row>
    <row r="2047" customFormat="false" ht="15" hidden="false" customHeight="false" outlineLevel="0" collapsed="false">
      <c r="A2047" s="0" t="s">
        <v>488</v>
      </c>
      <c r="B2047" s="0" t="s">
        <v>134</v>
      </c>
      <c r="C2047" s="0" t="s">
        <v>135</v>
      </c>
      <c r="D2047" s="0" t="n">
        <v>16</v>
      </c>
      <c r="E2047" s="5" t="n">
        <v>45962.7744097222</v>
      </c>
      <c r="F2047" s="0" t="n">
        <v>5.95</v>
      </c>
      <c r="H2047" s="6" t="s">
        <v>74</v>
      </c>
      <c r="I2047" s="6" t="n">
        <f aca="false">D2047*F2047</f>
        <v>95.2</v>
      </c>
      <c r="J2047" s="6" t="n">
        <f aca="false">HOUR(E2047)</f>
        <v>18</v>
      </c>
      <c r="K2047" s="6" t="n">
        <f aca="false">IF(COUNTIF($A$2:$A2047,A2047)=1,1,0)</f>
        <v>0</v>
      </c>
    </row>
    <row r="2048" customFormat="false" ht="15" hidden="false" customHeight="false" outlineLevel="0" collapsed="false">
      <c r="A2048" s="0" t="s">
        <v>489</v>
      </c>
      <c r="B2048" s="0" t="s">
        <v>63</v>
      </c>
      <c r="C2048" s="0" t="s">
        <v>64</v>
      </c>
      <c r="D2048" s="0" t="n">
        <v>13</v>
      </c>
      <c r="E2048" s="5" t="n">
        <v>45962.8291319445</v>
      </c>
      <c r="F2048" s="0" t="n">
        <v>1.85</v>
      </c>
      <c r="G2048" s="0" t="n">
        <v>17125</v>
      </c>
      <c r="H2048" s="6" t="s">
        <v>263</v>
      </c>
      <c r="I2048" s="6" t="n">
        <f aca="false">D2048*F2048</f>
        <v>24.05</v>
      </c>
      <c r="J2048" s="6" t="n">
        <f aca="false">HOUR(E2048)</f>
        <v>19</v>
      </c>
      <c r="K2048" s="6" t="n">
        <f aca="false">IF(COUNTIF($A$2:$A2048,A2048)=1,1,0)</f>
        <v>1</v>
      </c>
    </row>
    <row r="2049" customFormat="false" ht="15" hidden="false" customHeight="false" outlineLevel="0" collapsed="false">
      <c r="A2049" s="0" t="s">
        <v>489</v>
      </c>
      <c r="B2049" s="0" t="s">
        <v>77</v>
      </c>
      <c r="C2049" s="0" t="s">
        <v>78</v>
      </c>
      <c r="D2049" s="0" t="n">
        <v>16</v>
      </c>
      <c r="E2049" s="5" t="n">
        <v>45962.8291319445</v>
      </c>
      <c r="F2049" s="0" t="n">
        <v>1.65</v>
      </c>
      <c r="G2049" s="0" t="n">
        <v>17125</v>
      </c>
      <c r="H2049" s="6" t="s">
        <v>263</v>
      </c>
      <c r="I2049" s="6" t="n">
        <f aca="false">D2049*F2049</f>
        <v>26.4</v>
      </c>
      <c r="J2049" s="6" t="n">
        <f aca="false">HOUR(E2049)</f>
        <v>19</v>
      </c>
      <c r="K2049" s="6" t="n">
        <f aca="false">IF(COUNTIF($A$2:$A2049,A2049)=1,1,0)</f>
        <v>0</v>
      </c>
    </row>
    <row r="2050" customFormat="false" ht="15" hidden="false" customHeight="false" outlineLevel="0" collapsed="false">
      <c r="A2050" s="0" t="s">
        <v>490</v>
      </c>
      <c r="B2050" s="0" t="s">
        <v>40</v>
      </c>
      <c r="C2050" s="0" t="s">
        <v>41</v>
      </c>
      <c r="D2050" s="0" t="n">
        <v>14</v>
      </c>
      <c r="E2050" s="5" t="n">
        <v>45962.9053009259</v>
      </c>
      <c r="F2050" s="0" t="n">
        <v>1.06</v>
      </c>
      <c r="G2050" s="0" t="n">
        <v>17181</v>
      </c>
      <c r="H2050" s="6" t="s">
        <v>113</v>
      </c>
      <c r="I2050" s="6" t="n">
        <f aca="false">D2050*F2050</f>
        <v>14.84</v>
      </c>
      <c r="J2050" s="6" t="n">
        <f aca="false">HOUR(E2050)</f>
        <v>21</v>
      </c>
      <c r="K2050" s="6" t="n">
        <f aca="false">IF(COUNTIF($A$2:$A2050,A2050)=1,1,0)</f>
        <v>1</v>
      </c>
    </row>
    <row r="2051" customFormat="false" ht="15" hidden="false" customHeight="false" outlineLevel="0" collapsed="false">
      <c r="A2051" s="0" t="s">
        <v>490</v>
      </c>
      <c r="B2051" s="0" t="s">
        <v>61</v>
      </c>
      <c r="C2051" s="0" t="s">
        <v>62</v>
      </c>
      <c r="D2051" s="0" t="n">
        <v>3</v>
      </c>
      <c r="E2051" s="5" t="n">
        <v>45962.9053009259</v>
      </c>
      <c r="F2051" s="0" t="n">
        <v>1.65</v>
      </c>
      <c r="G2051" s="0" t="n">
        <v>17181</v>
      </c>
      <c r="H2051" s="6" t="s">
        <v>113</v>
      </c>
      <c r="I2051" s="6" t="n">
        <f aca="false">D2051*F2051</f>
        <v>4.95</v>
      </c>
      <c r="J2051" s="6" t="n">
        <f aca="false">HOUR(E2051)</f>
        <v>21</v>
      </c>
      <c r="K2051" s="6" t="n">
        <f aca="false">IF(COUNTIF($A$2:$A2051,A2051)=1,1,0)</f>
        <v>0</v>
      </c>
    </row>
    <row r="2052" customFormat="false" ht="15" hidden="false" customHeight="false" outlineLevel="0" collapsed="false">
      <c r="A2052" s="0" t="s">
        <v>490</v>
      </c>
      <c r="B2052" s="0" t="s">
        <v>65</v>
      </c>
      <c r="C2052" s="0" t="s">
        <v>66</v>
      </c>
      <c r="D2052" s="0" t="n">
        <v>3</v>
      </c>
      <c r="E2052" s="5" t="n">
        <v>45962.9053009259</v>
      </c>
      <c r="F2052" s="0" t="n">
        <v>1.65</v>
      </c>
      <c r="G2052" s="0" t="n">
        <v>17181</v>
      </c>
      <c r="H2052" s="6" t="s">
        <v>113</v>
      </c>
      <c r="I2052" s="6" t="n">
        <f aca="false">D2052*F2052</f>
        <v>4.95</v>
      </c>
      <c r="J2052" s="6" t="n">
        <f aca="false">HOUR(E2052)</f>
        <v>21</v>
      </c>
      <c r="K2052" s="6" t="n">
        <f aca="false">IF(COUNTIF($A$2:$A2052,A2052)=1,1,0)</f>
        <v>0</v>
      </c>
    </row>
    <row r="2053" customFormat="false" ht="15" hidden="false" customHeight="false" outlineLevel="0" collapsed="false">
      <c r="A2053" s="0" t="s">
        <v>490</v>
      </c>
      <c r="B2053" s="0" t="s">
        <v>127</v>
      </c>
      <c r="C2053" s="0" t="s">
        <v>128</v>
      </c>
      <c r="D2053" s="0" t="n">
        <v>3</v>
      </c>
      <c r="E2053" s="5" t="n">
        <v>45962.9053009259</v>
      </c>
      <c r="F2053" s="0" t="n">
        <v>1.45</v>
      </c>
      <c r="G2053" s="0" t="n">
        <v>17181</v>
      </c>
      <c r="H2053" s="6" t="s">
        <v>113</v>
      </c>
      <c r="I2053" s="6" t="n">
        <f aca="false">D2053*F2053</f>
        <v>4.35</v>
      </c>
      <c r="J2053" s="6" t="n">
        <f aca="false">HOUR(E2053)</f>
        <v>21</v>
      </c>
      <c r="K2053" s="6" t="n">
        <f aca="false">IF(COUNTIF($A$2:$A2053,A2053)=1,1,0)</f>
        <v>0</v>
      </c>
    </row>
    <row r="2054" customFormat="false" ht="15" hidden="false" customHeight="false" outlineLevel="0" collapsed="false">
      <c r="A2054" s="0" t="s">
        <v>490</v>
      </c>
      <c r="B2054" s="0" t="s">
        <v>53</v>
      </c>
      <c r="C2054" s="0" t="s">
        <v>54</v>
      </c>
      <c r="D2054" s="0" t="n">
        <v>2</v>
      </c>
      <c r="E2054" s="5" t="n">
        <v>45962.9053009259</v>
      </c>
      <c r="F2054" s="0" t="n">
        <v>2.95</v>
      </c>
      <c r="G2054" s="0" t="n">
        <v>17181</v>
      </c>
      <c r="H2054" s="6" t="s">
        <v>113</v>
      </c>
      <c r="I2054" s="6" t="n">
        <f aca="false">D2054*F2054</f>
        <v>5.9</v>
      </c>
      <c r="J2054" s="6" t="n">
        <f aca="false">HOUR(E2054)</f>
        <v>21</v>
      </c>
      <c r="K2054" s="6" t="n">
        <f aca="false">IF(COUNTIF($A$2:$A2054,A2054)=1,1,0)</f>
        <v>0</v>
      </c>
    </row>
    <row r="2055" customFormat="false" ht="15" hidden="false" customHeight="false" outlineLevel="0" collapsed="false">
      <c r="A2055" s="0" t="s">
        <v>490</v>
      </c>
      <c r="B2055" s="0" t="s">
        <v>59</v>
      </c>
      <c r="C2055" s="0" t="s">
        <v>60</v>
      </c>
      <c r="D2055" s="0" t="n">
        <v>10</v>
      </c>
      <c r="E2055" s="5" t="n">
        <v>45962.9053009259</v>
      </c>
      <c r="F2055" s="0" t="n">
        <v>0.42</v>
      </c>
      <c r="G2055" s="0" t="n">
        <v>17181</v>
      </c>
      <c r="H2055" s="6" t="s">
        <v>113</v>
      </c>
      <c r="I2055" s="6" t="n">
        <f aca="false">D2055*F2055</f>
        <v>4.2</v>
      </c>
      <c r="J2055" s="6" t="n">
        <f aca="false">HOUR(E2055)</f>
        <v>21</v>
      </c>
      <c r="K2055" s="6" t="n">
        <f aca="false">IF(COUNTIF($A$2:$A2055,A2055)=1,1,0)</f>
        <v>0</v>
      </c>
    </row>
    <row r="2056" customFormat="false" ht="15" hidden="false" customHeight="false" outlineLevel="0" collapsed="false">
      <c r="A2056" s="0" t="s">
        <v>490</v>
      </c>
      <c r="B2056" s="0" t="s">
        <v>57</v>
      </c>
      <c r="C2056" s="0" t="s">
        <v>58</v>
      </c>
      <c r="D2056" s="0" t="n">
        <v>16</v>
      </c>
      <c r="E2056" s="5" t="n">
        <v>45962.9053009259</v>
      </c>
      <c r="F2056" s="0" t="n">
        <v>2.08</v>
      </c>
      <c r="G2056" s="0" t="n">
        <v>17181</v>
      </c>
      <c r="H2056" s="6" t="s">
        <v>113</v>
      </c>
      <c r="I2056" s="6" t="n">
        <f aca="false">D2056*F2056</f>
        <v>33.28</v>
      </c>
      <c r="J2056" s="6" t="n">
        <f aca="false">HOUR(E2056)</f>
        <v>21</v>
      </c>
      <c r="K2056" s="6" t="n">
        <f aca="false">IF(COUNTIF($A$2:$A2056,A2056)=1,1,0)</f>
        <v>0</v>
      </c>
    </row>
    <row r="2057" customFormat="false" ht="15" hidden="false" customHeight="false" outlineLevel="0" collapsed="false">
      <c r="A2057" s="0" t="s">
        <v>490</v>
      </c>
      <c r="B2057" s="0" t="s">
        <v>91</v>
      </c>
      <c r="C2057" s="0" t="s">
        <v>92</v>
      </c>
      <c r="D2057" s="0" t="n">
        <v>1</v>
      </c>
      <c r="E2057" s="5" t="n">
        <v>45962.9053009259</v>
      </c>
      <c r="F2057" s="0" t="n">
        <v>7.65</v>
      </c>
      <c r="G2057" s="0" t="n">
        <v>17181</v>
      </c>
      <c r="H2057" s="6" t="s">
        <v>113</v>
      </c>
      <c r="I2057" s="6" t="n">
        <f aca="false">D2057*F2057</f>
        <v>7.65</v>
      </c>
      <c r="J2057" s="6" t="n">
        <f aca="false">HOUR(E2057)</f>
        <v>21</v>
      </c>
      <c r="K2057" s="6" t="n">
        <f aca="false">IF(COUNTIF($A$2:$A2057,A2057)=1,1,0)</f>
        <v>0</v>
      </c>
    </row>
    <row r="2058" customFormat="false" ht="15" hidden="false" customHeight="false" outlineLevel="0" collapsed="false">
      <c r="A2058" s="0" t="s">
        <v>491</v>
      </c>
      <c r="B2058" s="0" t="s">
        <v>86</v>
      </c>
      <c r="C2058" s="0" t="s">
        <v>87</v>
      </c>
      <c r="D2058" s="0" t="n">
        <v>4</v>
      </c>
      <c r="E2058" s="5" t="n">
        <v>45963.3546759259</v>
      </c>
      <c r="F2058" s="0" t="n">
        <v>4.25</v>
      </c>
      <c r="G2058" s="0" t="n">
        <v>17004</v>
      </c>
      <c r="H2058" s="6" t="s">
        <v>188</v>
      </c>
      <c r="I2058" s="6" t="n">
        <f aca="false">D2058*F2058</f>
        <v>17</v>
      </c>
      <c r="J2058" s="6" t="n">
        <f aca="false">HOUR(E2058)</f>
        <v>8</v>
      </c>
      <c r="K2058" s="6" t="n">
        <f aca="false">IF(COUNTIF($A$2:$A2058,A2058)=1,1,0)</f>
        <v>1</v>
      </c>
    </row>
    <row r="2059" customFormat="false" ht="15" hidden="false" customHeight="false" outlineLevel="0" collapsed="false">
      <c r="A2059" s="0" t="s">
        <v>491</v>
      </c>
      <c r="B2059" s="0" t="s">
        <v>43</v>
      </c>
      <c r="C2059" s="0" t="s">
        <v>44</v>
      </c>
      <c r="D2059" s="0" t="n">
        <v>5</v>
      </c>
      <c r="E2059" s="5" t="n">
        <v>45963.3546759259</v>
      </c>
      <c r="F2059" s="0" t="n">
        <v>4.25</v>
      </c>
      <c r="G2059" s="0" t="n">
        <v>17004</v>
      </c>
      <c r="H2059" s="6" t="s">
        <v>188</v>
      </c>
      <c r="I2059" s="6" t="n">
        <f aca="false">D2059*F2059</f>
        <v>21.25</v>
      </c>
      <c r="J2059" s="6" t="n">
        <f aca="false">HOUR(E2059)</f>
        <v>8</v>
      </c>
      <c r="K2059" s="6" t="n">
        <f aca="false">IF(COUNTIF($A$2:$A2059,A2059)=1,1,0)</f>
        <v>0</v>
      </c>
    </row>
    <row r="2060" customFormat="false" ht="15" hidden="false" customHeight="false" outlineLevel="0" collapsed="false">
      <c r="A2060" s="0" t="s">
        <v>491</v>
      </c>
      <c r="B2060" s="0" t="s">
        <v>53</v>
      </c>
      <c r="C2060" s="0" t="s">
        <v>54</v>
      </c>
      <c r="D2060" s="0" t="n">
        <v>20</v>
      </c>
      <c r="E2060" s="5" t="n">
        <v>45963.3546759259</v>
      </c>
      <c r="F2060" s="0" t="n">
        <v>2.95</v>
      </c>
      <c r="G2060" s="0" t="n">
        <v>17004</v>
      </c>
      <c r="H2060" s="6" t="s">
        <v>188</v>
      </c>
      <c r="I2060" s="6" t="n">
        <f aca="false">D2060*F2060</f>
        <v>59</v>
      </c>
      <c r="J2060" s="6" t="n">
        <f aca="false">HOUR(E2060)</f>
        <v>8</v>
      </c>
      <c r="K2060" s="6" t="n">
        <f aca="false">IF(COUNTIF($A$2:$A2060,A2060)=1,1,0)</f>
        <v>0</v>
      </c>
    </row>
    <row r="2061" customFormat="false" ht="15" hidden="false" customHeight="false" outlineLevel="0" collapsed="false">
      <c r="A2061" s="0" t="s">
        <v>491</v>
      </c>
      <c r="B2061" s="0" t="s">
        <v>116</v>
      </c>
      <c r="C2061" s="0" t="s">
        <v>117</v>
      </c>
      <c r="D2061" s="0" t="n">
        <v>16</v>
      </c>
      <c r="E2061" s="5" t="n">
        <v>45963.3546759259</v>
      </c>
      <c r="F2061" s="0" t="n">
        <v>1.95</v>
      </c>
      <c r="G2061" s="0" t="n">
        <v>17004</v>
      </c>
      <c r="H2061" s="6" t="s">
        <v>188</v>
      </c>
      <c r="I2061" s="6" t="n">
        <f aca="false">D2061*F2061</f>
        <v>31.2</v>
      </c>
      <c r="J2061" s="6" t="n">
        <f aca="false">HOUR(E2061)</f>
        <v>8</v>
      </c>
      <c r="K2061" s="6" t="n">
        <f aca="false">IF(COUNTIF($A$2:$A2061,A2061)=1,1,0)</f>
        <v>0</v>
      </c>
    </row>
    <row r="2062" customFormat="false" ht="15" hidden="false" customHeight="false" outlineLevel="0" collapsed="false">
      <c r="A2062" s="0" t="s">
        <v>491</v>
      </c>
      <c r="B2062" s="0" t="s">
        <v>65</v>
      </c>
      <c r="C2062" s="0" t="s">
        <v>66</v>
      </c>
      <c r="D2062" s="0" t="n">
        <v>4</v>
      </c>
      <c r="E2062" s="5" t="n">
        <v>45963.3546759259</v>
      </c>
      <c r="F2062" s="0" t="n">
        <v>1.65</v>
      </c>
      <c r="G2062" s="0" t="n">
        <v>17004</v>
      </c>
      <c r="H2062" s="6" t="s">
        <v>188</v>
      </c>
      <c r="I2062" s="6" t="n">
        <f aca="false">D2062*F2062</f>
        <v>6.6</v>
      </c>
      <c r="J2062" s="6" t="n">
        <f aca="false">HOUR(E2062)</f>
        <v>8</v>
      </c>
      <c r="K2062" s="6" t="n">
        <f aca="false">IF(COUNTIF($A$2:$A2062,A2062)=1,1,0)</f>
        <v>0</v>
      </c>
    </row>
    <row r="2063" customFormat="false" ht="15" hidden="false" customHeight="false" outlineLevel="0" collapsed="false">
      <c r="A2063" s="0" t="s">
        <v>492</v>
      </c>
      <c r="B2063" s="0" t="s">
        <v>102</v>
      </c>
      <c r="C2063" s="0" t="s">
        <v>103</v>
      </c>
      <c r="D2063" s="0" t="n">
        <v>16</v>
      </c>
      <c r="E2063" s="5" t="n">
        <v>45963.3852662037</v>
      </c>
      <c r="F2063" s="0" t="n">
        <v>8.5</v>
      </c>
      <c r="G2063" s="0" t="n">
        <v>17220</v>
      </c>
      <c r="H2063" s="6" t="s">
        <v>113</v>
      </c>
      <c r="I2063" s="6" t="n">
        <f aca="false">D2063*F2063</f>
        <v>136</v>
      </c>
      <c r="J2063" s="6" t="n">
        <f aca="false">HOUR(E2063)</f>
        <v>9</v>
      </c>
      <c r="K2063" s="6" t="n">
        <f aca="false">IF(COUNTIF($A$2:$A2063,A2063)=1,1,0)</f>
        <v>1</v>
      </c>
    </row>
    <row r="2064" customFormat="false" ht="15" hidden="false" customHeight="false" outlineLevel="0" collapsed="false">
      <c r="A2064" s="0" t="s">
        <v>492</v>
      </c>
      <c r="B2064" s="0" t="s">
        <v>69</v>
      </c>
      <c r="C2064" s="0" t="s">
        <v>70</v>
      </c>
      <c r="D2064" s="0" t="n">
        <v>38</v>
      </c>
      <c r="E2064" s="5" t="n">
        <v>45963.3852662037</v>
      </c>
      <c r="F2064" s="0" t="n">
        <v>2.08</v>
      </c>
      <c r="G2064" s="0" t="n">
        <v>17220</v>
      </c>
      <c r="H2064" s="6" t="s">
        <v>113</v>
      </c>
      <c r="I2064" s="6" t="n">
        <f aca="false">D2064*F2064</f>
        <v>79.04</v>
      </c>
      <c r="J2064" s="6" t="n">
        <f aca="false">HOUR(E2064)</f>
        <v>9</v>
      </c>
      <c r="K2064" s="6" t="n">
        <f aca="false">IF(COUNTIF($A$2:$A2064,A2064)=1,1,0)</f>
        <v>0</v>
      </c>
    </row>
    <row r="2065" customFormat="false" ht="15" hidden="false" customHeight="false" outlineLevel="0" collapsed="false">
      <c r="A2065" s="0" t="s">
        <v>492</v>
      </c>
      <c r="B2065" s="0" t="s">
        <v>77</v>
      </c>
      <c r="C2065" s="0" t="s">
        <v>78</v>
      </c>
      <c r="D2065" s="0" t="n">
        <v>5</v>
      </c>
      <c r="E2065" s="5" t="n">
        <v>45963.3852662037</v>
      </c>
      <c r="F2065" s="0" t="n">
        <v>1.65</v>
      </c>
      <c r="G2065" s="0" t="n">
        <v>17220</v>
      </c>
      <c r="H2065" s="6" t="s">
        <v>113</v>
      </c>
      <c r="I2065" s="6" t="n">
        <f aca="false">D2065*F2065</f>
        <v>8.25</v>
      </c>
      <c r="J2065" s="6" t="n">
        <f aca="false">HOUR(E2065)</f>
        <v>9</v>
      </c>
      <c r="K2065" s="6" t="n">
        <f aca="false">IF(COUNTIF($A$2:$A2065,A2065)=1,1,0)</f>
        <v>0</v>
      </c>
    </row>
    <row r="2066" customFormat="false" ht="15" hidden="false" customHeight="false" outlineLevel="0" collapsed="false">
      <c r="A2066" s="0" t="s">
        <v>492</v>
      </c>
      <c r="B2066" s="0" t="s">
        <v>50</v>
      </c>
      <c r="C2066" s="0" t="s">
        <v>51</v>
      </c>
      <c r="D2066" s="0" t="n">
        <v>8</v>
      </c>
      <c r="E2066" s="5" t="n">
        <v>45963.3852662037</v>
      </c>
      <c r="F2066" s="0" t="n">
        <v>5.95</v>
      </c>
      <c r="G2066" s="0" t="n">
        <v>17220</v>
      </c>
      <c r="H2066" s="6" t="s">
        <v>113</v>
      </c>
      <c r="I2066" s="6" t="n">
        <f aca="false">D2066*F2066</f>
        <v>47.6</v>
      </c>
      <c r="J2066" s="6" t="n">
        <f aca="false">HOUR(E2066)</f>
        <v>9</v>
      </c>
      <c r="K2066" s="6" t="n">
        <f aca="false">IF(COUNTIF($A$2:$A2066,A2066)=1,1,0)</f>
        <v>0</v>
      </c>
    </row>
    <row r="2067" customFormat="false" ht="15" hidden="false" customHeight="false" outlineLevel="0" collapsed="false">
      <c r="A2067" s="0" t="s">
        <v>492</v>
      </c>
      <c r="B2067" s="0" t="s">
        <v>131</v>
      </c>
      <c r="C2067" s="0" t="s">
        <v>132</v>
      </c>
      <c r="D2067" s="0" t="n">
        <v>18</v>
      </c>
      <c r="E2067" s="5" t="n">
        <v>45963.3852662037</v>
      </c>
      <c r="F2067" s="0" t="n">
        <v>3.39</v>
      </c>
      <c r="G2067" s="0" t="n">
        <v>17220</v>
      </c>
      <c r="H2067" s="6" t="s">
        <v>113</v>
      </c>
      <c r="I2067" s="6" t="n">
        <f aca="false">D2067*F2067</f>
        <v>61.02</v>
      </c>
      <c r="J2067" s="6" t="n">
        <f aca="false">HOUR(E2067)</f>
        <v>9</v>
      </c>
      <c r="K2067" s="6" t="n">
        <f aca="false">IF(COUNTIF($A$2:$A2067,A2067)=1,1,0)</f>
        <v>0</v>
      </c>
    </row>
    <row r="2068" customFormat="false" ht="15" hidden="false" customHeight="false" outlineLevel="0" collapsed="false">
      <c r="A2068" s="0" t="s">
        <v>492</v>
      </c>
      <c r="B2068" s="0" t="s">
        <v>47</v>
      </c>
      <c r="C2068" s="0" t="s">
        <v>48</v>
      </c>
      <c r="D2068" s="0" t="n">
        <v>29</v>
      </c>
      <c r="E2068" s="5" t="n">
        <v>45963.3852662037</v>
      </c>
      <c r="F2068" s="0" t="n">
        <v>12.75</v>
      </c>
      <c r="G2068" s="0" t="n">
        <v>17220</v>
      </c>
      <c r="H2068" s="6" t="s">
        <v>113</v>
      </c>
      <c r="I2068" s="6" t="n">
        <f aca="false">D2068*F2068</f>
        <v>369.75</v>
      </c>
      <c r="J2068" s="6" t="n">
        <f aca="false">HOUR(E2068)</f>
        <v>9</v>
      </c>
      <c r="K2068" s="6" t="n">
        <f aca="false">IF(COUNTIF($A$2:$A2068,A2068)=1,1,0)</f>
        <v>0</v>
      </c>
    </row>
    <row r="2069" customFormat="false" ht="15" hidden="false" customHeight="false" outlineLevel="0" collapsed="false">
      <c r="A2069" s="0" t="s">
        <v>493</v>
      </c>
      <c r="B2069" s="0" t="s">
        <v>134</v>
      </c>
      <c r="C2069" s="0" t="s">
        <v>135</v>
      </c>
      <c r="D2069" s="0" t="n">
        <v>1</v>
      </c>
      <c r="E2069" s="5" t="n">
        <v>45963.3987615741</v>
      </c>
      <c r="F2069" s="0" t="n">
        <v>5.95</v>
      </c>
      <c r="G2069" s="0" t="n">
        <v>17248</v>
      </c>
      <c r="H2069" s="6" t="s">
        <v>74</v>
      </c>
      <c r="I2069" s="6" t="n">
        <f aca="false">D2069*F2069</f>
        <v>5.95</v>
      </c>
      <c r="J2069" s="6" t="n">
        <f aca="false">HOUR(E2069)</f>
        <v>9</v>
      </c>
      <c r="K2069" s="6" t="n">
        <f aca="false">IF(COUNTIF($A$2:$A2069,A2069)=1,1,0)</f>
        <v>1</v>
      </c>
    </row>
    <row r="2070" customFormat="false" ht="15" hidden="false" customHeight="false" outlineLevel="0" collapsed="false">
      <c r="A2070" s="0" t="s">
        <v>493</v>
      </c>
      <c r="B2070" s="0" t="s">
        <v>63</v>
      </c>
      <c r="C2070" s="0" t="s">
        <v>64</v>
      </c>
      <c r="D2070" s="0" t="n">
        <v>4</v>
      </c>
      <c r="E2070" s="5" t="n">
        <v>45963.3987615741</v>
      </c>
      <c r="F2070" s="0" t="n">
        <v>1.85</v>
      </c>
      <c r="G2070" s="0" t="n">
        <v>17248</v>
      </c>
      <c r="H2070" s="6" t="s">
        <v>74</v>
      </c>
      <c r="I2070" s="6" t="n">
        <f aca="false">D2070*F2070</f>
        <v>7.4</v>
      </c>
      <c r="J2070" s="6" t="n">
        <f aca="false">HOUR(E2070)</f>
        <v>9</v>
      </c>
      <c r="K2070" s="6" t="n">
        <f aca="false">IF(COUNTIF($A$2:$A2070,A2070)=1,1,0)</f>
        <v>0</v>
      </c>
    </row>
    <row r="2071" customFormat="false" ht="15" hidden="false" customHeight="false" outlineLevel="0" collapsed="false">
      <c r="A2071" s="0" t="s">
        <v>493</v>
      </c>
      <c r="B2071" s="0" t="s">
        <v>93</v>
      </c>
      <c r="C2071" s="0" t="s">
        <v>94</v>
      </c>
      <c r="D2071" s="0" t="n">
        <v>24</v>
      </c>
      <c r="E2071" s="5" t="n">
        <v>45963.3987615741</v>
      </c>
      <c r="F2071" s="0" t="n">
        <v>1.69</v>
      </c>
      <c r="G2071" s="0" t="n">
        <v>17248</v>
      </c>
      <c r="H2071" s="6" t="s">
        <v>74</v>
      </c>
      <c r="I2071" s="6" t="n">
        <f aca="false">D2071*F2071</f>
        <v>40.56</v>
      </c>
      <c r="J2071" s="6" t="n">
        <f aca="false">HOUR(E2071)</f>
        <v>9</v>
      </c>
      <c r="K2071" s="6" t="n">
        <f aca="false">IF(COUNTIF($A$2:$A2071,A2071)=1,1,0)</f>
        <v>0</v>
      </c>
    </row>
    <row r="2072" customFormat="false" ht="15" hidden="false" customHeight="false" outlineLevel="0" collapsed="false">
      <c r="A2072" s="0" t="s">
        <v>493</v>
      </c>
      <c r="B2072" s="0" t="s">
        <v>43</v>
      </c>
      <c r="C2072" s="0" t="s">
        <v>44</v>
      </c>
      <c r="D2072" s="0" t="n">
        <v>1</v>
      </c>
      <c r="E2072" s="5" t="n">
        <v>45963.3987615741</v>
      </c>
      <c r="F2072" s="0" t="n">
        <v>4.25</v>
      </c>
      <c r="G2072" s="0" t="n">
        <v>17248</v>
      </c>
      <c r="H2072" s="6" t="s">
        <v>74</v>
      </c>
      <c r="I2072" s="6" t="n">
        <f aca="false">D2072*F2072</f>
        <v>4.25</v>
      </c>
      <c r="J2072" s="6" t="n">
        <f aca="false">HOUR(E2072)</f>
        <v>9</v>
      </c>
      <c r="K2072" s="6" t="n">
        <f aca="false">IF(COUNTIF($A$2:$A2072,A2072)=1,1,0)</f>
        <v>0</v>
      </c>
    </row>
    <row r="2073" customFormat="false" ht="15" hidden="false" customHeight="false" outlineLevel="0" collapsed="false">
      <c r="A2073" s="0" t="s">
        <v>493</v>
      </c>
      <c r="B2073" s="0" t="s">
        <v>65</v>
      </c>
      <c r="C2073" s="0" t="s">
        <v>66</v>
      </c>
      <c r="D2073" s="0" t="n">
        <v>12</v>
      </c>
      <c r="E2073" s="5" t="n">
        <v>45963.3987615741</v>
      </c>
      <c r="F2073" s="0" t="n">
        <v>1.65</v>
      </c>
      <c r="G2073" s="0" t="n">
        <v>17248</v>
      </c>
      <c r="H2073" s="6" t="s">
        <v>74</v>
      </c>
      <c r="I2073" s="6" t="n">
        <f aca="false">D2073*F2073</f>
        <v>19.8</v>
      </c>
      <c r="J2073" s="6" t="n">
        <f aca="false">HOUR(E2073)</f>
        <v>9</v>
      </c>
      <c r="K2073" s="6" t="n">
        <f aca="false">IF(COUNTIF($A$2:$A2073,A2073)=1,1,0)</f>
        <v>0</v>
      </c>
    </row>
    <row r="2074" customFormat="false" ht="15" hidden="false" customHeight="false" outlineLevel="0" collapsed="false">
      <c r="A2074" s="0" t="s">
        <v>493</v>
      </c>
      <c r="B2074" s="0" t="s">
        <v>86</v>
      </c>
      <c r="C2074" s="0" t="s">
        <v>87</v>
      </c>
      <c r="D2074" s="0" t="n">
        <v>24</v>
      </c>
      <c r="E2074" s="5" t="n">
        <v>45963.3987615741</v>
      </c>
      <c r="F2074" s="0" t="n">
        <v>4.25</v>
      </c>
      <c r="G2074" s="0" t="n">
        <v>17248</v>
      </c>
      <c r="H2074" s="6" t="s">
        <v>74</v>
      </c>
      <c r="I2074" s="6" t="n">
        <f aca="false">D2074*F2074</f>
        <v>102</v>
      </c>
      <c r="J2074" s="6" t="n">
        <f aca="false">HOUR(E2074)</f>
        <v>9</v>
      </c>
      <c r="K2074" s="6" t="n">
        <f aca="false">IF(COUNTIF($A$2:$A2074,A2074)=1,1,0)</f>
        <v>0</v>
      </c>
    </row>
    <row r="2075" customFormat="false" ht="15" hidden="false" customHeight="false" outlineLevel="0" collapsed="false">
      <c r="A2075" s="0" t="s">
        <v>493</v>
      </c>
      <c r="B2075" s="0" t="s">
        <v>83</v>
      </c>
      <c r="C2075" s="0" t="s">
        <v>84</v>
      </c>
      <c r="D2075" s="0" t="n">
        <v>14</v>
      </c>
      <c r="E2075" s="5" t="n">
        <v>45963.3987615741</v>
      </c>
      <c r="F2075" s="0" t="n">
        <v>2.95</v>
      </c>
      <c r="G2075" s="0" t="n">
        <v>17248</v>
      </c>
      <c r="H2075" s="6" t="s">
        <v>74</v>
      </c>
      <c r="I2075" s="6" t="n">
        <f aca="false">D2075*F2075</f>
        <v>41.3</v>
      </c>
      <c r="J2075" s="6" t="n">
        <f aca="false">HOUR(E2075)</f>
        <v>9</v>
      </c>
      <c r="K2075" s="6" t="n">
        <f aca="false">IF(COUNTIF($A$2:$A2075,A2075)=1,1,0)</f>
        <v>0</v>
      </c>
    </row>
    <row r="2076" customFormat="false" ht="15" hidden="false" customHeight="false" outlineLevel="0" collapsed="false">
      <c r="A2076" s="0" t="s">
        <v>493</v>
      </c>
      <c r="B2076" s="0" t="s">
        <v>91</v>
      </c>
      <c r="C2076" s="0" t="s">
        <v>92</v>
      </c>
      <c r="D2076" s="0" t="n">
        <v>1</v>
      </c>
      <c r="E2076" s="5" t="n">
        <v>45963.3987615741</v>
      </c>
      <c r="F2076" s="0" t="n">
        <v>7.65</v>
      </c>
      <c r="G2076" s="0" t="n">
        <v>17248</v>
      </c>
      <c r="H2076" s="6" t="s">
        <v>74</v>
      </c>
      <c r="I2076" s="6" t="n">
        <f aca="false">D2076*F2076</f>
        <v>7.65</v>
      </c>
      <c r="J2076" s="6" t="n">
        <f aca="false">HOUR(E2076)</f>
        <v>9</v>
      </c>
      <c r="K2076" s="6" t="n">
        <f aca="false">IF(COUNTIF($A$2:$A2076,A2076)=1,1,0)</f>
        <v>0</v>
      </c>
    </row>
    <row r="2077" customFormat="false" ht="15" hidden="false" customHeight="false" outlineLevel="0" collapsed="false">
      <c r="A2077" s="0" t="s">
        <v>493</v>
      </c>
      <c r="B2077" s="0" t="s">
        <v>125</v>
      </c>
      <c r="C2077" s="0" t="s">
        <v>126</v>
      </c>
      <c r="D2077" s="0" t="n">
        <v>17</v>
      </c>
      <c r="E2077" s="5" t="n">
        <v>45963.3987615741</v>
      </c>
      <c r="F2077" s="0" t="n">
        <v>1.25</v>
      </c>
      <c r="G2077" s="0" t="n">
        <v>17248</v>
      </c>
      <c r="H2077" s="6" t="s">
        <v>74</v>
      </c>
      <c r="I2077" s="6" t="n">
        <f aca="false">D2077*F2077</f>
        <v>21.25</v>
      </c>
      <c r="J2077" s="6" t="n">
        <f aca="false">HOUR(E2077)</f>
        <v>9</v>
      </c>
      <c r="K2077" s="6" t="n">
        <f aca="false">IF(COUNTIF($A$2:$A2077,A2077)=1,1,0)</f>
        <v>0</v>
      </c>
    </row>
    <row r="2078" customFormat="false" ht="15" hidden="false" customHeight="false" outlineLevel="0" collapsed="false">
      <c r="A2078" s="0" t="s">
        <v>494</v>
      </c>
      <c r="B2078" s="0" t="s">
        <v>121</v>
      </c>
      <c r="C2078" s="0" t="s">
        <v>122</v>
      </c>
      <c r="D2078" s="0" t="n">
        <v>14</v>
      </c>
      <c r="E2078" s="5" t="n">
        <v>45963.422662037</v>
      </c>
      <c r="F2078" s="0" t="n">
        <v>2.1</v>
      </c>
      <c r="G2078" s="0" t="n">
        <v>17140</v>
      </c>
      <c r="H2078" s="6" t="s">
        <v>74</v>
      </c>
      <c r="I2078" s="6" t="n">
        <f aca="false">D2078*F2078</f>
        <v>29.4</v>
      </c>
      <c r="J2078" s="6" t="n">
        <f aca="false">HOUR(E2078)</f>
        <v>10</v>
      </c>
      <c r="K2078" s="6" t="n">
        <f aca="false">IF(COUNTIF($A$2:$A2078,A2078)=1,1,0)</f>
        <v>1</v>
      </c>
    </row>
    <row r="2079" customFormat="false" ht="15" hidden="false" customHeight="false" outlineLevel="0" collapsed="false">
      <c r="A2079" s="0" t="s">
        <v>494</v>
      </c>
      <c r="B2079" s="0" t="s">
        <v>72</v>
      </c>
      <c r="C2079" s="0" t="s">
        <v>73</v>
      </c>
      <c r="D2079" s="0" t="n">
        <v>14</v>
      </c>
      <c r="E2079" s="5" t="n">
        <v>45963.422662037</v>
      </c>
      <c r="F2079" s="0" t="n">
        <v>4.95</v>
      </c>
      <c r="G2079" s="0" t="n">
        <v>17140</v>
      </c>
      <c r="H2079" s="6" t="s">
        <v>74</v>
      </c>
      <c r="I2079" s="6" t="n">
        <f aca="false">D2079*F2079</f>
        <v>69.3</v>
      </c>
      <c r="J2079" s="6" t="n">
        <f aca="false">HOUR(E2079)</f>
        <v>10</v>
      </c>
      <c r="K2079" s="6" t="n">
        <f aca="false">IF(COUNTIF($A$2:$A2079,A2079)=1,1,0)</f>
        <v>0</v>
      </c>
    </row>
    <row r="2080" customFormat="false" ht="15" hidden="false" customHeight="false" outlineLevel="0" collapsed="false">
      <c r="A2080" s="0" t="s">
        <v>494</v>
      </c>
      <c r="B2080" s="0" t="s">
        <v>81</v>
      </c>
      <c r="C2080" s="0" t="s">
        <v>82</v>
      </c>
      <c r="D2080" s="0" t="n">
        <v>5</v>
      </c>
      <c r="E2080" s="5" t="n">
        <v>45963.422662037</v>
      </c>
      <c r="F2080" s="0" t="n">
        <v>1.65</v>
      </c>
      <c r="G2080" s="0" t="n">
        <v>17140</v>
      </c>
      <c r="H2080" s="6" t="s">
        <v>74</v>
      </c>
      <c r="I2080" s="6" t="n">
        <f aca="false">D2080*F2080</f>
        <v>8.25</v>
      </c>
      <c r="J2080" s="6" t="n">
        <f aca="false">HOUR(E2080)</f>
        <v>10</v>
      </c>
      <c r="K2080" s="6" t="n">
        <f aca="false">IF(COUNTIF($A$2:$A2080,A2080)=1,1,0)</f>
        <v>0</v>
      </c>
    </row>
    <row r="2081" customFormat="false" ht="15" hidden="false" customHeight="false" outlineLevel="0" collapsed="false">
      <c r="A2081" s="0" t="s">
        <v>494</v>
      </c>
      <c r="B2081" s="0" t="s">
        <v>118</v>
      </c>
      <c r="C2081" s="0" t="s">
        <v>119</v>
      </c>
      <c r="D2081" s="0" t="n">
        <v>45</v>
      </c>
      <c r="E2081" s="5" t="n">
        <v>45963.422662037</v>
      </c>
      <c r="F2081" s="0" t="n">
        <v>4.95</v>
      </c>
      <c r="G2081" s="0" t="n">
        <v>17140</v>
      </c>
      <c r="H2081" s="6" t="s">
        <v>74</v>
      </c>
      <c r="I2081" s="6" t="n">
        <f aca="false">D2081*F2081</f>
        <v>222.75</v>
      </c>
      <c r="J2081" s="6" t="n">
        <f aca="false">HOUR(E2081)</f>
        <v>10</v>
      </c>
      <c r="K2081" s="6" t="n">
        <f aca="false">IF(COUNTIF($A$2:$A2081,A2081)=1,1,0)</f>
        <v>0</v>
      </c>
    </row>
    <row r="2082" customFormat="false" ht="15" hidden="false" customHeight="false" outlineLevel="0" collapsed="false">
      <c r="A2082" s="0" t="s">
        <v>494</v>
      </c>
      <c r="B2082" s="0" t="s">
        <v>57</v>
      </c>
      <c r="C2082" s="0" t="s">
        <v>58</v>
      </c>
      <c r="D2082" s="0" t="n">
        <v>6</v>
      </c>
      <c r="E2082" s="5" t="n">
        <v>45963.422662037</v>
      </c>
      <c r="F2082" s="0" t="n">
        <v>2.08</v>
      </c>
      <c r="G2082" s="0" t="n">
        <v>17140</v>
      </c>
      <c r="H2082" s="6" t="s">
        <v>74</v>
      </c>
      <c r="I2082" s="6" t="n">
        <f aca="false">D2082*F2082</f>
        <v>12.48</v>
      </c>
      <c r="J2082" s="6" t="n">
        <f aca="false">HOUR(E2082)</f>
        <v>10</v>
      </c>
      <c r="K2082" s="6" t="n">
        <f aca="false">IF(COUNTIF($A$2:$A2082,A2082)=1,1,0)</f>
        <v>0</v>
      </c>
    </row>
    <row r="2083" customFormat="false" ht="15" hidden="false" customHeight="false" outlineLevel="0" collapsed="false">
      <c r="A2083" s="0" t="s">
        <v>494</v>
      </c>
      <c r="B2083" s="0" t="s">
        <v>127</v>
      </c>
      <c r="C2083" s="0" t="s">
        <v>128</v>
      </c>
      <c r="D2083" s="0" t="n">
        <v>13</v>
      </c>
      <c r="E2083" s="5" t="n">
        <v>45963.422662037</v>
      </c>
      <c r="F2083" s="0" t="n">
        <v>1.45</v>
      </c>
      <c r="G2083" s="0" t="n">
        <v>17140</v>
      </c>
      <c r="H2083" s="6" t="s">
        <v>74</v>
      </c>
      <c r="I2083" s="6" t="n">
        <f aca="false">D2083*F2083</f>
        <v>18.85</v>
      </c>
      <c r="J2083" s="6" t="n">
        <f aca="false">HOUR(E2083)</f>
        <v>10</v>
      </c>
      <c r="K2083" s="6" t="n">
        <f aca="false">IF(COUNTIF($A$2:$A2083,A2083)=1,1,0)</f>
        <v>0</v>
      </c>
    </row>
    <row r="2084" customFormat="false" ht="15" hidden="false" customHeight="false" outlineLevel="0" collapsed="false">
      <c r="A2084" s="0" t="s">
        <v>495</v>
      </c>
      <c r="B2084" s="0" t="s">
        <v>104</v>
      </c>
      <c r="C2084" s="0" t="s">
        <v>105</v>
      </c>
      <c r="D2084" s="0" t="n">
        <v>17</v>
      </c>
      <c r="E2084" s="5" t="n">
        <v>45963.4889583333</v>
      </c>
      <c r="F2084" s="0" t="n">
        <v>1.65</v>
      </c>
      <c r="G2084" s="0" t="n">
        <v>17158</v>
      </c>
      <c r="H2084" s="6" t="s">
        <v>98</v>
      </c>
      <c r="I2084" s="6" t="n">
        <f aca="false">D2084*F2084</f>
        <v>28.05</v>
      </c>
      <c r="J2084" s="6" t="n">
        <f aca="false">HOUR(E2084)</f>
        <v>11</v>
      </c>
      <c r="K2084" s="6" t="n">
        <f aca="false">IF(COUNTIF($A$2:$A2084,A2084)=1,1,0)</f>
        <v>1</v>
      </c>
    </row>
    <row r="2085" customFormat="false" ht="15" hidden="false" customHeight="false" outlineLevel="0" collapsed="false">
      <c r="A2085" s="0" t="s">
        <v>495</v>
      </c>
      <c r="B2085" s="0" t="s">
        <v>61</v>
      </c>
      <c r="D2085" s="0" t="n">
        <v>1</v>
      </c>
      <c r="E2085" s="5" t="n">
        <v>45963.4889583333</v>
      </c>
      <c r="F2085" s="0" t="n">
        <v>1.65</v>
      </c>
      <c r="G2085" s="0" t="n">
        <v>17158</v>
      </c>
      <c r="H2085" s="6" t="s">
        <v>98</v>
      </c>
      <c r="I2085" s="6" t="n">
        <f aca="false">D2085*F2085</f>
        <v>1.65</v>
      </c>
      <c r="J2085" s="6" t="n">
        <f aca="false">HOUR(E2085)</f>
        <v>11</v>
      </c>
      <c r="K2085" s="6" t="n">
        <f aca="false">IF(COUNTIF($A$2:$A2085,A2085)=1,1,0)</f>
        <v>0</v>
      </c>
    </row>
    <row r="2086" customFormat="false" ht="15" hidden="false" customHeight="false" outlineLevel="0" collapsed="false">
      <c r="A2086" s="0" t="s">
        <v>495</v>
      </c>
      <c r="B2086" s="0" t="s">
        <v>86</v>
      </c>
      <c r="C2086" s="0" t="s">
        <v>87</v>
      </c>
      <c r="D2086" s="0" t="n">
        <v>21</v>
      </c>
      <c r="E2086" s="5" t="n">
        <v>45963.4889583333</v>
      </c>
      <c r="F2086" s="0" t="n">
        <v>4.25</v>
      </c>
      <c r="G2086" s="0" t="n">
        <v>17158</v>
      </c>
      <c r="H2086" s="6" t="s">
        <v>98</v>
      </c>
      <c r="I2086" s="6" t="n">
        <f aca="false">D2086*F2086</f>
        <v>89.25</v>
      </c>
      <c r="J2086" s="6" t="n">
        <f aca="false">HOUR(E2086)</f>
        <v>11</v>
      </c>
      <c r="K2086" s="6" t="n">
        <f aca="false">IF(COUNTIF($A$2:$A2086,A2086)=1,1,0)</f>
        <v>0</v>
      </c>
    </row>
    <row r="2087" customFormat="false" ht="15" hidden="false" customHeight="false" outlineLevel="0" collapsed="false">
      <c r="A2087" s="0" t="s">
        <v>495</v>
      </c>
      <c r="B2087" s="0" t="s">
        <v>55</v>
      </c>
      <c r="C2087" s="0" t="s">
        <v>56</v>
      </c>
      <c r="D2087" s="0" t="n">
        <v>23</v>
      </c>
      <c r="E2087" s="5" t="n">
        <v>45963.4889583333</v>
      </c>
      <c r="F2087" s="0" t="n">
        <v>1.65</v>
      </c>
      <c r="G2087" s="0" t="n">
        <v>17158</v>
      </c>
      <c r="H2087" s="6" t="s">
        <v>98</v>
      </c>
      <c r="I2087" s="6" t="n">
        <f aca="false">D2087*F2087</f>
        <v>37.95</v>
      </c>
      <c r="J2087" s="6" t="n">
        <f aca="false">HOUR(E2087)</f>
        <v>11</v>
      </c>
      <c r="K2087" s="6" t="n">
        <f aca="false">IF(COUNTIF($A$2:$A2087,A2087)=1,1,0)</f>
        <v>0</v>
      </c>
    </row>
    <row r="2088" customFormat="false" ht="15" hidden="false" customHeight="false" outlineLevel="0" collapsed="false">
      <c r="A2088" s="0" t="s">
        <v>495</v>
      </c>
      <c r="B2088" s="0" t="s">
        <v>79</v>
      </c>
      <c r="C2088" s="0" t="s">
        <v>80</v>
      </c>
      <c r="D2088" s="0" t="n">
        <v>22</v>
      </c>
      <c r="E2088" s="5" t="n">
        <v>45963.4889583333</v>
      </c>
      <c r="F2088" s="0" t="n">
        <v>3.39</v>
      </c>
      <c r="G2088" s="0" t="n">
        <v>17158</v>
      </c>
      <c r="H2088" s="6" t="s">
        <v>98</v>
      </c>
      <c r="I2088" s="6" t="n">
        <f aca="false">D2088*F2088</f>
        <v>74.58</v>
      </c>
      <c r="J2088" s="6" t="n">
        <f aca="false">HOUR(E2088)</f>
        <v>11</v>
      </c>
      <c r="K2088" s="6" t="n">
        <f aca="false">IF(COUNTIF($A$2:$A2088,A2088)=1,1,0)</f>
        <v>0</v>
      </c>
    </row>
    <row r="2089" customFormat="false" ht="15" hidden="false" customHeight="false" outlineLevel="0" collapsed="false">
      <c r="A2089" s="0" t="s">
        <v>495</v>
      </c>
      <c r="B2089" s="0" t="s">
        <v>125</v>
      </c>
      <c r="C2089" s="0" t="s">
        <v>126</v>
      </c>
      <c r="D2089" s="0" t="n">
        <v>17</v>
      </c>
      <c r="E2089" s="5" t="n">
        <v>45963.4889583333</v>
      </c>
      <c r="F2089" s="0" t="n">
        <v>1.25</v>
      </c>
      <c r="G2089" s="0" t="n">
        <v>17158</v>
      </c>
      <c r="H2089" s="6" t="s">
        <v>98</v>
      </c>
      <c r="I2089" s="6" t="n">
        <f aca="false">D2089*F2089</f>
        <v>21.25</v>
      </c>
      <c r="J2089" s="6" t="n">
        <f aca="false">HOUR(E2089)</f>
        <v>11</v>
      </c>
      <c r="K2089" s="6" t="n">
        <f aca="false">IF(COUNTIF($A$2:$A2089,A2089)=1,1,0)</f>
        <v>0</v>
      </c>
    </row>
    <row r="2090" customFormat="false" ht="15" hidden="false" customHeight="false" outlineLevel="0" collapsed="false">
      <c r="A2090" s="0" t="s">
        <v>495</v>
      </c>
      <c r="B2090" s="0" t="s">
        <v>75</v>
      </c>
      <c r="C2090" s="0" t="s">
        <v>76</v>
      </c>
      <c r="D2090" s="0" t="n">
        <v>20</v>
      </c>
      <c r="E2090" s="5" t="n">
        <v>45963.4889583333</v>
      </c>
      <c r="F2090" s="0" t="n">
        <v>3.39</v>
      </c>
      <c r="G2090" s="0" t="n">
        <v>17158</v>
      </c>
      <c r="H2090" s="6" t="s">
        <v>98</v>
      </c>
      <c r="I2090" s="6" t="n">
        <f aca="false">D2090*F2090</f>
        <v>67.8</v>
      </c>
      <c r="J2090" s="6" t="n">
        <f aca="false">HOUR(E2090)</f>
        <v>11</v>
      </c>
      <c r="K2090" s="6" t="n">
        <f aca="false">IF(COUNTIF($A$2:$A2090,A2090)=1,1,0)</f>
        <v>0</v>
      </c>
    </row>
    <row r="2091" customFormat="false" ht="15" hidden="false" customHeight="false" outlineLevel="0" collapsed="false">
      <c r="A2091" s="0" t="s">
        <v>496</v>
      </c>
      <c r="B2091" s="0" t="s">
        <v>140</v>
      </c>
      <c r="D2091" s="0" t="n">
        <v>2</v>
      </c>
      <c r="E2091" s="5" t="n">
        <v>45963.4935300926</v>
      </c>
      <c r="F2091" s="0" t="n">
        <v>2.08</v>
      </c>
      <c r="H2091" s="6" t="s">
        <v>151</v>
      </c>
      <c r="I2091" s="6" t="n">
        <f aca="false">D2091*F2091</f>
        <v>4.16</v>
      </c>
      <c r="J2091" s="6" t="n">
        <f aca="false">HOUR(E2091)</f>
        <v>11</v>
      </c>
      <c r="K2091" s="6" t="n">
        <f aca="false">IF(COUNTIF($A$2:$A2091,A2091)=1,1,0)</f>
        <v>1</v>
      </c>
    </row>
    <row r="2092" customFormat="false" ht="15" hidden="false" customHeight="false" outlineLevel="0" collapsed="false">
      <c r="A2092" s="0" t="s">
        <v>496</v>
      </c>
      <c r="B2092" s="0" t="s">
        <v>134</v>
      </c>
      <c r="C2092" s="0" t="s">
        <v>135</v>
      </c>
      <c r="D2092" s="0" t="n">
        <v>2</v>
      </c>
      <c r="E2092" s="5" t="n">
        <v>45963.4935300926</v>
      </c>
      <c r="F2092" s="0" t="n">
        <v>5.95</v>
      </c>
      <c r="H2092" s="6" t="s">
        <v>151</v>
      </c>
      <c r="I2092" s="6" t="n">
        <f aca="false">D2092*F2092</f>
        <v>11.9</v>
      </c>
      <c r="J2092" s="6" t="n">
        <f aca="false">HOUR(E2092)</f>
        <v>11</v>
      </c>
      <c r="K2092" s="6" t="n">
        <f aca="false">IF(COUNTIF($A$2:$A2092,A2092)=1,1,0)</f>
        <v>0</v>
      </c>
    </row>
    <row r="2093" customFormat="false" ht="15" hidden="false" customHeight="false" outlineLevel="0" collapsed="false">
      <c r="A2093" s="0" t="s">
        <v>496</v>
      </c>
      <c r="B2093" s="0" t="s">
        <v>137</v>
      </c>
      <c r="C2093" s="0" t="s">
        <v>138</v>
      </c>
      <c r="D2093" s="0" t="n">
        <v>18</v>
      </c>
      <c r="E2093" s="5" t="n">
        <v>45963.4935300926</v>
      </c>
      <c r="F2093" s="0" t="n">
        <v>2.1</v>
      </c>
      <c r="H2093" s="6" t="s">
        <v>151</v>
      </c>
      <c r="I2093" s="6" t="n">
        <f aca="false">D2093*F2093</f>
        <v>37.8</v>
      </c>
      <c r="J2093" s="6" t="n">
        <f aca="false">HOUR(E2093)</f>
        <v>11</v>
      </c>
      <c r="K2093" s="6" t="n">
        <f aca="false">IF(COUNTIF($A$2:$A2093,A2093)=1,1,0)</f>
        <v>0</v>
      </c>
    </row>
    <row r="2094" customFormat="false" ht="15" hidden="false" customHeight="false" outlineLevel="0" collapsed="false">
      <c r="A2094" s="0" t="s">
        <v>496</v>
      </c>
      <c r="B2094" s="0" t="s">
        <v>125</v>
      </c>
      <c r="C2094" s="0" t="s">
        <v>126</v>
      </c>
      <c r="D2094" s="0" t="n">
        <v>15</v>
      </c>
      <c r="E2094" s="5" t="n">
        <v>45963.4935300926</v>
      </c>
      <c r="F2094" s="0" t="n">
        <v>1.25</v>
      </c>
      <c r="H2094" s="6" t="s">
        <v>151</v>
      </c>
      <c r="I2094" s="6" t="n">
        <f aca="false">D2094*F2094</f>
        <v>18.75</v>
      </c>
      <c r="J2094" s="6" t="n">
        <f aca="false">HOUR(E2094)</f>
        <v>11</v>
      </c>
      <c r="K2094" s="6" t="n">
        <f aca="false">IF(COUNTIF($A$2:$A2094,A2094)=1,1,0)</f>
        <v>0</v>
      </c>
    </row>
    <row r="2095" customFormat="false" ht="15" hidden="false" customHeight="false" outlineLevel="0" collapsed="false">
      <c r="A2095" s="0" t="s">
        <v>496</v>
      </c>
      <c r="B2095" s="0" t="s">
        <v>55</v>
      </c>
      <c r="C2095" s="0" t="s">
        <v>56</v>
      </c>
      <c r="D2095" s="0" t="n">
        <v>16</v>
      </c>
      <c r="E2095" s="5" t="n">
        <v>45963.4935300926</v>
      </c>
      <c r="F2095" s="0" t="n">
        <v>1.65</v>
      </c>
      <c r="H2095" s="6" t="s">
        <v>151</v>
      </c>
      <c r="I2095" s="6" t="n">
        <f aca="false">D2095*F2095</f>
        <v>26.4</v>
      </c>
      <c r="J2095" s="6" t="n">
        <f aca="false">HOUR(E2095)</f>
        <v>11</v>
      </c>
      <c r="K2095" s="6" t="n">
        <f aca="false">IF(COUNTIF($A$2:$A2095,A2095)=1,1,0)</f>
        <v>0</v>
      </c>
    </row>
    <row r="2096" customFormat="false" ht="15" hidden="false" customHeight="false" outlineLevel="0" collapsed="false">
      <c r="A2096" s="0" t="s">
        <v>497</v>
      </c>
      <c r="B2096" s="0" t="s">
        <v>59</v>
      </c>
      <c r="C2096" s="0" t="s">
        <v>60</v>
      </c>
      <c r="D2096" s="0" t="n">
        <v>24</v>
      </c>
      <c r="E2096" s="5" t="n">
        <v>45963.5080671296</v>
      </c>
      <c r="F2096" s="0" t="n">
        <v>0.42</v>
      </c>
      <c r="G2096" s="0" t="n">
        <v>17076</v>
      </c>
      <c r="H2096" s="6" t="s">
        <v>74</v>
      </c>
      <c r="I2096" s="6" t="n">
        <f aca="false">D2096*F2096</f>
        <v>10.08</v>
      </c>
      <c r="J2096" s="6" t="n">
        <f aca="false">HOUR(E2096)</f>
        <v>12</v>
      </c>
      <c r="K2096" s="6" t="n">
        <f aca="false">IF(COUNTIF($A$2:$A2096,A2096)=1,1,0)</f>
        <v>1</v>
      </c>
    </row>
    <row r="2097" customFormat="false" ht="15" hidden="false" customHeight="false" outlineLevel="0" collapsed="false">
      <c r="A2097" s="0" t="s">
        <v>497</v>
      </c>
      <c r="B2097" s="0" t="s">
        <v>99</v>
      </c>
      <c r="C2097" s="0" t="s">
        <v>100</v>
      </c>
      <c r="D2097" s="0" t="n">
        <v>14</v>
      </c>
      <c r="E2097" s="5" t="n">
        <v>45963.5080671296</v>
      </c>
      <c r="F2097" s="0" t="n">
        <v>2.08</v>
      </c>
      <c r="G2097" s="0" t="n">
        <v>17076</v>
      </c>
      <c r="H2097" s="6" t="s">
        <v>74</v>
      </c>
      <c r="I2097" s="6" t="n">
        <f aca="false">D2097*F2097</f>
        <v>29.12</v>
      </c>
      <c r="J2097" s="6" t="n">
        <f aca="false">HOUR(E2097)</f>
        <v>12</v>
      </c>
      <c r="K2097" s="6" t="n">
        <f aca="false">IF(COUNTIF($A$2:$A2097,A2097)=1,1,0)</f>
        <v>0</v>
      </c>
    </row>
    <row r="2098" customFormat="false" ht="15" hidden="false" customHeight="false" outlineLevel="0" collapsed="false">
      <c r="A2098" s="0" t="s">
        <v>497</v>
      </c>
      <c r="B2098" s="0" t="s">
        <v>86</v>
      </c>
      <c r="C2098" s="0" t="s">
        <v>87</v>
      </c>
      <c r="D2098" s="0" t="n">
        <v>2</v>
      </c>
      <c r="E2098" s="5" t="n">
        <v>45963.5080671296</v>
      </c>
      <c r="F2098" s="0" t="n">
        <v>4.25</v>
      </c>
      <c r="G2098" s="0" t="n">
        <v>17076</v>
      </c>
      <c r="H2098" s="6" t="s">
        <v>74</v>
      </c>
      <c r="I2098" s="6" t="n">
        <f aca="false">D2098*F2098</f>
        <v>8.5</v>
      </c>
      <c r="J2098" s="6" t="n">
        <f aca="false">HOUR(E2098)</f>
        <v>12</v>
      </c>
      <c r="K2098" s="6" t="n">
        <f aca="false">IF(COUNTIF($A$2:$A2098,A2098)=1,1,0)</f>
        <v>0</v>
      </c>
    </row>
    <row r="2099" customFormat="false" ht="15" hidden="false" customHeight="false" outlineLevel="0" collapsed="false">
      <c r="A2099" s="0" t="s">
        <v>497</v>
      </c>
      <c r="B2099" s="0" t="s">
        <v>57</v>
      </c>
      <c r="C2099" s="0" t="s">
        <v>58</v>
      </c>
      <c r="D2099" s="0" t="n">
        <v>19</v>
      </c>
      <c r="E2099" s="5" t="n">
        <v>45963.5080671296</v>
      </c>
      <c r="F2099" s="0" t="n">
        <v>2.08</v>
      </c>
      <c r="G2099" s="0" t="n">
        <v>17076</v>
      </c>
      <c r="H2099" s="6" t="s">
        <v>74</v>
      </c>
      <c r="I2099" s="6" t="n">
        <f aca="false">D2099*F2099</f>
        <v>39.52</v>
      </c>
      <c r="J2099" s="6" t="n">
        <f aca="false">HOUR(E2099)</f>
        <v>12</v>
      </c>
      <c r="K2099" s="6" t="n">
        <f aca="false">IF(COUNTIF($A$2:$A2099,A2099)=1,1,0)</f>
        <v>0</v>
      </c>
    </row>
    <row r="2100" customFormat="false" ht="15" hidden="false" customHeight="false" outlineLevel="0" collapsed="false">
      <c r="A2100" s="0" t="s">
        <v>498</v>
      </c>
      <c r="B2100" s="0" t="s">
        <v>40</v>
      </c>
      <c r="C2100" s="0" t="s">
        <v>41</v>
      </c>
      <c r="D2100" s="0" t="n">
        <v>9</v>
      </c>
      <c r="E2100" s="5" t="n">
        <v>45963.5301736111</v>
      </c>
      <c r="F2100" s="0" t="n">
        <v>1.06</v>
      </c>
      <c r="G2100" s="0" t="n">
        <v>17036</v>
      </c>
      <c r="H2100" s="6" t="s">
        <v>74</v>
      </c>
      <c r="I2100" s="6" t="n">
        <f aca="false">D2100*F2100</f>
        <v>9.54</v>
      </c>
      <c r="J2100" s="6" t="n">
        <f aca="false">HOUR(E2100)</f>
        <v>12</v>
      </c>
      <c r="K2100" s="6" t="n">
        <f aca="false">IF(COUNTIF($A$2:$A2100,A2100)=1,1,0)</f>
        <v>1</v>
      </c>
    </row>
    <row r="2101" customFormat="false" ht="15" hidden="false" customHeight="false" outlineLevel="0" collapsed="false">
      <c r="A2101" s="0" t="s">
        <v>498</v>
      </c>
      <c r="B2101" s="0" t="s">
        <v>72</v>
      </c>
      <c r="C2101" s="0" t="s">
        <v>73</v>
      </c>
      <c r="D2101" s="0" t="n">
        <v>30</v>
      </c>
      <c r="E2101" s="5" t="n">
        <v>45963.5301736111</v>
      </c>
      <c r="F2101" s="0" t="n">
        <v>4.95</v>
      </c>
      <c r="G2101" s="0" t="n">
        <v>17036</v>
      </c>
      <c r="H2101" s="6" t="s">
        <v>74</v>
      </c>
      <c r="I2101" s="6" t="n">
        <f aca="false">D2101*F2101</f>
        <v>148.5</v>
      </c>
      <c r="J2101" s="6" t="n">
        <f aca="false">HOUR(E2101)</f>
        <v>12</v>
      </c>
      <c r="K2101" s="6" t="n">
        <f aca="false">IF(COUNTIF($A$2:$A2101,A2101)=1,1,0)</f>
        <v>0</v>
      </c>
    </row>
    <row r="2102" customFormat="false" ht="15" hidden="false" customHeight="false" outlineLevel="0" collapsed="false">
      <c r="A2102" s="0" t="s">
        <v>498</v>
      </c>
      <c r="B2102" s="0" t="s">
        <v>114</v>
      </c>
      <c r="C2102" s="0" t="s">
        <v>115</v>
      </c>
      <c r="D2102" s="0" t="n">
        <v>4</v>
      </c>
      <c r="E2102" s="5" t="n">
        <v>45963.5301736111</v>
      </c>
      <c r="F2102" s="0" t="n">
        <v>2.08</v>
      </c>
      <c r="G2102" s="0" t="n">
        <v>17036</v>
      </c>
      <c r="H2102" s="6" t="s">
        <v>74</v>
      </c>
      <c r="I2102" s="6" t="n">
        <f aca="false">D2102*F2102</f>
        <v>8.32</v>
      </c>
      <c r="J2102" s="6" t="n">
        <f aca="false">HOUR(E2102)</f>
        <v>12</v>
      </c>
      <c r="K2102" s="6" t="n">
        <f aca="false">IF(COUNTIF($A$2:$A2102,A2102)=1,1,0)</f>
        <v>0</v>
      </c>
    </row>
    <row r="2103" customFormat="false" ht="15" hidden="false" customHeight="false" outlineLevel="0" collapsed="false">
      <c r="A2103" s="0" t="s">
        <v>498</v>
      </c>
      <c r="B2103" s="0" t="s">
        <v>125</v>
      </c>
      <c r="C2103" s="0" t="s">
        <v>126</v>
      </c>
      <c r="D2103" s="0" t="n">
        <v>20</v>
      </c>
      <c r="E2103" s="5" t="n">
        <v>45963.5301736111</v>
      </c>
      <c r="F2103" s="0" t="n">
        <v>1.25</v>
      </c>
      <c r="G2103" s="0" t="n">
        <v>17036</v>
      </c>
      <c r="H2103" s="6" t="s">
        <v>74</v>
      </c>
      <c r="I2103" s="6" t="n">
        <f aca="false">D2103*F2103</f>
        <v>25</v>
      </c>
      <c r="J2103" s="6" t="n">
        <f aca="false">HOUR(E2103)</f>
        <v>12</v>
      </c>
      <c r="K2103" s="6" t="n">
        <f aca="false">IF(COUNTIF($A$2:$A2103,A2103)=1,1,0)</f>
        <v>0</v>
      </c>
    </row>
    <row r="2104" customFormat="false" ht="15" hidden="false" customHeight="false" outlineLevel="0" collapsed="false">
      <c r="A2104" s="0" t="s">
        <v>498</v>
      </c>
      <c r="B2104" s="0" t="s">
        <v>107</v>
      </c>
      <c r="C2104" s="0" t="s">
        <v>108</v>
      </c>
      <c r="D2104" s="0" t="n">
        <v>5</v>
      </c>
      <c r="E2104" s="5" t="n">
        <v>45963.5301736111</v>
      </c>
      <c r="F2104" s="0" t="n">
        <v>3.75</v>
      </c>
      <c r="G2104" s="0" t="n">
        <v>17036</v>
      </c>
      <c r="H2104" s="6" t="s">
        <v>74</v>
      </c>
      <c r="I2104" s="6" t="n">
        <f aca="false">D2104*F2104</f>
        <v>18.75</v>
      </c>
      <c r="J2104" s="6" t="n">
        <f aca="false">HOUR(E2104)</f>
        <v>12</v>
      </c>
      <c r="K2104" s="6" t="n">
        <f aca="false">IF(COUNTIF($A$2:$A2104,A2104)=1,1,0)</f>
        <v>0</v>
      </c>
    </row>
    <row r="2105" customFormat="false" ht="15" hidden="false" customHeight="false" outlineLevel="0" collapsed="false">
      <c r="A2105" s="0" t="s">
        <v>499</v>
      </c>
      <c r="B2105" s="0" t="s">
        <v>43</v>
      </c>
      <c r="C2105" s="0" t="s">
        <v>44</v>
      </c>
      <c r="D2105" s="0" t="n">
        <v>3</v>
      </c>
      <c r="E2105" s="5" t="n">
        <v>45963.5612152778</v>
      </c>
      <c r="F2105" s="0" t="n">
        <v>4.25</v>
      </c>
      <c r="G2105" s="0" t="n">
        <v>17095</v>
      </c>
      <c r="H2105" s="6" t="s">
        <v>113</v>
      </c>
      <c r="I2105" s="6" t="n">
        <f aca="false">D2105*F2105</f>
        <v>12.75</v>
      </c>
      <c r="J2105" s="6" t="n">
        <f aca="false">HOUR(E2105)</f>
        <v>13</v>
      </c>
      <c r="K2105" s="6" t="n">
        <f aca="false">IF(COUNTIF($A$2:$A2105,A2105)=1,1,0)</f>
        <v>1</v>
      </c>
    </row>
    <row r="2106" customFormat="false" ht="15" hidden="false" customHeight="false" outlineLevel="0" collapsed="false">
      <c r="A2106" s="0" t="s">
        <v>499</v>
      </c>
      <c r="B2106" s="0" t="s">
        <v>53</v>
      </c>
      <c r="C2106" s="0" t="s">
        <v>54</v>
      </c>
      <c r="D2106" s="0" t="n">
        <v>18</v>
      </c>
      <c r="E2106" s="5" t="n">
        <v>45963.5612152778</v>
      </c>
      <c r="F2106" s="0" t="n">
        <v>2.95</v>
      </c>
      <c r="G2106" s="0" t="n">
        <v>17095</v>
      </c>
      <c r="H2106" s="6" t="s">
        <v>113</v>
      </c>
      <c r="I2106" s="6" t="n">
        <f aca="false">D2106*F2106</f>
        <v>53.1</v>
      </c>
      <c r="J2106" s="6" t="n">
        <f aca="false">HOUR(E2106)</f>
        <v>13</v>
      </c>
      <c r="K2106" s="6" t="n">
        <f aca="false">IF(COUNTIF($A$2:$A2106,A2106)=1,1,0)</f>
        <v>0</v>
      </c>
    </row>
    <row r="2107" customFormat="false" ht="15" hidden="false" customHeight="false" outlineLevel="0" collapsed="false">
      <c r="A2107" s="0" t="s">
        <v>499</v>
      </c>
      <c r="B2107" s="0" t="s">
        <v>121</v>
      </c>
      <c r="C2107" s="0" t="s">
        <v>122</v>
      </c>
      <c r="D2107" s="0" t="n">
        <v>24</v>
      </c>
      <c r="E2107" s="5" t="n">
        <v>45963.5612152778</v>
      </c>
      <c r="F2107" s="0" t="n">
        <v>2.1</v>
      </c>
      <c r="G2107" s="0" t="n">
        <v>17095</v>
      </c>
      <c r="H2107" s="6" t="s">
        <v>113</v>
      </c>
      <c r="I2107" s="6" t="n">
        <f aca="false">D2107*F2107</f>
        <v>50.4</v>
      </c>
      <c r="J2107" s="6" t="n">
        <f aca="false">HOUR(E2107)</f>
        <v>13</v>
      </c>
      <c r="K2107" s="6" t="n">
        <f aca="false">IF(COUNTIF($A$2:$A2107,A2107)=1,1,0)</f>
        <v>0</v>
      </c>
    </row>
    <row r="2108" customFormat="false" ht="15" hidden="false" customHeight="false" outlineLevel="0" collapsed="false">
      <c r="A2108" s="0" t="s">
        <v>499</v>
      </c>
      <c r="B2108" s="0" t="s">
        <v>57</v>
      </c>
      <c r="C2108" s="0" t="s">
        <v>58</v>
      </c>
      <c r="D2108" s="0" t="n">
        <v>19</v>
      </c>
      <c r="E2108" s="5" t="n">
        <v>45963.5612152778</v>
      </c>
      <c r="F2108" s="0" t="n">
        <v>2.08</v>
      </c>
      <c r="G2108" s="0" t="n">
        <v>17095</v>
      </c>
      <c r="H2108" s="6" t="s">
        <v>113</v>
      </c>
      <c r="I2108" s="6" t="n">
        <f aca="false">D2108*F2108</f>
        <v>39.52</v>
      </c>
      <c r="J2108" s="6" t="n">
        <f aca="false">HOUR(E2108)</f>
        <v>13</v>
      </c>
      <c r="K2108" s="6" t="n">
        <f aca="false">IF(COUNTIF($A$2:$A2108,A2108)=1,1,0)</f>
        <v>0</v>
      </c>
    </row>
    <row r="2109" customFormat="false" ht="15" hidden="false" customHeight="false" outlineLevel="0" collapsed="false">
      <c r="A2109" s="0" t="s">
        <v>500</v>
      </c>
      <c r="B2109" s="0" t="s">
        <v>107</v>
      </c>
      <c r="C2109" s="0" t="s">
        <v>108</v>
      </c>
      <c r="D2109" s="0" t="n">
        <v>2</v>
      </c>
      <c r="E2109" s="5" t="n">
        <v>45963.7325347222</v>
      </c>
      <c r="F2109" s="0" t="n">
        <v>3.75</v>
      </c>
      <c r="G2109" s="0" t="n">
        <v>17003</v>
      </c>
      <c r="H2109" s="6" t="s">
        <v>74</v>
      </c>
      <c r="I2109" s="6" t="n">
        <f aca="false">D2109*F2109</f>
        <v>7.5</v>
      </c>
      <c r="J2109" s="6" t="n">
        <f aca="false">HOUR(E2109)</f>
        <v>17</v>
      </c>
      <c r="K2109" s="6" t="n">
        <f aca="false">IF(COUNTIF($A$2:$A2109,A2109)=1,1,0)</f>
        <v>1</v>
      </c>
    </row>
    <row r="2110" customFormat="false" ht="15" hidden="false" customHeight="false" outlineLevel="0" collapsed="false">
      <c r="A2110" s="0" t="s">
        <v>500</v>
      </c>
      <c r="B2110" s="0" t="s">
        <v>145</v>
      </c>
      <c r="C2110" s="0" t="s">
        <v>146</v>
      </c>
      <c r="D2110" s="0" t="n">
        <v>4</v>
      </c>
      <c r="E2110" s="5" t="n">
        <v>45963.7325347222</v>
      </c>
      <c r="F2110" s="0" t="n">
        <v>1.85</v>
      </c>
      <c r="G2110" s="0" t="n">
        <v>17003</v>
      </c>
      <c r="H2110" s="6" t="s">
        <v>74</v>
      </c>
      <c r="I2110" s="6" t="n">
        <f aca="false">D2110*F2110</f>
        <v>7.4</v>
      </c>
      <c r="J2110" s="6" t="n">
        <f aca="false">HOUR(E2110)</f>
        <v>17</v>
      </c>
      <c r="K2110" s="6" t="n">
        <f aca="false">IF(COUNTIF($A$2:$A2110,A2110)=1,1,0)</f>
        <v>0</v>
      </c>
    </row>
    <row r="2111" customFormat="false" ht="15" hidden="false" customHeight="false" outlineLevel="0" collapsed="false">
      <c r="A2111" s="0" t="s">
        <v>500</v>
      </c>
      <c r="B2111" s="0" t="s">
        <v>109</v>
      </c>
      <c r="C2111" s="0" t="s">
        <v>110</v>
      </c>
      <c r="D2111" s="0" t="n">
        <v>3</v>
      </c>
      <c r="E2111" s="5" t="n">
        <v>45963.7325347222</v>
      </c>
      <c r="F2111" s="0" t="n">
        <v>0.85</v>
      </c>
      <c r="G2111" s="0" t="n">
        <v>17003</v>
      </c>
      <c r="H2111" s="6" t="s">
        <v>74</v>
      </c>
      <c r="I2111" s="6" t="n">
        <f aca="false">D2111*F2111</f>
        <v>2.55</v>
      </c>
      <c r="J2111" s="6" t="n">
        <f aca="false">HOUR(E2111)</f>
        <v>17</v>
      </c>
      <c r="K2111" s="6" t="n">
        <f aca="false">IF(COUNTIF($A$2:$A2111,A2111)=1,1,0)</f>
        <v>0</v>
      </c>
    </row>
    <row r="2112" customFormat="false" ht="15" hidden="false" customHeight="false" outlineLevel="0" collapsed="false">
      <c r="A2112" s="0" t="s">
        <v>500</v>
      </c>
      <c r="B2112" s="0" t="s">
        <v>118</v>
      </c>
      <c r="C2112" s="0" t="s">
        <v>119</v>
      </c>
      <c r="D2112" s="0" t="n">
        <v>32</v>
      </c>
      <c r="E2112" s="5" t="n">
        <v>45963.7325347222</v>
      </c>
      <c r="F2112" s="0" t="n">
        <v>4.95</v>
      </c>
      <c r="G2112" s="0" t="n">
        <v>17003</v>
      </c>
      <c r="H2112" s="6" t="s">
        <v>74</v>
      </c>
      <c r="I2112" s="6" t="n">
        <f aca="false">D2112*F2112</f>
        <v>158.4</v>
      </c>
      <c r="J2112" s="6" t="n">
        <f aca="false">HOUR(E2112)</f>
        <v>17</v>
      </c>
      <c r="K2112" s="6" t="n">
        <f aca="false">IF(COUNTIF($A$2:$A2112,A2112)=1,1,0)</f>
        <v>0</v>
      </c>
    </row>
    <row r="2113" customFormat="false" ht="15" hidden="false" customHeight="false" outlineLevel="0" collapsed="false">
      <c r="A2113" s="0" t="s">
        <v>500</v>
      </c>
      <c r="B2113" s="0" t="s">
        <v>53</v>
      </c>
      <c r="C2113" s="0" t="s">
        <v>54</v>
      </c>
      <c r="D2113" s="0" t="n">
        <v>9</v>
      </c>
      <c r="E2113" s="5" t="n">
        <v>45963.7325347222</v>
      </c>
      <c r="F2113" s="0" t="n">
        <v>2.95</v>
      </c>
      <c r="G2113" s="0" t="n">
        <v>17003</v>
      </c>
      <c r="H2113" s="6" t="s">
        <v>74</v>
      </c>
      <c r="I2113" s="6" t="n">
        <f aca="false">D2113*F2113</f>
        <v>26.55</v>
      </c>
      <c r="J2113" s="6" t="n">
        <f aca="false">HOUR(E2113)</f>
        <v>17</v>
      </c>
      <c r="K2113" s="6" t="n">
        <f aca="false">IF(COUNTIF($A$2:$A2113,A2113)=1,1,0)</f>
        <v>0</v>
      </c>
    </row>
    <row r="2114" customFormat="false" ht="15" hidden="false" customHeight="false" outlineLevel="0" collapsed="false">
      <c r="A2114" s="0" t="s">
        <v>500</v>
      </c>
      <c r="B2114" s="0" t="s">
        <v>83</v>
      </c>
      <c r="C2114" s="0" t="s">
        <v>84</v>
      </c>
      <c r="D2114" s="0" t="n">
        <v>1</v>
      </c>
      <c r="E2114" s="5" t="n">
        <v>45963.7325347222</v>
      </c>
      <c r="F2114" s="0" t="n">
        <v>2.95</v>
      </c>
      <c r="G2114" s="0" t="n">
        <v>17003</v>
      </c>
      <c r="H2114" s="6" t="s">
        <v>74</v>
      </c>
      <c r="I2114" s="6" t="n">
        <f aca="false">D2114*F2114</f>
        <v>2.95</v>
      </c>
      <c r="J2114" s="6" t="n">
        <f aca="false">HOUR(E2114)</f>
        <v>17</v>
      </c>
      <c r="K2114" s="6" t="n">
        <f aca="false">IF(COUNTIF($A$2:$A2114,A2114)=1,1,0)</f>
        <v>0</v>
      </c>
    </row>
    <row r="2115" customFormat="false" ht="15" hidden="false" customHeight="false" outlineLevel="0" collapsed="false">
      <c r="A2115" s="0" t="s">
        <v>500</v>
      </c>
      <c r="B2115" s="0" t="s">
        <v>86</v>
      </c>
      <c r="C2115" s="0" t="s">
        <v>87</v>
      </c>
      <c r="D2115" s="0" t="n">
        <v>12</v>
      </c>
      <c r="E2115" s="5" t="n">
        <v>45963.7325347222</v>
      </c>
      <c r="F2115" s="0" t="n">
        <v>4.25</v>
      </c>
      <c r="G2115" s="0" t="n">
        <v>17003</v>
      </c>
      <c r="H2115" s="6" t="s">
        <v>74</v>
      </c>
      <c r="I2115" s="6" t="n">
        <f aca="false">D2115*F2115</f>
        <v>51</v>
      </c>
      <c r="J2115" s="6" t="n">
        <f aca="false">HOUR(E2115)</f>
        <v>17</v>
      </c>
      <c r="K2115" s="6" t="n">
        <f aca="false">IF(COUNTIF($A$2:$A2115,A2115)=1,1,0)</f>
        <v>0</v>
      </c>
    </row>
    <row r="2116" customFormat="false" ht="15" hidden="false" customHeight="false" outlineLevel="0" collapsed="false">
      <c r="A2116" s="0" t="s">
        <v>500</v>
      </c>
      <c r="B2116" s="0" t="s">
        <v>102</v>
      </c>
      <c r="C2116" s="0" t="s">
        <v>103</v>
      </c>
      <c r="D2116" s="0" t="n">
        <v>46</v>
      </c>
      <c r="E2116" s="5" t="n">
        <v>45963.7325347222</v>
      </c>
      <c r="F2116" s="0" t="n">
        <v>8.5</v>
      </c>
      <c r="G2116" s="0" t="n">
        <v>17003</v>
      </c>
      <c r="H2116" s="6" t="s">
        <v>74</v>
      </c>
      <c r="I2116" s="6" t="n">
        <f aca="false">D2116*F2116</f>
        <v>391</v>
      </c>
      <c r="J2116" s="6" t="n">
        <f aca="false">HOUR(E2116)</f>
        <v>17</v>
      </c>
      <c r="K2116" s="6" t="n">
        <f aca="false">IF(COUNTIF($A$2:$A2116,A2116)=1,1,0)</f>
        <v>0</v>
      </c>
    </row>
    <row r="2117" customFormat="false" ht="15" hidden="false" customHeight="false" outlineLevel="0" collapsed="false">
      <c r="A2117" s="0" t="s">
        <v>500</v>
      </c>
      <c r="B2117" s="0" t="s">
        <v>95</v>
      </c>
      <c r="C2117" s="0" t="s">
        <v>96</v>
      </c>
      <c r="D2117" s="0" t="n">
        <v>42</v>
      </c>
      <c r="E2117" s="5" t="n">
        <v>45963.7325347222</v>
      </c>
      <c r="F2117" s="0" t="n">
        <v>2.55</v>
      </c>
      <c r="G2117" s="0" t="n">
        <v>17003</v>
      </c>
      <c r="H2117" s="6" t="s">
        <v>74</v>
      </c>
      <c r="I2117" s="6" t="n">
        <f aca="false">D2117*F2117</f>
        <v>107.1</v>
      </c>
      <c r="J2117" s="6" t="n">
        <f aca="false">HOUR(E2117)</f>
        <v>17</v>
      </c>
      <c r="K2117" s="6" t="n">
        <f aca="false">IF(COUNTIF($A$2:$A2117,A2117)=1,1,0)</f>
        <v>0</v>
      </c>
    </row>
    <row r="2118" customFormat="false" ht="15" hidden="false" customHeight="false" outlineLevel="0" collapsed="false">
      <c r="A2118" s="0" t="s">
        <v>501</v>
      </c>
      <c r="B2118" s="0" t="s">
        <v>50</v>
      </c>
      <c r="C2118" s="0" t="s">
        <v>51</v>
      </c>
      <c r="D2118" s="0" t="n">
        <v>12</v>
      </c>
      <c r="E2118" s="5" t="n">
        <v>45963.7658796296</v>
      </c>
      <c r="F2118" s="0" t="n">
        <v>5.95</v>
      </c>
      <c r="G2118" s="0" t="n">
        <v>17127</v>
      </c>
      <c r="H2118" s="6" t="s">
        <v>74</v>
      </c>
      <c r="I2118" s="6" t="n">
        <f aca="false">D2118*F2118</f>
        <v>71.4</v>
      </c>
      <c r="J2118" s="6" t="n">
        <f aca="false">HOUR(E2118)</f>
        <v>18</v>
      </c>
      <c r="K2118" s="6" t="n">
        <f aca="false">IF(COUNTIF($A$2:$A2118,A2118)=1,1,0)</f>
        <v>1</v>
      </c>
    </row>
    <row r="2119" customFormat="false" ht="15" hidden="false" customHeight="false" outlineLevel="0" collapsed="false">
      <c r="A2119" s="0" t="s">
        <v>501</v>
      </c>
      <c r="B2119" s="0" t="s">
        <v>55</v>
      </c>
      <c r="C2119" s="0" t="s">
        <v>56</v>
      </c>
      <c r="D2119" s="0" t="n">
        <v>6</v>
      </c>
      <c r="E2119" s="5" t="n">
        <v>45963.7658796296</v>
      </c>
      <c r="F2119" s="0" t="n">
        <v>1.65</v>
      </c>
      <c r="G2119" s="0" t="n">
        <v>17127</v>
      </c>
      <c r="H2119" s="6" t="s">
        <v>74</v>
      </c>
      <c r="I2119" s="6" t="n">
        <f aca="false">D2119*F2119</f>
        <v>9.9</v>
      </c>
      <c r="J2119" s="6" t="n">
        <f aca="false">HOUR(E2119)</f>
        <v>18</v>
      </c>
      <c r="K2119" s="6" t="n">
        <f aca="false">IF(COUNTIF($A$2:$A2119,A2119)=1,1,0)</f>
        <v>0</v>
      </c>
    </row>
    <row r="2120" customFormat="false" ht="15" hidden="false" customHeight="false" outlineLevel="0" collapsed="false">
      <c r="A2120" s="0" t="s">
        <v>501</v>
      </c>
      <c r="B2120" s="0" t="s">
        <v>131</v>
      </c>
      <c r="C2120" s="0" t="s">
        <v>132</v>
      </c>
      <c r="D2120" s="0" t="n">
        <v>18</v>
      </c>
      <c r="E2120" s="5" t="n">
        <v>45963.7658796296</v>
      </c>
      <c r="F2120" s="0" t="n">
        <v>3.39</v>
      </c>
      <c r="G2120" s="0" t="n">
        <v>17127</v>
      </c>
      <c r="H2120" s="6" t="s">
        <v>74</v>
      </c>
      <c r="I2120" s="6" t="n">
        <f aca="false">D2120*F2120</f>
        <v>61.02</v>
      </c>
      <c r="J2120" s="6" t="n">
        <f aca="false">HOUR(E2120)</f>
        <v>18</v>
      </c>
      <c r="K2120" s="6" t="n">
        <f aca="false">IF(COUNTIF($A$2:$A2120,A2120)=1,1,0)</f>
        <v>0</v>
      </c>
    </row>
    <row r="2121" customFormat="false" ht="15" hidden="false" customHeight="false" outlineLevel="0" collapsed="false">
      <c r="A2121" s="0" t="s">
        <v>501</v>
      </c>
      <c r="B2121" s="0" t="s">
        <v>134</v>
      </c>
      <c r="C2121" s="0" t="s">
        <v>135</v>
      </c>
      <c r="D2121" s="0" t="n">
        <v>6</v>
      </c>
      <c r="E2121" s="5" t="n">
        <v>45963.7658796296</v>
      </c>
      <c r="F2121" s="0" t="n">
        <v>5.95</v>
      </c>
      <c r="G2121" s="0" t="n">
        <v>17127</v>
      </c>
      <c r="H2121" s="6" t="s">
        <v>74</v>
      </c>
      <c r="I2121" s="6" t="n">
        <f aca="false">D2121*F2121</f>
        <v>35.7</v>
      </c>
      <c r="J2121" s="6" t="n">
        <f aca="false">HOUR(E2121)</f>
        <v>18</v>
      </c>
      <c r="K2121" s="6" t="n">
        <f aca="false">IF(COUNTIF($A$2:$A2121,A2121)=1,1,0)</f>
        <v>0</v>
      </c>
    </row>
    <row r="2122" customFormat="false" ht="15" hidden="false" customHeight="false" outlineLevel="0" collapsed="false">
      <c r="A2122" s="0" t="s">
        <v>501</v>
      </c>
      <c r="B2122" s="0" t="s">
        <v>140</v>
      </c>
      <c r="C2122" s="0" t="s">
        <v>141</v>
      </c>
      <c r="D2122" s="0" t="n">
        <v>24</v>
      </c>
      <c r="E2122" s="5" t="n">
        <v>45963.7658796296</v>
      </c>
      <c r="F2122" s="0" t="n">
        <v>2.08</v>
      </c>
      <c r="G2122" s="0" t="n">
        <v>17127</v>
      </c>
      <c r="H2122" s="6" t="s">
        <v>74</v>
      </c>
      <c r="I2122" s="6" t="n">
        <f aca="false">D2122*F2122</f>
        <v>49.92</v>
      </c>
      <c r="J2122" s="6" t="n">
        <f aca="false">HOUR(E2122)</f>
        <v>18</v>
      </c>
      <c r="K2122" s="6" t="n">
        <f aca="false">IF(COUNTIF($A$2:$A2122,A2122)=1,1,0)</f>
        <v>0</v>
      </c>
    </row>
    <row r="2123" customFormat="false" ht="15" hidden="false" customHeight="false" outlineLevel="0" collapsed="false">
      <c r="A2123" s="0" t="s">
        <v>502</v>
      </c>
      <c r="B2123" s="0" t="s">
        <v>55</v>
      </c>
      <c r="C2123" s="0" t="s">
        <v>56</v>
      </c>
      <c r="D2123" s="0" t="n">
        <v>-6</v>
      </c>
      <c r="E2123" s="5" t="n">
        <v>45963.8145601852</v>
      </c>
      <c r="F2123" s="0" t="n">
        <v>1.65</v>
      </c>
      <c r="H2123" s="6" t="s">
        <v>74</v>
      </c>
      <c r="I2123" s="6" t="n">
        <f aca="false">D2123*F2123</f>
        <v>-9.9</v>
      </c>
      <c r="J2123" s="6" t="n">
        <f aca="false">HOUR(E2123)</f>
        <v>19</v>
      </c>
      <c r="K2123" s="6" t="n">
        <f aca="false">IF(COUNTIF($A$2:$A2123,A2123)=1,1,0)</f>
        <v>1</v>
      </c>
    </row>
    <row r="2124" customFormat="false" ht="15" hidden="false" customHeight="false" outlineLevel="0" collapsed="false">
      <c r="A2124" s="0" t="s">
        <v>502</v>
      </c>
      <c r="B2124" s="0" t="s">
        <v>83</v>
      </c>
      <c r="C2124" s="0" t="s">
        <v>84</v>
      </c>
      <c r="D2124" s="0" t="n">
        <v>-19</v>
      </c>
      <c r="E2124" s="5" t="n">
        <v>45963.8145601852</v>
      </c>
      <c r="F2124" s="0" t="n">
        <v>2.95</v>
      </c>
      <c r="H2124" s="6" t="s">
        <v>74</v>
      </c>
      <c r="I2124" s="6" t="n">
        <f aca="false">D2124*F2124</f>
        <v>-56.05</v>
      </c>
      <c r="J2124" s="6" t="n">
        <f aca="false">HOUR(E2124)</f>
        <v>19</v>
      </c>
      <c r="K2124" s="6" t="n">
        <f aca="false">IF(COUNTIF($A$2:$A2124,A2124)=1,1,0)</f>
        <v>0</v>
      </c>
    </row>
    <row r="2125" customFormat="false" ht="15" hidden="false" customHeight="false" outlineLevel="0" collapsed="false">
      <c r="A2125" s="0" t="s">
        <v>502</v>
      </c>
      <c r="B2125" s="0" t="s">
        <v>65</v>
      </c>
      <c r="C2125" s="0" t="s">
        <v>66</v>
      </c>
      <c r="D2125" s="0" t="n">
        <v>-21</v>
      </c>
      <c r="E2125" s="5" t="n">
        <v>45963.8145601852</v>
      </c>
      <c r="F2125" s="0" t="n">
        <v>1.65</v>
      </c>
      <c r="H2125" s="6" t="s">
        <v>74</v>
      </c>
      <c r="I2125" s="6" t="n">
        <f aca="false">D2125*F2125</f>
        <v>-34.65</v>
      </c>
      <c r="J2125" s="6" t="n">
        <f aca="false">HOUR(E2125)</f>
        <v>19</v>
      </c>
      <c r="K2125" s="6" t="n">
        <f aca="false">IF(COUNTIF($A$2:$A2125,A2125)=1,1,0)</f>
        <v>0</v>
      </c>
    </row>
    <row r="2126" customFormat="false" ht="15" hidden="false" customHeight="false" outlineLevel="0" collapsed="false">
      <c r="A2126" s="0" t="s">
        <v>502</v>
      </c>
      <c r="B2126" s="0" t="s">
        <v>118</v>
      </c>
      <c r="C2126" s="0" t="s">
        <v>119</v>
      </c>
      <c r="D2126" s="0" t="n">
        <v>-36</v>
      </c>
      <c r="E2126" s="5" t="n">
        <v>45963.8145601852</v>
      </c>
      <c r="F2126" s="0" t="n">
        <v>4.95</v>
      </c>
      <c r="H2126" s="6" t="s">
        <v>74</v>
      </c>
      <c r="I2126" s="6" t="n">
        <f aca="false">D2126*F2126</f>
        <v>-178.2</v>
      </c>
      <c r="J2126" s="6" t="n">
        <f aca="false">HOUR(E2126)</f>
        <v>19</v>
      </c>
      <c r="K2126" s="6" t="n">
        <f aca="false">IF(COUNTIF($A$2:$A2126,A2126)=1,1,0)</f>
        <v>0</v>
      </c>
    </row>
    <row r="2127" customFormat="false" ht="15" hidden="false" customHeight="false" outlineLevel="0" collapsed="false">
      <c r="A2127" s="0" t="s">
        <v>502</v>
      </c>
      <c r="B2127" s="0" t="s">
        <v>88</v>
      </c>
      <c r="C2127" s="0" t="s">
        <v>89</v>
      </c>
      <c r="D2127" s="0" t="n">
        <v>-21</v>
      </c>
      <c r="E2127" s="5" t="n">
        <v>45963.8145601852</v>
      </c>
      <c r="F2127" s="0" t="n">
        <v>2.75</v>
      </c>
      <c r="H2127" s="6" t="s">
        <v>74</v>
      </c>
      <c r="I2127" s="6" t="n">
        <f aca="false">D2127*F2127</f>
        <v>-57.75</v>
      </c>
      <c r="J2127" s="6" t="n">
        <f aca="false">HOUR(E2127)</f>
        <v>19</v>
      </c>
      <c r="K2127" s="6" t="n">
        <f aca="false">IF(COUNTIF($A$2:$A2127,A2127)=1,1,0)</f>
        <v>0</v>
      </c>
    </row>
    <row r="2128" customFormat="false" ht="15" hidden="false" customHeight="false" outlineLevel="0" collapsed="false">
      <c r="A2128" s="0" t="s">
        <v>503</v>
      </c>
      <c r="B2128" s="0" t="s">
        <v>59</v>
      </c>
      <c r="C2128" s="0" t="s">
        <v>60</v>
      </c>
      <c r="D2128" s="0" t="n">
        <v>13</v>
      </c>
      <c r="E2128" s="5" t="n">
        <v>45964.2509837963</v>
      </c>
      <c r="F2128" s="0" t="n">
        <v>0.42</v>
      </c>
      <c r="G2128" s="0" t="n">
        <v>17034</v>
      </c>
      <c r="H2128" s="6" t="s">
        <v>188</v>
      </c>
      <c r="I2128" s="6" t="n">
        <f aca="false">D2128*F2128</f>
        <v>5.46</v>
      </c>
      <c r="J2128" s="6" t="n">
        <f aca="false">HOUR(E2128)</f>
        <v>6</v>
      </c>
      <c r="K2128" s="6" t="n">
        <f aca="false">IF(COUNTIF($A$2:$A2128,A2128)=1,1,0)</f>
        <v>1</v>
      </c>
    </row>
    <row r="2129" customFormat="false" ht="15" hidden="false" customHeight="false" outlineLevel="0" collapsed="false">
      <c r="A2129" s="0" t="s">
        <v>503</v>
      </c>
      <c r="B2129" s="0" t="s">
        <v>91</v>
      </c>
      <c r="C2129" s="0" t="s">
        <v>92</v>
      </c>
      <c r="D2129" s="0" t="n">
        <v>18</v>
      </c>
      <c r="E2129" s="5" t="n">
        <v>45964.2509837963</v>
      </c>
      <c r="F2129" s="0" t="n">
        <v>7.65</v>
      </c>
      <c r="G2129" s="0" t="n">
        <v>17034</v>
      </c>
      <c r="H2129" s="6" t="s">
        <v>188</v>
      </c>
      <c r="I2129" s="6" t="n">
        <f aca="false">D2129*F2129</f>
        <v>137.7</v>
      </c>
      <c r="J2129" s="6" t="n">
        <f aca="false">HOUR(E2129)</f>
        <v>6</v>
      </c>
      <c r="K2129" s="6" t="n">
        <f aca="false">IF(COUNTIF($A$2:$A2129,A2129)=1,1,0)</f>
        <v>0</v>
      </c>
    </row>
    <row r="2130" customFormat="false" ht="15" hidden="false" customHeight="false" outlineLevel="0" collapsed="false">
      <c r="A2130" s="0" t="s">
        <v>503</v>
      </c>
      <c r="B2130" s="0" t="s">
        <v>50</v>
      </c>
      <c r="C2130" s="0" t="s">
        <v>51</v>
      </c>
      <c r="D2130" s="0" t="n">
        <v>6</v>
      </c>
      <c r="E2130" s="5" t="n">
        <v>45964.2509837963</v>
      </c>
      <c r="F2130" s="0" t="n">
        <v>5.95</v>
      </c>
      <c r="G2130" s="0" t="n">
        <v>17034</v>
      </c>
      <c r="H2130" s="6" t="s">
        <v>188</v>
      </c>
      <c r="I2130" s="6" t="n">
        <f aca="false">D2130*F2130</f>
        <v>35.7</v>
      </c>
      <c r="J2130" s="6" t="n">
        <f aca="false">HOUR(E2130)</f>
        <v>6</v>
      </c>
      <c r="K2130" s="6" t="n">
        <f aca="false">IF(COUNTIF($A$2:$A2130,A2130)=1,1,0)</f>
        <v>0</v>
      </c>
    </row>
    <row r="2131" customFormat="false" ht="15" hidden="false" customHeight="false" outlineLevel="0" collapsed="false">
      <c r="A2131" s="0" t="s">
        <v>503</v>
      </c>
      <c r="B2131" s="0" t="s">
        <v>107</v>
      </c>
      <c r="C2131" s="0" t="s">
        <v>108</v>
      </c>
      <c r="D2131" s="0" t="n">
        <v>11</v>
      </c>
      <c r="E2131" s="5" t="n">
        <v>45964.2509837963</v>
      </c>
      <c r="F2131" s="0" t="n">
        <v>3.75</v>
      </c>
      <c r="G2131" s="0" t="n">
        <v>17034</v>
      </c>
      <c r="H2131" s="6" t="s">
        <v>188</v>
      </c>
      <c r="I2131" s="6" t="n">
        <f aca="false">D2131*F2131</f>
        <v>41.25</v>
      </c>
      <c r="J2131" s="6" t="n">
        <f aca="false">HOUR(E2131)</f>
        <v>6</v>
      </c>
      <c r="K2131" s="6" t="n">
        <f aca="false">IF(COUNTIF($A$2:$A2131,A2131)=1,1,0)</f>
        <v>0</v>
      </c>
    </row>
    <row r="2132" customFormat="false" ht="15" hidden="false" customHeight="false" outlineLevel="0" collapsed="false">
      <c r="A2132" s="0" t="s">
        <v>504</v>
      </c>
      <c r="B2132" s="0" t="s">
        <v>83</v>
      </c>
      <c r="C2132" s="0" t="s">
        <v>84</v>
      </c>
      <c r="D2132" s="0" t="n">
        <v>11</v>
      </c>
      <c r="E2132" s="5" t="n">
        <v>45964.3672685185</v>
      </c>
      <c r="F2132" s="0" t="n">
        <v>2.95</v>
      </c>
      <c r="G2132" s="0" t="n">
        <v>17187</v>
      </c>
      <c r="H2132" s="6" t="s">
        <v>74</v>
      </c>
      <c r="I2132" s="6" t="n">
        <f aca="false">D2132*F2132</f>
        <v>32.45</v>
      </c>
      <c r="J2132" s="6" t="n">
        <f aca="false">HOUR(E2132)</f>
        <v>8</v>
      </c>
      <c r="K2132" s="6" t="n">
        <f aca="false">IF(COUNTIF($A$2:$A2132,A2132)=1,1,0)</f>
        <v>1</v>
      </c>
    </row>
    <row r="2133" customFormat="false" ht="15" hidden="false" customHeight="false" outlineLevel="0" collapsed="false">
      <c r="A2133" s="0" t="s">
        <v>504</v>
      </c>
      <c r="B2133" s="0" t="s">
        <v>104</v>
      </c>
      <c r="C2133" s="0" t="s">
        <v>105</v>
      </c>
      <c r="D2133" s="0" t="n">
        <v>8</v>
      </c>
      <c r="E2133" s="5" t="n">
        <v>45964.3672685185</v>
      </c>
      <c r="F2133" s="0" t="n">
        <v>1.65</v>
      </c>
      <c r="G2133" s="0" t="n">
        <v>17187</v>
      </c>
      <c r="H2133" s="6" t="s">
        <v>74</v>
      </c>
      <c r="I2133" s="6" t="n">
        <f aca="false">D2133*F2133</f>
        <v>13.2</v>
      </c>
      <c r="J2133" s="6" t="n">
        <f aca="false">HOUR(E2133)</f>
        <v>8</v>
      </c>
      <c r="K2133" s="6" t="n">
        <f aca="false">IF(COUNTIF($A$2:$A2133,A2133)=1,1,0)</f>
        <v>0</v>
      </c>
    </row>
    <row r="2134" customFormat="false" ht="15" hidden="false" customHeight="false" outlineLevel="0" collapsed="false">
      <c r="A2134" s="0" t="s">
        <v>504</v>
      </c>
      <c r="B2134" s="0" t="s">
        <v>93</v>
      </c>
      <c r="C2134" s="0" t="s">
        <v>94</v>
      </c>
      <c r="D2134" s="0" t="n">
        <v>23</v>
      </c>
      <c r="E2134" s="5" t="n">
        <v>45964.3672685185</v>
      </c>
      <c r="F2134" s="0" t="n">
        <v>1.69</v>
      </c>
      <c r="G2134" s="0" t="n">
        <v>17187</v>
      </c>
      <c r="H2134" s="6" t="s">
        <v>74</v>
      </c>
      <c r="I2134" s="6" t="n">
        <f aca="false">D2134*F2134</f>
        <v>38.87</v>
      </c>
      <c r="J2134" s="6" t="n">
        <f aca="false">HOUR(E2134)</f>
        <v>8</v>
      </c>
      <c r="K2134" s="6" t="n">
        <f aca="false">IF(COUNTIF($A$2:$A2134,A2134)=1,1,0)</f>
        <v>0</v>
      </c>
    </row>
    <row r="2135" customFormat="false" ht="15" hidden="false" customHeight="false" outlineLevel="0" collapsed="false">
      <c r="A2135" s="0" t="s">
        <v>504</v>
      </c>
      <c r="B2135" s="0" t="s">
        <v>45</v>
      </c>
      <c r="C2135" s="0" t="s">
        <v>46</v>
      </c>
      <c r="D2135" s="0" t="n">
        <v>15</v>
      </c>
      <c r="E2135" s="5" t="n">
        <v>45964.3672685185</v>
      </c>
      <c r="F2135" s="0" t="n">
        <v>2.1</v>
      </c>
      <c r="G2135" s="0" t="n">
        <v>17187</v>
      </c>
      <c r="H2135" s="6" t="s">
        <v>74</v>
      </c>
      <c r="I2135" s="6" t="n">
        <f aca="false">D2135*F2135</f>
        <v>31.5</v>
      </c>
      <c r="J2135" s="6" t="n">
        <f aca="false">HOUR(E2135)</f>
        <v>8</v>
      </c>
      <c r="K2135" s="6" t="n">
        <f aca="false">IF(COUNTIF($A$2:$A2135,A2135)=1,1,0)</f>
        <v>0</v>
      </c>
    </row>
    <row r="2136" customFormat="false" ht="15" hidden="false" customHeight="false" outlineLevel="0" collapsed="false">
      <c r="A2136" s="0" t="s">
        <v>504</v>
      </c>
      <c r="B2136" s="0" t="s">
        <v>55</v>
      </c>
      <c r="C2136" s="0" t="s">
        <v>56</v>
      </c>
      <c r="D2136" s="0" t="n">
        <v>15</v>
      </c>
      <c r="E2136" s="5" t="n">
        <v>45964.3672685185</v>
      </c>
      <c r="F2136" s="0" t="n">
        <v>1.65</v>
      </c>
      <c r="G2136" s="0" t="n">
        <v>17187</v>
      </c>
      <c r="H2136" s="6" t="s">
        <v>74</v>
      </c>
      <c r="I2136" s="6" t="n">
        <f aca="false">D2136*F2136</f>
        <v>24.75</v>
      </c>
      <c r="J2136" s="6" t="n">
        <f aca="false">HOUR(E2136)</f>
        <v>8</v>
      </c>
      <c r="K2136" s="6" t="n">
        <f aca="false">IF(COUNTIF($A$2:$A2136,A2136)=1,1,0)</f>
        <v>0</v>
      </c>
    </row>
    <row r="2137" customFormat="false" ht="15" hidden="false" customHeight="false" outlineLevel="0" collapsed="false">
      <c r="A2137" s="0" t="s">
        <v>504</v>
      </c>
      <c r="B2137" s="0" t="s">
        <v>99</v>
      </c>
      <c r="C2137" s="0" t="s">
        <v>100</v>
      </c>
      <c r="D2137" s="0" t="n">
        <v>23</v>
      </c>
      <c r="E2137" s="5" t="n">
        <v>45964.3672685185</v>
      </c>
      <c r="F2137" s="0" t="n">
        <v>2.08</v>
      </c>
      <c r="G2137" s="0" t="n">
        <v>17187</v>
      </c>
      <c r="H2137" s="6" t="s">
        <v>74</v>
      </c>
      <c r="I2137" s="6" t="n">
        <f aca="false">D2137*F2137</f>
        <v>47.84</v>
      </c>
      <c r="J2137" s="6" t="n">
        <f aca="false">HOUR(E2137)</f>
        <v>8</v>
      </c>
      <c r="K2137" s="6" t="n">
        <f aca="false">IF(COUNTIF($A$2:$A2137,A2137)=1,1,0)</f>
        <v>0</v>
      </c>
    </row>
    <row r="2138" customFormat="false" ht="15" hidden="false" customHeight="false" outlineLevel="0" collapsed="false">
      <c r="A2138" s="0" t="s">
        <v>504</v>
      </c>
      <c r="B2138" s="0" t="s">
        <v>86</v>
      </c>
      <c r="C2138" s="0" t="s">
        <v>87</v>
      </c>
      <c r="D2138" s="0" t="n">
        <v>19</v>
      </c>
      <c r="E2138" s="5" t="n">
        <v>45964.3672685185</v>
      </c>
      <c r="F2138" s="0" t="n">
        <v>4.25</v>
      </c>
      <c r="G2138" s="0" t="n">
        <v>17187</v>
      </c>
      <c r="H2138" s="6" t="s">
        <v>74</v>
      </c>
      <c r="I2138" s="6" t="n">
        <f aca="false">D2138*F2138</f>
        <v>80.75</v>
      </c>
      <c r="J2138" s="6" t="n">
        <f aca="false">HOUR(E2138)</f>
        <v>8</v>
      </c>
      <c r="K2138" s="6" t="n">
        <f aca="false">IF(COUNTIF($A$2:$A2138,A2138)=1,1,0)</f>
        <v>0</v>
      </c>
    </row>
    <row r="2139" customFormat="false" ht="15" hidden="false" customHeight="false" outlineLevel="0" collapsed="false">
      <c r="A2139" s="0" t="s">
        <v>505</v>
      </c>
      <c r="B2139" s="0" t="s">
        <v>47</v>
      </c>
      <c r="C2139" s="0" t="s">
        <v>48</v>
      </c>
      <c r="D2139" s="0" t="n">
        <v>16</v>
      </c>
      <c r="E2139" s="5" t="n">
        <v>45964.3850694444</v>
      </c>
      <c r="F2139" s="0" t="n">
        <v>12.75</v>
      </c>
      <c r="G2139" s="0" t="n">
        <v>17024</v>
      </c>
      <c r="H2139" s="6" t="s">
        <v>74</v>
      </c>
      <c r="I2139" s="6" t="n">
        <f aca="false">D2139*F2139</f>
        <v>204</v>
      </c>
      <c r="J2139" s="6" t="n">
        <f aca="false">HOUR(E2139)</f>
        <v>9</v>
      </c>
      <c r="K2139" s="6" t="n">
        <f aca="false">IF(COUNTIF($A$2:$A2139,A2139)=1,1,0)</f>
        <v>1</v>
      </c>
    </row>
    <row r="2140" customFormat="false" ht="15" hidden="false" customHeight="false" outlineLevel="0" collapsed="false">
      <c r="A2140" s="0" t="s">
        <v>505</v>
      </c>
      <c r="B2140" s="0" t="s">
        <v>61</v>
      </c>
      <c r="C2140" s="0" t="s">
        <v>62</v>
      </c>
      <c r="D2140" s="0" t="n">
        <v>10</v>
      </c>
      <c r="E2140" s="5" t="n">
        <v>45964.3850694444</v>
      </c>
      <c r="F2140" s="0" t="n">
        <v>1.65</v>
      </c>
      <c r="G2140" s="0" t="n">
        <v>17024</v>
      </c>
      <c r="H2140" s="6" t="s">
        <v>74</v>
      </c>
      <c r="I2140" s="6" t="n">
        <f aca="false">D2140*F2140</f>
        <v>16.5</v>
      </c>
      <c r="J2140" s="6" t="n">
        <f aca="false">HOUR(E2140)</f>
        <v>9</v>
      </c>
      <c r="K2140" s="6" t="n">
        <f aca="false">IF(COUNTIF($A$2:$A2140,A2140)=1,1,0)</f>
        <v>0</v>
      </c>
    </row>
    <row r="2141" customFormat="false" ht="15" hidden="false" customHeight="false" outlineLevel="0" collapsed="false">
      <c r="A2141" s="0" t="s">
        <v>505</v>
      </c>
      <c r="B2141" s="0" t="s">
        <v>50</v>
      </c>
      <c r="C2141" s="0" t="s">
        <v>51</v>
      </c>
      <c r="D2141" s="0" t="n">
        <v>6</v>
      </c>
      <c r="E2141" s="5" t="n">
        <v>45964.3850694444</v>
      </c>
      <c r="F2141" s="0" t="n">
        <v>5.95</v>
      </c>
      <c r="G2141" s="0" t="n">
        <v>17024</v>
      </c>
      <c r="H2141" s="6" t="s">
        <v>74</v>
      </c>
      <c r="I2141" s="6" t="n">
        <f aca="false">D2141*F2141</f>
        <v>35.7</v>
      </c>
      <c r="J2141" s="6" t="n">
        <f aca="false">HOUR(E2141)</f>
        <v>9</v>
      </c>
      <c r="K2141" s="6" t="n">
        <f aca="false">IF(COUNTIF($A$2:$A2141,A2141)=1,1,0)</f>
        <v>0</v>
      </c>
    </row>
    <row r="2142" customFormat="false" ht="15" hidden="false" customHeight="false" outlineLevel="0" collapsed="false">
      <c r="A2142" s="0" t="s">
        <v>506</v>
      </c>
      <c r="B2142" s="0" t="s">
        <v>77</v>
      </c>
      <c r="C2142" s="0" t="s">
        <v>78</v>
      </c>
      <c r="D2142" s="0" t="n">
        <v>21</v>
      </c>
      <c r="E2142" s="5" t="n">
        <v>45964.4065740741</v>
      </c>
      <c r="F2142" s="0" t="n">
        <v>1.65</v>
      </c>
      <c r="G2142" s="0" t="n">
        <v>17037</v>
      </c>
      <c r="H2142" s="6" t="s">
        <v>74</v>
      </c>
      <c r="I2142" s="6" t="n">
        <f aca="false">D2142*F2142</f>
        <v>34.65</v>
      </c>
      <c r="J2142" s="6" t="n">
        <f aca="false">HOUR(E2142)</f>
        <v>9</v>
      </c>
      <c r="K2142" s="6" t="n">
        <f aca="false">IF(COUNTIF($A$2:$A2142,A2142)=1,1,0)</f>
        <v>1</v>
      </c>
    </row>
    <row r="2143" customFormat="false" ht="15" hidden="false" customHeight="false" outlineLevel="0" collapsed="false">
      <c r="A2143" s="0" t="s">
        <v>506</v>
      </c>
      <c r="B2143" s="0" t="s">
        <v>75</v>
      </c>
      <c r="C2143" s="0" t="s">
        <v>76</v>
      </c>
      <c r="D2143" s="0" t="n">
        <v>4</v>
      </c>
      <c r="E2143" s="5" t="n">
        <v>45964.4065740741</v>
      </c>
      <c r="F2143" s="0" t="n">
        <v>3.39</v>
      </c>
      <c r="G2143" s="0" t="n">
        <v>17037</v>
      </c>
      <c r="H2143" s="6" t="s">
        <v>74</v>
      </c>
      <c r="I2143" s="6" t="n">
        <f aca="false">D2143*F2143</f>
        <v>13.56</v>
      </c>
      <c r="J2143" s="6" t="n">
        <f aca="false">HOUR(E2143)</f>
        <v>9</v>
      </c>
      <c r="K2143" s="6" t="n">
        <f aca="false">IF(COUNTIF($A$2:$A2143,A2143)=1,1,0)</f>
        <v>0</v>
      </c>
    </row>
    <row r="2144" customFormat="false" ht="15" hidden="false" customHeight="false" outlineLevel="0" collapsed="false">
      <c r="A2144" s="0" t="s">
        <v>506</v>
      </c>
      <c r="B2144" s="0" t="s">
        <v>47</v>
      </c>
      <c r="C2144" s="0" t="s">
        <v>48</v>
      </c>
      <c r="D2144" s="0" t="n">
        <v>33</v>
      </c>
      <c r="E2144" s="5" t="n">
        <v>45964.4065740741</v>
      </c>
      <c r="F2144" s="0" t="n">
        <v>12.75</v>
      </c>
      <c r="G2144" s="0" t="n">
        <v>17037</v>
      </c>
      <c r="H2144" s="6" t="s">
        <v>74</v>
      </c>
      <c r="I2144" s="6" t="n">
        <f aca="false">D2144*F2144</f>
        <v>420.75</v>
      </c>
      <c r="J2144" s="6" t="n">
        <f aca="false">HOUR(E2144)</f>
        <v>9</v>
      </c>
      <c r="K2144" s="6" t="n">
        <f aca="false">IF(COUNTIF($A$2:$A2144,A2144)=1,1,0)</f>
        <v>0</v>
      </c>
    </row>
    <row r="2145" customFormat="false" ht="15" hidden="false" customHeight="false" outlineLevel="0" collapsed="false">
      <c r="A2145" s="0" t="s">
        <v>506</v>
      </c>
      <c r="B2145" s="0" t="s">
        <v>95</v>
      </c>
      <c r="C2145" s="0" t="s">
        <v>96</v>
      </c>
      <c r="D2145" s="0" t="n">
        <v>6</v>
      </c>
      <c r="E2145" s="5" t="n">
        <v>45964.4065740741</v>
      </c>
      <c r="F2145" s="0" t="n">
        <v>2.55</v>
      </c>
      <c r="G2145" s="0" t="n">
        <v>17037</v>
      </c>
      <c r="H2145" s="6" t="s">
        <v>74</v>
      </c>
      <c r="I2145" s="6" t="n">
        <f aca="false">D2145*F2145</f>
        <v>15.3</v>
      </c>
      <c r="J2145" s="6" t="n">
        <f aca="false">HOUR(E2145)</f>
        <v>9</v>
      </c>
      <c r="K2145" s="6" t="n">
        <f aca="false">IF(COUNTIF($A$2:$A2145,A2145)=1,1,0)</f>
        <v>0</v>
      </c>
    </row>
    <row r="2146" customFormat="false" ht="15" hidden="false" customHeight="false" outlineLevel="0" collapsed="false">
      <c r="A2146" s="0" t="s">
        <v>506</v>
      </c>
      <c r="B2146" s="0" t="s">
        <v>83</v>
      </c>
      <c r="C2146" s="0" t="s">
        <v>84</v>
      </c>
      <c r="D2146" s="0" t="n">
        <v>15</v>
      </c>
      <c r="E2146" s="5" t="n">
        <v>45964.4065740741</v>
      </c>
      <c r="F2146" s="0" t="n">
        <v>2.95</v>
      </c>
      <c r="G2146" s="0" t="n">
        <v>17037</v>
      </c>
      <c r="H2146" s="6" t="s">
        <v>74</v>
      </c>
      <c r="I2146" s="6" t="n">
        <f aca="false">D2146*F2146</f>
        <v>44.25</v>
      </c>
      <c r="J2146" s="6" t="n">
        <f aca="false">HOUR(E2146)</f>
        <v>9</v>
      </c>
      <c r="K2146" s="6" t="n">
        <f aca="false">IF(COUNTIF($A$2:$A2146,A2146)=1,1,0)</f>
        <v>0</v>
      </c>
    </row>
    <row r="2147" customFormat="false" ht="15" hidden="false" customHeight="false" outlineLevel="0" collapsed="false">
      <c r="A2147" s="0" t="s">
        <v>506</v>
      </c>
      <c r="B2147" s="0" t="s">
        <v>72</v>
      </c>
      <c r="C2147" s="0" t="s">
        <v>73</v>
      </c>
      <c r="D2147" s="0" t="n">
        <v>11</v>
      </c>
      <c r="E2147" s="5" t="n">
        <v>45964.4065740741</v>
      </c>
      <c r="F2147" s="0" t="n">
        <v>4.95</v>
      </c>
      <c r="G2147" s="0" t="n">
        <v>17037</v>
      </c>
      <c r="H2147" s="6" t="s">
        <v>74</v>
      </c>
      <c r="I2147" s="6" t="n">
        <f aca="false">D2147*F2147</f>
        <v>54.45</v>
      </c>
      <c r="J2147" s="6" t="n">
        <f aca="false">HOUR(E2147)</f>
        <v>9</v>
      </c>
      <c r="K2147" s="6" t="n">
        <f aca="false">IF(COUNTIF($A$2:$A2147,A2147)=1,1,0)</f>
        <v>0</v>
      </c>
    </row>
    <row r="2148" customFormat="false" ht="15" hidden="false" customHeight="false" outlineLevel="0" collapsed="false">
      <c r="A2148" s="0" t="s">
        <v>506</v>
      </c>
      <c r="B2148" s="0" t="s">
        <v>131</v>
      </c>
      <c r="C2148" s="0" t="s">
        <v>132</v>
      </c>
      <c r="D2148" s="0" t="n">
        <v>22</v>
      </c>
      <c r="E2148" s="5" t="n">
        <v>45964.4065740741</v>
      </c>
      <c r="F2148" s="0" t="n">
        <v>3.39</v>
      </c>
      <c r="G2148" s="0" t="n">
        <v>17037</v>
      </c>
      <c r="H2148" s="6" t="s">
        <v>74</v>
      </c>
      <c r="I2148" s="6" t="n">
        <f aca="false">D2148*F2148</f>
        <v>74.58</v>
      </c>
      <c r="J2148" s="6" t="n">
        <f aca="false">HOUR(E2148)</f>
        <v>9</v>
      </c>
      <c r="K2148" s="6" t="n">
        <f aca="false">IF(COUNTIF($A$2:$A2148,A2148)=1,1,0)</f>
        <v>0</v>
      </c>
    </row>
    <row r="2149" customFormat="false" ht="15" hidden="false" customHeight="false" outlineLevel="0" collapsed="false">
      <c r="A2149" s="0" t="s">
        <v>507</v>
      </c>
      <c r="B2149" s="0" t="s">
        <v>45</v>
      </c>
      <c r="C2149" s="0" t="s">
        <v>46</v>
      </c>
      <c r="D2149" s="0" t="n">
        <v>21</v>
      </c>
      <c r="E2149" s="5" t="n">
        <v>45964.446724537</v>
      </c>
      <c r="F2149" s="0" t="n">
        <v>2.1</v>
      </c>
      <c r="G2149" s="0" t="n">
        <v>17117</v>
      </c>
      <c r="H2149" s="6" t="s">
        <v>42</v>
      </c>
      <c r="I2149" s="6" t="n">
        <f aca="false">D2149*F2149</f>
        <v>44.1</v>
      </c>
      <c r="J2149" s="6" t="n">
        <f aca="false">HOUR(E2149)</f>
        <v>10</v>
      </c>
      <c r="K2149" s="6" t="n">
        <f aca="false">IF(COUNTIF($A$2:$A2149,A2149)=1,1,0)</f>
        <v>1</v>
      </c>
    </row>
    <row r="2150" customFormat="false" ht="15" hidden="false" customHeight="false" outlineLevel="0" collapsed="false">
      <c r="A2150" s="0" t="s">
        <v>507</v>
      </c>
      <c r="B2150" s="0" t="s">
        <v>140</v>
      </c>
      <c r="C2150" s="0" t="s">
        <v>141</v>
      </c>
      <c r="D2150" s="0" t="n">
        <v>22</v>
      </c>
      <c r="E2150" s="5" t="n">
        <v>45964.446724537</v>
      </c>
      <c r="F2150" s="0" t="n">
        <v>2.08</v>
      </c>
      <c r="G2150" s="0" t="n">
        <v>17117</v>
      </c>
      <c r="H2150" s="6" t="s">
        <v>42</v>
      </c>
      <c r="I2150" s="6" t="n">
        <f aca="false">D2150*F2150</f>
        <v>45.76</v>
      </c>
      <c r="J2150" s="6" t="n">
        <f aca="false">HOUR(E2150)</f>
        <v>10</v>
      </c>
      <c r="K2150" s="6" t="n">
        <f aca="false">IF(COUNTIF($A$2:$A2150,A2150)=1,1,0)</f>
        <v>0</v>
      </c>
    </row>
    <row r="2151" customFormat="false" ht="15" hidden="false" customHeight="false" outlineLevel="0" collapsed="false">
      <c r="A2151" s="0" t="s">
        <v>507</v>
      </c>
      <c r="B2151" s="0" t="s">
        <v>79</v>
      </c>
      <c r="C2151" s="0" t="s">
        <v>80</v>
      </c>
      <c r="D2151" s="0" t="n">
        <v>1</v>
      </c>
      <c r="E2151" s="5" t="n">
        <v>45964.446724537</v>
      </c>
      <c r="F2151" s="0" t="n">
        <v>3.39</v>
      </c>
      <c r="G2151" s="0" t="n">
        <v>17117</v>
      </c>
      <c r="H2151" s="6" t="s">
        <v>42</v>
      </c>
      <c r="I2151" s="6" t="n">
        <f aca="false">D2151*F2151</f>
        <v>3.39</v>
      </c>
      <c r="J2151" s="6" t="n">
        <f aca="false">HOUR(E2151)</f>
        <v>10</v>
      </c>
      <c r="K2151" s="6" t="n">
        <f aca="false">IF(COUNTIF($A$2:$A2151,A2151)=1,1,0)</f>
        <v>0</v>
      </c>
    </row>
    <row r="2152" customFormat="false" ht="15" hidden="false" customHeight="false" outlineLevel="0" collapsed="false">
      <c r="A2152" s="0" t="s">
        <v>507</v>
      </c>
      <c r="B2152" s="0" t="s">
        <v>109</v>
      </c>
      <c r="C2152" s="0" t="s">
        <v>110</v>
      </c>
      <c r="D2152" s="0" t="n">
        <v>12</v>
      </c>
      <c r="E2152" s="5" t="n">
        <v>45964.446724537</v>
      </c>
      <c r="F2152" s="0" t="n">
        <v>0.85</v>
      </c>
      <c r="G2152" s="0" t="n">
        <v>17117</v>
      </c>
      <c r="H2152" s="6" t="s">
        <v>42</v>
      </c>
      <c r="I2152" s="6" t="n">
        <f aca="false">D2152*F2152</f>
        <v>10.2</v>
      </c>
      <c r="J2152" s="6" t="n">
        <f aca="false">HOUR(E2152)</f>
        <v>10</v>
      </c>
      <c r="K2152" s="6" t="n">
        <f aca="false">IF(COUNTIF($A$2:$A2152,A2152)=1,1,0)</f>
        <v>0</v>
      </c>
    </row>
    <row r="2153" customFormat="false" ht="15" hidden="false" customHeight="false" outlineLevel="0" collapsed="false">
      <c r="A2153" s="0" t="s">
        <v>507</v>
      </c>
      <c r="B2153" s="0" t="s">
        <v>125</v>
      </c>
      <c r="C2153" s="0" t="s">
        <v>126</v>
      </c>
      <c r="D2153" s="0" t="n">
        <v>6</v>
      </c>
      <c r="E2153" s="5" t="n">
        <v>45964.446724537</v>
      </c>
      <c r="F2153" s="0" t="n">
        <v>1.25</v>
      </c>
      <c r="G2153" s="0" t="n">
        <v>17117</v>
      </c>
      <c r="H2153" s="6" t="s">
        <v>42</v>
      </c>
      <c r="I2153" s="6" t="n">
        <f aca="false">D2153*F2153</f>
        <v>7.5</v>
      </c>
      <c r="J2153" s="6" t="n">
        <f aca="false">HOUR(E2153)</f>
        <v>10</v>
      </c>
      <c r="K2153" s="6" t="n">
        <f aca="false">IF(COUNTIF($A$2:$A2153,A2153)=1,1,0)</f>
        <v>0</v>
      </c>
    </row>
    <row r="2154" customFormat="false" ht="15" hidden="false" customHeight="false" outlineLevel="0" collapsed="false">
      <c r="A2154" s="0" t="s">
        <v>507</v>
      </c>
      <c r="B2154" s="0" t="s">
        <v>43</v>
      </c>
      <c r="C2154" s="0" t="s">
        <v>44</v>
      </c>
      <c r="D2154" s="0" t="n">
        <v>9</v>
      </c>
      <c r="E2154" s="5" t="n">
        <v>45964.446724537</v>
      </c>
      <c r="F2154" s="0" t="n">
        <v>4.25</v>
      </c>
      <c r="G2154" s="0" t="n">
        <v>17117</v>
      </c>
      <c r="H2154" s="6" t="s">
        <v>42</v>
      </c>
      <c r="I2154" s="6" t="n">
        <f aca="false">D2154*F2154</f>
        <v>38.25</v>
      </c>
      <c r="J2154" s="6" t="n">
        <f aca="false">HOUR(E2154)</f>
        <v>10</v>
      </c>
      <c r="K2154" s="6" t="n">
        <f aca="false">IF(COUNTIF($A$2:$A2154,A2154)=1,1,0)</f>
        <v>0</v>
      </c>
    </row>
    <row r="2155" customFormat="false" ht="15" hidden="false" customHeight="false" outlineLevel="0" collapsed="false">
      <c r="A2155" s="0" t="s">
        <v>507</v>
      </c>
      <c r="B2155" s="0" t="s">
        <v>145</v>
      </c>
      <c r="C2155" s="0" t="s">
        <v>146</v>
      </c>
      <c r="D2155" s="0" t="n">
        <v>11</v>
      </c>
      <c r="E2155" s="5" t="n">
        <v>45964.446724537</v>
      </c>
      <c r="F2155" s="0" t="n">
        <v>1.85</v>
      </c>
      <c r="G2155" s="0" t="n">
        <v>17117</v>
      </c>
      <c r="H2155" s="6" t="s">
        <v>42</v>
      </c>
      <c r="I2155" s="6" t="n">
        <f aca="false">D2155*F2155</f>
        <v>20.35</v>
      </c>
      <c r="J2155" s="6" t="n">
        <f aca="false">HOUR(E2155)</f>
        <v>10</v>
      </c>
      <c r="K2155" s="6" t="n">
        <f aca="false">IF(COUNTIF($A$2:$A2155,A2155)=1,1,0)</f>
        <v>0</v>
      </c>
    </row>
    <row r="2156" customFormat="false" ht="15" hidden="false" customHeight="false" outlineLevel="0" collapsed="false">
      <c r="A2156" s="0" t="s">
        <v>507</v>
      </c>
      <c r="B2156" s="0" t="s">
        <v>81</v>
      </c>
      <c r="C2156" s="0" t="s">
        <v>82</v>
      </c>
      <c r="D2156" s="0" t="n">
        <v>9</v>
      </c>
      <c r="E2156" s="5" t="n">
        <v>45964.446724537</v>
      </c>
      <c r="F2156" s="0" t="n">
        <v>1.65</v>
      </c>
      <c r="G2156" s="0" t="n">
        <v>17117</v>
      </c>
      <c r="H2156" s="6" t="s">
        <v>42</v>
      </c>
      <c r="I2156" s="6" t="n">
        <f aca="false">D2156*F2156</f>
        <v>14.85</v>
      </c>
      <c r="J2156" s="6" t="n">
        <f aca="false">HOUR(E2156)</f>
        <v>10</v>
      </c>
      <c r="K2156" s="6" t="n">
        <f aca="false">IF(COUNTIF($A$2:$A2156,A2156)=1,1,0)</f>
        <v>0</v>
      </c>
    </row>
    <row r="2157" customFormat="false" ht="15" hidden="false" customHeight="false" outlineLevel="0" collapsed="false">
      <c r="A2157" s="0" t="s">
        <v>507</v>
      </c>
      <c r="B2157" s="0" t="s">
        <v>88</v>
      </c>
      <c r="C2157" s="0" t="s">
        <v>89</v>
      </c>
      <c r="D2157" s="0" t="n">
        <v>17</v>
      </c>
      <c r="E2157" s="5" t="n">
        <v>45964.446724537</v>
      </c>
      <c r="F2157" s="0" t="n">
        <v>2.75</v>
      </c>
      <c r="G2157" s="0" t="n">
        <v>17117</v>
      </c>
      <c r="H2157" s="6" t="s">
        <v>42</v>
      </c>
      <c r="I2157" s="6" t="n">
        <f aca="false">D2157*F2157</f>
        <v>46.75</v>
      </c>
      <c r="J2157" s="6" t="n">
        <f aca="false">HOUR(E2157)</f>
        <v>10</v>
      </c>
      <c r="K2157" s="6" t="n">
        <f aca="false">IF(COUNTIF($A$2:$A2157,A2157)=1,1,0)</f>
        <v>0</v>
      </c>
    </row>
    <row r="2158" customFormat="false" ht="15" hidden="false" customHeight="false" outlineLevel="0" collapsed="false">
      <c r="A2158" s="0" t="s">
        <v>507</v>
      </c>
      <c r="B2158" s="0" t="s">
        <v>118</v>
      </c>
      <c r="C2158" s="0" t="s">
        <v>119</v>
      </c>
      <c r="D2158" s="0" t="n">
        <v>21</v>
      </c>
      <c r="E2158" s="5" t="n">
        <v>45964.446724537</v>
      </c>
      <c r="F2158" s="0" t="n">
        <v>4.95</v>
      </c>
      <c r="G2158" s="0" t="n">
        <v>17117</v>
      </c>
      <c r="H2158" s="6" t="s">
        <v>42</v>
      </c>
      <c r="I2158" s="6" t="n">
        <f aca="false">D2158*F2158</f>
        <v>103.95</v>
      </c>
      <c r="J2158" s="6" t="n">
        <f aca="false">HOUR(E2158)</f>
        <v>10</v>
      </c>
      <c r="K2158" s="6" t="n">
        <f aca="false">IF(COUNTIF($A$2:$A2158,A2158)=1,1,0)</f>
        <v>0</v>
      </c>
    </row>
    <row r="2159" customFormat="false" ht="15" hidden="false" customHeight="false" outlineLevel="0" collapsed="false">
      <c r="A2159" s="0" t="s">
        <v>508</v>
      </c>
      <c r="B2159" s="0" t="s">
        <v>107</v>
      </c>
      <c r="C2159" s="0" t="s">
        <v>108</v>
      </c>
      <c r="D2159" s="0" t="n">
        <v>5</v>
      </c>
      <c r="E2159" s="5" t="n">
        <v>45964.4546412037</v>
      </c>
      <c r="F2159" s="0" t="n">
        <v>3.75</v>
      </c>
      <c r="G2159" s="0" t="n">
        <v>17127</v>
      </c>
      <c r="H2159" s="6" t="s">
        <v>113</v>
      </c>
      <c r="I2159" s="6" t="n">
        <f aca="false">D2159*F2159</f>
        <v>18.75</v>
      </c>
      <c r="J2159" s="6" t="n">
        <f aca="false">HOUR(E2159)</f>
        <v>10</v>
      </c>
      <c r="K2159" s="6" t="n">
        <f aca="false">IF(COUNTIF($A$2:$A2159,A2159)=1,1,0)</f>
        <v>1</v>
      </c>
    </row>
    <row r="2160" customFormat="false" ht="15" hidden="false" customHeight="false" outlineLevel="0" collapsed="false">
      <c r="A2160" s="0" t="s">
        <v>508</v>
      </c>
      <c r="B2160" s="0" t="s">
        <v>69</v>
      </c>
      <c r="C2160" s="0" t="s">
        <v>70</v>
      </c>
      <c r="D2160" s="0" t="n">
        <v>24</v>
      </c>
      <c r="E2160" s="5" t="n">
        <v>45964.4546412037</v>
      </c>
      <c r="F2160" s="0" t="n">
        <v>2.08</v>
      </c>
      <c r="G2160" s="0" t="n">
        <v>17127</v>
      </c>
      <c r="H2160" s="6" t="s">
        <v>113</v>
      </c>
      <c r="I2160" s="6" t="n">
        <f aca="false">D2160*F2160</f>
        <v>49.92</v>
      </c>
      <c r="J2160" s="6" t="n">
        <f aca="false">HOUR(E2160)</f>
        <v>10</v>
      </c>
      <c r="K2160" s="6" t="n">
        <f aca="false">IF(COUNTIF($A$2:$A2160,A2160)=1,1,0)</f>
        <v>0</v>
      </c>
    </row>
    <row r="2161" customFormat="false" ht="15" hidden="false" customHeight="false" outlineLevel="0" collapsed="false">
      <c r="A2161" s="0" t="s">
        <v>508</v>
      </c>
      <c r="B2161" s="0" t="s">
        <v>65</v>
      </c>
      <c r="C2161" s="0" t="s">
        <v>66</v>
      </c>
      <c r="D2161" s="0" t="n">
        <v>14</v>
      </c>
      <c r="E2161" s="5" t="n">
        <v>45964.4546412037</v>
      </c>
      <c r="F2161" s="0" t="n">
        <v>1.65</v>
      </c>
      <c r="G2161" s="0" t="n">
        <v>17127</v>
      </c>
      <c r="H2161" s="6" t="s">
        <v>113</v>
      </c>
      <c r="I2161" s="6" t="n">
        <f aca="false">D2161*F2161</f>
        <v>23.1</v>
      </c>
      <c r="J2161" s="6" t="n">
        <f aca="false">HOUR(E2161)</f>
        <v>10</v>
      </c>
      <c r="K2161" s="6" t="n">
        <f aca="false">IF(COUNTIF($A$2:$A2161,A2161)=1,1,0)</f>
        <v>0</v>
      </c>
    </row>
    <row r="2162" customFormat="false" ht="15" hidden="false" customHeight="false" outlineLevel="0" collapsed="false">
      <c r="A2162" s="0" t="s">
        <v>508</v>
      </c>
      <c r="B2162" s="0" t="s">
        <v>116</v>
      </c>
      <c r="C2162" s="0" t="s">
        <v>117</v>
      </c>
      <c r="D2162" s="0" t="n">
        <v>17</v>
      </c>
      <c r="E2162" s="5" t="n">
        <v>45964.4546412037</v>
      </c>
      <c r="F2162" s="0" t="n">
        <v>1.95</v>
      </c>
      <c r="G2162" s="0" t="n">
        <v>17127</v>
      </c>
      <c r="H2162" s="6" t="s">
        <v>113</v>
      </c>
      <c r="I2162" s="6" t="n">
        <f aca="false">D2162*F2162</f>
        <v>33.15</v>
      </c>
      <c r="J2162" s="6" t="n">
        <f aca="false">HOUR(E2162)</f>
        <v>10</v>
      </c>
      <c r="K2162" s="6" t="n">
        <f aca="false">IF(COUNTIF($A$2:$A2162,A2162)=1,1,0)</f>
        <v>0</v>
      </c>
    </row>
    <row r="2163" customFormat="false" ht="15" hidden="false" customHeight="false" outlineLevel="0" collapsed="false">
      <c r="A2163" s="0" t="s">
        <v>508</v>
      </c>
      <c r="B2163" s="0" t="s">
        <v>53</v>
      </c>
      <c r="C2163" s="0" t="s">
        <v>54</v>
      </c>
      <c r="D2163" s="0" t="n">
        <v>22</v>
      </c>
      <c r="E2163" s="5" t="n">
        <v>45964.4546412037</v>
      </c>
      <c r="F2163" s="0" t="n">
        <v>2.95</v>
      </c>
      <c r="G2163" s="0" t="n">
        <v>17127</v>
      </c>
      <c r="H2163" s="6" t="s">
        <v>113</v>
      </c>
      <c r="I2163" s="6" t="n">
        <f aca="false">D2163*F2163</f>
        <v>64.9</v>
      </c>
      <c r="J2163" s="6" t="n">
        <f aca="false">HOUR(E2163)</f>
        <v>10</v>
      </c>
      <c r="K2163" s="6" t="n">
        <f aca="false">IF(COUNTIF($A$2:$A2163,A2163)=1,1,0)</f>
        <v>0</v>
      </c>
    </row>
    <row r="2164" customFormat="false" ht="15" hidden="false" customHeight="false" outlineLevel="0" collapsed="false">
      <c r="A2164" s="0" t="s">
        <v>508</v>
      </c>
      <c r="B2164" s="0" t="s">
        <v>75</v>
      </c>
      <c r="C2164" s="0" t="s">
        <v>76</v>
      </c>
      <c r="D2164" s="0" t="n">
        <v>10</v>
      </c>
      <c r="E2164" s="5" t="n">
        <v>45964.4546412037</v>
      </c>
      <c r="F2164" s="0" t="n">
        <v>3.39</v>
      </c>
      <c r="G2164" s="0" t="n">
        <v>17127</v>
      </c>
      <c r="H2164" s="6" t="s">
        <v>113</v>
      </c>
      <c r="I2164" s="6" t="n">
        <f aca="false">D2164*F2164</f>
        <v>33.9</v>
      </c>
      <c r="J2164" s="6" t="n">
        <f aca="false">HOUR(E2164)</f>
        <v>10</v>
      </c>
      <c r="K2164" s="6" t="n">
        <f aca="false">IF(COUNTIF($A$2:$A2164,A2164)=1,1,0)</f>
        <v>0</v>
      </c>
    </row>
    <row r="2165" customFormat="false" ht="15" hidden="false" customHeight="false" outlineLevel="0" collapsed="false">
      <c r="A2165" s="0" t="s">
        <v>508</v>
      </c>
      <c r="B2165" s="0" t="s">
        <v>118</v>
      </c>
      <c r="C2165" s="0" t="s">
        <v>119</v>
      </c>
      <c r="D2165" s="0" t="n">
        <v>7</v>
      </c>
      <c r="E2165" s="5" t="n">
        <v>45964.4546412037</v>
      </c>
      <c r="F2165" s="0" t="n">
        <v>4.95</v>
      </c>
      <c r="G2165" s="0" t="n">
        <v>17127</v>
      </c>
      <c r="H2165" s="6" t="s">
        <v>113</v>
      </c>
      <c r="I2165" s="6" t="n">
        <f aca="false">D2165*F2165</f>
        <v>34.65</v>
      </c>
      <c r="J2165" s="6" t="n">
        <f aca="false">HOUR(E2165)</f>
        <v>10</v>
      </c>
      <c r="K2165" s="6" t="n">
        <f aca="false">IF(COUNTIF($A$2:$A2165,A2165)=1,1,0)</f>
        <v>0</v>
      </c>
    </row>
    <row r="2166" customFormat="false" ht="15" hidden="false" customHeight="false" outlineLevel="0" collapsed="false">
      <c r="A2166" s="0" t="s">
        <v>508</v>
      </c>
      <c r="B2166" s="0" t="s">
        <v>93</v>
      </c>
      <c r="C2166" s="0" t="s">
        <v>94</v>
      </c>
      <c r="D2166" s="0" t="n">
        <v>24</v>
      </c>
      <c r="E2166" s="5" t="n">
        <v>45964.4546412037</v>
      </c>
      <c r="F2166" s="0" t="n">
        <v>1.69</v>
      </c>
      <c r="G2166" s="0" t="n">
        <v>17127</v>
      </c>
      <c r="H2166" s="6" t="s">
        <v>113</v>
      </c>
      <c r="I2166" s="6" t="n">
        <f aca="false">D2166*F2166</f>
        <v>40.56</v>
      </c>
      <c r="J2166" s="6" t="n">
        <f aca="false">HOUR(E2166)</f>
        <v>10</v>
      </c>
      <c r="K2166" s="6" t="n">
        <f aca="false">IF(COUNTIF($A$2:$A2166,A2166)=1,1,0)</f>
        <v>0</v>
      </c>
    </row>
    <row r="2167" customFormat="false" ht="15" hidden="false" customHeight="false" outlineLevel="0" collapsed="false">
      <c r="A2167" s="0" t="s">
        <v>508</v>
      </c>
      <c r="B2167" s="0" t="s">
        <v>104</v>
      </c>
      <c r="C2167" s="0" t="s">
        <v>105</v>
      </c>
      <c r="D2167" s="0" t="n">
        <v>5</v>
      </c>
      <c r="E2167" s="5" t="n">
        <v>45964.4546412037</v>
      </c>
      <c r="F2167" s="0" t="n">
        <v>1.65</v>
      </c>
      <c r="G2167" s="0" t="n">
        <v>17127</v>
      </c>
      <c r="H2167" s="6" t="s">
        <v>113</v>
      </c>
      <c r="I2167" s="6" t="n">
        <f aca="false">D2167*F2167</f>
        <v>8.25</v>
      </c>
      <c r="J2167" s="6" t="n">
        <f aca="false">HOUR(E2167)</f>
        <v>10</v>
      </c>
      <c r="K2167" s="6" t="n">
        <f aca="false">IF(COUNTIF($A$2:$A2167,A2167)=1,1,0)</f>
        <v>0</v>
      </c>
    </row>
    <row r="2168" customFormat="false" ht="15" hidden="false" customHeight="false" outlineLevel="0" collapsed="false">
      <c r="A2168" s="0" t="s">
        <v>509</v>
      </c>
      <c r="B2168" s="0" t="s">
        <v>79</v>
      </c>
      <c r="C2168" s="0" t="s">
        <v>80</v>
      </c>
      <c r="D2168" s="0" t="n">
        <v>22</v>
      </c>
      <c r="E2168" s="5" t="n">
        <v>45964.473287037</v>
      </c>
      <c r="F2168" s="0" t="n">
        <v>3.39</v>
      </c>
      <c r="G2168" s="0" t="n">
        <v>17158</v>
      </c>
      <c r="H2168" s="6" t="s">
        <v>68</v>
      </c>
      <c r="I2168" s="6" t="n">
        <f aca="false">D2168*F2168</f>
        <v>74.58</v>
      </c>
      <c r="J2168" s="6" t="n">
        <f aca="false">HOUR(E2168)</f>
        <v>11</v>
      </c>
      <c r="K2168" s="6" t="n">
        <f aca="false">IF(COUNTIF($A$2:$A2168,A2168)=1,1,0)</f>
        <v>1</v>
      </c>
    </row>
    <row r="2169" customFormat="false" ht="15" hidden="false" customHeight="false" outlineLevel="0" collapsed="false">
      <c r="A2169" s="0" t="s">
        <v>509</v>
      </c>
      <c r="B2169" s="0" t="s">
        <v>107</v>
      </c>
      <c r="D2169" s="0" t="n">
        <v>12</v>
      </c>
      <c r="E2169" s="5" t="n">
        <v>45964.473287037</v>
      </c>
      <c r="F2169" s="0" t="n">
        <v>3.75</v>
      </c>
      <c r="G2169" s="0" t="n">
        <v>17158</v>
      </c>
      <c r="H2169" s="6" t="s">
        <v>68</v>
      </c>
      <c r="I2169" s="6" t="n">
        <f aca="false">D2169*F2169</f>
        <v>45</v>
      </c>
      <c r="J2169" s="6" t="n">
        <f aca="false">HOUR(E2169)</f>
        <v>11</v>
      </c>
      <c r="K2169" s="6" t="n">
        <f aca="false">IF(COUNTIF($A$2:$A2169,A2169)=1,1,0)</f>
        <v>0</v>
      </c>
    </row>
    <row r="2170" customFormat="false" ht="15" hidden="false" customHeight="false" outlineLevel="0" collapsed="false">
      <c r="A2170" s="0" t="s">
        <v>509</v>
      </c>
      <c r="B2170" s="0" t="s">
        <v>55</v>
      </c>
      <c r="C2170" s="0" t="s">
        <v>56</v>
      </c>
      <c r="D2170" s="0" t="n">
        <v>8</v>
      </c>
      <c r="E2170" s="5" t="n">
        <v>45964.473287037</v>
      </c>
      <c r="F2170" s="0" t="n">
        <v>1.65</v>
      </c>
      <c r="G2170" s="0" t="n">
        <v>17158</v>
      </c>
      <c r="H2170" s="6" t="s">
        <v>68</v>
      </c>
      <c r="I2170" s="6" t="n">
        <f aca="false">D2170*F2170</f>
        <v>13.2</v>
      </c>
      <c r="J2170" s="6" t="n">
        <f aca="false">HOUR(E2170)</f>
        <v>11</v>
      </c>
      <c r="K2170" s="6" t="n">
        <f aca="false">IF(COUNTIF($A$2:$A2170,A2170)=1,1,0)</f>
        <v>0</v>
      </c>
    </row>
    <row r="2171" customFormat="false" ht="15" hidden="false" customHeight="false" outlineLevel="0" collapsed="false">
      <c r="A2171" s="0" t="s">
        <v>510</v>
      </c>
      <c r="B2171" s="0" t="s">
        <v>127</v>
      </c>
      <c r="C2171" s="0" t="s">
        <v>128</v>
      </c>
      <c r="D2171" s="0" t="n">
        <v>8</v>
      </c>
      <c r="E2171" s="5" t="n">
        <v>45964.4741087963</v>
      </c>
      <c r="F2171" s="0" t="n">
        <v>1.45</v>
      </c>
      <c r="H2171" s="6" t="s">
        <v>42</v>
      </c>
      <c r="I2171" s="6" t="n">
        <f aca="false">D2171*F2171</f>
        <v>11.6</v>
      </c>
      <c r="J2171" s="6" t="n">
        <f aca="false">HOUR(E2171)</f>
        <v>11</v>
      </c>
      <c r="K2171" s="6" t="n">
        <f aca="false">IF(COUNTIF($A$2:$A2171,A2171)=1,1,0)</f>
        <v>1</v>
      </c>
    </row>
    <row r="2172" customFormat="false" ht="15" hidden="false" customHeight="false" outlineLevel="0" collapsed="false">
      <c r="A2172" s="0" t="s">
        <v>510</v>
      </c>
      <c r="B2172" s="0" t="s">
        <v>99</v>
      </c>
      <c r="C2172" s="0" t="s">
        <v>100</v>
      </c>
      <c r="D2172" s="0" t="n">
        <v>8</v>
      </c>
      <c r="E2172" s="5" t="n">
        <v>45964.4741087963</v>
      </c>
      <c r="F2172" s="0" t="n">
        <v>2.08</v>
      </c>
      <c r="H2172" s="6" t="s">
        <v>42</v>
      </c>
      <c r="I2172" s="6" t="n">
        <f aca="false">D2172*F2172</f>
        <v>16.64</v>
      </c>
      <c r="J2172" s="6" t="n">
        <f aca="false">HOUR(E2172)</f>
        <v>11</v>
      </c>
      <c r="K2172" s="6" t="n">
        <f aca="false">IF(COUNTIF($A$2:$A2172,A2172)=1,1,0)</f>
        <v>0</v>
      </c>
    </row>
    <row r="2173" customFormat="false" ht="15" hidden="false" customHeight="false" outlineLevel="0" collapsed="false">
      <c r="A2173" s="0" t="s">
        <v>511</v>
      </c>
      <c r="B2173" s="0" t="s">
        <v>88</v>
      </c>
      <c r="C2173" s="0" t="s">
        <v>89</v>
      </c>
      <c r="D2173" s="0" t="n">
        <v>13</v>
      </c>
      <c r="E2173" s="5" t="n">
        <v>45964.4966435185</v>
      </c>
      <c r="F2173" s="0" t="n">
        <v>2.75</v>
      </c>
      <c r="G2173" s="0" t="n">
        <v>17003</v>
      </c>
      <c r="H2173" s="6" t="s">
        <v>188</v>
      </c>
      <c r="I2173" s="6" t="n">
        <f aca="false">D2173*F2173</f>
        <v>35.75</v>
      </c>
      <c r="J2173" s="6" t="n">
        <f aca="false">HOUR(E2173)</f>
        <v>11</v>
      </c>
      <c r="K2173" s="6" t="n">
        <f aca="false">IF(COUNTIF($A$2:$A2173,A2173)=1,1,0)</f>
        <v>1</v>
      </c>
    </row>
    <row r="2174" customFormat="false" ht="15" hidden="false" customHeight="false" outlineLevel="0" collapsed="false">
      <c r="A2174" s="0" t="s">
        <v>511</v>
      </c>
      <c r="B2174" s="0" t="s">
        <v>61</v>
      </c>
      <c r="C2174" s="0" t="s">
        <v>62</v>
      </c>
      <c r="D2174" s="0" t="n">
        <v>20</v>
      </c>
      <c r="E2174" s="5" t="n">
        <v>45964.4966435185</v>
      </c>
      <c r="F2174" s="0" t="n">
        <v>1.65</v>
      </c>
      <c r="G2174" s="0" t="n">
        <v>17003</v>
      </c>
      <c r="H2174" s="6" t="s">
        <v>188</v>
      </c>
      <c r="I2174" s="6" t="n">
        <f aca="false">D2174*F2174</f>
        <v>33</v>
      </c>
      <c r="J2174" s="6" t="n">
        <f aca="false">HOUR(E2174)</f>
        <v>11</v>
      </c>
      <c r="K2174" s="6" t="n">
        <f aca="false">IF(COUNTIF($A$2:$A2174,A2174)=1,1,0)</f>
        <v>0</v>
      </c>
    </row>
    <row r="2175" customFormat="false" ht="15" hidden="false" customHeight="false" outlineLevel="0" collapsed="false">
      <c r="A2175" s="0" t="s">
        <v>511</v>
      </c>
      <c r="B2175" s="0" t="s">
        <v>131</v>
      </c>
      <c r="C2175" s="0" t="s">
        <v>132</v>
      </c>
      <c r="D2175" s="0" t="n">
        <v>21</v>
      </c>
      <c r="E2175" s="5" t="n">
        <v>45964.4966435185</v>
      </c>
      <c r="F2175" s="0" t="n">
        <v>3.39</v>
      </c>
      <c r="G2175" s="0" t="n">
        <v>17003</v>
      </c>
      <c r="H2175" s="6" t="s">
        <v>188</v>
      </c>
      <c r="I2175" s="6" t="n">
        <f aca="false">D2175*F2175</f>
        <v>71.19</v>
      </c>
      <c r="J2175" s="6" t="n">
        <f aca="false">HOUR(E2175)</f>
        <v>11</v>
      </c>
      <c r="K2175" s="6" t="n">
        <f aca="false">IF(COUNTIF($A$2:$A2175,A2175)=1,1,0)</f>
        <v>0</v>
      </c>
    </row>
    <row r="2176" customFormat="false" ht="15" hidden="false" customHeight="false" outlineLevel="0" collapsed="false">
      <c r="A2176" s="0" t="s">
        <v>511</v>
      </c>
      <c r="B2176" s="0" t="s">
        <v>104</v>
      </c>
      <c r="C2176" s="0" t="s">
        <v>105</v>
      </c>
      <c r="D2176" s="0" t="n">
        <v>19</v>
      </c>
      <c r="E2176" s="5" t="n">
        <v>45964.4966435185</v>
      </c>
      <c r="F2176" s="0" t="n">
        <v>1.65</v>
      </c>
      <c r="G2176" s="0" t="n">
        <v>17003</v>
      </c>
      <c r="H2176" s="6" t="s">
        <v>188</v>
      </c>
      <c r="I2176" s="6" t="n">
        <f aca="false">D2176*F2176</f>
        <v>31.35</v>
      </c>
      <c r="J2176" s="6" t="n">
        <f aca="false">HOUR(E2176)</f>
        <v>11</v>
      </c>
      <c r="K2176" s="6" t="n">
        <f aca="false">IF(COUNTIF($A$2:$A2176,A2176)=1,1,0)</f>
        <v>0</v>
      </c>
    </row>
    <row r="2177" customFormat="false" ht="15" hidden="false" customHeight="false" outlineLevel="0" collapsed="false">
      <c r="A2177" s="0" t="s">
        <v>512</v>
      </c>
      <c r="B2177" s="0" t="s">
        <v>137</v>
      </c>
      <c r="C2177" s="0" t="s">
        <v>138</v>
      </c>
      <c r="D2177" s="0" t="n">
        <v>3</v>
      </c>
      <c r="E2177" s="5" t="n">
        <v>45964.5298148148</v>
      </c>
      <c r="F2177" s="0" t="n">
        <v>2.1</v>
      </c>
      <c r="G2177" s="0" t="n">
        <v>17052</v>
      </c>
      <c r="H2177" s="6" t="s">
        <v>263</v>
      </c>
      <c r="I2177" s="6" t="n">
        <f aca="false">D2177*F2177</f>
        <v>6.3</v>
      </c>
      <c r="J2177" s="6" t="n">
        <f aca="false">HOUR(E2177)</f>
        <v>12</v>
      </c>
      <c r="K2177" s="6" t="n">
        <f aca="false">IF(COUNTIF($A$2:$A2177,A2177)=1,1,0)</f>
        <v>1</v>
      </c>
    </row>
    <row r="2178" customFormat="false" ht="15" hidden="false" customHeight="false" outlineLevel="0" collapsed="false">
      <c r="A2178" s="0" t="s">
        <v>512</v>
      </c>
      <c r="B2178" s="0" t="s">
        <v>86</v>
      </c>
      <c r="C2178" s="0" t="s">
        <v>87</v>
      </c>
      <c r="D2178" s="0" t="n">
        <v>5</v>
      </c>
      <c r="E2178" s="5" t="n">
        <v>45964.5298148148</v>
      </c>
      <c r="F2178" s="0" t="n">
        <v>4.25</v>
      </c>
      <c r="G2178" s="0" t="n">
        <v>17052</v>
      </c>
      <c r="H2178" s="6" t="s">
        <v>263</v>
      </c>
      <c r="I2178" s="6" t="n">
        <f aca="false">D2178*F2178</f>
        <v>21.25</v>
      </c>
      <c r="J2178" s="6" t="n">
        <f aca="false">HOUR(E2178)</f>
        <v>12</v>
      </c>
      <c r="K2178" s="6" t="n">
        <f aca="false">IF(COUNTIF($A$2:$A2178,A2178)=1,1,0)</f>
        <v>0</v>
      </c>
    </row>
    <row r="2179" customFormat="false" ht="15" hidden="false" customHeight="false" outlineLevel="0" collapsed="false">
      <c r="A2179" s="0" t="s">
        <v>512</v>
      </c>
      <c r="B2179" s="0" t="s">
        <v>43</v>
      </c>
      <c r="C2179" s="0" t="s">
        <v>44</v>
      </c>
      <c r="D2179" s="0" t="n">
        <v>22</v>
      </c>
      <c r="E2179" s="5" t="n">
        <v>45964.5298148148</v>
      </c>
      <c r="F2179" s="0" t="n">
        <v>4.25</v>
      </c>
      <c r="G2179" s="0" t="n">
        <v>17052</v>
      </c>
      <c r="H2179" s="6" t="s">
        <v>263</v>
      </c>
      <c r="I2179" s="6" t="n">
        <f aca="false">D2179*F2179</f>
        <v>93.5</v>
      </c>
      <c r="J2179" s="6" t="n">
        <f aca="false">HOUR(E2179)</f>
        <v>12</v>
      </c>
      <c r="K2179" s="6" t="n">
        <f aca="false">IF(COUNTIF($A$2:$A2179,A2179)=1,1,0)</f>
        <v>0</v>
      </c>
    </row>
    <row r="2180" customFormat="false" ht="15" hidden="false" customHeight="false" outlineLevel="0" collapsed="false">
      <c r="A2180" s="0" t="s">
        <v>512</v>
      </c>
      <c r="B2180" s="0" t="s">
        <v>131</v>
      </c>
      <c r="C2180" s="0" t="s">
        <v>132</v>
      </c>
      <c r="D2180" s="0" t="n">
        <v>19</v>
      </c>
      <c r="E2180" s="5" t="n">
        <v>45964.5298148148</v>
      </c>
      <c r="F2180" s="0" t="n">
        <v>3.39</v>
      </c>
      <c r="G2180" s="0" t="n">
        <v>17052</v>
      </c>
      <c r="H2180" s="6" t="s">
        <v>263</v>
      </c>
      <c r="I2180" s="6" t="n">
        <f aca="false">D2180*F2180</f>
        <v>64.41</v>
      </c>
      <c r="J2180" s="6" t="n">
        <f aca="false">HOUR(E2180)</f>
        <v>12</v>
      </c>
      <c r="K2180" s="6" t="n">
        <f aca="false">IF(COUNTIF($A$2:$A2180,A2180)=1,1,0)</f>
        <v>0</v>
      </c>
    </row>
    <row r="2181" customFormat="false" ht="15" hidden="false" customHeight="false" outlineLevel="0" collapsed="false">
      <c r="A2181" s="0" t="s">
        <v>512</v>
      </c>
      <c r="B2181" s="0" t="s">
        <v>102</v>
      </c>
      <c r="C2181" s="0" t="s">
        <v>103</v>
      </c>
      <c r="D2181" s="0" t="n">
        <v>44</v>
      </c>
      <c r="E2181" s="5" t="n">
        <v>45964.5298148148</v>
      </c>
      <c r="F2181" s="0" t="n">
        <v>8.5</v>
      </c>
      <c r="G2181" s="0" t="n">
        <v>17052</v>
      </c>
      <c r="H2181" s="6" t="s">
        <v>263</v>
      </c>
      <c r="I2181" s="6" t="n">
        <f aca="false">D2181*F2181</f>
        <v>374</v>
      </c>
      <c r="J2181" s="6" t="n">
        <f aca="false">HOUR(E2181)</f>
        <v>12</v>
      </c>
      <c r="K2181" s="6" t="n">
        <f aca="false">IF(COUNTIF($A$2:$A2181,A2181)=1,1,0)</f>
        <v>0</v>
      </c>
    </row>
    <row r="2182" customFormat="false" ht="15" hidden="false" customHeight="false" outlineLevel="0" collapsed="false">
      <c r="A2182" s="0" t="s">
        <v>512</v>
      </c>
      <c r="B2182" s="0" t="s">
        <v>140</v>
      </c>
      <c r="C2182" s="0" t="s">
        <v>141</v>
      </c>
      <c r="D2182" s="0" t="n">
        <v>18</v>
      </c>
      <c r="E2182" s="5" t="n">
        <v>45964.5298148148</v>
      </c>
      <c r="F2182" s="0" t="n">
        <v>2.08</v>
      </c>
      <c r="G2182" s="0" t="n">
        <v>17052</v>
      </c>
      <c r="H2182" s="6" t="s">
        <v>263</v>
      </c>
      <c r="I2182" s="6" t="n">
        <f aca="false">D2182*F2182</f>
        <v>37.44</v>
      </c>
      <c r="J2182" s="6" t="n">
        <f aca="false">HOUR(E2182)</f>
        <v>12</v>
      </c>
      <c r="K2182" s="6" t="n">
        <f aca="false">IF(COUNTIF($A$2:$A2182,A2182)=1,1,0)</f>
        <v>0</v>
      </c>
    </row>
    <row r="2183" customFormat="false" ht="15" hidden="false" customHeight="false" outlineLevel="0" collapsed="false">
      <c r="A2183" s="0" t="s">
        <v>512</v>
      </c>
      <c r="B2183" s="0" t="s">
        <v>109</v>
      </c>
      <c r="C2183" s="0" t="s">
        <v>110</v>
      </c>
      <c r="D2183" s="0" t="n">
        <v>21</v>
      </c>
      <c r="E2183" s="5" t="n">
        <v>45964.5298148148</v>
      </c>
      <c r="F2183" s="0" t="n">
        <v>0.85</v>
      </c>
      <c r="G2183" s="0" t="n">
        <v>17052</v>
      </c>
      <c r="H2183" s="6" t="s">
        <v>263</v>
      </c>
      <c r="I2183" s="6" t="n">
        <f aca="false">D2183*F2183</f>
        <v>17.85</v>
      </c>
      <c r="J2183" s="6" t="n">
        <f aca="false">HOUR(E2183)</f>
        <v>12</v>
      </c>
      <c r="K2183" s="6" t="n">
        <f aca="false">IF(COUNTIF($A$2:$A2183,A2183)=1,1,0)</f>
        <v>0</v>
      </c>
    </row>
    <row r="2184" customFormat="false" ht="15" hidden="false" customHeight="false" outlineLevel="0" collapsed="false">
      <c r="A2184" s="0" t="s">
        <v>512</v>
      </c>
      <c r="B2184" s="0" t="s">
        <v>55</v>
      </c>
      <c r="C2184" s="0" t="s">
        <v>56</v>
      </c>
      <c r="D2184" s="0" t="n">
        <v>15</v>
      </c>
      <c r="E2184" s="5" t="n">
        <v>45964.5298148148</v>
      </c>
      <c r="F2184" s="0" t="n">
        <v>1.65</v>
      </c>
      <c r="G2184" s="0" t="n">
        <v>17052</v>
      </c>
      <c r="H2184" s="6" t="s">
        <v>263</v>
      </c>
      <c r="I2184" s="6" t="n">
        <f aca="false">D2184*F2184</f>
        <v>24.75</v>
      </c>
      <c r="J2184" s="6" t="n">
        <f aca="false">HOUR(E2184)</f>
        <v>12</v>
      </c>
      <c r="K2184" s="6" t="n">
        <f aca="false">IF(COUNTIF($A$2:$A2184,A2184)=1,1,0)</f>
        <v>0</v>
      </c>
    </row>
    <row r="2185" customFormat="false" ht="15" hidden="false" customHeight="false" outlineLevel="0" collapsed="false">
      <c r="A2185" s="0" t="s">
        <v>513</v>
      </c>
      <c r="B2185" s="0" t="s">
        <v>50</v>
      </c>
      <c r="C2185" s="0" t="s">
        <v>51</v>
      </c>
      <c r="D2185" s="0" t="n">
        <v>19</v>
      </c>
      <c r="E2185" s="5" t="n">
        <v>45964.5456134259</v>
      </c>
      <c r="F2185" s="0" t="n">
        <v>5.95</v>
      </c>
      <c r="G2185" s="0" t="n">
        <v>17195</v>
      </c>
      <c r="H2185" s="6" t="s">
        <v>74</v>
      </c>
      <c r="I2185" s="6" t="n">
        <f aca="false">D2185*F2185</f>
        <v>113.05</v>
      </c>
      <c r="J2185" s="6" t="n">
        <f aca="false">HOUR(E2185)</f>
        <v>13</v>
      </c>
      <c r="K2185" s="6" t="n">
        <f aca="false">IF(COUNTIF($A$2:$A2185,A2185)=1,1,0)</f>
        <v>1</v>
      </c>
    </row>
    <row r="2186" customFormat="false" ht="15" hidden="false" customHeight="false" outlineLevel="0" collapsed="false">
      <c r="A2186" s="0" t="s">
        <v>513</v>
      </c>
      <c r="B2186" s="0" t="s">
        <v>114</v>
      </c>
      <c r="C2186" s="0" t="s">
        <v>115</v>
      </c>
      <c r="D2186" s="0" t="n">
        <v>18</v>
      </c>
      <c r="E2186" s="5" t="n">
        <v>45964.5456134259</v>
      </c>
      <c r="F2186" s="0" t="n">
        <v>2.08</v>
      </c>
      <c r="G2186" s="0" t="n">
        <v>17195</v>
      </c>
      <c r="H2186" s="6" t="s">
        <v>74</v>
      </c>
      <c r="I2186" s="6" t="n">
        <f aca="false">D2186*F2186</f>
        <v>37.44</v>
      </c>
      <c r="J2186" s="6" t="n">
        <f aca="false">HOUR(E2186)</f>
        <v>13</v>
      </c>
      <c r="K2186" s="6" t="n">
        <f aca="false">IF(COUNTIF($A$2:$A2186,A2186)=1,1,0)</f>
        <v>0</v>
      </c>
    </row>
    <row r="2187" customFormat="false" ht="15" hidden="false" customHeight="false" outlineLevel="0" collapsed="false">
      <c r="A2187" s="0" t="s">
        <v>513</v>
      </c>
      <c r="B2187" s="0" t="s">
        <v>55</v>
      </c>
      <c r="C2187" s="0" t="s">
        <v>56</v>
      </c>
      <c r="D2187" s="0" t="n">
        <v>22</v>
      </c>
      <c r="E2187" s="5" t="n">
        <v>45964.5456134259</v>
      </c>
      <c r="F2187" s="0" t="n">
        <v>1.65</v>
      </c>
      <c r="G2187" s="0" t="n">
        <v>17195</v>
      </c>
      <c r="H2187" s="6" t="s">
        <v>74</v>
      </c>
      <c r="I2187" s="6" t="n">
        <f aca="false">D2187*F2187</f>
        <v>36.3</v>
      </c>
      <c r="J2187" s="6" t="n">
        <f aca="false">HOUR(E2187)</f>
        <v>13</v>
      </c>
      <c r="K2187" s="6" t="n">
        <f aca="false">IF(COUNTIF($A$2:$A2187,A2187)=1,1,0)</f>
        <v>0</v>
      </c>
    </row>
    <row r="2188" customFormat="false" ht="15" hidden="false" customHeight="false" outlineLevel="0" collapsed="false">
      <c r="A2188" s="0" t="s">
        <v>513</v>
      </c>
      <c r="B2188" s="0" t="s">
        <v>88</v>
      </c>
      <c r="C2188" s="0" t="s">
        <v>89</v>
      </c>
      <c r="D2188" s="0" t="n">
        <v>22</v>
      </c>
      <c r="E2188" s="5" t="n">
        <v>45964.5456134259</v>
      </c>
      <c r="F2188" s="0" t="n">
        <v>2.75</v>
      </c>
      <c r="G2188" s="0" t="n">
        <v>17195</v>
      </c>
      <c r="H2188" s="6" t="s">
        <v>74</v>
      </c>
      <c r="I2188" s="6" t="n">
        <f aca="false">D2188*F2188</f>
        <v>60.5</v>
      </c>
      <c r="J2188" s="6" t="n">
        <f aca="false">HOUR(E2188)</f>
        <v>13</v>
      </c>
      <c r="K2188" s="6" t="n">
        <f aca="false">IF(COUNTIF($A$2:$A2188,A2188)=1,1,0)</f>
        <v>0</v>
      </c>
    </row>
    <row r="2189" customFormat="false" ht="15" hidden="false" customHeight="false" outlineLevel="0" collapsed="false">
      <c r="A2189" s="0" t="s">
        <v>513</v>
      </c>
      <c r="B2189" s="0" t="s">
        <v>137</v>
      </c>
      <c r="C2189" s="0" t="s">
        <v>138</v>
      </c>
      <c r="D2189" s="0" t="n">
        <v>9</v>
      </c>
      <c r="E2189" s="5" t="n">
        <v>45964.5456134259</v>
      </c>
      <c r="F2189" s="0" t="n">
        <v>2.1</v>
      </c>
      <c r="G2189" s="0" t="n">
        <v>17195</v>
      </c>
      <c r="H2189" s="6" t="s">
        <v>74</v>
      </c>
      <c r="I2189" s="6" t="n">
        <f aca="false">D2189*F2189</f>
        <v>18.9</v>
      </c>
      <c r="J2189" s="6" t="n">
        <f aca="false">HOUR(E2189)</f>
        <v>13</v>
      </c>
      <c r="K2189" s="6" t="n">
        <f aca="false">IF(COUNTIF($A$2:$A2189,A2189)=1,1,0)</f>
        <v>0</v>
      </c>
    </row>
    <row r="2190" customFormat="false" ht="15" hidden="false" customHeight="false" outlineLevel="0" collapsed="false">
      <c r="A2190" s="0" t="s">
        <v>513</v>
      </c>
      <c r="B2190" s="0" t="s">
        <v>134</v>
      </c>
      <c r="C2190" s="0" t="s">
        <v>135</v>
      </c>
      <c r="D2190" s="0" t="n">
        <v>5</v>
      </c>
      <c r="E2190" s="5" t="n">
        <v>45964.5456134259</v>
      </c>
      <c r="F2190" s="0" t="n">
        <v>5.95</v>
      </c>
      <c r="G2190" s="0" t="n">
        <v>17195</v>
      </c>
      <c r="H2190" s="6" t="s">
        <v>74</v>
      </c>
      <c r="I2190" s="6" t="n">
        <f aca="false">D2190*F2190</f>
        <v>29.75</v>
      </c>
      <c r="J2190" s="6" t="n">
        <f aca="false">HOUR(E2190)</f>
        <v>13</v>
      </c>
      <c r="K2190" s="6" t="n">
        <f aca="false">IF(COUNTIF($A$2:$A2190,A2190)=1,1,0)</f>
        <v>0</v>
      </c>
    </row>
    <row r="2191" customFormat="false" ht="15" hidden="false" customHeight="false" outlineLevel="0" collapsed="false">
      <c r="A2191" s="0" t="s">
        <v>514</v>
      </c>
      <c r="B2191" s="0" t="s">
        <v>77</v>
      </c>
      <c r="C2191" s="0" t="s">
        <v>78</v>
      </c>
      <c r="D2191" s="0" t="n">
        <v>10</v>
      </c>
      <c r="E2191" s="5" t="n">
        <v>45964.5818287037</v>
      </c>
      <c r="F2191" s="0" t="n">
        <v>1.65</v>
      </c>
      <c r="G2191" s="0" t="n">
        <v>17057</v>
      </c>
      <c r="H2191" s="6" t="s">
        <v>74</v>
      </c>
      <c r="I2191" s="6" t="n">
        <f aca="false">D2191*F2191</f>
        <v>16.5</v>
      </c>
      <c r="J2191" s="6" t="n">
        <f aca="false">HOUR(E2191)</f>
        <v>13</v>
      </c>
      <c r="K2191" s="6" t="n">
        <f aca="false">IF(COUNTIF($A$2:$A2191,A2191)=1,1,0)</f>
        <v>1</v>
      </c>
    </row>
    <row r="2192" customFormat="false" ht="15" hidden="false" customHeight="false" outlineLevel="0" collapsed="false">
      <c r="A2192" s="0" t="s">
        <v>514</v>
      </c>
      <c r="B2192" s="0" t="s">
        <v>81</v>
      </c>
      <c r="C2192" s="0" t="s">
        <v>82</v>
      </c>
      <c r="D2192" s="0" t="n">
        <v>13</v>
      </c>
      <c r="E2192" s="5" t="n">
        <v>45964.5818287037</v>
      </c>
      <c r="F2192" s="0" t="n">
        <v>1.65</v>
      </c>
      <c r="G2192" s="0" t="n">
        <v>17057</v>
      </c>
      <c r="H2192" s="6" t="s">
        <v>74</v>
      </c>
      <c r="I2192" s="6" t="n">
        <f aca="false">D2192*F2192</f>
        <v>21.45</v>
      </c>
      <c r="J2192" s="6" t="n">
        <f aca="false">HOUR(E2192)</f>
        <v>13</v>
      </c>
      <c r="K2192" s="6" t="n">
        <f aca="false">IF(COUNTIF($A$2:$A2192,A2192)=1,1,0)</f>
        <v>0</v>
      </c>
    </row>
    <row r="2193" customFormat="false" ht="15" hidden="false" customHeight="false" outlineLevel="0" collapsed="false">
      <c r="A2193" s="0" t="s">
        <v>514</v>
      </c>
      <c r="B2193" s="0" t="s">
        <v>40</v>
      </c>
      <c r="C2193" s="0" t="s">
        <v>41</v>
      </c>
      <c r="D2193" s="0" t="n">
        <v>12</v>
      </c>
      <c r="E2193" s="5" t="n">
        <v>45964.5818287037</v>
      </c>
      <c r="F2193" s="0" t="n">
        <v>1.06</v>
      </c>
      <c r="G2193" s="0" t="n">
        <v>17057</v>
      </c>
      <c r="H2193" s="6" t="s">
        <v>74</v>
      </c>
      <c r="I2193" s="6" t="n">
        <f aca="false">D2193*F2193</f>
        <v>12.72</v>
      </c>
      <c r="J2193" s="6" t="n">
        <f aca="false">HOUR(E2193)</f>
        <v>13</v>
      </c>
      <c r="K2193" s="6" t="n">
        <f aca="false">IF(COUNTIF($A$2:$A2193,A2193)=1,1,0)</f>
        <v>0</v>
      </c>
    </row>
    <row r="2194" customFormat="false" ht="15" hidden="false" customHeight="false" outlineLevel="0" collapsed="false">
      <c r="A2194" s="0" t="s">
        <v>514</v>
      </c>
      <c r="B2194" s="0" t="s">
        <v>75</v>
      </c>
      <c r="C2194" s="0" t="s">
        <v>76</v>
      </c>
      <c r="D2194" s="0" t="n">
        <v>23</v>
      </c>
      <c r="E2194" s="5" t="n">
        <v>45964.5818287037</v>
      </c>
      <c r="F2194" s="0" t="n">
        <v>3.39</v>
      </c>
      <c r="G2194" s="0" t="n">
        <v>17057</v>
      </c>
      <c r="H2194" s="6" t="s">
        <v>74</v>
      </c>
      <c r="I2194" s="6" t="n">
        <f aca="false">D2194*F2194</f>
        <v>77.97</v>
      </c>
      <c r="J2194" s="6" t="n">
        <f aca="false">HOUR(E2194)</f>
        <v>13</v>
      </c>
      <c r="K2194" s="6" t="n">
        <f aca="false">IF(COUNTIF($A$2:$A2194,A2194)=1,1,0)</f>
        <v>0</v>
      </c>
    </row>
    <row r="2195" customFormat="false" ht="15" hidden="false" customHeight="false" outlineLevel="0" collapsed="false">
      <c r="A2195" s="0" t="s">
        <v>514</v>
      </c>
      <c r="B2195" s="0" t="s">
        <v>116</v>
      </c>
      <c r="C2195" s="0" t="s">
        <v>117</v>
      </c>
      <c r="D2195" s="0" t="n">
        <v>12</v>
      </c>
      <c r="E2195" s="5" t="n">
        <v>45964.5818287037</v>
      </c>
      <c r="F2195" s="0" t="n">
        <v>1.95</v>
      </c>
      <c r="G2195" s="0" t="n">
        <v>17057</v>
      </c>
      <c r="H2195" s="6" t="s">
        <v>74</v>
      </c>
      <c r="I2195" s="6" t="n">
        <f aca="false">D2195*F2195</f>
        <v>23.4</v>
      </c>
      <c r="J2195" s="6" t="n">
        <f aca="false">HOUR(E2195)</f>
        <v>13</v>
      </c>
      <c r="K2195" s="6" t="n">
        <f aca="false">IF(COUNTIF($A$2:$A2195,A2195)=1,1,0)</f>
        <v>0</v>
      </c>
    </row>
    <row r="2196" customFormat="false" ht="15" hidden="false" customHeight="false" outlineLevel="0" collapsed="false">
      <c r="A2196" s="0" t="s">
        <v>514</v>
      </c>
      <c r="B2196" s="0" t="s">
        <v>59</v>
      </c>
      <c r="C2196" s="0" t="s">
        <v>60</v>
      </c>
      <c r="D2196" s="0" t="n">
        <v>24</v>
      </c>
      <c r="E2196" s="5" t="n">
        <v>45964.5818287037</v>
      </c>
      <c r="F2196" s="0" t="n">
        <v>0.42</v>
      </c>
      <c r="G2196" s="0" t="n">
        <v>17057</v>
      </c>
      <c r="H2196" s="6" t="s">
        <v>74</v>
      </c>
      <c r="I2196" s="6" t="n">
        <f aca="false">D2196*F2196</f>
        <v>10.08</v>
      </c>
      <c r="J2196" s="6" t="n">
        <f aca="false">HOUR(E2196)</f>
        <v>13</v>
      </c>
      <c r="K2196" s="6" t="n">
        <f aca="false">IF(COUNTIF($A$2:$A2196,A2196)=1,1,0)</f>
        <v>0</v>
      </c>
    </row>
    <row r="2197" customFormat="false" ht="15" hidden="false" customHeight="false" outlineLevel="0" collapsed="false">
      <c r="A2197" s="0" t="s">
        <v>514</v>
      </c>
      <c r="B2197" s="0" t="s">
        <v>145</v>
      </c>
      <c r="C2197" s="0" t="s">
        <v>146</v>
      </c>
      <c r="D2197" s="0" t="n">
        <v>11</v>
      </c>
      <c r="E2197" s="5" t="n">
        <v>45964.5818287037</v>
      </c>
      <c r="F2197" s="0" t="n">
        <v>1.85</v>
      </c>
      <c r="G2197" s="0" t="n">
        <v>17057</v>
      </c>
      <c r="H2197" s="6" t="s">
        <v>74</v>
      </c>
      <c r="I2197" s="6" t="n">
        <f aca="false">D2197*F2197</f>
        <v>20.35</v>
      </c>
      <c r="J2197" s="6" t="n">
        <f aca="false">HOUR(E2197)</f>
        <v>13</v>
      </c>
      <c r="K2197" s="6" t="n">
        <f aca="false">IF(COUNTIF($A$2:$A2197,A2197)=1,1,0)</f>
        <v>0</v>
      </c>
    </row>
    <row r="2198" customFormat="false" ht="15" hidden="false" customHeight="false" outlineLevel="0" collapsed="false">
      <c r="A2198" s="0" t="s">
        <v>514</v>
      </c>
      <c r="B2198" s="0" t="s">
        <v>125</v>
      </c>
      <c r="C2198" s="0" t="s">
        <v>126</v>
      </c>
      <c r="D2198" s="0" t="n">
        <v>3</v>
      </c>
      <c r="E2198" s="5" t="n">
        <v>45964.5818287037</v>
      </c>
      <c r="F2198" s="0" t="n">
        <v>1.25</v>
      </c>
      <c r="G2198" s="0" t="n">
        <v>17057</v>
      </c>
      <c r="H2198" s="6" t="s">
        <v>74</v>
      </c>
      <c r="I2198" s="6" t="n">
        <f aca="false">D2198*F2198</f>
        <v>3.75</v>
      </c>
      <c r="J2198" s="6" t="n">
        <f aca="false">HOUR(E2198)</f>
        <v>13</v>
      </c>
      <c r="K2198" s="6" t="n">
        <f aca="false">IF(COUNTIF($A$2:$A2198,A2198)=1,1,0)</f>
        <v>0</v>
      </c>
    </row>
    <row r="2199" customFormat="false" ht="15" hidden="false" customHeight="false" outlineLevel="0" collapsed="false">
      <c r="A2199" s="0" t="s">
        <v>514</v>
      </c>
      <c r="B2199" s="0" t="s">
        <v>63</v>
      </c>
      <c r="C2199" s="0" t="s">
        <v>64</v>
      </c>
      <c r="D2199" s="0" t="n">
        <v>13</v>
      </c>
      <c r="E2199" s="5" t="n">
        <v>45964.5818287037</v>
      </c>
      <c r="F2199" s="0" t="n">
        <v>1.85</v>
      </c>
      <c r="G2199" s="0" t="n">
        <v>17057</v>
      </c>
      <c r="H2199" s="6" t="s">
        <v>74</v>
      </c>
      <c r="I2199" s="6" t="n">
        <f aca="false">D2199*F2199</f>
        <v>24.05</v>
      </c>
      <c r="J2199" s="6" t="n">
        <f aca="false">HOUR(E2199)</f>
        <v>13</v>
      </c>
      <c r="K2199" s="6" t="n">
        <f aca="false">IF(COUNTIF($A$2:$A2199,A2199)=1,1,0)</f>
        <v>0</v>
      </c>
    </row>
    <row r="2200" customFormat="false" ht="15" hidden="false" customHeight="false" outlineLevel="0" collapsed="false">
      <c r="A2200" s="0" t="s">
        <v>514</v>
      </c>
      <c r="B2200" s="0" t="s">
        <v>61</v>
      </c>
      <c r="C2200" s="0" t="s">
        <v>62</v>
      </c>
      <c r="D2200" s="0" t="n">
        <v>2</v>
      </c>
      <c r="E2200" s="5" t="n">
        <v>45964.5818287037</v>
      </c>
      <c r="F2200" s="0" t="n">
        <v>1.65</v>
      </c>
      <c r="G2200" s="0" t="n">
        <v>17057</v>
      </c>
      <c r="H2200" s="6" t="s">
        <v>74</v>
      </c>
      <c r="I2200" s="6" t="n">
        <f aca="false">D2200*F2200</f>
        <v>3.3</v>
      </c>
      <c r="J2200" s="6" t="n">
        <f aca="false">HOUR(E2200)</f>
        <v>13</v>
      </c>
      <c r="K2200" s="6" t="n">
        <f aca="false">IF(COUNTIF($A$2:$A2200,A2200)=1,1,0)</f>
        <v>0</v>
      </c>
    </row>
    <row r="2201" customFormat="false" ht="15" hidden="false" customHeight="false" outlineLevel="0" collapsed="false">
      <c r="A2201" s="0" t="s">
        <v>515</v>
      </c>
      <c r="B2201" s="0" t="s">
        <v>95</v>
      </c>
      <c r="C2201" s="0" t="s">
        <v>96</v>
      </c>
      <c r="D2201" s="0" t="n">
        <v>16</v>
      </c>
      <c r="E2201" s="5" t="n">
        <v>45964.6712615741</v>
      </c>
      <c r="F2201" s="0" t="n">
        <v>2.55</v>
      </c>
      <c r="G2201" s="0" t="n">
        <v>17168</v>
      </c>
      <c r="H2201" s="6" t="s">
        <v>98</v>
      </c>
      <c r="I2201" s="6" t="n">
        <f aca="false">D2201*F2201</f>
        <v>40.8</v>
      </c>
      <c r="J2201" s="6" t="n">
        <f aca="false">HOUR(E2201)</f>
        <v>16</v>
      </c>
      <c r="K2201" s="6" t="n">
        <f aca="false">IF(COUNTIF($A$2:$A2201,A2201)=1,1,0)</f>
        <v>1</v>
      </c>
    </row>
    <row r="2202" customFormat="false" ht="15" hidden="false" customHeight="false" outlineLevel="0" collapsed="false">
      <c r="A2202" s="0" t="s">
        <v>515</v>
      </c>
      <c r="B2202" s="0" t="s">
        <v>75</v>
      </c>
      <c r="C2202" s="0" t="s">
        <v>76</v>
      </c>
      <c r="D2202" s="0" t="n">
        <v>6</v>
      </c>
      <c r="E2202" s="5" t="n">
        <v>45964.6712615741</v>
      </c>
      <c r="F2202" s="0" t="n">
        <v>3.39</v>
      </c>
      <c r="G2202" s="0" t="n">
        <v>17168</v>
      </c>
      <c r="H2202" s="6" t="s">
        <v>98</v>
      </c>
      <c r="I2202" s="6" t="n">
        <f aca="false">D2202*F2202</f>
        <v>20.34</v>
      </c>
      <c r="J2202" s="6" t="n">
        <f aca="false">HOUR(E2202)</f>
        <v>16</v>
      </c>
      <c r="K2202" s="6" t="n">
        <f aca="false">IF(COUNTIF($A$2:$A2202,A2202)=1,1,0)</f>
        <v>0</v>
      </c>
    </row>
    <row r="2203" customFormat="false" ht="15" hidden="false" customHeight="false" outlineLevel="0" collapsed="false">
      <c r="A2203" s="0" t="s">
        <v>515</v>
      </c>
      <c r="B2203" s="0" t="s">
        <v>63</v>
      </c>
      <c r="C2203" s="0" t="s">
        <v>64</v>
      </c>
      <c r="D2203" s="0" t="n">
        <v>1</v>
      </c>
      <c r="E2203" s="5" t="n">
        <v>45964.6712615741</v>
      </c>
      <c r="F2203" s="0" t="n">
        <v>1.85</v>
      </c>
      <c r="G2203" s="0" t="n">
        <v>17168</v>
      </c>
      <c r="H2203" s="6" t="s">
        <v>98</v>
      </c>
      <c r="I2203" s="6" t="n">
        <f aca="false">D2203*F2203</f>
        <v>1.85</v>
      </c>
      <c r="J2203" s="6" t="n">
        <f aca="false">HOUR(E2203)</f>
        <v>16</v>
      </c>
      <c r="K2203" s="6" t="n">
        <f aca="false">IF(COUNTIF($A$2:$A2203,A2203)=1,1,0)</f>
        <v>0</v>
      </c>
    </row>
    <row r="2204" customFormat="false" ht="15" hidden="false" customHeight="false" outlineLevel="0" collapsed="false">
      <c r="A2204" s="0" t="s">
        <v>515</v>
      </c>
      <c r="B2204" s="0" t="s">
        <v>134</v>
      </c>
      <c r="C2204" s="0" t="s">
        <v>135</v>
      </c>
      <c r="D2204" s="0" t="n">
        <v>15</v>
      </c>
      <c r="E2204" s="5" t="n">
        <v>45964.6712615741</v>
      </c>
      <c r="F2204" s="0" t="n">
        <v>5.95</v>
      </c>
      <c r="G2204" s="0" t="n">
        <v>17168</v>
      </c>
      <c r="H2204" s="6" t="s">
        <v>98</v>
      </c>
      <c r="I2204" s="6" t="n">
        <f aca="false">D2204*F2204</f>
        <v>89.25</v>
      </c>
      <c r="J2204" s="6" t="n">
        <f aca="false">HOUR(E2204)</f>
        <v>16</v>
      </c>
      <c r="K2204" s="6" t="n">
        <f aca="false">IF(COUNTIF($A$2:$A2204,A2204)=1,1,0)</f>
        <v>0</v>
      </c>
    </row>
    <row r="2205" customFormat="false" ht="15" hidden="false" customHeight="false" outlineLevel="0" collapsed="false">
      <c r="A2205" s="0" t="s">
        <v>515</v>
      </c>
      <c r="B2205" s="0" t="s">
        <v>99</v>
      </c>
      <c r="C2205" s="0" t="s">
        <v>100</v>
      </c>
      <c r="D2205" s="0" t="n">
        <v>1</v>
      </c>
      <c r="E2205" s="5" t="n">
        <v>45964.6712615741</v>
      </c>
      <c r="F2205" s="0" t="n">
        <v>2.08</v>
      </c>
      <c r="G2205" s="0" t="n">
        <v>17168</v>
      </c>
      <c r="H2205" s="6" t="s">
        <v>98</v>
      </c>
      <c r="I2205" s="6" t="n">
        <f aca="false">D2205*F2205</f>
        <v>2.08</v>
      </c>
      <c r="J2205" s="6" t="n">
        <f aca="false">HOUR(E2205)</f>
        <v>16</v>
      </c>
      <c r="K2205" s="6" t="n">
        <f aca="false">IF(COUNTIF($A$2:$A2205,A2205)=1,1,0)</f>
        <v>0</v>
      </c>
    </row>
    <row r="2206" customFormat="false" ht="15" hidden="false" customHeight="false" outlineLevel="0" collapsed="false">
      <c r="A2206" s="0" t="s">
        <v>515</v>
      </c>
      <c r="B2206" s="0" t="s">
        <v>45</v>
      </c>
      <c r="C2206" s="0" t="s">
        <v>46</v>
      </c>
      <c r="D2206" s="0" t="n">
        <v>22</v>
      </c>
      <c r="E2206" s="5" t="n">
        <v>45964.6712615741</v>
      </c>
      <c r="F2206" s="0" t="n">
        <v>2.1</v>
      </c>
      <c r="G2206" s="0" t="n">
        <v>17168</v>
      </c>
      <c r="H2206" s="6" t="s">
        <v>98</v>
      </c>
      <c r="I2206" s="6" t="n">
        <f aca="false">D2206*F2206</f>
        <v>46.2</v>
      </c>
      <c r="J2206" s="6" t="n">
        <f aca="false">HOUR(E2206)</f>
        <v>16</v>
      </c>
      <c r="K2206" s="6" t="n">
        <f aca="false">IF(COUNTIF($A$2:$A2206,A2206)=1,1,0)</f>
        <v>0</v>
      </c>
    </row>
    <row r="2207" customFormat="false" ht="15" hidden="false" customHeight="false" outlineLevel="0" collapsed="false">
      <c r="A2207" s="0" t="s">
        <v>516</v>
      </c>
      <c r="B2207" s="0" t="s">
        <v>109</v>
      </c>
      <c r="C2207" s="0" t="s">
        <v>110</v>
      </c>
      <c r="D2207" s="0" t="n">
        <v>21</v>
      </c>
      <c r="E2207" s="5" t="n">
        <v>45964.7958564815</v>
      </c>
      <c r="F2207" s="0" t="n">
        <v>0.85</v>
      </c>
      <c r="G2207" s="0" t="n">
        <v>17228</v>
      </c>
      <c r="H2207" s="6" t="s">
        <v>68</v>
      </c>
      <c r="I2207" s="6" t="n">
        <f aca="false">D2207*F2207</f>
        <v>17.85</v>
      </c>
      <c r="J2207" s="6" t="n">
        <f aca="false">HOUR(E2207)</f>
        <v>19</v>
      </c>
      <c r="K2207" s="6" t="n">
        <f aca="false">IF(COUNTIF($A$2:$A2207,A2207)=1,1,0)</f>
        <v>1</v>
      </c>
    </row>
    <row r="2208" customFormat="false" ht="15" hidden="false" customHeight="false" outlineLevel="0" collapsed="false">
      <c r="A2208" s="0" t="s">
        <v>517</v>
      </c>
      <c r="B2208" s="0" t="s">
        <v>125</v>
      </c>
      <c r="C2208" s="0" t="s">
        <v>126</v>
      </c>
      <c r="D2208" s="0" t="n">
        <v>13</v>
      </c>
      <c r="E2208" s="5" t="n">
        <v>45964.8511111111</v>
      </c>
      <c r="F2208" s="0" t="n">
        <v>1.25</v>
      </c>
      <c r="G2208" s="0" t="n">
        <v>17089</v>
      </c>
      <c r="H2208" s="6" t="s">
        <v>74</v>
      </c>
      <c r="I2208" s="6" t="n">
        <f aca="false">D2208*F2208</f>
        <v>16.25</v>
      </c>
      <c r="J2208" s="6" t="n">
        <f aca="false">HOUR(E2208)</f>
        <v>20</v>
      </c>
      <c r="K2208" s="6" t="n">
        <f aca="false">IF(COUNTIF($A$2:$A2208,A2208)=1,1,0)</f>
        <v>1</v>
      </c>
    </row>
    <row r="2209" customFormat="false" ht="15" hidden="false" customHeight="false" outlineLevel="0" collapsed="false">
      <c r="A2209" s="0" t="s">
        <v>517</v>
      </c>
      <c r="B2209" s="0" t="s">
        <v>145</v>
      </c>
      <c r="C2209" s="0" t="s">
        <v>146</v>
      </c>
      <c r="D2209" s="0" t="n">
        <v>20</v>
      </c>
      <c r="E2209" s="5" t="n">
        <v>45964.8511111111</v>
      </c>
      <c r="F2209" s="0" t="n">
        <v>1.85</v>
      </c>
      <c r="G2209" s="0" t="n">
        <v>17089</v>
      </c>
      <c r="H2209" s="6" t="s">
        <v>74</v>
      </c>
      <c r="I2209" s="6" t="n">
        <f aca="false">D2209*F2209</f>
        <v>37</v>
      </c>
      <c r="J2209" s="6" t="n">
        <f aca="false">HOUR(E2209)</f>
        <v>20</v>
      </c>
      <c r="K2209" s="6" t="n">
        <f aca="false">IF(COUNTIF($A$2:$A2209,A2209)=1,1,0)</f>
        <v>0</v>
      </c>
    </row>
    <row r="2210" customFormat="false" ht="15" hidden="false" customHeight="false" outlineLevel="0" collapsed="false">
      <c r="A2210" s="0" t="s">
        <v>518</v>
      </c>
      <c r="B2210" s="0" t="s">
        <v>65</v>
      </c>
      <c r="C2210" s="0" t="s">
        <v>66</v>
      </c>
      <c r="D2210" s="0" t="n">
        <v>12</v>
      </c>
      <c r="E2210" s="5" t="n">
        <v>45965.075</v>
      </c>
      <c r="F2210" s="0" t="n">
        <v>1.65</v>
      </c>
      <c r="G2210" s="0" t="n">
        <v>17003</v>
      </c>
      <c r="H2210" s="6" t="s">
        <v>74</v>
      </c>
      <c r="I2210" s="6" t="n">
        <f aca="false">D2210*F2210</f>
        <v>19.8</v>
      </c>
      <c r="J2210" s="6" t="n">
        <f aca="false">HOUR(E2210)</f>
        <v>1</v>
      </c>
      <c r="K2210" s="6" t="n">
        <f aca="false">IF(COUNTIF($A$2:$A2210,A2210)=1,1,0)</f>
        <v>1</v>
      </c>
    </row>
    <row r="2211" customFormat="false" ht="15" hidden="false" customHeight="false" outlineLevel="0" collapsed="false">
      <c r="A2211" s="0" t="s">
        <v>518</v>
      </c>
      <c r="B2211" s="0" t="s">
        <v>127</v>
      </c>
      <c r="D2211" s="0" t="n">
        <v>23</v>
      </c>
      <c r="E2211" s="5" t="n">
        <v>45965.075</v>
      </c>
      <c r="F2211" s="0" t="n">
        <v>1.45</v>
      </c>
      <c r="G2211" s="0" t="n">
        <v>17003</v>
      </c>
      <c r="H2211" s="6" t="s">
        <v>74</v>
      </c>
      <c r="I2211" s="6" t="n">
        <f aca="false">D2211*F2211</f>
        <v>33.35</v>
      </c>
      <c r="J2211" s="6" t="n">
        <f aca="false">HOUR(E2211)</f>
        <v>1</v>
      </c>
      <c r="K2211" s="6" t="n">
        <f aca="false">IF(COUNTIF($A$2:$A2211,A2211)=1,1,0)</f>
        <v>0</v>
      </c>
    </row>
    <row r="2212" customFormat="false" ht="15" hidden="false" customHeight="false" outlineLevel="0" collapsed="false">
      <c r="A2212" s="0" t="s">
        <v>518</v>
      </c>
      <c r="B2212" s="0" t="s">
        <v>99</v>
      </c>
      <c r="C2212" s="0" t="s">
        <v>100</v>
      </c>
      <c r="D2212" s="0" t="n">
        <v>4</v>
      </c>
      <c r="E2212" s="5" t="n">
        <v>45965.075</v>
      </c>
      <c r="F2212" s="0" t="n">
        <v>2.08</v>
      </c>
      <c r="G2212" s="0" t="n">
        <v>17003</v>
      </c>
      <c r="H2212" s="6" t="s">
        <v>74</v>
      </c>
      <c r="I2212" s="6" t="n">
        <f aca="false">D2212*F2212</f>
        <v>8.32</v>
      </c>
      <c r="J2212" s="6" t="n">
        <f aca="false">HOUR(E2212)</f>
        <v>1</v>
      </c>
      <c r="K2212" s="6" t="n">
        <f aca="false">IF(COUNTIF($A$2:$A2212,A2212)=1,1,0)</f>
        <v>0</v>
      </c>
    </row>
    <row r="2213" customFormat="false" ht="15" hidden="false" customHeight="false" outlineLevel="0" collapsed="false">
      <c r="A2213" s="0" t="s">
        <v>518</v>
      </c>
      <c r="B2213" s="0" t="s">
        <v>83</v>
      </c>
      <c r="C2213" s="0" t="s">
        <v>84</v>
      </c>
      <c r="D2213" s="0" t="n">
        <v>12</v>
      </c>
      <c r="E2213" s="5" t="n">
        <v>45965.075</v>
      </c>
      <c r="F2213" s="0" t="n">
        <v>2.95</v>
      </c>
      <c r="G2213" s="0" t="n">
        <v>17003</v>
      </c>
      <c r="H2213" s="6" t="s">
        <v>74</v>
      </c>
      <c r="I2213" s="6" t="n">
        <f aca="false">D2213*F2213</f>
        <v>35.4</v>
      </c>
      <c r="J2213" s="6" t="n">
        <f aca="false">HOUR(E2213)</f>
        <v>1</v>
      </c>
      <c r="K2213" s="6" t="n">
        <f aca="false">IF(COUNTIF($A$2:$A2213,A2213)=1,1,0)</f>
        <v>0</v>
      </c>
    </row>
    <row r="2214" customFormat="false" ht="15" hidden="false" customHeight="false" outlineLevel="0" collapsed="false">
      <c r="A2214" s="0" t="s">
        <v>518</v>
      </c>
      <c r="B2214" s="0" t="s">
        <v>109</v>
      </c>
      <c r="C2214" s="0" t="s">
        <v>110</v>
      </c>
      <c r="D2214" s="0" t="n">
        <v>13</v>
      </c>
      <c r="E2214" s="5" t="n">
        <v>45965.075</v>
      </c>
      <c r="F2214" s="0" t="n">
        <v>0.85</v>
      </c>
      <c r="G2214" s="0" t="n">
        <v>17003</v>
      </c>
      <c r="H2214" s="6" t="s">
        <v>74</v>
      </c>
      <c r="I2214" s="6" t="n">
        <f aca="false">D2214*F2214</f>
        <v>11.05</v>
      </c>
      <c r="J2214" s="6" t="n">
        <f aca="false">HOUR(E2214)</f>
        <v>1</v>
      </c>
      <c r="K2214" s="6" t="n">
        <f aca="false">IF(COUNTIF($A$2:$A2214,A2214)=1,1,0)</f>
        <v>0</v>
      </c>
    </row>
    <row r="2215" customFormat="false" ht="15" hidden="false" customHeight="false" outlineLevel="0" collapsed="false">
      <c r="A2215" s="0" t="s">
        <v>518</v>
      </c>
      <c r="B2215" s="0" t="s">
        <v>53</v>
      </c>
      <c r="C2215" s="0" t="s">
        <v>54</v>
      </c>
      <c r="D2215" s="0" t="n">
        <v>11</v>
      </c>
      <c r="E2215" s="5" t="n">
        <v>45965.075</v>
      </c>
      <c r="F2215" s="0" t="n">
        <v>2.95</v>
      </c>
      <c r="G2215" s="0" t="n">
        <v>17003</v>
      </c>
      <c r="H2215" s="6" t="s">
        <v>74</v>
      </c>
      <c r="I2215" s="6" t="n">
        <f aca="false">D2215*F2215</f>
        <v>32.45</v>
      </c>
      <c r="J2215" s="6" t="n">
        <f aca="false">HOUR(E2215)</f>
        <v>1</v>
      </c>
      <c r="K2215" s="6" t="n">
        <f aca="false">IF(COUNTIF($A$2:$A2215,A2215)=1,1,0)</f>
        <v>0</v>
      </c>
    </row>
    <row r="2216" customFormat="false" ht="15" hidden="false" customHeight="false" outlineLevel="0" collapsed="false">
      <c r="A2216" s="0" t="s">
        <v>518</v>
      </c>
      <c r="B2216" s="0" t="s">
        <v>114</v>
      </c>
      <c r="C2216" s="0" t="s">
        <v>115</v>
      </c>
      <c r="D2216" s="0" t="n">
        <v>22</v>
      </c>
      <c r="E2216" s="5" t="n">
        <v>45965.075</v>
      </c>
      <c r="F2216" s="0" t="n">
        <v>2.08</v>
      </c>
      <c r="G2216" s="0" t="n">
        <v>17003</v>
      </c>
      <c r="H2216" s="6" t="s">
        <v>74</v>
      </c>
      <c r="I2216" s="6" t="n">
        <f aca="false">D2216*F2216</f>
        <v>45.76</v>
      </c>
      <c r="J2216" s="6" t="n">
        <f aca="false">HOUR(E2216)</f>
        <v>1</v>
      </c>
      <c r="K2216" s="6" t="n">
        <f aca="false">IF(COUNTIF($A$2:$A2216,A2216)=1,1,0)</f>
        <v>0</v>
      </c>
    </row>
    <row r="2217" customFormat="false" ht="15" hidden="false" customHeight="false" outlineLevel="0" collapsed="false">
      <c r="A2217" s="0" t="s">
        <v>519</v>
      </c>
      <c r="B2217" s="0" t="s">
        <v>131</v>
      </c>
      <c r="C2217" s="0" t="s">
        <v>132</v>
      </c>
      <c r="D2217" s="0" t="n">
        <v>4</v>
      </c>
      <c r="E2217" s="5" t="n">
        <v>45965.142662037</v>
      </c>
      <c r="F2217" s="0" t="n">
        <v>3.39</v>
      </c>
      <c r="G2217" s="0" t="n">
        <v>17012</v>
      </c>
      <c r="H2217" s="6" t="s">
        <v>74</v>
      </c>
      <c r="I2217" s="6" t="n">
        <f aca="false">D2217*F2217</f>
        <v>13.56</v>
      </c>
      <c r="J2217" s="6" t="n">
        <f aca="false">HOUR(E2217)</f>
        <v>3</v>
      </c>
      <c r="K2217" s="6" t="n">
        <f aca="false">IF(COUNTIF($A$2:$A2217,A2217)=1,1,0)</f>
        <v>1</v>
      </c>
    </row>
    <row r="2218" customFormat="false" ht="15" hidden="false" customHeight="false" outlineLevel="0" collapsed="false">
      <c r="A2218" s="0" t="s">
        <v>519</v>
      </c>
      <c r="B2218" s="0" t="s">
        <v>63</v>
      </c>
      <c r="C2218" s="0" t="s">
        <v>64</v>
      </c>
      <c r="D2218" s="0" t="n">
        <v>16</v>
      </c>
      <c r="E2218" s="5" t="n">
        <v>45965.142662037</v>
      </c>
      <c r="F2218" s="0" t="n">
        <v>1.85</v>
      </c>
      <c r="G2218" s="0" t="n">
        <v>17012</v>
      </c>
      <c r="H2218" s="6" t="s">
        <v>74</v>
      </c>
      <c r="I2218" s="6" t="n">
        <f aca="false">D2218*F2218</f>
        <v>29.6</v>
      </c>
      <c r="J2218" s="6" t="n">
        <f aca="false">HOUR(E2218)</f>
        <v>3</v>
      </c>
      <c r="K2218" s="6" t="n">
        <f aca="false">IF(COUNTIF($A$2:$A2218,A2218)=1,1,0)</f>
        <v>0</v>
      </c>
    </row>
    <row r="2219" customFormat="false" ht="15" hidden="false" customHeight="false" outlineLevel="0" collapsed="false">
      <c r="A2219" s="0" t="s">
        <v>520</v>
      </c>
      <c r="B2219" s="0" t="s">
        <v>59</v>
      </c>
      <c r="C2219" s="0" t="s">
        <v>60</v>
      </c>
      <c r="D2219" s="0" t="n">
        <v>7</v>
      </c>
      <c r="E2219" s="5" t="n">
        <v>45965.2797916667</v>
      </c>
      <c r="F2219" s="0" t="n">
        <v>0.42</v>
      </c>
      <c r="G2219" s="0" t="n">
        <v>17009</v>
      </c>
      <c r="H2219" s="6" t="s">
        <v>74</v>
      </c>
      <c r="I2219" s="6" t="n">
        <f aca="false">D2219*F2219</f>
        <v>2.94</v>
      </c>
      <c r="J2219" s="6" t="n">
        <f aca="false">HOUR(E2219)</f>
        <v>6</v>
      </c>
      <c r="K2219" s="6" t="n">
        <f aca="false">IF(COUNTIF($A$2:$A2219,A2219)=1,1,0)</f>
        <v>1</v>
      </c>
    </row>
    <row r="2220" customFormat="false" ht="15" hidden="false" customHeight="false" outlineLevel="0" collapsed="false">
      <c r="A2220" s="0" t="s">
        <v>520</v>
      </c>
      <c r="B2220" s="0" t="s">
        <v>40</v>
      </c>
      <c r="C2220" s="0" t="s">
        <v>41</v>
      </c>
      <c r="D2220" s="0" t="n">
        <v>15</v>
      </c>
      <c r="E2220" s="5" t="n">
        <v>45965.2797916667</v>
      </c>
      <c r="F2220" s="0" t="n">
        <v>1.06</v>
      </c>
      <c r="G2220" s="0" t="n">
        <v>17009</v>
      </c>
      <c r="H2220" s="6" t="s">
        <v>74</v>
      </c>
      <c r="I2220" s="6" t="n">
        <f aca="false">D2220*F2220</f>
        <v>15.9</v>
      </c>
      <c r="J2220" s="6" t="n">
        <f aca="false">HOUR(E2220)</f>
        <v>6</v>
      </c>
      <c r="K2220" s="6" t="n">
        <f aca="false">IF(COUNTIF($A$2:$A2220,A2220)=1,1,0)</f>
        <v>0</v>
      </c>
    </row>
    <row r="2221" customFormat="false" ht="15" hidden="false" customHeight="false" outlineLevel="0" collapsed="false">
      <c r="A2221" s="0" t="s">
        <v>520</v>
      </c>
      <c r="B2221" s="0" t="s">
        <v>69</v>
      </c>
      <c r="C2221" s="0" t="s">
        <v>70</v>
      </c>
      <c r="D2221" s="0" t="n">
        <v>40</v>
      </c>
      <c r="E2221" s="5" t="n">
        <v>45965.2797916667</v>
      </c>
      <c r="F2221" s="0" t="n">
        <v>2.08</v>
      </c>
      <c r="G2221" s="0" t="n">
        <v>17009</v>
      </c>
      <c r="H2221" s="6" t="s">
        <v>74</v>
      </c>
      <c r="I2221" s="6" t="n">
        <f aca="false">D2221*F2221</f>
        <v>83.2</v>
      </c>
      <c r="J2221" s="6" t="n">
        <f aca="false">HOUR(E2221)</f>
        <v>6</v>
      </c>
      <c r="K2221" s="6" t="n">
        <f aca="false">IF(COUNTIF($A$2:$A2221,A2221)=1,1,0)</f>
        <v>0</v>
      </c>
    </row>
    <row r="2222" customFormat="false" ht="15" hidden="false" customHeight="false" outlineLevel="0" collapsed="false">
      <c r="A2222" s="0" t="s">
        <v>520</v>
      </c>
      <c r="B2222" s="0" t="s">
        <v>86</v>
      </c>
      <c r="C2222" s="0" t="s">
        <v>87</v>
      </c>
      <c r="D2222" s="0" t="n">
        <v>23</v>
      </c>
      <c r="E2222" s="5" t="n">
        <v>45965.2797916667</v>
      </c>
      <c r="F2222" s="0" t="n">
        <v>4.25</v>
      </c>
      <c r="G2222" s="0" t="n">
        <v>17009</v>
      </c>
      <c r="H2222" s="6" t="s">
        <v>74</v>
      </c>
      <c r="I2222" s="6" t="n">
        <f aca="false">D2222*F2222</f>
        <v>97.75</v>
      </c>
      <c r="J2222" s="6" t="n">
        <f aca="false">HOUR(E2222)</f>
        <v>6</v>
      </c>
      <c r="K2222" s="6" t="n">
        <f aca="false">IF(COUNTIF($A$2:$A2222,A2222)=1,1,0)</f>
        <v>0</v>
      </c>
    </row>
    <row r="2223" customFormat="false" ht="15" hidden="false" customHeight="false" outlineLevel="0" collapsed="false">
      <c r="A2223" s="0" t="s">
        <v>520</v>
      </c>
      <c r="B2223" s="0" t="s">
        <v>140</v>
      </c>
      <c r="C2223" s="0" t="s">
        <v>141</v>
      </c>
      <c r="D2223" s="0" t="n">
        <v>8</v>
      </c>
      <c r="E2223" s="5" t="n">
        <v>45965.2797916667</v>
      </c>
      <c r="F2223" s="0" t="n">
        <v>2.08</v>
      </c>
      <c r="G2223" s="0" t="n">
        <v>17009</v>
      </c>
      <c r="H2223" s="6" t="s">
        <v>74</v>
      </c>
      <c r="I2223" s="6" t="n">
        <f aca="false">D2223*F2223</f>
        <v>16.64</v>
      </c>
      <c r="J2223" s="6" t="n">
        <f aca="false">HOUR(E2223)</f>
        <v>6</v>
      </c>
      <c r="K2223" s="6" t="n">
        <f aca="false">IF(COUNTIF($A$2:$A2223,A2223)=1,1,0)</f>
        <v>0</v>
      </c>
    </row>
    <row r="2224" customFormat="false" ht="15" hidden="false" customHeight="false" outlineLevel="0" collapsed="false">
      <c r="A2224" s="0" t="s">
        <v>521</v>
      </c>
      <c r="B2224" s="0" t="s">
        <v>109</v>
      </c>
      <c r="C2224" s="0" t="s">
        <v>110</v>
      </c>
      <c r="D2224" s="0" t="n">
        <v>22</v>
      </c>
      <c r="E2224" s="5" t="n">
        <v>45965.3659259259</v>
      </c>
      <c r="F2224" s="0" t="n">
        <v>0.85</v>
      </c>
      <c r="G2224" s="0" t="n">
        <v>17219</v>
      </c>
      <c r="H2224" s="6" t="s">
        <v>74</v>
      </c>
      <c r="I2224" s="6" t="n">
        <f aca="false">D2224*F2224</f>
        <v>18.7</v>
      </c>
      <c r="J2224" s="6" t="n">
        <f aca="false">HOUR(E2224)</f>
        <v>8</v>
      </c>
      <c r="K2224" s="6" t="n">
        <f aca="false">IF(COUNTIF($A$2:$A2224,A2224)=1,1,0)</f>
        <v>1</v>
      </c>
    </row>
    <row r="2225" customFormat="false" ht="15" hidden="false" customHeight="false" outlineLevel="0" collapsed="false">
      <c r="A2225" s="0" t="s">
        <v>521</v>
      </c>
      <c r="B2225" s="0" t="s">
        <v>55</v>
      </c>
      <c r="C2225" s="0" t="s">
        <v>56</v>
      </c>
      <c r="D2225" s="0" t="n">
        <v>6</v>
      </c>
      <c r="E2225" s="5" t="n">
        <v>45965.3659259259</v>
      </c>
      <c r="F2225" s="0" t="n">
        <v>1.65</v>
      </c>
      <c r="G2225" s="0" t="n">
        <v>17219</v>
      </c>
      <c r="H2225" s="6" t="s">
        <v>74</v>
      </c>
      <c r="I2225" s="6" t="n">
        <f aca="false">D2225*F2225</f>
        <v>9.9</v>
      </c>
      <c r="J2225" s="6" t="n">
        <f aca="false">HOUR(E2225)</f>
        <v>8</v>
      </c>
      <c r="K2225" s="6" t="n">
        <f aca="false">IF(COUNTIF($A$2:$A2225,A2225)=1,1,0)</f>
        <v>0</v>
      </c>
    </row>
    <row r="2226" customFormat="false" ht="15" hidden="false" customHeight="false" outlineLevel="0" collapsed="false">
      <c r="A2226" s="0" t="s">
        <v>521</v>
      </c>
      <c r="B2226" s="0" t="s">
        <v>125</v>
      </c>
      <c r="C2226" s="0" t="s">
        <v>126</v>
      </c>
      <c r="D2226" s="0" t="n">
        <v>4</v>
      </c>
      <c r="E2226" s="5" t="n">
        <v>45965.3659259259</v>
      </c>
      <c r="F2226" s="0" t="n">
        <v>1.25</v>
      </c>
      <c r="G2226" s="0" t="n">
        <v>17219</v>
      </c>
      <c r="H2226" s="6" t="s">
        <v>74</v>
      </c>
      <c r="I2226" s="6" t="n">
        <f aca="false">D2226*F2226</f>
        <v>5</v>
      </c>
      <c r="J2226" s="6" t="n">
        <f aca="false">HOUR(E2226)</f>
        <v>8</v>
      </c>
      <c r="K2226" s="6" t="n">
        <f aca="false">IF(COUNTIF($A$2:$A2226,A2226)=1,1,0)</f>
        <v>0</v>
      </c>
    </row>
    <row r="2227" customFormat="false" ht="15" hidden="false" customHeight="false" outlineLevel="0" collapsed="false">
      <c r="A2227" s="0" t="s">
        <v>521</v>
      </c>
      <c r="B2227" s="0" t="s">
        <v>75</v>
      </c>
      <c r="C2227" s="0" t="s">
        <v>76</v>
      </c>
      <c r="D2227" s="0" t="n">
        <v>19</v>
      </c>
      <c r="E2227" s="5" t="n">
        <v>45965.3659259259</v>
      </c>
      <c r="F2227" s="0" t="n">
        <v>3.39</v>
      </c>
      <c r="G2227" s="0" t="n">
        <v>17219</v>
      </c>
      <c r="H2227" s="6" t="s">
        <v>74</v>
      </c>
      <c r="I2227" s="6" t="n">
        <f aca="false">D2227*F2227</f>
        <v>64.41</v>
      </c>
      <c r="J2227" s="6" t="n">
        <f aca="false">HOUR(E2227)</f>
        <v>8</v>
      </c>
      <c r="K2227" s="6" t="n">
        <f aca="false">IF(COUNTIF($A$2:$A2227,A2227)=1,1,0)</f>
        <v>0</v>
      </c>
    </row>
    <row r="2228" customFormat="false" ht="15" hidden="false" customHeight="false" outlineLevel="0" collapsed="false">
      <c r="A2228" s="0" t="s">
        <v>521</v>
      </c>
      <c r="B2228" s="0" t="s">
        <v>53</v>
      </c>
      <c r="C2228" s="0" t="s">
        <v>54</v>
      </c>
      <c r="D2228" s="0" t="n">
        <v>12</v>
      </c>
      <c r="E2228" s="5" t="n">
        <v>45965.3659259259</v>
      </c>
      <c r="F2228" s="0" t="n">
        <v>2.95</v>
      </c>
      <c r="G2228" s="0" t="n">
        <v>17219</v>
      </c>
      <c r="H2228" s="6" t="s">
        <v>74</v>
      </c>
      <c r="I2228" s="6" t="n">
        <f aca="false">D2228*F2228</f>
        <v>35.4</v>
      </c>
      <c r="J2228" s="6" t="n">
        <f aca="false">HOUR(E2228)</f>
        <v>8</v>
      </c>
      <c r="K2228" s="6" t="n">
        <f aca="false">IF(COUNTIF($A$2:$A2228,A2228)=1,1,0)</f>
        <v>0</v>
      </c>
    </row>
    <row r="2229" customFormat="false" ht="15" hidden="false" customHeight="false" outlineLevel="0" collapsed="false">
      <c r="A2229" s="0" t="s">
        <v>522</v>
      </c>
      <c r="B2229" s="0" t="s">
        <v>107</v>
      </c>
      <c r="D2229" s="0" t="n">
        <v>20</v>
      </c>
      <c r="E2229" s="5" t="n">
        <v>45965.3938078704</v>
      </c>
      <c r="F2229" s="0" t="n">
        <v>3.75</v>
      </c>
      <c r="G2229" s="0" t="n">
        <v>17114</v>
      </c>
      <c r="H2229" s="6" t="s">
        <v>74</v>
      </c>
      <c r="I2229" s="6" t="n">
        <f aca="false">D2229*F2229</f>
        <v>75</v>
      </c>
      <c r="J2229" s="6" t="n">
        <f aca="false">HOUR(E2229)</f>
        <v>9</v>
      </c>
      <c r="K2229" s="6" t="n">
        <f aca="false">IF(COUNTIF($A$2:$A2229,A2229)=1,1,0)</f>
        <v>1</v>
      </c>
    </row>
    <row r="2230" customFormat="false" ht="15" hidden="false" customHeight="false" outlineLevel="0" collapsed="false">
      <c r="A2230" s="0" t="s">
        <v>522</v>
      </c>
      <c r="B2230" s="0" t="s">
        <v>45</v>
      </c>
      <c r="C2230" s="0" t="s">
        <v>46</v>
      </c>
      <c r="D2230" s="0" t="n">
        <v>4</v>
      </c>
      <c r="E2230" s="5" t="n">
        <v>45965.3938078704</v>
      </c>
      <c r="F2230" s="0" t="n">
        <v>2.1</v>
      </c>
      <c r="G2230" s="0" t="n">
        <v>17114</v>
      </c>
      <c r="H2230" s="6" t="s">
        <v>74</v>
      </c>
      <c r="I2230" s="6" t="n">
        <f aca="false">D2230*F2230</f>
        <v>8.4</v>
      </c>
      <c r="J2230" s="6" t="n">
        <f aca="false">HOUR(E2230)</f>
        <v>9</v>
      </c>
      <c r="K2230" s="6" t="n">
        <f aca="false">IF(COUNTIF($A$2:$A2230,A2230)=1,1,0)</f>
        <v>0</v>
      </c>
    </row>
    <row r="2231" customFormat="false" ht="15" hidden="false" customHeight="false" outlineLevel="0" collapsed="false">
      <c r="A2231" s="0" t="s">
        <v>523</v>
      </c>
      <c r="B2231" s="0" t="s">
        <v>40</v>
      </c>
      <c r="C2231" s="0" t="s">
        <v>41</v>
      </c>
      <c r="D2231" s="0" t="n">
        <v>10</v>
      </c>
      <c r="E2231" s="5" t="n">
        <v>45965.4200115741</v>
      </c>
      <c r="F2231" s="0" t="n">
        <v>1.06</v>
      </c>
      <c r="G2231" s="0" t="n">
        <v>17219</v>
      </c>
      <c r="H2231" s="6" t="s">
        <v>74</v>
      </c>
      <c r="I2231" s="6" t="n">
        <f aca="false">D2231*F2231</f>
        <v>10.6</v>
      </c>
      <c r="J2231" s="6" t="n">
        <f aca="false">HOUR(E2231)</f>
        <v>10</v>
      </c>
      <c r="K2231" s="6" t="n">
        <f aca="false">IF(COUNTIF($A$2:$A2231,A2231)=1,1,0)</f>
        <v>1</v>
      </c>
    </row>
    <row r="2232" customFormat="false" ht="15" hidden="false" customHeight="false" outlineLevel="0" collapsed="false">
      <c r="A2232" s="0" t="s">
        <v>523</v>
      </c>
      <c r="B2232" s="0" t="s">
        <v>125</v>
      </c>
      <c r="C2232" s="0" t="s">
        <v>126</v>
      </c>
      <c r="D2232" s="0" t="n">
        <v>5</v>
      </c>
      <c r="E2232" s="5" t="n">
        <v>45965.4200115741</v>
      </c>
      <c r="F2232" s="0" t="n">
        <v>1.25</v>
      </c>
      <c r="G2232" s="0" t="n">
        <v>17219</v>
      </c>
      <c r="H2232" s="6" t="s">
        <v>74</v>
      </c>
      <c r="I2232" s="6" t="n">
        <f aca="false">D2232*F2232</f>
        <v>6.25</v>
      </c>
      <c r="J2232" s="6" t="n">
        <f aca="false">HOUR(E2232)</f>
        <v>10</v>
      </c>
      <c r="K2232" s="6" t="n">
        <f aca="false">IF(COUNTIF($A$2:$A2232,A2232)=1,1,0)</f>
        <v>0</v>
      </c>
    </row>
    <row r="2233" customFormat="false" ht="15" hidden="false" customHeight="false" outlineLevel="0" collapsed="false">
      <c r="A2233" s="0" t="s">
        <v>523</v>
      </c>
      <c r="B2233" s="0" t="s">
        <v>134</v>
      </c>
      <c r="C2233" s="0" t="s">
        <v>135</v>
      </c>
      <c r="D2233" s="0" t="n">
        <v>23</v>
      </c>
      <c r="E2233" s="5" t="n">
        <v>45965.4200115741</v>
      </c>
      <c r="F2233" s="0" t="n">
        <v>5.95</v>
      </c>
      <c r="G2233" s="0" t="n">
        <v>17219</v>
      </c>
      <c r="H2233" s="6" t="s">
        <v>74</v>
      </c>
      <c r="I2233" s="6" t="n">
        <f aca="false">D2233*F2233</f>
        <v>136.85</v>
      </c>
      <c r="J2233" s="6" t="n">
        <f aca="false">HOUR(E2233)</f>
        <v>10</v>
      </c>
      <c r="K2233" s="6" t="n">
        <f aca="false">IF(COUNTIF($A$2:$A2233,A2233)=1,1,0)</f>
        <v>0</v>
      </c>
    </row>
    <row r="2234" customFormat="false" ht="15" hidden="false" customHeight="false" outlineLevel="0" collapsed="false">
      <c r="A2234" s="0" t="s">
        <v>523</v>
      </c>
      <c r="B2234" s="0" t="s">
        <v>55</v>
      </c>
      <c r="C2234" s="0" t="s">
        <v>56</v>
      </c>
      <c r="D2234" s="0" t="n">
        <v>19</v>
      </c>
      <c r="E2234" s="5" t="n">
        <v>45965.4200115741</v>
      </c>
      <c r="F2234" s="0" t="n">
        <v>1.65</v>
      </c>
      <c r="G2234" s="0" t="n">
        <v>17219</v>
      </c>
      <c r="H2234" s="6" t="s">
        <v>74</v>
      </c>
      <c r="I2234" s="6" t="n">
        <f aca="false">D2234*F2234</f>
        <v>31.35</v>
      </c>
      <c r="J2234" s="6" t="n">
        <f aca="false">HOUR(E2234)</f>
        <v>10</v>
      </c>
      <c r="K2234" s="6" t="n">
        <f aca="false">IF(COUNTIF($A$2:$A2234,A2234)=1,1,0)</f>
        <v>0</v>
      </c>
    </row>
    <row r="2235" customFormat="false" ht="15" hidden="false" customHeight="false" outlineLevel="0" collapsed="false">
      <c r="A2235" s="0" t="s">
        <v>523</v>
      </c>
      <c r="B2235" s="0" t="s">
        <v>107</v>
      </c>
      <c r="C2235" s="0" t="s">
        <v>108</v>
      </c>
      <c r="D2235" s="0" t="n">
        <v>1</v>
      </c>
      <c r="E2235" s="5" t="n">
        <v>45965.4200115741</v>
      </c>
      <c r="F2235" s="0" t="n">
        <v>3.75</v>
      </c>
      <c r="G2235" s="0" t="n">
        <v>17219</v>
      </c>
      <c r="H2235" s="6" t="s">
        <v>74</v>
      </c>
      <c r="I2235" s="6" t="n">
        <f aca="false">D2235*F2235</f>
        <v>3.75</v>
      </c>
      <c r="J2235" s="6" t="n">
        <f aca="false">HOUR(E2235)</f>
        <v>10</v>
      </c>
      <c r="K2235" s="6" t="n">
        <f aca="false">IF(COUNTIF($A$2:$A2235,A2235)=1,1,0)</f>
        <v>0</v>
      </c>
    </row>
    <row r="2236" customFormat="false" ht="15" hidden="false" customHeight="false" outlineLevel="0" collapsed="false">
      <c r="A2236" s="0" t="s">
        <v>523</v>
      </c>
      <c r="B2236" s="0" t="s">
        <v>69</v>
      </c>
      <c r="C2236" s="0" t="s">
        <v>70</v>
      </c>
      <c r="D2236" s="0" t="n">
        <v>20</v>
      </c>
      <c r="E2236" s="5" t="n">
        <v>45965.4200115741</v>
      </c>
      <c r="F2236" s="0" t="n">
        <v>2.08</v>
      </c>
      <c r="G2236" s="0" t="n">
        <v>17219</v>
      </c>
      <c r="H2236" s="6" t="s">
        <v>74</v>
      </c>
      <c r="I2236" s="6" t="n">
        <f aca="false">D2236*F2236</f>
        <v>41.6</v>
      </c>
      <c r="J2236" s="6" t="n">
        <f aca="false">HOUR(E2236)</f>
        <v>10</v>
      </c>
      <c r="K2236" s="6" t="n">
        <f aca="false">IF(COUNTIF($A$2:$A2236,A2236)=1,1,0)</f>
        <v>0</v>
      </c>
    </row>
    <row r="2237" customFormat="false" ht="15" hidden="false" customHeight="false" outlineLevel="0" collapsed="false">
      <c r="A2237" s="0" t="s">
        <v>524</v>
      </c>
      <c r="B2237" s="0" t="s">
        <v>77</v>
      </c>
      <c r="C2237" s="0" t="s">
        <v>78</v>
      </c>
      <c r="D2237" s="0" t="n">
        <v>7</v>
      </c>
      <c r="E2237" s="5" t="n">
        <v>45965.4938194445</v>
      </c>
      <c r="F2237" s="0" t="n">
        <v>1.65</v>
      </c>
      <c r="G2237" s="0" t="n">
        <v>17123</v>
      </c>
      <c r="H2237" s="6" t="s">
        <v>68</v>
      </c>
      <c r="I2237" s="6" t="n">
        <f aca="false">D2237*F2237</f>
        <v>11.55</v>
      </c>
      <c r="J2237" s="6" t="n">
        <f aca="false">HOUR(E2237)</f>
        <v>11</v>
      </c>
      <c r="K2237" s="6" t="n">
        <f aca="false">IF(COUNTIF($A$2:$A2237,A2237)=1,1,0)</f>
        <v>1</v>
      </c>
    </row>
    <row r="2238" customFormat="false" ht="15" hidden="false" customHeight="false" outlineLevel="0" collapsed="false">
      <c r="A2238" s="0" t="s">
        <v>524</v>
      </c>
      <c r="B2238" s="0" t="s">
        <v>45</v>
      </c>
      <c r="C2238" s="0" t="s">
        <v>46</v>
      </c>
      <c r="D2238" s="0" t="n">
        <v>20</v>
      </c>
      <c r="E2238" s="5" t="n">
        <v>45965.4938194445</v>
      </c>
      <c r="F2238" s="0" t="n">
        <v>2.1</v>
      </c>
      <c r="G2238" s="0" t="n">
        <v>17123</v>
      </c>
      <c r="H2238" s="6" t="s">
        <v>68</v>
      </c>
      <c r="I2238" s="6" t="n">
        <f aca="false">D2238*F2238</f>
        <v>42</v>
      </c>
      <c r="J2238" s="6" t="n">
        <f aca="false">HOUR(E2238)</f>
        <v>11</v>
      </c>
      <c r="K2238" s="6" t="n">
        <f aca="false">IF(COUNTIF($A$2:$A2238,A2238)=1,1,0)</f>
        <v>0</v>
      </c>
    </row>
    <row r="2239" customFormat="false" ht="15" hidden="false" customHeight="false" outlineLevel="0" collapsed="false">
      <c r="A2239" s="0" t="s">
        <v>524</v>
      </c>
      <c r="B2239" s="0" t="s">
        <v>95</v>
      </c>
      <c r="C2239" s="0" t="s">
        <v>96</v>
      </c>
      <c r="D2239" s="0" t="n">
        <v>48</v>
      </c>
      <c r="E2239" s="5" t="n">
        <v>45965.4938194445</v>
      </c>
      <c r="F2239" s="0" t="n">
        <v>2.55</v>
      </c>
      <c r="G2239" s="0" t="n">
        <v>17123</v>
      </c>
      <c r="H2239" s="6" t="s">
        <v>68</v>
      </c>
      <c r="I2239" s="6" t="n">
        <f aca="false">D2239*F2239</f>
        <v>122.4</v>
      </c>
      <c r="J2239" s="6" t="n">
        <f aca="false">HOUR(E2239)</f>
        <v>11</v>
      </c>
      <c r="K2239" s="6" t="n">
        <f aca="false">IF(COUNTIF($A$2:$A2239,A2239)=1,1,0)</f>
        <v>0</v>
      </c>
    </row>
    <row r="2240" customFormat="false" ht="15" hidden="false" customHeight="false" outlineLevel="0" collapsed="false">
      <c r="A2240" s="0" t="s">
        <v>524</v>
      </c>
      <c r="B2240" s="0" t="s">
        <v>114</v>
      </c>
      <c r="C2240" s="0" t="s">
        <v>115</v>
      </c>
      <c r="D2240" s="0" t="n">
        <v>4</v>
      </c>
      <c r="E2240" s="5" t="n">
        <v>45965.4938194445</v>
      </c>
      <c r="F2240" s="0" t="n">
        <v>2.08</v>
      </c>
      <c r="G2240" s="0" t="n">
        <v>17123</v>
      </c>
      <c r="H2240" s="6" t="s">
        <v>68</v>
      </c>
      <c r="I2240" s="6" t="n">
        <f aca="false">D2240*F2240</f>
        <v>8.32</v>
      </c>
      <c r="J2240" s="6" t="n">
        <f aca="false">HOUR(E2240)</f>
        <v>11</v>
      </c>
      <c r="K2240" s="6" t="n">
        <f aca="false">IF(COUNTIF($A$2:$A2240,A2240)=1,1,0)</f>
        <v>0</v>
      </c>
    </row>
    <row r="2241" customFormat="false" ht="15" hidden="false" customHeight="false" outlineLevel="0" collapsed="false">
      <c r="A2241" s="0" t="s">
        <v>524</v>
      </c>
      <c r="B2241" s="0" t="s">
        <v>140</v>
      </c>
      <c r="C2241" s="0" t="s">
        <v>141</v>
      </c>
      <c r="D2241" s="0" t="n">
        <v>3</v>
      </c>
      <c r="E2241" s="5" t="n">
        <v>45965.4938194445</v>
      </c>
      <c r="F2241" s="0" t="n">
        <v>2.08</v>
      </c>
      <c r="G2241" s="0" t="n">
        <v>17123</v>
      </c>
      <c r="H2241" s="6" t="s">
        <v>68</v>
      </c>
      <c r="I2241" s="6" t="n">
        <f aca="false">D2241*F2241</f>
        <v>6.24</v>
      </c>
      <c r="J2241" s="6" t="n">
        <f aca="false">HOUR(E2241)</f>
        <v>11</v>
      </c>
      <c r="K2241" s="6" t="n">
        <f aca="false">IF(COUNTIF($A$2:$A2241,A2241)=1,1,0)</f>
        <v>0</v>
      </c>
    </row>
    <row r="2242" customFormat="false" ht="15" hidden="false" customHeight="false" outlineLevel="0" collapsed="false">
      <c r="A2242" s="0" t="s">
        <v>524</v>
      </c>
      <c r="B2242" s="0" t="s">
        <v>107</v>
      </c>
      <c r="C2242" s="0" t="s">
        <v>108</v>
      </c>
      <c r="D2242" s="0" t="n">
        <v>4</v>
      </c>
      <c r="E2242" s="5" t="n">
        <v>45965.4938194445</v>
      </c>
      <c r="F2242" s="0" t="n">
        <v>3.75</v>
      </c>
      <c r="G2242" s="0" t="n">
        <v>17123</v>
      </c>
      <c r="H2242" s="6" t="s">
        <v>68</v>
      </c>
      <c r="I2242" s="6" t="n">
        <f aca="false">D2242*F2242</f>
        <v>15</v>
      </c>
      <c r="J2242" s="6" t="n">
        <f aca="false">HOUR(E2242)</f>
        <v>11</v>
      </c>
      <c r="K2242" s="6" t="n">
        <f aca="false">IF(COUNTIF($A$2:$A2242,A2242)=1,1,0)</f>
        <v>0</v>
      </c>
    </row>
    <row r="2243" customFormat="false" ht="15" hidden="false" customHeight="false" outlineLevel="0" collapsed="false">
      <c r="A2243" s="0" t="s">
        <v>524</v>
      </c>
      <c r="B2243" s="0" t="s">
        <v>137</v>
      </c>
      <c r="C2243" s="0" t="s">
        <v>138</v>
      </c>
      <c r="D2243" s="0" t="n">
        <v>2</v>
      </c>
      <c r="E2243" s="5" t="n">
        <v>45965.4938194445</v>
      </c>
      <c r="F2243" s="0" t="n">
        <v>2.1</v>
      </c>
      <c r="G2243" s="0" t="n">
        <v>17123</v>
      </c>
      <c r="H2243" s="6" t="s">
        <v>68</v>
      </c>
      <c r="I2243" s="6" t="n">
        <f aca="false">D2243*F2243</f>
        <v>4.2</v>
      </c>
      <c r="J2243" s="6" t="n">
        <f aca="false">HOUR(E2243)</f>
        <v>11</v>
      </c>
      <c r="K2243" s="6" t="n">
        <f aca="false">IF(COUNTIF($A$2:$A2243,A2243)=1,1,0)</f>
        <v>0</v>
      </c>
    </row>
    <row r="2244" customFormat="false" ht="15" hidden="false" customHeight="false" outlineLevel="0" collapsed="false">
      <c r="A2244" s="0" t="s">
        <v>524</v>
      </c>
      <c r="B2244" s="0" t="s">
        <v>75</v>
      </c>
      <c r="C2244" s="0" t="s">
        <v>76</v>
      </c>
      <c r="D2244" s="0" t="n">
        <v>21</v>
      </c>
      <c r="E2244" s="5" t="n">
        <v>45965.4938194445</v>
      </c>
      <c r="F2244" s="0" t="n">
        <v>3.39</v>
      </c>
      <c r="G2244" s="0" t="n">
        <v>17123</v>
      </c>
      <c r="H2244" s="6" t="s">
        <v>68</v>
      </c>
      <c r="I2244" s="6" t="n">
        <f aca="false">D2244*F2244</f>
        <v>71.19</v>
      </c>
      <c r="J2244" s="6" t="n">
        <f aca="false">HOUR(E2244)</f>
        <v>11</v>
      </c>
      <c r="K2244" s="6" t="n">
        <f aca="false">IF(COUNTIF($A$2:$A2244,A2244)=1,1,0)</f>
        <v>0</v>
      </c>
    </row>
    <row r="2245" customFormat="false" ht="15" hidden="false" customHeight="false" outlineLevel="0" collapsed="false">
      <c r="A2245" s="0" t="s">
        <v>524</v>
      </c>
      <c r="B2245" s="0" t="s">
        <v>99</v>
      </c>
      <c r="C2245" s="0" t="s">
        <v>100</v>
      </c>
      <c r="D2245" s="0" t="n">
        <v>10</v>
      </c>
      <c r="E2245" s="5" t="n">
        <v>45965.4938194445</v>
      </c>
      <c r="F2245" s="0" t="n">
        <v>2.08</v>
      </c>
      <c r="G2245" s="0" t="n">
        <v>17123</v>
      </c>
      <c r="H2245" s="6" t="s">
        <v>68</v>
      </c>
      <c r="I2245" s="6" t="n">
        <f aca="false">D2245*F2245</f>
        <v>20.8</v>
      </c>
      <c r="J2245" s="6" t="n">
        <f aca="false">HOUR(E2245)</f>
        <v>11</v>
      </c>
      <c r="K2245" s="6" t="n">
        <f aca="false">IF(COUNTIF($A$2:$A2245,A2245)=1,1,0)</f>
        <v>0</v>
      </c>
    </row>
    <row r="2246" customFormat="false" ht="15" hidden="false" customHeight="false" outlineLevel="0" collapsed="false">
      <c r="A2246" s="0" t="s">
        <v>524</v>
      </c>
      <c r="B2246" s="0" t="s">
        <v>53</v>
      </c>
      <c r="C2246" s="0" t="s">
        <v>54</v>
      </c>
      <c r="D2246" s="0" t="n">
        <v>12</v>
      </c>
      <c r="E2246" s="5" t="n">
        <v>45965.4938194445</v>
      </c>
      <c r="F2246" s="0" t="n">
        <v>2.95</v>
      </c>
      <c r="G2246" s="0" t="n">
        <v>17123</v>
      </c>
      <c r="H2246" s="6" t="s">
        <v>68</v>
      </c>
      <c r="I2246" s="6" t="n">
        <f aca="false">D2246*F2246</f>
        <v>35.4</v>
      </c>
      <c r="J2246" s="6" t="n">
        <f aca="false">HOUR(E2246)</f>
        <v>11</v>
      </c>
      <c r="K2246" s="6" t="n">
        <f aca="false">IF(COUNTIF($A$2:$A2246,A2246)=1,1,0)</f>
        <v>0</v>
      </c>
    </row>
    <row r="2247" customFormat="false" ht="15" hidden="false" customHeight="false" outlineLevel="0" collapsed="false">
      <c r="A2247" s="0" t="s">
        <v>525</v>
      </c>
      <c r="B2247" s="0" t="s">
        <v>63</v>
      </c>
      <c r="C2247" s="0" t="s">
        <v>64</v>
      </c>
      <c r="D2247" s="0" t="n">
        <v>3</v>
      </c>
      <c r="E2247" s="5" t="n">
        <v>45965.5089467593</v>
      </c>
      <c r="F2247" s="0" t="n">
        <v>1.85</v>
      </c>
      <c r="G2247" s="0" t="n">
        <v>17185</v>
      </c>
      <c r="H2247" s="6" t="s">
        <v>74</v>
      </c>
      <c r="I2247" s="6" t="n">
        <f aca="false">D2247*F2247</f>
        <v>5.55</v>
      </c>
      <c r="J2247" s="6" t="n">
        <f aca="false">HOUR(E2247)</f>
        <v>12</v>
      </c>
      <c r="K2247" s="6" t="n">
        <f aca="false">IF(COUNTIF($A$2:$A2247,A2247)=1,1,0)</f>
        <v>1</v>
      </c>
    </row>
    <row r="2248" customFormat="false" ht="15" hidden="false" customHeight="false" outlineLevel="0" collapsed="false">
      <c r="A2248" s="0" t="s">
        <v>525</v>
      </c>
      <c r="B2248" s="0" t="s">
        <v>140</v>
      </c>
      <c r="C2248" s="0" t="s">
        <v>141</v>
      </c>
      <c r="D2248" s="0" t="n">
        <v>12</v>
      </c>
      <c r="E2248" s="5" t="n">
        <v>45965.5089467593</v>
      </c>
      <c r="F2248" s="0" t="n">
        <v>2.08</v>
      </c>
      <c r="G2248" s="0" t="n">
        <v>17185</v>
      </c>
      <c r="H2248" s="6" t="s">
        <v>74</v>
      </c>
      <c r="I2248" s="6" t="n">
        <f aca="false">D2248*F2248</f>
        <v>24.96</v>
      </c>
      <c r="J2248" s="6" t="n">
        <f aca="false">HOUR(E2248)</f>
        <v>12</v>
      </c>
      <c r="K2248" s="6" t="n">
        <f aca="false">IF(COUNTIF($A$2:$A2248,A2248)=1,1,0)</f>
        <v>0</v>
      </c>
    </row>
    <row r="2249" customFormat="false" ht="15" hidden="false" customHeight="false" outlineLevel="0" collapsed="false">
      <c r="A2249" s="0" t="s">
        <v>525</v>
      </c>
      <c r="B2249" s="0" t="s">
        <v>50</v>
      </c>
      <c r="C2249" s="0" t="s">
        <v>51</v>
      </c>
      <c r="D2249" s="0" t="n">
        <v>14</v>
      </c>
      <c r="E2249" s="5" t="n">
        <v>45965.5089467593</v>
      </c>
      <c r="F2249" s="0" t="n">
        <v>5.95</v>
      </c>
      <c r="G2249" s="0" t="n">
        <v>17185</v>
      </c>
      <c r="H2249" s="6" t="s">
        <v>74</v>
      </c>
      <c r="I2249" s="6" t="n">
        <f aca="false">D2249*F2249</f>
        <v>83.3</v>
      </c>
      <c r="J2249" s="6" t="n">
        <f aca="false">HOUR(E2249)</f>
        <v>12</v>
      </c>
      <c r="K2249" s="6" t="n">
        <f aca="false">IF(COUNTIF($A$2:$A2249,A2249)=1,1,0)</f>
        <v>0</v>
      </c>
    </row>
    <row r="2250" customFormat="false" ht="15" hidden="false" customHeight="false" outlineLevel="0" collapsed="false">
      <c r="A2250" s="0" t="s">
        <v>525</v>
      </c>
      <c r="B2250" s="0" t="s">
        <v>104</v>
      </c>
      <c r="C2250" s="0" t="s">
        <v>105</v>
      </c>
      <c r="D2250" s="0" t="n">
        <v>21</v>
      </c>
      <c r="E2250" s="5" t="n">
        <v>45965.5089467593</v>
      </c>
      <c r="F2250" s="0" t="n">
        <v>1.65</v>
      </c>
      <c r="G2250" s="0" t="n">
        <v>17185</v>
      </c>
      <c r="H2250" s="6" t="s">
        <v>74</v>
      </c>
      <c r="I2250" s="6" t="n">
        <f aca="false">D2250*F2250</f>
        <v>34.65</v>
      </c>
      <c r="J2250" s="6" t="n">
        <f aca="false">HOUR(E2250)</f>
        <v>12</v>
      </c>
      <c r="K2250" s="6" t="n">
        <f aca="false">IF(COUNTIF($A$2:$A2250,A2250)=1,1,0)</f>
        <v>0</v>
      </c>
    </row>
    <row r="2251" customFormat="false" ht="15" hidden="false" customHeight="false" outlineLevel="0" collapsed="false">
      <c r="A2251" s="0" t="s">
        <v>526</v>
      </c>
      <c r="B2251" s="0" t="s">
        <v>81</v>
      </c>
      <c r="C2251" s="0" t="s">
        <v>82</v>
      </c>
      <c r="D2251" s="0" t="n">
        <v>5</v>
      </c>
      <c r="E2251" s="5" t="n">
        <v>45965.5239236111</v>
      </c>
      <c r="F2251" s="0" t="n">
        <v>1.65</v>
      </c>
      <c r="G2251" s="0" t="n">
        <v>17112</v>
      </c>
      <c r="H2251" s="6" t="s">
        <v>74</v>
      </c>
      <c r="I2251" s="6" t="n">
        <f aca="false">D2251*F2251</f>
        <v>8.25</v>
      </c>
      <c r="J2251" s="6" t="n">
        <f aca="false">HOUR(E2251)</f>
        <v>12</v>
      </c>
      <c r="K2251" s="6" t="n">
        <f aca="false">IF(COUNTIF($A$2:$A2251,A2251)=1,1,0)</f>
        <v>1</v>
      </c>
    </row>
    <row r="2252" customFormat="false" ht="15" hidden="false" customHeight="false" outlineLevel="0" collapsed="false">
      <c r="A2252" s="0" t="s">
        <v>526</v>
      </c>
      <c r="B2252" s="0" t="s">
        <v>57</v>
      </c>
      <c r="C2252" s="0" t="s">
        <v>58</v>
      </c>
      <c r="D2252" s="0" t="n">
        <v>6</v>
      </c>
      <c r="E2252" s="5" t="n">
        <v>45965.5239236111</v>
      </c>
      <c r="F2252" s="0" t="n">
        <v>2.08</v>
      </c>
      <c r="G2252" s="0" t="n">
        <v>17112</v>
      </c>
      <c r="H2252" s="6" t="s">
        <v>74</v>
      </c>
      <c r="I2252" s="6" t="n">
        <f aca="false">D2252*F2252</f>
        <v>12.48</v>
      </c>
      <c r="J2252" s="6" t="n">
        <f aca="false">HOUR(E2252)</f>
        <v>12</v>
      </c>
      <c r="K2252" s="6" t="n">
        <f aca="false">IF(COUNTIF($A$2:$A2252,A2252)=1,1,0)</f>
        <v>0</v>
      </c>
    </row>
    <row r="2253" customFormat="false" ht="15" hidden="false" customHeight="false" outlineLevel="0" collapsed="false">
      <c r="A2253" s="0" t="s">
        <v>526</v>
      </c>
      <c r="B2253" s="0" t="s">
        <v>77</v>
      </c>
      <c r="C2253" s="0" t="s">
        <v>78</v>
      </c>
      <c r="D2253" s="0" t="n">
        <v>8</v>
      </c>
      <c r="E2253" s="5" t="n">
        <v>45965.5239236111</v>
      </c>
      <c r="F2253" s="0" t="n">
        <v>1.65</v>
      </c>
      <c r="G2253" s="0" t="n">
        <v>17112</v>
      </c>
      <c r="H2253" s="6" t="s">
        <v>74</v>
      </c>
      <c r="I2253" s="6" t="n">
        <f aca="false">D2253*F2253</f>
        <v>13.2</v>
      </c>
      <c r="J2253" s="6" t="n">
        <f aca="false">HOUR(E2253)</f>
        <v>12</v>
      </c>
      <c r="K2253" s="6" t="n">
        <f aca="false">IF(COUNTIF($A$2:$A2253,A2253)=1,1,0)</f>
        <v>0</v>
      </c>
    </row>
    <row r="2254" customFormat="false" ht="15" hidden="false" customHeight="false" outlineLevel="0" collapsed="false">
      <c r="A2254" s="0" t="s">
        <v>526</v>
      </c>
      <c r="B2254" s="0" t="s">
        <v>40</v>
      </c>
      <c r="C2254" s="0" t="s">
        <v>41</v>
      </c>
      <c r="D2254" s="0" t="n">
        <v>21</v>
      </c>
      <c r="E2254" s="5" t="n">
        <v>45965.5239236111</v>
      </c>
      <c r="F2254" s="0" t="n">
        <v>1.06</v>
      </c>
      <c r="G2254" s="0" t="n">
        <v>17112</v>
      </c>
      <c r="H2254" s="6" t="s">
        <v>74</v>
      </c>
      <c r="I2254" s="6" t="n">
        <f aca="false">D2254*F2254</f>
        <v>22.26</v>
      </c>
      <c r="J2254" s="6" t="n">
        <f aca="false">HOUR(E2254)</f>
        <v>12</v>
      </c>
      <c r="K2254" s="6" t="n">
        <f aca="false">IF(COUNTIF($A$2:$A2254,A2254)=1,1,0)</f>
        <v>0</v>
      </c>
    </row>
    <row r="2255" customFormat="false" ht="15" hidden="false" customHeight="false" outlineLevel="0" collapsed="false">
      <c r="A2255" s="0" t="s">
        <v>526</v>
      </c>
      <c r="B2255" s="0" t="s">
        <v>107</v>
      </c>
      <c r="C2255" s="0" t="s">
        <v>108</v>
      </c>
      <c r="D2255" s="0" t="n">
        <v>10</v>
      </c>
      <c r="E2255" s="5" t="n">
        <v>45965.5239236111</v>
      </c>
      <c r="F2255" s="0" t="n">
        <v>3.75</v>
      </c>
      <c r="G2255" s="0" t="n">
        <v>17112</v>
      </c>
      <c r="H2255" s="6" t="s">
        <v>74</v>
      </c>
      <c r="I2255" s="6" t="n">
        <f aca="false">D2255*F2255</f>
        <v>37.5</v>
      </c>
      <c r="J2255" s="6" t="n">
        <f aca="false">HOUR(E2255)</f>
        <v>12</v>
      </c>
      <c r="K2255" s="6" t="n">
        <f aca="false">IF(COUNTIF($A$2:$A2255,A2255)=1,1,0)</f>
        <v>0</v>
      </c>
    </row>
    <row r="2256" customFormat="false" ht="15" hidden="false" customHeight="false" outlineLevel="0" collapsed="false">
      <c r="A2256" s="0" t="s">
        <v>527</v>
      </c>
      <c r="B2256" s="0" t="s">
        <v>79</v>
      </c>
      <c r="C2256" s="0" t="s">
        <v>80</v>
      </c>
      <c r="D2256" s="0" t="n">
        <v>13</v>
      </c>
      <c r="E2256" s="5" t="n">
        <v>45965.5302430556</v>
      </c>
      <c r="F2256" s="0" t="n">
        <v>3.39</v>
      </c>
      <c r="G2256" s="0" t="n">
        <v>17210</v>
      </c>
      <c r="H2256" s="6" t="s">
        <v>74</v>
      </c>
      <c r="I2256" s="6" t="n">
        <f aca="false">D2256*F2256</f>
        <v>44.07</v>
      </c>
      <c r="J2256" s="6" t="n">
        <f aca="false">HOUR(E2256)</f>
        <v>12</v>
      </c>
      <c r="K2256" s="6" t="n">
        <f aca="false">IF(COUNTIF($A$2:$A2256,A2256)=1,1,0)</f>
        <v>1</v>
      </c>
    </row>
    <row r="2257" customFormat="false" ht="15" hidden="false" customHeight="false" outlineLevel="0" collapsed="false">
      <c r="A2257" s="0" t="s">
        <v>527</v>
      </c>
      <c r="B2257" s="0" t="s">
        <v>109</v>
      </c>
      <c r="C2257" s="0" t="s">
        <v>110</v>
      </c>
      <c r="D2257" s="0" t="n">
        <v>3</v>
      </c>
      <c r="E2257" s="5" t="n">
        <v>45965.5302430556</v>
      </c>
      <c r="F2257" s="0" t="n">
        <v>0.85</v>
      </c>
      <c r="G2257" s="0" t="n">
        <v>17210</v>
      </c>
      <c r="H2257" s="6" t="s">
        <v>74</v>
      </c>
      <c r="I2257" s="6" t="n">
        <f aca="false">D2257*F2257</f>
        <v>2.55</v>
      </c>
      <c r="J2257" s="6" t="n">
        <f aca="false">HOUR(E2257)</f>
        <v>12</v>
      </c>
      <c r="K2257" s="6" t="n">
        <f aca="false">IF(COUNTIF($A$2:$A2257,A2257)=1,1,0)</f>
        <v>0</v>
      </c>
    </row>
    <row r="2258" customFormat="false" ht="15" hidden="false" customHeight="false" outlineLevel="0" collapsed="false">
      <c r="A2258" s="0" t="s">
        <v>527</v>
      </c>
      <c r="B2258" s="0" t="s">
        <v>47</v>
      </c>
      <c r="C2258" s="0" t="s">
        <v>48</v>
      </c>
      <c r="D2258" s="0" t="n">
        <v>29</v>
      </c>
      <c r="E2258" s="5" t="n">
        <v>45965.5302430556</v>
      </c>
      <c r="F2258" s="0" t="n">
        <v>12.75</v>
      </c>
      <c r="G2258" s="0" t="n">
        <v>17210</v>
      </c>
      <c r="H2258" s="6" t="s">
        <v>74</v>
      </c>
      <c r="I2258" s="6" t="n">
        <f aca="false">D2258*F2258</f>
        <v>369.75</v>
      </c>
      <c r="J2258" s="6" t="n">
        <f aca="false">HOUR(E2258)</f>
        <v>12</v>
      </c>
      <c r="K2258" s="6" t="n">
        <f aca="false">IF(COUNTIF($A$2:$A2258,A2258)=1,1,0)</f>
        <v>0</v>
      </c>
    </row>
    <row r="2259" customFormat="false" ht="15" hidden="false" customHeight="false" outlineLevel="0" collapsed="false">
      <c r="A2259" s="0" t="s">
        <v>527</v>
      </c>
      <c r="B2259" s="0" t="s">
        <v>93</v>
      </c>
      <c r="C2259" s="0" t="s">
        <v>94</v>
      </c>
      <c r="D2259" s="0" t="n">
        <v>24</v>
      </c>
      <c r="E2259" s="5" t="n">
        <v>45965.5302430556</v>
      </c>
      <c r="F2259" s="0" t="n">
        <v>1.69</v>
      </c>
      <c r="G2259" s="0" t="n">
        <v>17210</v>
      </c>
      <c r="H2259" s="6" t="s">
        <v>74</v>
      </c>
      <c r="I2259" s="6" t="n">
        <f aca="false">D2259*F2259</f>
        <v>40.56</v>
      </c>
      <c r="J2259" s="6" t="n">
        <f aca="false">HOUR(E2259)</f>
        <v>12</v>
      </c>
      <c r="K2259" s="6" t="n">
        <f aca="false">IF(COUNTIF($A$2:$A2259,A2259)=1,1,0)</f>
        <v>0</v>
      </c>
    </row>
    <row r="2260" customFormat="false" ht="15" hidden="false" customHeight="false" outlineLevel="0" collapsed="false">
      <c r="A2260" s="0" t="s">
        <v>528</v>
      </c>
      <c r="B2260" s="0" t="s">
        <v>83</v>
      </c>
      <c r="C2260" s="0" t="s">
        <v>84</v>
      </c>
      <c r="D2260" s="0" t="n">
        <v>5</v>
      </c>
      <c r="E2260" s="5" t="n">
        <v>45965.5864351852</v>
      </c>
      <c r="F2260" s="0" t="n">
        <v>2.95</v>
      </c>
      <c r="G2260" s="0" t="n">
        <v>17141</v>
      </c>
      <c r="H2260" s="6" t="s">
        <v>74</v>
      </c>
      <c r="I2260" s="6" t="n">
        <f aca="false">D2260*F2260</f>
        <v>14.75</v>
      </c>
      <c r="J2260" s="6" t="n">
        <f aca="false">HOUR(E2260)</f>
        <v>14</v>
      </c>
      <c r="K2260" s="6" t="n">
        <f aca="false">IF(COUNTIF($A$2:$A2260,A2260)=1,1,0)</f>
        <v>1</v>
      </c>
    </row>
    <row r="2261" customFormat="false" ht="15" hidden="false" customHeight="false" outlineLevel="0" collapsed="false">
      <c r="A2261" s="0" t="s">
        <v>528</v>
      </c>
      <c r="B2261" s="0" t="s">
        <v>72</v>
      </c>
      <c r="C2261" s="0" t="s">
        <v>73</v>
      </c>
      <c r="D2261" s="0" t="n">
        <v>6</v>
      </c>
      <c r="E2261" s="5" t="n">
        <v>45965.5864351852</v>
      </c>
      <c r="F2261" s="0" t="n">
        <v>4.95</v>
      </c>
      <c r="G2261" s="0" t="n">
        <v>17141</v>
      </c>
      <c r="H2261" s="6" t="s">
        <v>74</v>
      </c>
      <c r="I2261" s="6" t="n">
        <f aca="false">D2261*F2261</f>
        <v>29.7</v>
      </c>
      <c r="J2261" s="6" t="n">
        <f aca="false">HOUR(E2261)</f>
        <v>14</v>
      </c>
      <c r="K2261" s="6" t="n">
        <f aca="false">IF(COUNTIF($A$2:$A2261,A2261)=1,1,0)</f>
        <v>0</v>
      </c>
    </row>
    <row r="2262" customFormat="false" ht="15" hidden="false" customHeight="false" outlineLevel="0" collapsed="false">
      <c r="A2262" s="0" t="s">
        <v>528</v>
      </c>
      <c r="B2262" s="0" t="s">
        <v>131</v>
      </c>
      <c r="C2262" s="0" t="s">
        <v>132</v>
      </c>
      <c r="D2262" s="0" t="n">
        <v>20</v>
      </c>
      <c r="E2262" s="5" t="n">
        <v>45965.5864351852</v>
      </c>
      <c r="F2262" s="0" t="n">
        <v>3.39</v>
      </c>
      <c r="G2262" s="0" t="n">
        <v>17141</v>
      </c>
      <c r="H2262" s="6" t="s">
        <v>74</v>
      </c>
      <c r="I2262" s="6" t="n">
        <f aca="false">D2262*F2262</f>
        <v>67.8</v>
      </c>
      <c r="J2262" s="6" t="n">
        <f aca="false">HOUR(E2262)</f>
        <v>14</v>
      </c>
      <c r="K2262" s="6" t="n">
        <f aca="false">IF(COUNTIF($A$2:$A2262,A2262)=1,1,0)</f>
        <v>0</v>
      </c>
    </row>
    <row r="2263" customFormat="false" ht="15" hidden="false" customHeight="false" outlineLevel="0" collapsed="false">
      <c r="A2263" s="0" t="s">
        <v>529</v>
      </c>
      <c r="B2263" s="0" t="s">
        <v>145</v>
      </c>
      <c r="C2263" s="0" t="s">
        <v>146</v>
      </c>
      <c r="D2263" s="0" t="n">
        <v>11</v>
      </c>
      <c r="E2263" s="5" t="n">
        <v>45965.7065162037</v>
      </c>
      <c r="F2263" s="0" t="n">
        <v>1.85</v>
      </c>
      <c r="G2263" s="0" t="n">
        <v>17251</v>
      </c>
      <c r="H2263" s="6" t="s">
        <v>74</v>
      </c>
      <c r="I2263" s="6" t="n">
        <f aca="false">D2263*F2263</f>
        <v>20.35</v>
      </c>
      <c r="J2263" s="6" t="n">
        <f aca="false">HOUR(E2263)</f>
        <v>16</v>
      </c>
      <c r="K2263" s="6" t="n">
        <f aca="false">IF(COUNTIF($A$2:$A2263,A2263)=1,1,0)</f>
        <v>1</v>
      </c>
    </row>
    <row r="2264" customFormat="false" ht="15" hidden="false" customHeight="false" outlineLevel="0" collapsed="false">
      <c r="A2264" s="0" t="s">
        <v>529</v>
      </c>
      <c r="B2264" s="0" t="s">
        <v>59</v>
      </c>
      <c r="C2264" s="0" t="s">
        <v>60</v>
      </c>
      <c r="D2264" s="0" t="n">
        <v>24</v>
      </c>
      <c r="E2264" s="5" t="n">
        <v>45965.7065162037</v>
      </c>
      <c r="F2264" s="0" t="n">
        <v>0.42</v>
      </c>
      <c r="G2264" s="0" t="n">
        <v>17251</v>
      </c>
      <c r="H2264" s="6" t="s">
        <v>74</v>
      </c>
      <c r="I2264" s="6" t="n">
        <f aca="false">D2264*F2264</f>
        <v>10.08</v>
      </c>
      <c r="J2264" s="6" t="n">
        <f aca="false">HOUR(E2264)</f>
        <v>16</v>
      </c>
      <c r="K2264" s="6" t="n">
        <f aca="false">IF(COUNTIF($A$2:$A2264,A2264)=1,1,0)</f>
        <v>0</v>
      </c>
    </row>
    <row r="2265" customFormat="false" ht="15" hidden="false" customHeight="false" outlineLevel="0" collapsed="false">
      <c r="A2265" s="0" t="s">
        <v>530</v>
      </c>
      <c r="B2265" s="0" t="s">
        <v>75</v>
      </c>
      <c r="C2265" s="0" t="s">
        <v>76</v>
      </c>
      <c r="D2265" s="0" t="n">
        <v>24</v>
      </c>
      <c r="E2265" s="5" t="n">
        <v>45965.7104398148</v>
      </c>
      <c r="F2265" s="0" t="n">
        <v>3.39</v>
      </c>
      <c r="G2265" s="0" t="n">
        <v>17188</v>
      </c>
      <c r="H2265" s="6" t="s">
        <v>74</v>
      </c>
      <c r="I2265" s="6" t="n">
        <f aca="false">D2265*F2265</f>
        <v>81.36</v>
      </c>
      <c r="J2265" s="6" t="n">
        <f aca="false">HOUR(E2265)</f>
        <v>17</v>
      </c>
      <c r="K2265" s="6" t="n">
        <f aca="false">IF(COUNTIF($A$2:$A2265,A2265)=1,1,0)</f>
        <v>1</v>
      </c>
    </row>
    <row r="2266" customFormat="false" ht="15" hidden="false" customHeight="false" outlineLevel="0" collapsed="false">
      <c r="A2266" s="0" t="s">
        <v>530</v>
      </c>
      <c r="B2266" s="0" t="s">
        <v>107</v>
      </c>
      <c r="C2266" s="0" t="s">
        <v>108</v>
      </c>
      <c r="D2266" s="0" t="n">
        <v>20</v>
      </c>
      <c r="E2266" s="5" t="n">
        <v>45965.7104398148</v>
      </c>
      <c r="F2266" s="0" t="n">
        <v>3.75</v>
      </c>
      <c r="G2266" s="0" t="n">
        <v>17188</v>
      </c>
      <c r="H2266" s="6" t="s">
        <v>74</v>
      </c>
      <c r="I2266" s="6" t="n">
        <f aca="false">D2266*F2266</f>
        <v>75</v>
      </c>
      <c r="J2266" s="6" t="n">
        <f aca="false">HOUR(E2266)</f>
        <v>17</v>
      </c>
      <c r="K2266" s="6" t="n">
        <f aca="false">IF(COUNTIF($A$2:$A2266,A2266)=1,1,0)</f>
        <v>0</v>
      </c>
    </row>
    <row r="2267" customFormat="false" ht="15" hidden="false" customHeight="false" outlineLevel="0" collapsed="false">
      <c r="A2267" s="0" t="s">
        <v>530</v>
      </c>
      <c r="B2267" s="0" t="s">
        <v>93</v>
      </c>
      <c r="C2267" s="0" t="s">
        <v>94</v>
      </c>
      <c r="D2267" s="0" t="n">
        <v>10</v>
      </c>
      <c r="E2267" s="5" t="n">
        <v>45965.7104398148</v>
      </c>
      <c r="F2267" s="0" t="n">
        <v>1.69</v>
      </c>
      <c r="G2267" s="0" t="n">
        <v>17188</v>
      </c>
      <c r="H2267" s="6" t="s">
        <v>74</v>
      </c>
      <c r="I2267" s="6" t="n">
        <f aca="false">D2267*F2267</f>
        <v>16.9</v>
      </c>
      <c r="J2267" s="6" t="n">
        <f aca="false">HOUR(E2267)</f>
        <v>17</v>
      </c>
      <c r="K2267" s="6" t="n">
        <f aca="false">IF(COUNTIF($A$2:$A2267,A2267)=1,1,0)</f>
        <v>0</v>
      </c>
    </row>
    <row r="2268" customFormat="false" ht="15" hidden="false" customHeight="false" outlineLevel="0" collapsed="false">
      <c r="A2268" s="0" t="s">
        <v>530</v>
      </c>
      <c r="B2268" s="0" t="s">
        <v>99</v>
      </c>
      <c r="C2268" s="0" t="s">
        <v>100</v>
      </c>
      <c r="D2268" s="0" t="n">
        <v>23</v>
      </c>
      <c r="E2268" s="5" t="n">
        <v>45965.7104398148</v>
      </c>
      <c r="F2268" s="0" t="n">
        <v>2.08</v>
      </c>
      <c r="G2268" s="0" t="n">
        <v>17188</v>
      </c>
      <c r="H2268" s="6" t="s">
        <v>74</v>
      </c>
      <c r="I2268" s="6" t="n">
        <f aca="false">D2268*F2268</f>
        <v>47.84</v>
      </c>
      <c r="J2268" s="6" t="n">
        <f aca="false">HOUR(E2268)</f>
        <v>17</v>
      </c>
      <c r="K2268" s="6" t="n">
        <f aca="false">IF(COUNTIF($A$2:$A2268,A2268)=1,1,0)</f>
        <v>0</v>
      </c>
    </row>
    <row r="2269" customFormat="false" ht="15" hidden="false" customHeight="false" outlineLevel="0" collapsed="false">
      <c r="A2269" s="0" t="s">
        <v>530</v>
      </c>
      <c r="B2269" s="0" t="s">
        <v>50</v>
      </c>
      <c r="C2269" s="0" t="s">
        <v>51</v>
      </c>
      <c r="D2269" s="0" t="n">
        <v>7</v>
      </c>
      <c r="E2269" s="5" t="n">
        <v>45965.7104398148</v>
      </c>
      <c r="F2269" s="0" t="n">
        <v>5.95</v>
      </c>
      <c r="G2269" s="0" t="n">
        <v>17188</v>
      </c>
      <c r="H2269" s="6" t="s">
        <v>74</v>
      </c>
      <c r="I2269" s="6" t="n">
        <f aca="false">D2269*F2269</f>
        <v>41.65</v>
      </c>
      <c r="J2269" s="6" t="n">
        <f aca="false">HOUR(E2269)</f>
        <v>17</v>
      </c>
      <c r="K2269" s="6" t="n">
        <f aca="false">IF(COUNTIF($A$2:$A2269,A2269)=1,1,0)</f>
        <v>0</v>
      </c>
    </row>
    <row r="2270" customFormat="false" ht="15" hidden="false" customHeight="false" outlineLevel="0" collapsed="false">
      <c r="A2270" s="0" t="s">
        <v>531</v>
      </c>
      <c r="B2270" s="0" t="s">
        <v>47</v>
      </c>
      <c r="C2270" s="0" t="s">
        <v>48</v>
      </c>
      <c r="D2270" s="0" t="n">
        <v>12</v>
      </c>
      <c r="E2270" s="5" t="n">
        <v>45965.7938888889</v>
      </c>
      <c r="F2270" s="0" t="n">
        <v>12.75</v>
      </c>
      <c r="H2270" s="6" t="s">
        <v>74</v>
      </c>
      <c r="I2270" s="6" t="n">
        <f aca="false">D2270*F2270</f>
        <v>153</v>
      </c>
      <c r="J2270" s="6" t="n">
        <f aca="false">HOUR(E2270)</f>
        <v>19</v>
      </c>
      <c r="K2270" s="6" t="n">
        <f aca="false">IF(COUNTIF($A$2:$A2270,A2270)=1,1,0)</f>
        <v>1</v>
      </c>
    </row>
    <row r="2271" customFormat="false" ht="15" hidden="false" customHeight="false" outlineLevel="0" collapsed="false">
      <c r="A2271" s="0" t="s">
        <v>531</v>
      </c>
      <c r="B2271" s="0" t="s">
        <v>99</v>
      </c>
      <c r="C2271" s="0" t="s">
        <v>100</v>
      </c>
      <c r="D2271" s="0" t="n">
        <v>7</v>
      </c>
      <c r="E2271" s="5" t="n">
        <v>45965.7938888889</v>
      </c>
      <c r="F2271" s="0" t="n">
        <v>2.08</v>
      </c>
      <c r="H2271" s="6" t="s">
        <v>74</v>
      </c>
      <c r="I2271" s="6" t="n">
        <f aca="false">D2271*F2271</f>
        <v>14.56</v>
      </c>
      <c r="J2271" s="6" t="n">
        <f aca="false">HOUR(E2271)</f>
        <v>19</v>
      </c>
      <c r="K2271" s="6" t="n">
        <f aca="false">IF(COUNTIF($A$2:$A2271,A2271)=1,1,0)</f>
        <v>0</v>
      </c>
    </row>
    <row r="2272" customFormat="false" ht="15" hidden="false" customHeight="false" outlineLevel="0" collapsed="false">
      <c r="A2272" s="0" t="s">
        <v>531</v>
      </c>
      <c r="B2272" s="0" t="s">
        <v>95</v>
      </c>
      <c r="C2272" s="0" t="s">
        <v>96</v>
      </c>
      <c r="D2272" s="0" t="n">
        <v>25</v>
      </c>
      <c r="E2272" s="5" t="n">
        <v>45965.7938888889</v>
      </c>
      <c r="F2272" s="0" t="n">
        <v>2.55</v>
      </c>
      <c r="H2272" s="6" t="s">
        <v>74</v>
      </c>
      <c r="I2272" s="6" t="n">
        <f aca="false">D2272*F2272</f>
        <v>63.75</v>
      </c>
      <c r="J2272" s="6" t="n">
        <f aca="false">HOUR(E2272)</f>
        <v>19</v>
      </c>
      <c r="K2272" s="6" t="n">
        <f aca="false">IF(COUNTIF($A$2:$A2272,A2272)=1,1,0)</f>
        <v>0</v>
      </c>
    </row>
    <row r="2273" customFormat="false" ht="15" hidden="false" customHeight="false" outlineLevel="0" collapsed="false">
      <c r="A2273" s="0" t="s">
        <v>531</v>
      </c>
      <c r="B2273" s="0" t="s">
        <v>140</v>
      </c>
      <c r="C2273" s="0" t="s">
        <v>141</v>
      </c>
      <c r="D2273" s="0" t="n">
        <v>2</v>
      </c>
      <c r="E2273" s="5" t="n">
        <v>45965.7938888889</v>
      </c>
      <c r="F2273" s="0" t="n">
        <v>2.08</v>
      </c>
      <c r="H2273" s="6" t="s">
        <v>74</v>
      </c>
      <c r="I2273" s="6" t="n">
        <f aca="false">D2273*F2273</f>
        <v>4.16</v>
      </c>
      <c r="J2273" s="6" t="n">
        <f aca="false">HOUR(E2273)</f>
        <v>19</v>
      </c>
      <c r="K2273" s="6" t="n">
        <f aca="false">IF(COUNTIF($A$2:$A2273,A2273)=1,1,0)</f>
        <v>0</v>
      </c>
    </row>
    <row r="2274" customFormat="false" ht="15" hidden="false" customHeight="false" outlineLevel="0" collapsed="false">
      <c r="A2274" s="0" t="s">
        <v>532</v>
      </c>
      <c r="B2274" s="0" t="s">
        <v>118</v>
      </c>
      <c r="C2274" s="0" t="s">
        <v>119</v>
      </c>
      <c r="D2274" s="0" t="n">
        <v>15</v>
      </c>
      <c r="E2274" s="5" t="n">
        <v>45965.880162037</v>
      </c>
      <c r="F2274" s="0" t="n">
        <v>4.95</v>
      </c>
      <c r="G2274" s="0" t="n">
        <v>17065</v>
      </c>
      <c r="H2274" s="6" t="s">
        <v>42</v>
      </c>
      <c r="I2274" s="6" t="n">
        <f aca="false">D2274*F2274</f>
        <v>74.25</v>
      </c>
      <c r="J2274" s="6" t="n">
        <f aca="false">HOUR(E2274)</f>
        <v>21</v>
      </c>
      <c r="K2274" s="6" t="n">
        <f aca="false">IF(COUNTIF($A$2:$A2274,A2274)=1,1,0)</f>
        <v>1</v>
      </c>
    </row>
    <row r="2275" customFormat="false" ht="15" hidden="false" customHeight="false" outlineLevel="0" collapsed="false">
      <c r="A2275" s="0" t="s">
        <v>532</v>
      </c>
      <c r="B2275" s="0" t="s">
        <v>69</v>
      </c>
      <c r="C2275" s="0" t="s">
        <v>70</v>
      </c>
      <c r="D2275" s="0" t="n">
        <v>9</v>
      </c>
      <c r="E2275" s="5" t="n">
        <v>45965.880162037</v>
      </c>
      <c r="F2275" s="0" t="n">
        <v>2.08</v>
      </c>
      <c r="G2275" s="0" t="n">
        <v>17065</v>
      </c>
      <c r="H2275" s="6" t="s">
        <v>42</v>
      </c>
      <c r="I2275" s="6" t="n">
        <f aca="false">D2275*F2275</f>
        <v>18.72</v>
      </c>
      <c r="J2275" s="6" t="n">
        <f aca="false">HOUR(E2275)</f>
        <v>21</v>
      </c>
      <c r="K2275" s="6" t="n">
        <f aca="false">IF(COUNTIF($A$2:$A2275,A2275)=1,1,0)</f>
        <v>0</v>
      </c>
    </row>
    <row r="2276" customFormat="false" ht="15" hidden="false" customHeight="false" outlineLevel="0" collapsed="false">
      <c r="A2276" s="0" t="s">
        <v>532</v>
      </c>
      <c r="B2276" s="0" t="s">
        <v>145</v>
      </c>
      <c r="C2276" s="0" t="s">
        <v>146</v>
      </c>
      <c r="D2276" s="0" t="n">
        <v>11</v>
      </c>
      <c r="E2276" s="5" t="n">
        <v>45965.880162037</v>
      </c>
      <c r="F2276" s="0" t="n">
        <v>1.85</v>
      </c>
      <c r="G2276" s="0" t="n">
        <v>17065</v>
      </c>
      <c r="H2276" s="6" t="s">
        <v>42</v>
      </c>
      <c r="I2276" s="6" t="n">
        <f aca="false">D2276*F2276</f>
        <v>20.35</v>
      </c>
      <c r="J2276" s="6" t="n">
        <f aca="false">HOUR(E2276)</f>
        <v>21</v>
      </c>
      <c r="K2276" s="6" t="n">
        <f aca="false">IF(COUNTIF($A$2:$A2276,A2276)=1,1,0)</f>
        <v>0</v>
      </c>
    </row>
    <row r="2277" customFormat="false" ht="15" hidden="false" customHeight="false" outlineLevel="0" collapsed="false">
      <c r="A2277" s="0" t="s">
        <v>532</v>
      </c>
      <c r="B2277" s="0" t="s">
        <v>63</v>
      </c>
      <c r="C2277" s="0" t="s">
        <v>64</v>
      </c>
      <c r="D2277" s="0" t="n">
        <v>20</v>
      </c>
      <c r="E2277" s="5" t="n">
        <v>45965.880162037</v>
      </c>
      <c r="F2277" s="0" t="n">
        <v>1.85</v>
      </c>
      <c r="G2277" s="0" t="n">
        <v>17065</v>
      </c>
      <c r="H2277" s="6" t="s">
        <v>42</v>
      </c>
      <c r="I2277" s="6" t="n">
        <f aca="false">D2277*F2277</f>
        <v>37</v>
      </c>
      <c r="J2277" s="6" t="n">
        <f aca="false">HOUR(E2277)</f>
        <v>21</v>
      </c>
      <c r="K2277" s="6" t="n">
        <f aca="false">IF(COUNTIF($A$2:$A2277,A2277)=1,1,0)</f>
        <v>0</v>
      </c>
    </row>
    <row r="2278" customFormat="false" ht="15" hidden="false" customHeight="false" outlineLevel="0" collapsed="false">
      <c r="A2278" s="0" t="s">
        <v>532</v>
      </c>
      <c r="B2278" s="0" t="s">
        <v>40</v>
      </c>
      <c r="C2278" s="0" t="s">
        <v>41</v>
      </c>
      <c r="D2278" s="0" t="n">
        <v>1</v>
      </c>
      <c r="E2278" s="5" t="n">
        <v>45965.880162037</v>
      </c>
      <c r="F2278" s="0" t="n">
        <v>1.06</v>
      </c>
      <c r="G2278" s="0" t="n">
        <v>17065</v>
      </c>
      <c r="H2278" s="6" t="s">
        <v>42</v>
      </c>
      <c r="I2278" s="6" t="n">
        <f aca="false">D2278*F2278</f>
        <v>1.06</v>
      </c>
      <c r="J2278" s="6" t="n">
        <f aca="false">HOUR(E2278)</f>
        <v>21</v>
      </c>
      <c r="K2278" s="6" t="n">
        <f aca="false">IF(COUNTIF($A$2:$A2278,A2278)=1,1,0)</f>
        <v>0</v>
      </c>
    </row>
    <row r="2279" customFormat="false" ht="15" hidden="false" customHeight="false" outlineLevel="0" collapsed="false">
      <c r="A2279" s="0" t="s">
        <v>532</v>
      </c>
      <c r="B2279" s="0" t="s">
        <v>86</v>
      </c>
      <c r="C2279" s="0" t="s">
        <v>87</v>
      </c>
      <c r="D2279" s="0" t="n">
        <v>14</v>
      </c>
      <c r="E2279" s="5" t="n">
        <v>45965.880162037</v>
      </c>
      <c r="F2279" s="0" t="n">
        <v>4.25</v>
      </c>
      <c r="G2279" s="0" t="n">
        <v>17065</v>
      </c>
      <c r="H2279" s="6" t="s">
        <v>42</v>
      </c>
      <c r="I2279" s="6" t="n">
        <f aca="false">D2279*F2279</f>
        <v>59.5</v>
      </c>
      <c r="J2279" s="6" t="n">
        <f aca="false">HOUR(E2279)</f>
        <v>21</v>
      </c>
      <c r="K2279" s="6" t="n">
        <f aca="false">IF(COUNTIF($A$2:$A2279,A2279)=1,1,0)</f>
        <v>0</v>
      </c>
    </row>
    <row r="2280" customFormat="false" ht="15" hidden="false" customHeight="false" outlineLevel="0" collapsed="false">
      <c r="A2280" s="0" t="s">
        <v>533</v>
      </c>
      <c r="B2280" s="0" t="s">
        <v>140</v>
      </c>
      <c r="C2280" s="0" t="s">
        <v>141</v>
      </c>
      <c r="D2280" s="0" t="n">
        <v>8</v>
      </c>
      <c r="E2280" s="5" t="n">
        <v>45966.2978819445</v>
      </c>
      <c r="F2280" s="0" t="n">
        <v>2.08</v>
      </c>
      <c r="G2280" s="0" t="n">
        <v>17077</v>
      </c>
      <c r="H2280" s="6" t="s">
        <v>263</v>
      </c>
      <c r="I2280" s="6" t="n">
        <f aca="false">D2280*F2280</f>
        <v>16.64</v>
      </c>
      <c r="J2280" s="6" t="n">
        <f aca="false">HOUR(E2280)</f>
        <v>7</v>
      </c>
      <c r="K2280" s="6" t="n">
        <f aca="false">IF(COUNTIF($A$2:$A2280,A2280)=1,1,0)</f>
        <v>1</v>
      </c>
    </row>
    <row r="2281" customFormat="false" ht="15" hidden="false" customHeight="false" outlineLevel="0" collapsed="false">
      <c r="A2281" s="0" t="s">
        <v>533</v>
      </c>
      <c r="B2281" s="0" t="s">
        <v>65</v>
      </c>
      <c r="C2281" s="0" t="s">
        <v>66</v>
      </c>
      <c r="D2281" s="0" t="n">
        <v>21</v>
      </c>
      <c r="E2281" s="5" t="n">
        <v>45966.2978819445</v>
      </c>
      <c r="F2281" s="0" t="n">
        <v>1.65</v>
      </c>
      <c r="G2281" s="0" t="n">
        <v>17077</v>
      </c>
      <c r="H2281" s="6" t="s">
        <v>263</v>
      </c>
      <c r="I2281" s="6" t="n">
        <f aca="false">D2281*F2281</f>
        <v>34.65</v>
      </c>
      <c r="J2281" s="6" t="n">
        <f aca="false">HOUR(E2281)</f>
        <v>7</v>
      </c>
      <c r="K2281" s="6" t="n">
        <f aca="false">IF(COUNTIF($A$2:$A2281,A2281)=1,1,0)</f>
        <v>0</v>
      </c>
    </row>
    <row r="2282" customFormat="false" ht="15" hidden="false" customHeight="false" outlineLevel="0" collapsed="false">
      <c r="A2282" s="0" t="s">
        <v>533</v>
      </c>
      <c r="B2282" s="0" t="s">
        <v>93</v>
      </c>
      <c r="C2282" s="0" t="s">
        <v>94</v>
      </c>
      <c r="D2282" s="0" t="n">
        <v>17</v>
      </c>
      <c r="E2282" s="5" t="n">
        <v>45966.2978819445</v>
      </c>
      <c r="F2282" s="0" t="n">
        <v>1.69</v>
      </c>
      <c r="G2282" s="0" t="n">
        <v>17077</v>
      </c>
      <c r="H2282" s="6" t="s">
        <v>263</v>
      </c>
      <c r="I2282" s="6" t="n">
        <f aca="false">D2282*F2282</f>
        <v>28.73</v>
      </c>
      <c r="J2282" s="6" t="n">
        <f aca="false">HOUR(E2282)</f>
        <v>7</v>
      </c>
      <c r="K2282" s="6" t="n">
        <f aca="false">IF(COUNTIF($A$2:$A2282,A2282)=1,1,0)</f>
        <v>0</v>
      </c>
    </row>
    <row r="2283" customFormat="false" ht="15" hidden="false" customHeight="false" outlineLevel="0" collapsed="false">
      <c r="A2283" s="0" t="s">
        <v>533</v>
      </c>
      <c r="B2283" s="0" t="s">
        <v>134</v>
      </c>
      <c r="D2283" s="0" t="n">
        <v>4</v>
      </c>
      <c r="E2283" s="5" t="n">
        <v>45966.2978819445</v>
      </c>
      <c r="F2283" s="0" t="n">
        <v>5.95</v>
      </c>
      <c r="G2283" s="0" t="n">
        <v>17077</v>
      </c>
      <c r="H2283" s="6" t="s">
        <v>263</v>
      </c>
      <c r="I2283" s="6" t="n">
        <f aca="false">D2283*F2283</f>
        <v>23.8</v>
      </c>
      <c r="J2283" s="6" t="n">
        <f aca="false">HOUR(E2283)</f>
        <v>7</v>
      </c>
      <c r="K2283" s="6" t="n">
        <f aca="false">IF(COUNTIF($A$2:$A2283,A2283)=1,1,0)</f>
        <v>0</v>
      </c>
    </row>
    <row r="2284" customFormat="false" ht="15" hidden="false" customHeight="false" outlineLevel="0" collapsed="false">
      <c r="A2284" s="0" t="s">
        <v>534</v>
      </c>
      <c r="B2284" s="0" t="s">
        <v>121</v>
      </c>
      <c r="C2284" s="0" t="s">
        <v>122</v>
      </c>
      <c r="D2284" s="0" t="n">
        <v>15</v>
      </c>
      <c r="E2284" s="5" t="n">
        <v>45966.4082986111</v>
      </c>
      <c r="F2284" s="0" t="n">
        <v>2.1</v>
      </c>
      <c r="G2284" s="0" t="n">
        <v>17132</v>
      </c>
      <c r="H2284" s="6" t="s">
        <v>42</v>
      </c>
      <c r="I2284" s="6" t="n">
        <f aca="false">D2284*F2284</f>
        <v>31.5</v>
      </c>
      <c r="J2284" s="6" t="n">
        <f aca="false">HOUR(E2284)</f>
        <v>9</v>
      </c>
      <c r="K2284" s="6" t="n">
        <f aca="false">IF(COUNTIF($A$2:$A2284,A2284)=1,1,0)</f>
        <v>1</v>
      </c>
    </row>
    <row r="2285" customFormat="false" ht="15" hidden="false" customHeight="false" outlineLevel="0" collapsed="false">
      <c r="A2285" s="0" t="s">
        <v>534</v>
      </c>
      <c r="B2285" s="0" t="s">
        <v>107</v>
      </c>
      <c r="C2285" s="0" t="s">
        <v>108</v>
      </c>
      <c r="D2285" s="0" t="n">
        <v>5</v>
      </c>
      <c r="E2285" s="5" t="n">
        <v>45966.4082986111</v>
      </c>
      <c r="F2285" s="0" t="n">
        <v>3.75</v>
      </c>
      <c r="G2285" s="0" t="n">
        <v>17132</v>
      </c>
      <c r="H2285" s="6" t="s">
        <v>42</v>
      </c>
      <c r="I2285" s="6" t="n">
        <f aca="false">D2285*F2285</f>
        <v>18.75</v>
      </c>
      <c r="J2285" s="6" t="n">
        <f aca="false">HOUR(E2285)</f>
        <v>9</v>
      </c>
      <c r="K2285" s="6" t="n">
        <f aca="false">IF(COUNTIF($A$2:$A2285,A2285)=1,1,0)</f>
        <v>0</v>
      </c>
    </row>
    <row r="2286" customFormat="false" ht="15" hidden="false" customHeight="false" outlineLevel="0" collapsed="false">
      <c r="A2286" s="0" t="s">
        <v>534</v>
      </c>
      <c r="B2286" s="0" t="s">
        <v>63</v>
      </c>
      <c r="C2286" s="0" t="s">
        <v>64</v>
      </c>
      <c r="D2286" s="0" t="n">
        <v>11</v>
      </c>
      <c r="E2286" s="5" t="n">
        <v>45966.4082986111</v>
      </c>
      <c r="F2286" s="0" t="n">
        <v>1.85</v>
      </c>
      <c r="G2286" s="0" t="n">
        <v>17132</v>
      </c>
      <c r="H2286" s="6" t="s">
        <v>42</v>
      </c>
      <c r="I2286" s="6" t="n">
        <f aca="false">D2286*F2286</f>
        <v>20.35</v>
      </c>
      <c r="J2286" s="6" t="n">
        <f aca="false">HOUR(E2286)</f>
        <v>9</v>
      </c>
      <c r="K2286" s="6" t="n">
        <f aca="false">IF(COUNTIF($A$2:$A2286,A2286)=1,1,0)</f>
        <v>0</v>
      </c>
    </row>
    <row r="2287" customFormat="false" ht="15" hidden="false" customHeight="false" outlineLevel="0" collapsed="false">
      <c r="A2287" s="0" t="s">
        <v>534</v>
      </c>
      <c r="B2287" s="0" t="s">
        <v>131</v>
      </c>
      <c r="C2287" s="0" t="s">
        <v>132</v>
      </c>
      <c r="D2287" s="0" t="n">
        <v>17</v>
      </c>
      <c r="E2287" s="5" t="n">
        <v>45966.4082986111</v>
      </c>
      <c r="F2287" s="0" t="n">
        <v>3.39</v>
      </c>
      <c r="G2287" s="0" t="n">
        <v>17132</v>
      </c>
      <c r="H2287" s="6" t="s">
        <v>42</v>
      </c>
      <c r="I2287" s="6" t="n">
        <f aca="false">D2287*F2287</f>
        <v>57.63</v>
      </c>
      <c r="J2287" s="6" t="n">
        <f aca="false">HOUR(E2287)</f>
        <v>9</v>
      </c>
      <c r="K2287" s="6" t="n">
        <f aca="false">IF(COUNTIF($A$2:$A2287,A2287)=1,1,0)</f>
        <v>0</v>
      </c>
    </row>
    <row r="2288" customFormat="false" ht="15" hidden="false" customHeight="false" outlineLevel="0" collapsed="false">
      <c r="A2288" s="0" t="s">
        <v>534</v>
      </c>
      <c r="B2288" s="0" t="s">
        <v>109</v>
      </c>
      <c r="C2288" s="0" t="s">
        <v>110</v>
      </c>
      <c r="D2288" s="0" t="n">
        <v>22</v>
      </c>
      <c r="E2288" s="5" t="n">
        <v>45966.4082986111</v>
      </c>
      <c r="F2288" s="0" t="n">
        <v>0.85</v>
      </c>
      <c r="G2288" s="0" t="n">
        <v>17132</v>
      </c>
      <c r="H2288" s="6" t="s">
        <v>42</v>
      </c>
      <c r="I2288" s="6" t="n">
        <f aca="false">D2288*F2288</f>
        <v>18.7</v>
      </c>
      <c r="J2288" s="6" t="n">
        <f aca="false">HOUR(E2288)</f>
        <v>9</v>
      </c>
      <c r="K2288" s="6" t="n">
        <f aca="false">IF(COUNTIF($A$2:$A2288,A2288)=1,1,0)</f>
        <v>0</v>
      </c>
    </row>
    <row r="2289" customFormat="false" ht="15" hidden="false" customHeight="false" outlineLevel="0" collapsed="false">
      <c r="A2289" s="0" t="s">
        <v>535</v>
      </c>
      <c r="B2289" s="0" t="s">
        <v>95</v>
      </c>
      <c r="C2289" s="0" t="s">
        <v>96</v>
      </c>
      <c r="D2289" s="0" t="n">
        <v>26</v>
      </c>
      <c r="E2289" s="5" t="n">
        <v>45966.4324652778</v>
      </c>
      <c r="F2289" s="0" t="n">
        <v>2.55</v>
      </c>
      <c r="G2289" s="0" t="n">
        <v>17093</v>
      </c>
      <c r="H2289" s="6" t="s">
        <v>74</v>
      </c>
      <c r="I2289" s="6" t="n">
        <f aca="false">D2289*F2289</f>
        <v>66.3</v>
      </c>
      <c r="J2289" s="6" t="n">
        <f aca="false">HOUR(E2289)</f>
        <v>10</v>
      </c>
      <c r="K2289" s="6" t="n">
        <f aca="false">IF(COUNTIF($A$2:$A2289,A2289)=1,1,0)</f>
        <v>1</v>
      </c>
    </row>
    <row r="2290" customFormat="false" ht="15" hidden="false" customHeight="false" outlineLevel="0" collapsed="false">
      <c r="A2290" s="0" t="s">
        <v>536</v>
      </c>
      <c r="B2290" s="0" t="s">
        <v>125</v>
      </c>
      <c r="C2290" s="0" t="s">
        <v>126</v>
      </c>
      <c r="D2290" s="0" t="n">
        <v>2</v>
      </c>
      <c r="E2290" s="5" t="n">
        <v>45966.5430902778</v>
      </c>
      <c r="F2290" s="0" t="n">
        <v>1.25</v>
      </c>
      <c r="G2290" s="0" t="n">
        <v>17251</v>
      </c>
      <c r="H2290" s="6" t="s">
        <v>52</v>
      </c>
      <c r="I2290" s="6" t="n">
        <f aca="false">D2290*F2290</f>
        <v>2.5</v>
      </c>
      <c r="J2290" s="6" t="n">
        <f aca="false">HOUR(E2290)</f>
        <v>13</v>
      </c>
      <c r="K2290" s="6" t="n">
        <f aca="false">IF(COUNTIF($A$2:$A2290,A2290)=1,1,0)</f>
        <v>1</v>
      </c>
    </row>
    <row r="2291" customFormat="false" ht="15" hidden="false" customHeight="false" outlineLevel="0" collapsed="false">
      <c r="A2291" s="0" t="s">
        <v>536</v>
      </c>
      <c r="B2291" s="0" t="s">
        <v>95</v>
      </c>
      <c r="C2291" s="0" t="s">
        <v>96</v>
      </c>
      <c r="D2291" s="0" t="n">
        <v>34</v>
      </c>
      <c r="E2291" s="5" t="n">
        <v>45966.5430902778</v>
      </c>
      <c r="F2291" s="0" t="n">
        <v>2.55</v>
      </c>
      <c r="G2291" s="0" t="n">
        <v>17251</v>
      </c>
      <c r="H2291" s="6" t="s">
        <v>52</v>
      </c>
      <c r="I2291" s="6" t="n">
        <f aca="false">D2291*F2291</f>
        <v>86.7</v>
      </c>
      <c r="J2291" s="6" t="n">
        <f aca="false">HOUR(E2291)</f>
        <v>13</v>
      </c>
      <c r="K2291" s="6" t="n">
        <f aca="false">IF(COUNTIF($A$2:$A2291,A2291)=1,1,0)</f>
        <v>0</v>
      </c>
    </row>
    <row r="2292" customFormat="false" ht="15" hidden="false" customHeight="false" outlineLevel="0" collapsed="false">
      <c r="A2292" s="0" t="s">
        <v>537</v>
      </c>
      <c r="B2292" s="0" t="s">
        <v>104</v>
      </c>
      <c r="C2292" s="0" t="s">
        <v>105</v>
      </c>
      <c r="D2292" s="0" t="n">
        <v>12</v>
      </c>
      <c r="E2292" s="5" t="n">
        <v>45966.587025463</v>
      </c>
      <c r="F2292" s="0" t="n">
        <v>1.65</v>
      </c>
      <c r="G2292" s="0" t="n">
        <v>17079</v>
      </c>
      <c r="H2292" s="6" t="s">
        <v>74</v>
      </c>
      <c r="I2292" s="6" t="n">
        <f aca="false">D2292*F2292</f>
        <v>19.8</v>
      </c>
      <c r="J2292" s="6" t="n">
        <f aca="false">HOUR(E2292)</f>
        <v>14</v>
      </c>
      <c r="K2292" s="6" t="n">
        <f aca="false">IF(COUNTIF($A$2:$A2292,A2292)=1,1,0)</f>
        <v>1</v>
      </c>
    </row>
    <row r="2293" customFormat="false" ht="15" hidden="false" customHeight="false" outlineLevel="0" collapsed="false">
      <c r="A2293" s="0" t="s">
        <v>537</v>
      </c>
      <c r="B2293" s="0" t="s">
        <v>127</v>
      </c>
      <c r="C2293" s="0" t="s">
        <v>128</v>
      </c>
      <c r="D2293" s="0" t="n">
        <v>6</v>
      </c>
      <c r="E2293" s="5" t="n">
        <v>45966.587025463</v>
      </c>
      <c r="F2293" s="0" t="n">
        <v>1.45</v>
      </c>
      <c r="G2293" s="0" t="n">
        <v>17079</v>
      </c>
      <c r="H2293" s="6" t="s">
        <v>74</v>
      </c>
      <c r="I2293" s="6" t="n">
        <f aca="false">D2293*F2293</f>
        <v>8.7</v>
      </c>
      <c r="J2293" s="6" t="n">
        <f aca="false">HOUR(E2293)</f>
        <v>14</v>
      </c>
      <c r="K2293" s="6" t="n">
        <f aca="false">IF(COUNTIF($A$2:$A2293,A2293)=1,1,0)</f>
        <v>0</v>
      </c>
    </row>
    <row r="2294" customFormat="false" ht="15" hidden="false" customHeight="false" outlineLevel="0" collapsed="false">
      <c r="A2294" s="0" t="s">
        <v>537</v>
      </c>
      <c r="B2294" s="0" t="s">
        <v>57</v>
      </c>
      <c r="D2294" s="0" t="n">
        <v>5</v>
      </c>
      <c r="E2294" s="5" t="n">
        <v>45966.587025463</v>
      </c>
      <c r="F2294" s="0" t="n">
        <v>2.08</v>
      </c>
      <c r="G2294" s="0" t="n">
        <v>17079</v>
      </c>
      <c r="H2294" s="6" t="s">
        <v>74</v>
      </c>
      <c r="I2294" s="6" t="n">
        <f aca="false">D2294*F2294</f>
        <v>10.4</v>
      </c>
      <c r="J2294" s="6" t="n">
        <f aca="false">HOUR(E2294)</f>
        <v>14</v>
      </c>
      <c r="K2294" s="6" t="n">
        <f aca="false">IF(COUNTIF($A$2:$A2294,A2294)=1,1,0)</f>
        <v>0</v>
      </c>
    </row>
    <row r="2295" customFormat="false" ht="15" hidden="false" customHeight="false" outlineLevel="0" collapsed="false">
      <c r="A2295" s="0" t="s">
        <v>537</v>
      </c>
      <c r="B2295" s="0" t="s">
        <v>131</v>
      </c>
      <c r="C2295" s="0" t="s">
        <v>132</v>
      </c>
      <c r="D2295" s="0" t="n">
        <v>24</v>
      </c>
      <c r="E2295" s="5" t="n">
        <v>45966.587025463</v>
      </c>
      <c r="F2295" s="0" t="n">
        <v>3.39</v>
      </c>
      <c r="G2295" s="0" t="n">
        <v>17079</v>
      </c>
      <c r="H2295" s="6" t="s">
        <v>74</v>
      </c>
      <c r="I2295" s="6" t="n">
        <f aca="false">D2295*F2295</f>
        <v>81.36</v>
      </c>
      <c r="J2295" s="6" t="n">
        <f aca="false">HOUR(E2295)</f>
        <v>14</v>
      </c>
      <c r="K2295" s="6" t="n">
        <f aca="false">IF(COUNTIF($A$2:$A2295,A2295)=1,1,0)</f>
        <v>0</v>
      </c>
    </row>
    <row r="2296" customFormat="false" ht="15" hidden="false" customHeight="false" outlineLevel="0" collapsed="false">
      <c r="A2296" s="0" t="s">
        <v>537</v>
      </c>
      <c r="B2296" s="0" t="s">
        <v>53</v>
      </c>
      <c r="C2296" s="0" t="s">
        <v>54</v>
      </c>
      <c r="D2296" s="0" t="n">
        <v>12</v>
      </c>
      <c r="E2296" s="5" t="n">
        <v>45966.587025463</v>
      </c>
      <c r="F2296" s="0" t="n">
        <v>2.95</v>
      </c>
      <c r="G2296" s="0" t="n">
        <v>17079</v>
      </c>
      <c r="H2296" s="6" t="s">
        <v>74</v>
      </c>
      <c r="I2296" s="6" t="n">
        <f aca="false">D2296*F2296</f>
        <v>35.4</v>
      </c>
      <c r="J2296" s="6" t="n">
        <f aca="false">HOUR(E2296)</f>
        <v>14</v>
      </c>
      <c r="K2296" s="6" t="n">
        <f aca="false">IF(COUNTIF($A$2:$A2296,A2296)=1,1,0)</f>
        <v>0</v>
      </c>
    </row>
    <row r="2297" customFormat="false" ht="15" hidden="false" customHeight="false" outlineLevel="0" collapsed="false">
      <c r="A2297" s="0" t="s">
        <v>537</v>
      </c>
      <c r="B2297" s="0" t="s">
        <v>118</v>
      </c>
      <c r="C2297" s="0" t="s">
        <v>119</v>
      </c>
      <c r="D2297" s="0" t="n">
        <v>44</v>
      </c>
      <c r="E2297" s="5" t="n">
        <v>45966.587025463</v>
      </c>
      <c r="F2297" s="0" t="n">
        <v>4.95</v>
      </c>
      <c r="G2297" s="0" t="n">
        <v>17079</v>
      </c>
      <c r="H2297" s="6" t="s">
        <v>74</v>
      </c>
      <c r="I2297" s="6" t="n">
        <f aca="false">D2297*F2297</f>
        <v>217.8</v>
      </c>
      <c r="J2297" s="6" t="n">
        <f aca="false">HOUR(E2297)</f>
        <v>14</v>
      </c>
      <c r="K2297" s="6" t="n">
        <f aca="false">IF(COUNTIF($A$2:$A2297,A2297)=1,1,0)</f>
        <v>0</v>
      </c>
    </row>
    <row r="2298" customFormat="false" ht="15" hidden="false" customHeight="false" outlineLevel="0" collapsed="false">
      <c r="A2298" s="0" t="s">
        <v>537</v>
      </c>
      <c r="B2298" s="0" t="s">
        <v>140</v>
      </c>
      <c r="C2298" s="0" t="s">
        <v>141</v>
      </c>
      <c r="D2298" s="0" t="n">
        <v>14</v>
      </c>
      <c r="E2298" s="5" t="n">
        <v>45966.587025463</v>
      </c>
      <c r="F2298" s="0" t="n">
        <v>2.08</v>
      </c>
      <c r="G2298" s="0" t="n">
        <v>17079</v>
      </c>
      <c r="H2298" s="6" t="s">
        <v>74</v>
      </c>
      <c r="I2298" s="6" t="n">
        <f aca="false">D2298*F2298</f>
        <v>29.12</v>
      </c>
      <c r="J2298" s="6" t="n">
        <f aca="false">HOUR(E2298)</f>
        <v>14</v>
      </c>
      <c r="K2298" s="6" t="n">
        <f aca="false">IF(COUNTIF($A$2:$A2298,A2298)=1,1,0)</f>
        <v>0</v>
      </c>
    </row>
    <row r="2299" customFormat="false" ht="15" hidden="false" customHeight="false" outlineLevel="0" collapsed="false">
      <c r="A2299" s="0" t="s">
        <v>537</v>
      </c>
      <c r="B2299" s="0" t="s">
        <v>75</v>
      </c>
      <c r="C2299" s="0" t="s">
        <v>76</v>
      </c>
      <c r="D2299" s="0" t="n">
        <v>4</v>
      </c>
      <c r="E2299" s="5" t="n">
        <v>45966.587025463</v>
      </c>
      <c r="F2299" s="0" t="n">
        <v>3.39</v>
      </c>
      <c r="G2299" s="0" t="n">
        <v>17079</v>
      </c>
      <c r="H2299" s="6" t="s">
        <v>74</v>
      </c>
      <c r="I2299" s="6" t="n">
        <f aca="false">D2299*F2299</f>
        <v>13.56</v>
      </c>
      <c r="J2299" s="6" t="n">
        <f aca="false">HOUR(E2299)</f>
        <v>14</v>
      </c>
      <c r="K2299" s="6" t="n">
        <f aca="false">IF(COUNTIF($A$2:$A2299,A2299)=1,1,0)</f>
        <v>0</v>
      </c>
    </row>
    <row r="2300" customFormat="false" ht="15" hidden="false" customHeight="false" outlineLevel="0" collapsed="false">
      <c r="A2300" s="0" t="s">
        <v>537</v>
      </c>
      <c r="B2300" s="0" t="s">
        <v>102</v>
      </c>
      <c r="C2300" s="0" t="s">
        <v>103</v>
      </c>
      <c r="D2300" s="0" t="n">
        <v>48</v>
      </c>
      <c r="E2300" s="5" t="n">
        <v>45966.587025463</v>
      </c>
      <c r="F2300" s="0" t="n">
        <v>8.5</v>
      </c>
      <c r="G2300" s="0" t="n">
        <v>17079</v>
      </c>
      <c r="H2300" s="6" t="s">
        <v>74</v>
      </c>
      <c r="I2300" s="6" t="n">
        <f aca="false">D2300*F2300</f>
        <v>408</v>
      </c>
      <c r="J2300" s="6" t="n">
        <f aca="false">HOUR(E2300)</f>
        <v>14</v>
      </c>
      <c r="K2300" s="6" t="n">
        <f aca="false">IF(COUNTIF($A$2:$A2300,A2300)=1,1,0)</f>
        <v>0</v>
      </c>
    </row>
    <row r="2301" customFormat="false" ht="15" hidden="false" customHeight="false" outlineLevel="0" collapsed="false">
      <c r="A2301" s="0" t="s">
        <v>538</v>
      </c>
      <c r="B2301" s="0" t="s">
        <v>55</v>
      </c>
      <c r="C2301" s="0" t="s">
        <v>56</v>
      </c>
      <c r="D2301" s="0" t="n">
        <v>22</v>
      </c>
      <c r="E2301" s="5" t="n">
        <v>45966.5949189815</v>
      </c>
      <c r="F2301" s="0" t="n">
        <v>1.65</v>
      </c>
      <c r="G2301" s="0" t="n">
        <v>17076</v>
      </c>
      <c r="H2301" s="6" t="s">
        <v>98</v>
      </c>
      <c r="I2301" s="6" t="n">
        <f aca="false">D2301*F2301</f>
        <v>36.3</v>
      </c>
      <c r="J2301" s="6" t="n">
        <f aca="false">HOUR(E2301)</f>
        <v>14</v>
      </c>
      <c r="K2301" s="6" t="n">
        <f aca="false">IF(COUNTIF($A$2:$A2301,A2301)=1,1,0)</f>
        <v>1</v>
      </c>
    </row>
    <row r="2302" customFormat="false" ht="15" hidden="false" customHeight="false" outlineLevel="0" collapsed="false">
      <c r="A2302" s="0" t="s">
        <v>538</v>
      </c>
      <c r="B2302" s="0" t="s">
        <v>131</v>
      </c>
      <c r="C2302" s="0" t="s">
        <v>132</v>
      </c>
      <c r="D2302" s="0" t="n">
        <v>2</v>
      </c>
      <c r="E2302" s="5" t="n">
        <v>45966.5949189815</v>
      </c>
      <c r="F2302" s="0" t="n">
        <v>3.39</v>
      </c>
      <c r="G2302" s="0" t="n">
        <v>17076</v>
      </c>
      <c r="H2302" s="6" t="s">
        <v>98</v>
      </c>
      <c r="I2302" s="6" t="n">
        <f aca="false">D2302*F2302</f>
        <v>6.78</v>
      </c>
      <c r="J2302" s="6" t="n">
        <f aca="false">HOUR(E2302)</f>
        <v>14</v>
      </c>
      <c r="K2302" s="6" t="n">
        <f aca="false">IF(COUNTIF($A$2:$A2302,A2302)=1,1,0)</f>
        <v>0</v>
      </c>
    </row>
    <row r="2303" customFormat="false" ht="15" hidden="false" customHeight="false" outlineLevel="0" collapsed="false">
      <c r="A2303" s="0" t="s">
        <v>538</v>
      </c>
      <c r="B2303" s="0" t="s">
        <v>118</v>
      </c>
      <c r="C2303" s="0" t="s">
        <v>119</v>
      </c>
      <c r="D2303" s="0" t="n">
        <v>18</v>
      </c>
      <c r="E2303" s="5" t="n">
        <v>45966.5949189815</v>
      </c>
      <c r="F2303" s="0" t="n">
        <v>4.95</v>
      </c>
      <c r="G2303" s="0" t="n">
        <v>17076</v>
      </c>
      <c r="H2303" s="6" t="s">
        <v>98</v>
      </c>
      <c r="I2303" s="6" t="n">
        <f aca="false">D2303*F2303</f>
        <v>89.1</v>
      </c>
      <c r="J2303" s="6" t="n">
        <f aca="false">HOUR(E2303)</f>
        <v>14</v>
      </c>
      <c r="K2303" s="6" t="n">
        <f aca="false">IF(COUNTIF($A$2:$A2303,A2303)=1,1,0)</f>
        <v>0</v>
      </c>
    </row>
    <row r="2304" customFormat="false" ht="15" hidden="false" customHeight="false" outlineLevel="0" collapsed="false">
      <c r="A2304" s="0" t="s">
        <v>538</v>
      </c>
      <c r="B2304" s="0" t="s">
        <v>140</v>
      </c>
      <c r="C2304" s="0" t="s">
        <v>141</v>
      </c>
      <c r="D2304" s="0" t="n">
        <v>23</v>
      </c>
      <c r="E2304" s="5" t="n">
        <v>45966.5949189815</v>
      </c>
      <c r="F2304" s="0" t="n">
        <v>2.08</v>
      </c>
      <c r="G2304" s="0" t="n">
        <v>17076</v>
      </c>
      <c r="H2304" s="6" t="s">
        <v>98</v>
      </c>
      <c r="I2304" s="6" t="n">
        <f aca="false">D2304*F2304</f>
        <v>47.84</v>
      </c>
      <c r="J2304" s="6" t="n">
        <f aca="false">HOUR(E2304)</f>
        <v>14</v>
      </c>
      <c r="K2304" s="6" t="n">
        <f aca="false">IF(COUNTIF($A$2:$A2304,A2304)=1,1,0)</f>
        <v>0</v>
      </c>
    </row>
    <row r="2305" customFormat="false" ht="15" hidden="false" customHeight="false" outlineLevel="0" collapsed="false">
      <c r="A2305" s="0" t="s">
        <v>538</v>
      </c>
      <c r="B2305" s="0" t="s">
        <v>145</v>
      </c>
      <c r="C2305" s="0" t="s">
        <v>146</v>
      </c>
      <c r="D2305" s="0" t="n">
        <v>18</v>
      </c>
      <c r="E2305" s="5" t="n">
        <v>45966.5949189815</v>
      </c>
      <c r="F2305" s="0" t="n">
        <v>1.85</v>
      </c>
      <c r="G2305" s="0" t="n">
        <v>17076</v>
      </c>
      <c r="H2305" s="6" t="s">
        <v>98</v>
      </c>
      <c r="I2305" s="6" t="n">
        <f aca="false">D2305*F2305</f>
        <v>33.3</v>
      </c>
      <c r="J2305" s="6" t="n">
        <f aca="false">HOUR(E2305)</f>
        <v>14</v>
      </c>
      <c r="K2305" s="6" t="n">
        <f aca="false">IF(COUNTIF($A$2:$A2305,A2305)=1,1,0)</f>
        <v>0</v>
      </c>
    </row>
    <row r="2306" customFormat="false" ht="15" hidden="false" customHeight="false" outlineLevel="0" collapsed="false">
      <c r="A2306" s="0" t="s">
        <v>538</v>
      </c>
      <c r="B2306" s="0" t="s">
        <v>79</v>
      </c>
      <c r="C2306" s="0" t="s">
        <v>80</v>
      </c>
      <c r="D2306" s="0" t="n">
        <v>16</v>
      </c>
      <c r="E2306" s="5" t="n">
        <v>45966.5949189815</v>
      </c>
      <c r="F2306" s="0" t="n">
        <v>3.39</v>
      </c>
      <c r="G2306" s="0" t="n">
        <v>17076</v>
      </c>
      <c r="H2306" s="6" t="s">
        <v>98</v>
      </c>
      <c r="I2306" s="6" t="n">
        <f aca="false">D2306*F2306</f>
        <v>54.24</v>
      </c>
      <c r="J2306" s="6" t="n">
        <f aca="false">HOUR(E2306)</f>
        <v>14</v>
      </c>
      <c r="K2306" s="6" t="n">
        <f aca="false">IF(COUNTIF($A$2:$A2306,A2306)=1,1,0)</f>
        <v>0</v>
      </c>
    </row>
    <row r="2307" customFormat="false" ht="15" hidden="false" customHeight="false" outlineLevel="0" collapsed="false">
      <c r="A2307" s="0" t="s">
        <v>538</v>
      </c>
      <c r="B2307" s="0" t="s">
        <v>109</v>
      </c>
      <c r="C2307" s="0" t="s">
        <v>110</v>
      </c>
      <c r="D2307" s="0" t="n">
        <v>22</v>
      </c>
      <c r="E2307" s="5" t="n">
        <v>45966.5949189815</v>
      </c>
      <c r="F2307" s="0" t="n">
        <v>0.85</v>
      </c>
      <c r="G2307" s="0" t="n">
        <v>17076</v>
      </c>
      <c r="H2307" s="6" t="s">
        <v>98</v>
      </c>
      <c r="I2307" s="6" t="n">
        <f aca="false">D2307*F2307</f>
        <v>18.7</v>
      </c>
      <c r="J2307" s="6" t="n">
        <f aca="false">HOUR(E2307)</f>
        <v>14</v>
      </c>
      <c r="K2307" s="6" t="n">
        <f aca="false">IF(COUNTIF($A$2:$A2307,A2307)=1,1,0)</f>
        <v>0</v>
      </c>
    </row>
    <row r="2308" customFormat="false" ht="15" hidden="false" customHeight="false" outlineLevel="0" collapsed="false">
      <c r="A2308" s="0" t="s">
        <v>538</v>
      </c>
      <c r="B2308" s="0" t="s">
        <v>61</v>
      </c>
      <c r="C2308" s="0" t="s">
        <v>62</v>
      </c>
      <c r="D2308" s="0" t="n">
        <v>10</v>
      </c>
      <c r="E2308" s="5" t="n">
        <v>45966.5949189815</v>
      </c>
      <c r="F2308" s="0" t="n">
        <v>1.65</v>
      </c>
      <c r="G2308" s="0" t="n">
        <v>17076</v>
      </c>
      <c r="H2308" s="6" t="s">
        <v>98</v>
      </c>
      <c r="I2308" s="6" t="n">
        <f aca="false">D2308*F2308</f>
        <v>16.5</v>
      </c>
      <c r="J2308" s="6" t="n">
        <f aca="false">HOUR(E2308)</f>
        <v>14</v>
      </c>
      <c r="K2308" s="6" t="n">
        <f aca="false">IF(COUNTIF($A$2:$A2308,A2308)=1,1,0)</f>
        <v>0</v>
      </c>
    </row>
    <row r="2309" customFormat="false" ht="15" hidden="false" customHeight="false" outlineLevel="0" collapsed="false">
      <c r="A2309" s="0" t="s">
        <v>538</v>
      </c>
      <c r="B2309" s="0" t="s">
        <v>104</v>
      </c>
      <c r="C2309" s="0" t="s">
        <v>105</v>
      </c>
      <c r="D2309" s="0" t="n">
        <v>13</v>
      </c>
      <c r="E2309" s="5" t="n">
        <v>45966.5949189815</v>
      </c>
      <c r="F2309" s="0" t="n">
        <v>1.65</v>
      </c>
      <c r="G2309" s="0" t="n">
        <v>17076</v>
      </c>
      <c r="H2309" s="6" t="s">
        <v>98</v>
      </c>
      <c r="I2309" s="6" t="n">
        <f aca="false">D2309*F2309</f>
        <v>21.45</v>
      </c>
      <c r="J2309" s="6" t="n">
        <f aca="false">HOUR(E2309)</f>
        <v>14</v>
      </c>
      <c r="K2309" s="6" t="n">
        <f aca="false">IF(COUNTIF($A$2:$A2309,A2309)=1,1,0)</f>
        <v>0</v>
      </c>
    </row>
    <row r="2310" customFormat="false" ht="15" hidden="false" customHeight="false" outlineLevel="0" collapsed="false">
      <c r="A2310" s="0" t="s">
        <v>539</v>
      </c>
      <c r="B2310" s="0" t="s">
        <v>99</v>
      </c>
      <c r="C2310" s="0" t="s">
        <v>100</v>
      </c>
      <c r="D2310" s="0" t="n">
        <v>19</v>
      </c>
      <c r="E2310" s="5" t="n">
        <v>45966.6226851852</v>
      </c>
      <c r="F2310" s="0" t="n">
        <v>2.08</v>
      </c>
      <c r="G2310" s="0" t="n">
        <v>17089</v>
      </c>
      <c r="H2310" s="6" t="s">
        <v>113</v>
      </c>
      <c r="I2310" s="6" t="n">
        <f aca="false">D2310*F2310</f>
        <v>39.52</v>
      </c>
      <c r="J2310" s="6" t="n">
        <f aca="false">HOUR(E2310)</f>
        <v>14</v>
      </c>
      <c r="K2310" s="6" t="n">
        <f aca="false">IF(COUNTIF($A$2:$A2310,A2310)=1,1,0)</f>
        <v>1</v>
      </c>
    </row>
    <row r="2311" customFormat="false" ht="15" hidden="false" customHeight="false" outlineLevel="0" collapsed="false">
      <c r="A2311" s="0" t="s">
        <v>539</v>
      </c>
      <c r="B2311" s="0" t="s">
        <v>118</v>
      </c>
      <c r="C2311" s="0" t="s">
        <v>119</v>
      </c>
      <c r="D2311" s="0" t="n">
        <v>45</v>
      </c>
      <c r="E2311" s="5" t="n">
        <v>45966.6226851852</v>
      </c>
      <c r="F2311" s="0" t="n">
        <v>4.95</v>
      </c>
      <c r="G2311" s="0" t="n">
        <v>17089</v>
      </c>
      <c r="H2311" s="6" t="s">
        <v>113</v>
      </c>
      <c r="I2311" s="6" t="n">
        <f aca="false">D2311*F2311</f>
        <v>222.75</v>
      </c>
      <c r="J2311" s="6" t="n">
        <f aca="false">HOUR(E2311)</f>
        <v>14</v>
      </c>
      <c r="K2311" s="6" t="n">
        <f aca="false">IF(COUNTIF($A$2:$A2311,A2311)=1,1,0)</f>
        <v>0</v>
      </c>
    </row>
    <row r="2312" customFormat="false" ht="15" hidden="false" customHeight="false" outlineLevel="0" collapsed="false">
      <c r="A2312" s="0" t="s">
        <v>539</v>
      </c>
      <c r="B2312" s="0" t="s">
        <v>47</v>
      </c>
      <c r="C2312" s="0" t="s">
        <v>48</v>
      </c>
      <c r="D2312" s="0" t="n">
        <v>25</v>
      </c>
      <c r="E2312" s="5" t="n">
        <v>45966.6226851852</v>
      </c>
      <c r="F2312" s="0" t="n">
        <v>12.75</v>
      </c>
      <c r="G2312" s="0" t="n">
        <v>17089</v>
      </c>
      <c r="H2312" s="6" t="s">
        <v>113</v>
      </c>
      <c r="I2312" s="6" t="n">
        <f aca="false">D2312*F2312</f>
        <v>318.75</v>
      </c>
      <c r="J2312" s="6" t="n">
        <f aca="false">HOUR(E2312)</f>
        <v>14</v>
      </c>
      <c r="K2312" s="6" t="n">
        <f aca="false">IF(COUNTIF($A$2:$A2312,A2312)=1,1,0)</f>
        <v>0</v>
      </c>
    </row>
    <row r="2313" customFormat="false" ht="15" hidden="false" customHeight="false" outlineLevel="0" collapsed="false">
      <c r="A2313" s="0" t="s">
        <v>539</v>
      </c>
      <c r="B2313" s="0" t="s">
        <v>102</v>
      </c>
      <c r="C2313" s="0" t="s">
        <v>103</v>
      </c>
      <c r="D2313" s="0" t="n">
        <v>42</v>
      </c>
      <c r="E2313" s="5" t="n">
        <v>45966.6226851852</v>
      </c>
      <c r="F2313" s="0" t="n">
        <v>8.5</v>
      </c>
      <c r="G2313" s="0" t="n">
        <v>17089</v>
      </c>
      <c r="H2313" s="6" t="s">
        <v>113</v>
      </c>
      <c r="I2313" s="6" t="n">
        <f aca="false">D2313*F2313</f>
        <v>357</v>
      </c>
      <c r="J2313" s="6" t="n">
        <f aca="false">HOUR(E2313)</f>
        <v>14</v>
      </c>
      <c r="K2313" s="6" t="n">
        <f aca="false">IF(COUNTIF($A$2:$A2313,A2313)=1,1,0)</f>
        <v>0</v>
      </c>
    </row>
    <row r="2314" customFormat="false" ht="15" hidden="false" customHeight="false" outlineLevel="0" collapsed="false">
      <c r="A2314" s="0" t="s">
        <v>539</v>
      </c>
      <c r="B2314" s="0" t="s">
        <v>43</v>
      </c>
      <c r="C2314" s="0" t="s">
        <v>44</v>
      </c>
      <c r="D2314" s="0" t="n">
        <v>12</v>
      </c>
      <c r="E2314" s="5" t="n">
        <v>45966.6226851852</v>
      </c>
      <c r="F2314" s="0" t="n">
        <v>4.25</v>
      </c>
      <c r="G2314" s="0" t="n">
        <v>17089</v>
      </c>
      <c r="H2314" s="6" t="s">
        <v>113</v>
      </c>
      <c r="I2314" s="6" t="n">
        <f aca="false">D2314*F2314</f>
        <v>51</v>
      </c>
      <c r="J2314" s="6" t="n">
        <f aca="false">HOUR(E2314)</f>
        <v>14</v>
      </c>
      <c r="K2314" s="6" t="n">
        <f aca="false">IF(COUNTIF($A$2:$A2314,A2314)=1,1,0)</f>
        <v>0</v>
      </c>
    </row>
    <row r="2315" customFormat="false" ht="15" hidden="false" customHeight="false" outlineLevel="0" collapsed="false">
      <c r="A2315" s="0" t="s">
        <v>540</v>
      </c>
      <c r="B2315" s="0" t="s">
        <v>114</v>
      </c>
      <c r="C2315" s="0" t="s">
        <v>115</v>
      </c>
      <c r="D2315" s="0" t="n">
        <v>13</v>
      </c>
      <c r="E2315" s="5" t="n">
        <v>45966.6744907407</v>
      </c>
      <c r="F2315" s="0" t="n">
        <v>2.08</v>
      </c>
      <c r="G2315" s="0" t="n">
        <v>17054</v>
      </c>
      <c r="H2315" s="6" t="s">
        <v>42</v>
      </c>
      <c r="I2315" s="6" t="n">
        <f aca="false">D2315*F2315</f>
        <v>27.04</v>
      </c>
      <c r="J2315" s="6" t="n">
        <f aca="false">HOUR(E2315)</f>
        <v>16</v>
      </c>
      <c r="K2315" s="6" t="n">
        <f aca="false">IF(COUNTIF($A$2:$A2315,A2315)=1,1,0)</f>
        <v>1</v>
      </c>
    </row>
    <row r="2316" customFormat="false" ht="15" hidden="false" customHeight="false" outlineLevel="0" collapsed="false">
      <c r="A2316" s="0" t="s">
        <v>540</v>
      </c>
      <c r="B2316" s="0" t="s">
        <v>45</v>
      </c>
      <c r="C2316" s="0" t="s">
        <v>46</v>
      </c>
      <c r="D2316" s="0" t="n">
        <v>14</v>
      </c>
      <c r="E2316" s="5" t="n">
        <v>45966.6744907407</v>
      </c>
      <c r="F2316" s="0" t="n">
        <v>2.1</v>
      </c>
      <c r="G2316" s="0" t="n">
        <v>17054</v>
      </c>
      <c r="H2316" s="6" t="s">
        <v>42</v>
      </c>
      <c r="I2316" s="6" t="n">
        <f aca="false">D2316*F2316</f>
        <v>29.4</v>
      </c>
      <c r="J2316" s="6" t="n">
        <f aca="false">HOUR(E2316)</f>
        <v>16</v>
      </c>
      <c r="K2316" s="6" t="n">
        <f aca="false">IF(COUNTIF($A$2:$A2316,A2316)=1,1,0)</f>
        <v>0</v>
      </c>
    </row>
    <row r="2317" customFormat="false" ht="15" hidden="false" customHeight="false" outlineLevel="0" collapsed="false">
      <c r="A2317" s="0" t="s">
        <v>540</v>
      </c>
      <c r="B2317" s="0" t="s">
        <v>81</v>
      </c>
      <c r="C2317" s="0" t="s">
        <v>82</v>
      </c>
      <c r="D2317" s="0" t="n">
        <v>8</v>
      </c>
      <c r="E2317" s="5" t="n">
        <v>45966.6744907407</v>
      </c>
      <c r="F2317" s="0" t="n">
        <v>1.65</v>
      </c>
      <c r="G2317" s="0" t="n">
        <v>17054</v>
      </c>
      <c r="H2317" s="6" t="s">
        <v>42</v>
      </c>
      <c r="I2317" s="6" t="n">
        <f aca="false">D2317*F2317</f>
        <v>13.2</v>
      </c>
      <c r="J2317" s="6" t="n">
        <f aca="false">HOUR(E2317)</f>
        <v>16</v>
      </c>
      <c r="K2317" s="6" t="n">
        <f aca="false">IF(COUNTIF($A$2:$A2317,A2317)=1,1,0)</f>
        <v>0</v>
      </c>
    </row>
    <row r="2318" customFormat="false" ht="15" hidden="false" customHeight="false" outlineLevel="0" collapsed="false">
      <c r="A2318" s="0" t="s">
        <v>540</v>
      </c>
      <c r="B2318" s="0" t="s">
        <v>55</v>
      </c>
      <c r="C2318" s="0" t="s">
        <v>56</v>
      </c>
      <c r="D2318" s="0" t="n">
        <v>19</v>
      </c>
      <c r="E2318" s="5" t="n">
        <v>45966.6744907407</v>
      </c>
      <c r="F2318" s="0" t="n">
        <v>1.65</v>
      </c>
      <c r="G2318" s="0" t="n">
        <v>17054</v>
      </c>
      <c r="H2318" s="6" t="s">
        <v>42</v>
      </c>
      <c r="I2318" s="6" t="n">
        <f aca="false">D2318*F2318</f>
        <v>31.35</v>
      </c>
      <c r="J2318" s="6" t="n">
        <f aca="false">HOUR(E2318)</f>
        <v>16</v>
      </c>
      <c r="K2318" s="6" t="n">
        <f aca="false">IF(COUNTIF($A$2:$A2318,A2318)=1,1,0)</f>
        <v>0</v>
      </c>
    </row>
    <row r="2319" customFormat="false" ht="15" hidden="false" customHeight="false" outlineLevel="0" collapsed="false">
      <c r="A2319" s="0" t="s">
        <v>540</v>
      </c>
      <c r="B2319" s="0" t="s">
        <v>140</v>
      </c>
      <c r="C2319" s="0" t="s">
        <v>141</v>
      </c>
      <c r="D2319" s="0" t="n">
        <v>6</v>
      </c>
      <c r="E2319" s="5" t="n">
        <v>45966.6744907407</v>
      </c>
      <c r="F2319" s="0" t="n">
        <v>2.08</v>
      </c>
      <c r="G2319" s="0" t="n">
        <v>17054</v>
      </c>
      <c r="H2319" s="6" t="s">
        <v>42</v>
      </c>
      <c r="I2319" s="6" t="n">
        <f aca="false">D2319*F2319</f>
        <v>12.48</v>
      </c>
      <c r="J2319" s="6" t="n">
        <f aca="false">HOUR(E2319)</f>
        <v>16</v>
      </c>
      <c r="K2319" s="6" t="n">
        <f aca="false">IF(COUNTIF($A$2:$A2319,A2319)=1,1,0)</f>
        <v>0</v>
      </c>
    </row>
    <row r="2320" customFormat="false" ht="15" hidden="false" customHeight="false" outlineLevel="0" collapsed="false">
      <c r="A2320" s="0" t="s">
        <v>540</v>
      </c>
      <c r="B2320" s="0" t="s">
        <v>134</v>
      </c>
      <c r="C2320" s="0" t="s">
        <v>135</v>
      </c>
      <c r="D2320" s="0" t="n">
        <v>16</v>
      </c>
      <c r="E2320" s="5" t="n">
        <v>45966.6744907407</v>
      </c>
      <c r="F2320" s="0" t="n">
        <v>5.95</v>
      </c>
      <c r="G2320" s="0" t="n">
        <v>17054</v>
      </c>
      <c r="H2320" s="6" t="s">
        <v>42</v>
      </c>
      <c r="I2320" s="6" t="n">
        <f aca="false">D2320*F2320</f>
        <v>95.2</v>
      </c>
      <c r="J2320" s="6" t="n">
        <f aca="false">HOUR(E2320)</f>
        <v>16</v>
      </c>
      <c r="K2320" s="6" t="n">
        <f aca="false">IF(COUNTIF($A$2:$A2320,A2320)=1,1,0)</f>
        <v>0</v>
      </c>
    </row>
    <row r="2321" customFormat="false" ht="15" hidden="false" customHeight="false" outlineLevel="0" collapsed="false">
      <c r="A2321" s="0" t="s">
        <v>540</v>
      </c>
      <c r="B2321" s="0" t="s">
        <v>59</v>
      </c>
      <c r="C2321" s="0" t="s">
        <v>60</v>
      </c>
      <c r="D2321" s="0" t="n">
        <v>6</v>
      </c>
      <c r="E2321" s="5" t="n">
        <v>45966.6744907407</v>
      </c>
      <c r="F2321" s="0" t="n">
        <v>0.42</v>
      </c>
      <c r="G2321" s="0" t="n">
        <v>17054</v>
      </c>
      <c r="H2321" s="6" t="s">
        <v>42</v>
      </c>
      <c r="I2321" s="6" t="n">
        <f aca="false">D2321*F2321</f>
        <v>2.52</v>
      </c>
      <c r="J2321" s="6" t="n">
        <f aca="false">HOUR(E2321)</f>
        <v>16</v>
      </c>
      <c r="K2321" s="6" t="n">
        <f aca="false">IF(COUNTIF($A$2:$A2321,A2321)=1,1,0)</f>
        <v>0</v>
      </c>
    </row>
    <row r="2322" customFormat="false" ht="15" hidden="false" customHeight="false" outlineLevel="0" collapsed="false">
      <c r="A2322" s="0" t="s">
        <v>541</v>
      </c>
      <c r="B2322" s="0" t="s">
        <v>102</v>
      </c>
      <c r="C2322" s="0" t="s">
        <v>103</v>
      </c>
      <c r="D2322" s="0" t="n">
        <v>17</v>
      </c>
      <c r="E2322" s="5" t="n">
        <v>45966.7325462963</v>
      </c>
      <c r="F2322" s="0" t="n">
        <v>8.5</v>
      </c>
      <c r="H2322" s="6" t="s">
        <v>74</v>
      </c>
      <c r="I2322" s="6" t="n">
        <f aca="false">D2322*F2322</f>
        <v>144.5</v>
      </c>
      <c r="J2322" s="6" t="n">
        <f aca="false">HOUR(E2322)</f>
        <v>17</v>
      </c>
      <c r="K2322" s="6" t="n">
        <f aca="false">IF(COUNTIF($A$2:$A2322,A2322)=1,1,0)</f>
        <v>1</v>
      </c>
    </row>
    <row r="2323" customFormat="false" ht="15" hidden="false" customHeight="false" outlineLevel="0" collapsed="false">
      <c r="A2323" s="0" t="s">
        <v>541</v>
      </c>
      <c r="B2323" s="0" t="s">
        <v>45</v>
      </c>
      <c r="C2323" s="0" t="s">
        <v>46</v>
      </c>
      <c r="D2323" s="0" t="n">
        <v>7</v>
      </c>
      <c r="E2323" s="5" t="n">
        <v>45966.7325462963</v>
      </c>
      <c r="F2323" s="0" t="n">
        <v>2.1</v>
      </c>
      <c r="H2323" s="6" t="s">
        <v>74</v>
      </c>
      <c r="I2323" s="6" t="n">
        <f aca="false">D2323*F2323</f>
        <v>14.7</v>
      </c>
      <c r="J2323" s="6" t="n">
        <f aca="false">HOUR(E2323)</f>
        <v>17</v>
      </c>
      <c r="K2323" s="6" t="n">
        <f aca="false">IF(COUNTIF($A$2:$A2323,A2323)=1,1,0)</f>
        <v>0</v>
      </c>
    </row>
    <row r="2324" customFormat="false" ht="15" hidden="false" customHeight="false" outlineLevel="0" collapsed="false">
      <c r="A2324" s="0" t="s">
        <v>541</v>
      </c>
      <c r="B2324" s="0" t="s">
        <v>109</v>
      </c>
      <c r="C2324" s="0" t="s">
        <v>110</v>
      </c>
      <c r="D2324" s="0" t="n">
        <v>13</v>
      </c>
      <c r="E2324" s="5" t="n">
        <v>45966.7325462963</v>
      </c>
      <c r="F2324" s="0" t="n">
        <v>0.85</v>
      </c>
      <c r="H2324" s="6" t="s">
        <v>74</v>
      </c>
      <c r="I2324" s="6" t="n">
        <f aca="false">D2324*F2324</f>
        <v>11.05</v>
      </c>
      <c r="J2324" s="6" t="n">
        <f aca="false">HOUR(E2324)</f>
        <v>17</v>
      </c>
      <c r="K2324" s="6" t="n">
        <f aca="false">IF(COUNTIF($A$2:$A2324,A2324)=1,1,0)</f>
        <v>0</v>
      </c>
    </row>
    <row r="2325" customFormat="false" ht="15" hidden="false" customHeight="false" outlineLevel="0" collapsed="false">
      <c r="A2325" s="0" t="s">
        <v>541</v>
      </c>
      <c r="B2325" s="0" t="s">
        <v>131</v>
      </c>
      <c r="C2325" s="0" t="s">
        <v>132</v>
      </c>
      <c r="D2325" s="0" t="n">
        <v>4</v>
      </c>
      <c r="E2325" s="5" t="n">
        <v>45966.7325462963</v>
      </c>
      <c r="F2325" s="0" t="n">
        <v>3.39</v>
      </c>
      <c r="H2325" s="6" t="s">
        <v>74</v>
      </c>
      <c r="I2325" s="6" t="n">
        <f aca="false">D2325*F2325</f>
        <v>13.56</v>
      </c>
      <c r="J2325" s="6" t="n">
        <f aca="false">HOUR(E2325)</f>
        <v>17</v>
      </c>
      <c r="K2325" s="6" t="n">
        <f aca="false">IF(COUNTIF($A$2:$A2325,A2325)=1,1,0)</f>
        <v>0</v>
      </c>
    </row>
    <row r="2326" customFormat="false" ht="15" hidden="false" customHeight="false" outlineLevel="0" collapsed="false">
      <c r="A2326" s="0" t="s">
        <v>541</v>
      </c>
      <c r="B2326" s="0" t="s">
        <v>114</v>
      </c>
      <c r="C2326" s="0" t="s">
        <v>115</v>
      </c>
      <c r="D2326" s="0" t="n">
        <v>18</v>
      </c>
      <c r="E2326" s="5" t="n">
        <v>45966.7325462963</v>
      </c>
      <c r="F2326" s="0" t="n">
        <v>2.08</v>
      </c>
      <c r="H2326" s="6" t="s">
        <v>74</v>
      </c>
      <c r="I2326" s="6" t="n">
        <f aca="false">D2326*F2326</f>
        <v>37.44</v>
      </c>
      <c r="J2326" s="6" t="n">
        <f aca="false">HOUR(E2326)</f>
        <v>17</v>
      </c>
      <c r="K2326" s="6" t="n">
        <f aca="false">IF(COUNTIF($A$2:$A2326,A2326)=1,1,0)</f>
        <v>0</v>
      </c>
    </row>
    <row r="2327" customFormat="false" ht="15" hidden="false" customHeight="false" outlineLevel="0" collapsed="false">
      <c r="A2327" s="0" t="s">
        <v>542</v>
      </c>
      <c r="B2327" s="0" t="s">
        <v>95</v>
      </c>
      <c r="C2327" s="0" t="s">
        <v>96</v>
      </c>
      <c r="D2327" s="0" t="n">
        <v>37</v>
      </c>
      <c r="E2327" s="5" t="n">
        <v>45966.7897685185</v>
      </c>
      <c r="F2327" s="0" t="n">
        <v>2.55</v>
      </c>
      <c r="G2327" s="0" t="n">
        <v>17128</v>
      </c>
      <c r="H2327" s="6" t="s">
        <v>74</v>
      </c>
      <c r="I2327" s="6" t="n">
        <f aca="false">D2327*F2327</f>
        <v>94.35</v>
      </c>
      <c r="J2327" s="6" t="n">
        <f aca="false">HOUR(E2327)</f>
        <v>18</v>
      </c>
      <c r="K2327" s="6" t="n">
        <f aca="false">IF(COUNTIF($A$2:$A2327,A2327)=1,1,0)</f>
        <v>1</v>
      </c>
    </row>
    <row r="2328" customFormat="false" ht="15" hidden="false" customHeight="false" outlineLevel="0" collapsed="false">
      <c r="A2328" s="0" t="s">
        <v>542</v>
      </c>
      <c r="B2328" s="0" t="s">
        <v>109</v>
      </c>
      <c r="C2328" s="0" t="s">
        <v>110</v>
      </c>
      <c r="D2328" s="0" t="n">
        <v>17</v>
      </c>
      <c r="E2328" s="5" t="n">
        <v>45966.7897685185</v>
      </c>
      <c r="F2328" s="0" t="n">
        <v>0.85</v>
      </c>
      <c r="G2328" s="0" t="n">
        <v>17128</v>
      </c>
      <c r="H2328" s="6" t="s">
        <v>74</v>
      </c>
      <c r="I2328" s="6" t="n">
        <f aca="false">D2328*F2328</f>
        <v>14.45</v>
      </c>
      <c r="J2328" s="6" t="n">
        <f aca="false">HOUR(E2328)</f>
        <v>18</v>
      </c>
      <c r="K2328" s="6" t="n">
        <f aca="false">IF(COUNTIF($A$2:$A2328,A2328)=1,1,0)</f>
        <v>0</v>
      </c>
    </row>
    <row r="2329" customFormat="false" ht="15" hidden="false" customHeight="false" outlineLevel="0" collapsed="false">
      <c r="A2329" s="0" t="s">
        <v>542</v>
      </c>
      <c r="B2329" s="0" t="s">
        <v>104</v>
      </c>
      <c r="C2329" s="0" t="s">
        <v>105</v>
      </c>
      <c r="D2329" s="0" t="n">
        <v>22</v>
      </c>
      <c r="E2329" s="5" t="n">
        <v>45966.7897685185</v>
      </c>
      <c r="F2329" s="0" t="n">
        <v>1.65</v>
      </c>
      <c r="G2329" s="0" t="n">
        <v>17128</v>
      </c>
      <c r="H2329" s="6" t="s">
        <v>74</v>
      </c>
      <c r="I2329" s="6" t="n">
        <f aca="false">D2329*F2329</f>
        <v>36.3</v>
      </c>
      <c r="J2329" s="6" t="n">
        <f aca="false">HOUR(E2329)</f>
        <v>18</v>
      </c>
      <c r="K2329" s="6" t="n">
        <f aca="false">IF(COUNTIF($A$2:$A2329,A2329)=1,1,0)</f>
        <v>0</v>
      </c>
    </row>
    <row r="2330" customFormat="false" ht="15" hidden="false" customHeight="false" outlineLevel="0" collapsed="false">
      <c r="A2330" s="0" t="s">
        <v>542</v>
      </c>
      <c r="B2330" s="0" t="s">
        <v>91</v>
      </c>
      <c r="C2330" s="0" t="s">
        <v>92</v>
      </c>
      <c r="D2330" s="0" t="n">
        <v>14</v>
      </c>
      <c r="E2330" s="5" t="n">
        <v>45966.7897685185</v>
      </c>
      <c r="F2330" s="0" t="n">
        <v>7.65</v>
      </c>
      <c r="G2330" s="0" t="n">
        <v>17128</v>
      </c>
      <c r="H2330" s="6" t="s">
        <v>74</v>
      </c>
      <c r="I2330" s="6" t="n">
        <f aca="false">D2330*F2330</f>
        <v>107.1</v>
      </c>
      <c r="J2330" s="6" t="n">
        <f aca="false">HOUR(E2330)</f>
        <v>18</v>
      </c>
      <c r="K2330" s="6" t="n">
        <f aca="false">IF(COUNTIF($A$2:$A2330,A2330)=1,1,0)</f>
        <v>0</v>
      </c>
    </row>
    <row r="2331" customFormat="false" ht="15" hidden="false" customHeight="false" outlineLevel="0" collapsed="false">
      <c r="A2331" s="0" t="s">
        <v>542</v>
      </c>
      <c r="B2331" s="0" t="s">
        <v>125</v>
      </c>
      <c r="C2331" s="0" t="s">
        <v>126</v>
      </c>
      <c r="D2331" s="0" t="n">
        <v>20</v>
      </c>
      <c r="E2331" s="5" t="n">
        <v>45966.7897685185</v>
      </c>
      <c r="F2331" s="0" t="n">
        <v>1.25</v>
      </c>
      <c r="G2331" s="0" t="n">
        <v>17128</v>
      </c>
      <c r="H2331" s="6" t="s">
        <v>74</v>
      </c>
      <c r="I2331" s="6" t="n">
        <f aca="false">D2331*F2331</f>
        <v>25</v>
      </c>
      <c r="J2331" s="6" t="n">
        <f aca="false">HOUR(E2331)</f>
        <v>18</v>
      </c>
      <c r="K2331" s="6" t="n">
        <f aca="false">IF(COUNTIF($A$2:$A2331,A2331)=1,1,0)</f>
        <v>0</v>
      </c>
    </row>
    <row r="2332" customFormat="false" ht="15" hidden="false" customHeight="false" outlineLevel="0" collapsed="false">
      <c r="A2332" s="0" t="s">
        <v>542</v>
      </c>
      <c r="B2332" s="0" t="s">
        <v>86</v>
      </c>
      <c r="C2332" s="0" t="s">
        <v>87</v>
      </c>
      <c r="D2332" s="0" t="n">
        <v>19</v>
      </c>
      <c r="E2332" s="5" t="n">
        <v>45966.7897685185</v>
      </c>
      <c r="F2332" s="0" t="n">
        <v>4.25</v>
      </c>
      <c r="G2332" s="0" t="n">
        <v>17128</v>
      </c>
      <c r="H2332" s="6" t="s">
        <v>74</v>
      </c>
      <c r="I2332" s="6" t="n">
        <f aca="false">D2332*F2332</f>
        <v>80.75</v>
      </c>
      <c r="J2332" s="6" t="n">
        <f aca="false">HOUR(E2332)</f>
        <v>18</v>
      </c>
      <c r="K2332" s="6" t="n">
        <f aca="false">IF(COUNTIF($A$2:$A2332,A2332)=1,1,0)</f>
        <v>0</v>
      </c>
    </row>
    <row r="2333" customFormat="false" ht="15" hidden="false" customHeight="false" outlineLevel="0" collapsed="false">
      <c r="A2333" s="0" t="s">
        <v>543</v>
      </c>
      <c r="B2333" s="0" t="s">
        <v>102</v>
      </c>
      <c r="D2333" s="0" t="n">
        <v>27</v>
      </c>
      <c r="E2333" s="5" t="n">
        <v>45966.800625</v>
      </c>
      <c r="F2333" s="0" t="n">
        <v>8.5</v>
      </c>
      <c r="G2333" s="0" t="n">
        <v>17129</v>
      </c>
      <c r="H2333" s="6" t="s">
        <v>188</v>
      </c>
      <c r="I2333" s="6" t="n">
        <f aca="false">D2333*F2333</f>
        <v>229.5</v>
      </c>
      <c r="J2333" s="6" t="n">
        <f aca="false">HOUR(E2333)</f>
        <v>19</v>
      </c>
      <c r="K2333" s="6" t="n">
        <f aca="false">IF(COUNTIF($A$2:$A2333,A2333)=1,1,0)</f>
        <v>1</v>
      </c>
    </row>
    <row r="2334" customFormat="false" ht="15" hidden="false" customHeight="false" outlineLevel="0" collapsed="false">
      <c r="A2334" s="0" t="s">
        <v>543</v>
      </c>
      <c r="B2334" s="0" t="s">
        <v>140</v>
      </c>
      <c r="C2334" s="0" t="s">
        <v>141</v>
      </c>
      <c r="D2334" s="0" t="n">
        <v>11</v>
      </c>
      <c r="E2334" s="5" t="n">
        <v>45966.800625</v>
      </c>
      <c r="F2334" s="0" t="n">
        <v>2.08</v>
      </c>
      <c r="G2334" s="0" t="n">
        <v>17129</v>
      </c>
      <c r="H2334" s="6" t="s">
        <v>188</v>
      </c>
      <c r="I2334" s="6" t="n">
        <f aca="false">D2334*F2334</f>
        <v>22.88</v>
      </c>
      <c r="J2334" s="6" t="n">
        <f aca="false">HOUR(E2334)</f>
        <v>19</v>
      </c>
      <c r="K2334" s="6" t="n">
        <f aca="false">IF(COUNTIF($A$2:$A2334,A2334)=1,1,0)</f>
        <v>0</v>
      </c>
    </row>
    <row r="2335" customFormat="false" ht="15" hidden="false" customHeight="false" outlineLevel="0" collapsed="false">
      <c r="A2335" s="0" t="s">
        <v>543</v>
      </c>
      <c r="B2335" s="0" t="s">
        <v>43</v>
      </c>
      <c r="C2335" s="0" t="s">
        <v>44</v>
      </c>
      <c r="D2335" s="0" t="n">
        <v>19</v>
      </c>
      <c r="E2335" s="5" t="n">
        <v>45966.800625</v>
      </c>
      <c r="F2335" s="0" t="n">
        <v>4.25</v>
      </c>
      <c r="G2335" s="0" t="n">
        <v>17129</v>
      </c>
      <c r="H2335" s="6" t="s">
        <v>188</v>
      </c>
      <c r="I2335" s="6" t="n">
        <f aca="false">D2335*F2335</f>
        <v>80.75</v>
      </c>
      <c r="J2335" s="6" t="n">
        <f aca="false">HOUR(E2335)</f>
        <v>19</v>
      </c>
      <c r="K2335" s="6" t="n">
        <f aca="false">IF(COUNTIF($A$2:$A2335,A2335)=1,1,0)</f>
        <v>0</v>
      </c>
    </row>
    <row r="2336" customFormat="false" ht="15" hidden="false" customHeight="false" outlineLevel="0" collapsed="false">
      <c r="A2336" s="0" t="s">
        <v>543</v>
      </c>
      <c r="B2336" s="0" t="s">
        <v>131</v>
      </c>
      <c r="C2336" s="0" t="s">
        <v>132</v>
      </c>
      <c r="D2336" s="0" t="n">
        <v>14</v>
      </c>
      <c r="E2336" s="5" t="n">
        <v>45966.800625</v>
      </c>
      <c r="F2336" s="0" t="n">
        <v>3.39</v>
      </c>
      <c r="G2336" s="0" t="n">
        <v>17129</v>
      </c>
      <c r="H2336" s="6" t="s">
        <v>188</v>
      </c>
      <c r="I2336" s="6" t="n">
        <f aca="false">D2336*F2336</f>
        <v>47.46</v>
      </c>
      <c r="J2336" s="6" t="n">
        <f aca="false">HOUR(E2336)</f>
        <v>19</v>
      </c>
      <c r="K2336" s="6" t="n">
        <f aca="false">IF(COUNTIF($A$2:$A2336,A2336)=1,1,0)</f>
        <v>0</v>
      </c>
    </row>
    <row r="2337" customFormat="false" ht="15" hidden="false" customHeight="false" outlineLevel="0" collapsed="false">
      <c r="A2337" s="0" t="s">
        <v>543</v>
      </c>
      <c r="B2337" s="0" t="s">
        <v>127</v>
      </c>
      <c r="C2337" s="0" t="s">
        <v>128</v>
      </c>
      <c r="D2337" s="0" t="n">
        <v>8</v>
      </c>
      <c r="E2337" s="5" t="n">
        <v>45966.800625</v>
      </c>
      <c r="F2337" s="0" t="n">
        <v>1.45</v>
      </c>
      <c r="G2337" s="0" t="n">
        <v>17129</v>
      </c>
      <c r="H2337" s="6" t="s">
        <v>188</v>
      </c>
      <c r="I2337" s="6" t="n">
        <f aca="false">D2337*F2337</f>
        <v>11.6</v>
      </c>
      <c r="J2337" s="6" t="n">
        <f aca="false">HOUR(E2337)</f>
        <v>19</v>
      </c>
      <c r="K2337" s="6" t="n">
        <f aca="false">IF(COUNTIF($A$2:$A2337,A2337)=1,1,0)</f>
        <v>0</v>
      </c>
    </row>
    <row r="2338" customFormat="false" ht="15" hidden="false" customHeight="false" outlineLevel="0" collapsed="false">
      <c r="A2338" s="0" t="s">
        <v>543</v>
      </c>
      <c r="B2338" s="0" t="s">
        <v>65</v>
      </c>
      <c r="C2338" s="0" t="s">
        <v>66</v>
      </c>
      <c r="D2338" s="0" t="n">
        <v>24</v>
      </c>
      <c r="E2338" s="5" t="n">
        <v>45966.800625</v>
      </c>
      <c r="F2338" s="0" t="n">
        <v>1.65</v>
      </c>
      <c r="G2338" s="0" t="n">
        <v>17129</v>
      </c>
      <c r="H2338" s="6" t="s">
        <v>188</v>
      </c>
      <c r="I2338" s="6" t="n">
        <f aca="false">D2338*F2338</f>
        <v>39.6</v>
      </c>
      <c r="J2338" s="6" t="n">
        <f aca="false">HOUR(E2338)</f>
        <v>19</v>
      </c>
      <c r="K2338" s="6" t="n">
        <f aca="false">IF(COUNTIF($A$2:$A2338,A2338)=1,1,0)</f>
        <v>0</v>
      </c>
    </row>
    <row r="2339" customFormat="false" ht="15" hidden="false" customHeight="false" outlineLevel="0" collapsed="false">
      <c r="A2339" s="0" t="s">
        <v>543</v>
      </c>
      <c r="B2339" s="0" t="s">
        <v>95</v>
      </c>
      <c r="C2339" s="0" t="s">
        <v>96</v>
      </c>
      <c r="D2339" s="0" t="n">
        <v>8</v>
      </c>
      <c r="E2339" s="5" t="n">
        <v>45966.800625</v>
      </c>
      <c r="F2339" s="0" t="n">
        <v>2.55</v>
      </c>
      <c r="G2339" s="0" t="n">
        <v>17129</v>
      </c>
      <c r="H2339" s="6" t="s">
        <v>188</v>
      </c>
      <c r="I2339" s="6" t="n">
        <f aca="false">D2339*F2339</f>
        <v>20.4</v>
      </c>
      <c r="J2339" s="6" t="n">
        <f aca="false">HOUR(E2339)</f>
        <v>19</v>
      </c>
      <c r="K2339" s="6" t="n">
        <f aca="false">IF(COUNTIF($A$2:$A2339,A2339)=1,1,0)</f>
        <v>0</v>
      </c>
    </row>
    <row r="2340" customFormat="false" ht="15" hidden="false" customHeight="false" outlineLevel="0" collapsed="false">
      <c r="A2340" s="0" t="s">
        <v>543</v>
      </c>
      <c r="B2340" s="0" t="s">
        <v>50</v>
      </c>
      <c r="C2340" s="0" t="s">
        <v>51</v>
      </c>
      <c r="D2340" s="0" t="n">
        <v>15</v>
      </c>
      <c r="E2340" s="5" t="n">
        <v>45966.800625</v>
      </c>
      <c r="F2340" s="0" t="n">
        <v>5.95</v>
      </c>
      <c r="G2340" s="0" t="n">
        <v>17129</v>
      </c>
      <c r="H2340" s="6" t="s">
        <v>188</v>
      </c>
      <c r="I2340" s="6" t="n">
        <f aca="false">D2340*F2340</f>
        <v>89.25</v>
      </c>
      <c r="J2340" s="6" t="n">
        <f aca="false">HOUR(E2340)</f>
        <v>19</v>
      </c>
      <c r="K2340" s="6" t="n">
        <f aca="false">IF(COUNTIF($A$2:$A2340,A2340)=1,1,0)</f>
        <v>0</v>
      </c>
    </row>
    <row r="2341" customFormat="false" ht="15" hidden="false" customHeight="false" outlineLevel="0" collapsed="false">
      <c r="A2341" s="0" t="s">
        <v>543</v>
      </c>
      <c r="B2341" s="0" t="s">
        <v>63</v>
      </c>
      <c r="C2341" s="0" t="s">
        <v>64</v>
      </c>
      <c r="D2341" s="0" t="n">
        <v>23</v>
      </c>
      <c r="E2341" s="5" t="n">
        <v>45966.800625</v>
      </c>
      <c r="F2341" s="0" t="n">
        <v>1.85</v>
      </c>
      <c r="G2341" s="0" t="n">
        <v>17129</v>
      </c>
      <c r="H2341" s="6" t="s">
        <v>188</v>
      </c>
      <c r="I2341" s="6" t="n">
        <f aca="false">D2341*F2341</f>
        <v>42.55</v>
      </c>
      <c r="J2341" s="6" t="n">
        <f aca="false">HOUR(E2341)</f>
        <v>19</v>
      </c>
      <c r="K2341" s="6" t="n">
        <f aca="false">IF(COUNTIF($A$2:$A2341,A2341)=1,1,0)</f>
        <v>0</v>
      </c>
    </row>
    <row r="2342" customFormat="false" ht="15" hidden="false" customHeight="false" outlineLevel="0" collapsed="false">
      <c r="A2342" s="0" t="s">
        <v>544</v>
      </c>
      <c r="B2342" s="0" t="s">
        <v>91</v>
      </c>
      <c r="C2342" s="0" t="s">
        <v>92</v>
      </c>
      <c r="D2342" s="0" t="n">
        <v>20</v>
      </c>
      <c r="E2342" s="5" t="n">
        <v>45966.8019212963</v>
      </c>
      <c r="F2342" s="0" t="n">
        <v>7.65</v>
      </c>
      <c r="G2342" s="0" t="n">
        <v>17063</v>
      </c>
      <c r="H2342" s="6" t="s">
        <v>113</v>
      </c>
      <c r="I2342" s="6" t="n">
        <f aca="false">D2342*F2342</f>
        <v>153</v>
      </c>
      <c r="J2342" s="6" t="n">
        <f aca="false">HOUR(E2342)</f>
        <v>19</v>
      </c>
      <c r="K2342" s="6" t="n">
        <f aca="false">IF(COUNTIF($A$2:$A2342,A2342)=1,1,0)</f>
        <v>1</v>
      </c>
    </row>
    <row r="2343" customFormat="false" ht="15" hidden="false" customHeight="false" outlineLevel="0" collapsed="false">
      <c r="A2343" s="0" t="s">
        <v>544</v>
      </c>
      <c r="B2343" s="0" t="s">
        <v>77</v>
      </c>
      <c r="C2343" s="0" t="s">
        <v>78</v>
      </c>
      <c r="D2343" s="0" t="n">
        <v>11</v>
      </c>
      <c r="E2343" s="5" t="n">
        <v>45966.8019212963</v>
      </c>
      <c r="F2343" s="0" t="n">
        <v>1.65</v>
      </c>
      <c r="G2343" s="0" t="n">
        <v>17063</v>
      </c>
      <c r="H2343" s="6" t="s">
        <v>113</v>
      </c>
      <c r="I2343" s="6" t="n">
        <f aca="false">D2343*F2343</f>
        <v>18.15</v>
      </c>
      <c r="J2343" s="6" t="n">
        <f aca="false">HOUR(E2343)</f>
        <v>19</v>
      </c>
      <c r="K2343" s="6" t="n">
        <f aca="false">IF(COUNTIF($A$2:$A2343,A2343)=1,1,0)</f>
        <v>0</v>
      </c>
    </row>
    <row r="2344" customFormat="false" ht="15" hidden="false" customHeight="false" outlineLevel="0" collapsed="false">
      <c r="A2344" s="0" t="s">
        <v>544</v>
      </c>
      <c r="B2344" s="0" t="s">
        <v>109</v>
      </c>
      <c r="C2344" s="0" t="s">
        <v>110</v>
      </c>
      <c r="D2344" s="0" t="n">
        <v>19</v>
      </c>
      <c r="E2344" s="5" t="n">
        <v>45966.8019212963</v>
      </c>
      <c r="F2344" s="0" t="n">
        <v>0.85</v>
      </c>
      <c r="G2344" s="0" t="n">
        <v>17063</v>
      </c>
      <c r="H2344" s="6" t="s">
        <v>113</v>
      </c>
      <c r="I2344" s="6" t="n">
        <f aca="false">D2344*F2344</f>
        <v>16.15</v>
      </c>
      <c r="J2344" s="6" t="n">
        <f aca="false">HOUR(E2344)</f>
        <v>19</v>
      </c>
      <c r="K2344" s="6" t="n">
        <f aca="false">IF(COUNTIF($A$2:$A2344,A2344)=1,1,0)</f>
        <v>0</v>
      </c>
    </row>
    <row r="2345" customFormat="false" ht="15" hidden="false" customHeight="false" outlineLevel="0" collapsed="false">
      <c r="A2345" s="0" t="s">
        <v>545</v>
      </c>
      <c r="B2345" s="0" t="s">
        <v>77</v>
      </c>
      <c r="C2345" s="0" t="s">
        <v>78</v>
      </c>
      <c r="D2345" s="0" t="n">
        <v>18</v>
      </c>
      <c r="E2345" s="5" t="n">
        <v>45966.927962963</v>
      </c>
      <c r="F2345" s="0" t="n">
        <v>1.65</v>
      </c>
      <c r="G2345" s="0" t="n">
        <v>17218</v>
      </c>
      <c r="H2345" s="6" t="s">
        <v>74</v>
      </c>
      <c r="I2345" s="6" t="n">
        <f aca="false">D2345*F2345</f>
        <v>29.7</v>
      </c>
      <c r="J2345" s="6" t="n">
        <f aca="false">HOUR(E2345)</f>
        <v>22</v>
      </c>
      <c r="K2345" s="6" t="n">
        <f aca="false">IF(COUNTIF($A$2:$A2345,A2345)=1,1,0)</f>
        <v>1</v>
      </c>
    </row>
    <row r="2346" customFormat="false" ht="15" hidden="false" customHeight="false" outlineLevel="0" collapsed="false">
      <c r="A2346" s="0" t="s">
        <v>546</v>
      </c>
      <c r="B2346" s="0" t="s">
        <v>79</v>
      </c>
      <c r="C2346" s="0" t="s">
        <v>80</v>
      </c>
      <c r="D2346" s="0" t="n">
        <v>2</v>
      </c>
      <c r="E2346" s="5" t="n">
        <v>45967.2765393519</v>
      </c>
      <c r="F2346" s="0" t="n">
        <v>3.39</v>
      </c>
      <c r="G2346" s="0" t="n">
        <v>17038</v>
      </c>
      <c r="H2346" s="6" t="s">
        <v>74</v>
      </c>
      <c r="I2346" s="6" t="n">
        <f aca="false">D2346*F2346</f>
        <v>6.78</v>
      </c>
      <c r="J2346" s="6" t="n">
        <f aca="false">HOUR(E2346)</f>
        <v>6</v>
      </c>
      <c r="K2346" s="6" t="n">
        <f aca="false">IF(COUNTIF($A$2:$A2346,A2346)=1,1,0)</f>
        <v>1</v>
      </c>
    </row>
    <row r="2347" customFormat="false" ht="15" hidden="false" customHeight="false" outlineLevel="0" collapsed="false">
      <c r="A2347" s="0" t="s">
        <v>546</v>
      </c>
      <c r="B2347" s="0" t="s">
        <v>131</v>
      </c>
      <c r="C2347" s="0" t="s">
        <v>132</v>
      </c>
      <c r="D2347" s="0" t="n">
        <v>15</v>
      </c>
      <c r="E2347" s="5" t="n">
        <v>45967.2765393519</v>
      </c>
      <c r="F2347" s="0" t="n">
        <v>3.39</v>
      </c>
      <c r="G2347" s="0" t="n">
        <v>17038</v>
      </c>
      <c r="H2347" s="6" t="s">
        <v>74</v>
      </c>
      <c r="I2347" s="6" t="n">
        <f aca="false">D2347*F2347</f>
        <v>50.85</v>
      </c>
      <c r="J2347" s="6" t="n">
        <f aca="false">HOUR(E2347)</f>
        <v>6</v>
      </c>
      <c r="K2347" s="6" t="n">
        <f aca="false">IF(COUNTIF($A$2:$A2347,A2347)=1,1,0)</f>
        <v>0</v>
      </c>
    </row>
    <row r="2348" customFormat="false" ht="15" hidden="false" customHeight="false" outlineLevel="0" collapsed="false">
      <c r="A2348" s="0" t="s">
        <v>546</v>
      </c>
      <c r="B2348" s="0" t="s">
        <v>107</v>
      </c>
      <c r="C2348" s="0" t="s">
        <v>108</v>
      </c>
      <c r="D2348" s="0" t="n">
        <v>1</v>
      </c>
      <c r="E2348" s="5" t="n">
        <v>45967.2765393519</v>
      </c>
      <c r="F2348" s="0" t="n">
        <v>3.75</v>
      </c>
      <c r="G2348" s="0" t="n">
        <v>17038</v>
      </c>
      <c r="H2348" s="6" t="s">
        <v>74</v>
      </c>
      <c r="I2348" s="6" t="n">
        <f aca="false">D2348*F2348</f>
        <v>3.75</v>
      </c>
      <c r="J2348" s="6" t="n">
        <f aca="false">HOUR(E2348)</f>
        <v>6</v>
      </c>
      <c r="K2348" s="6" t="n">
        <f aca="false">IF(COUNTIF($A$2:$A2348,A2348)=1,1,0)</f>
        <v>0</v>
      </c>
    </row>
    <row r="2349" customFormat="false" ht="15" hidden="false" customHeight="false" outlineLevel="0" collapsed="false">
      <c r="A2349" s="0" t="s">
        <v>546</v>
      </c>
      <c r="B2349" s="0" t="s">
        <v>81</v>
      </c>
      <c r="C2349" s="0" t="s">
        <v>82</v>
      </c>
      <c r="D2349" s="0" t="n">
        <v>19</v>
      </c>
      <c r="E2349" s="5" t="n">
        <v>45967.2765393519</v>
      </c>
      <c r="F2349" s="0" t="n">
        <v>1.65</v>
      </c>
      <c r="G2349" s="0" t="n">
        <v>17038</v>
      </c>
      <c r="H2349" s="6" t="s">
        <v>74</v>
      </c>
      <c r="I2349" s="6" t="n">
        <f aca="false">D2349*F2349</f>
        <v>31.35</v>
      </c>
      <c r="J2349" s="6" t="n">
        <f aca="false">HOUR(E2349)</f>
        <v>6</v>
      </c>
      <c r="K2349" s="6" t="n">
        <f aca="false">IF(COUNTIF($A$2:$A2349,A2349)=1,1,0)</f>
        <v>0</v>
      </c>
    </row>
    <row r="2350" customFormat="false" ht="15" hidden="false" customHeight="false" outlineLevel="0" collapsed="false">
      <c r="A2350" s="0" t="s">
        <v>546</v>
      </c>
      <c r="B2350" s="0" t="s">
        <v>40</v>
      </c>
      <c r="C2350" s="0" t="s">
        <v>41</v>
      </c>
      <c r="D2350" s="0" t="n">
        <v>18</v>
      </c>
      <c r="E2350" s="5" t="n">
        <v>45967.2765393519</v>
      </c>
      <c r="F2350" s="0" t="n">
        <v>1.06</v>
      </c>
      <c r="G2350" s="0" t="n">
        <v>17038</v>
      </c>
      <c r="H2350" s="6" t="s">
        <v>74</v>
      </c>
      <c r="I2350" s="6" t="n">
        <f aca="false">D2350*F2350</f>
        <v>19.08</v>
      </c>
      <c r="J2350" s="6" t="n">
        <f aca="false">HOUR(E2350)</f>
        <v>6</v>
      </c>
      <c r="K2350" s="6" t="n">
        <f aca="false">IF(COUNTIF($A$2:$A2350,A2350)=1,1,0)</f>
        <v>0</v>
      </c>
    </row>
    <row r="2351" customFormat="false" ht="15" hidden="false" customHeight="false" outlineLevel="0" collapsed="false">
      <c r="A2351" s="0" t="s">
        <v>546</v>
      </c>
      <c r="B2351" s="0" t="s">
        <v>109</v>
      </c>
      <c r="C2351" s="0" t="s">
        <v>110</v>
      </c>
      <c r="D2351" s="0" t="n">
        <v>13</v>
      </c>
      <c r="E2351" s="5" t="n">
        <v>45967.2765393519</v>
      </c>
      <c r="F2351" s="0" t="n">
        <v>0.85</v>
      </c>
      <c r="G2351" s="0" t="n">
        <v>17038</v>
      </c>
      <c r="H2351" s="6" t="s">
        <v>74</v>
      </c>
      <c r="I2351" s="6" t="n">
        <f aca="false">D2351*F2351</f>
        <v>11.05</v>
      </c>
      <c r="J2351" s="6" t="n">
        <f aca="false">HOUR(E2351)</f>
        <v>6</v>
      </c>
      <c r="K2351" s="6" t="n">
        <f aca="false">IF(COUNTIF($A$2:$A2351,A2351)=1,1,0)</f>
        <v>0</v>
      </c>
    </row>
    <row r="2352" customFormat="false" ht="15" hidden="false" customHeight="false" outlineLevel="0" collapsed="false">
      <c r="A2352" s="0" t="s">
        <v>546</v>
      </c>
      <c r="B2352" s="0" t="s">
        <v>102</v>
      </c>
      <c r="C2352" s="0" t="s">
        <v>103</v>
      </c>
      <c r="D2352" s="0" t="n">
        <v>42</v>
      </c>
      <c r="E2352" s="5" t="n">
        <v>45967.2765393519</v>
      </c>
      <c r="F2352" s="0" t="n">
        <v>8.5</v>
      </c>
      <c r="G2352" s="0" t="n">
        <v>17038</v>
      </c>
      <c r="H2352" s="6" t="s">
        <v>74</v>
      </c>
      <c r="I2352" s="6" t="n">
        <f aca="false">D2352*F2352</f>
        <v>357</v>
      </c>
      <c r="J2352" s="6" t="n">
        <f aca="false">HOUR(E2352)</f>
        <v>6</v>
      </c>
      <c r="K2352" s="6" t="n">
        <f aca="false">IF(COUNTIF($A$2:$A2352,A2352)=1,1,0)</f>
        <v>0</v>
      </c>
    </row>
    <row r="2353" customFormat="false" ht="15" hidden="false" customHeight="false" outlineLevel="0" collapsed="false">
      <c r="A2353" s="0" t="s">
        <v>546</v>
      </c>
      <c r="B2353" s="0" t="s">
        <v>140</v>
      </c>
      <c r="C2353" s="0" t="s">
        <v>141</v>
      </c>
      <c r="D2353" s="0" t="n">
        <v>11</v>
      </c>
      <c r="E2353" s="5" t="n">
        <v>45967.2765393519</v>
      </c>
      <c r="F2353" s="0" t="n">
        <v>2.08</v>
      </c>
      <c r="G2353" s="0" t="n">
        <v>17038</v>
      </c>
      <c r="H2353" s="6" t="s">
        <v>74</v>
      </c>
      <c r="I2353" s="6" t="n">
        <f aca="false">D2353*F2353</f>
        <v>22.88</v>
      </c>
      <c r="J2353" s="6" t="n">
        <f aca="false">HOUR(E2353)</f>
        <v>6</v>
      </c>
      <c r="K2353" s="6" t="n">
        <f aca="false">IF(COUNTIF($A$2:$A2353,A2353)=1,1,0)</f>
        <v>0</v>
      </c>
    </row>
    <row r="2354" customFormat="false" ht="15" hidden="false" customHeight="false" outlineLevel="0" collapsed="false">
      <c r="A2354" s="0" t="s">
        <v>546</v>
      </c>
      <c r="B2354" s="0" t="s">
        <v>127</v>
      </c>
      <c r="C2354" s="0" t="s">
        <v>128</v>
      </c>
      <c r="D2354" s="0" t="n">
        <v>15</v>
      </c>
      <c r="E2354" s="5" t="n">
        <v>45967.2765393519</v>
      </c>
      <c r="F2354" s="0" t="n">
        <v>1.45</v>
      </c>
      <c r="G2354" s="0" t="n">
        <v>17038</v>
      </c>
      <c r="H2354" s="6" t="s">
        <v>74</v>
      </c>
      <c r="I2354" s="6" t="n">
        <f aca="false">D2354*F2354</f>
        <v>21.75</v>
      </c>
      <c r="J2354" s="6" t="n">
        <f aca="false">HOUR(E2354)</f>
        <v>6</v>
      </c>
      <c r="K2354" s="6" t="n">
        <f aca="false">IF(COUNTIF($A$2:$A2354,A2354)=1,1,0)</f>
        <v>0</v>
      </c>
    </row>
    <row r="2355" customFormat="false" ht="15" hidden="false" customHeight="false" outlineLevel="0" collapsed="false">
      <c r="A2355" s="0" t="s">
        <v>546</v>
      </c>
      <c r="B2355" s="0" t="s">
        <v>43</v>
      </c>
      <c r="C2355" s="0" t="s">
        <v>44</v>
      </c>
      <c r="D2355" s="0" t="n">
        <v>14</v>
      </c>
      <c r="E2355" s="5" t="n">
        <v>45967.2765393519</v>
      </c>
      <c r="F2355" s="0" t="n">
        <v>4.25</v>
      </c>
      <c r="G2355" s="0" t="n">
        <v>17038</v>
      </c>
      <c r="H2355" s="6" t="s">
        <v>74</v>
      </c>
      <c r="I2355" s="6" t="n">
        <f aca="false">D2355*F2355</f>
        <v>59.5</v>
      </c>
      <c r="J2355" s="6" t="n">
        <f aca="false">HOUR(E2355)</f>
        <v>6</v>
      </c>
      <c r="K2355" s="6" t="n">
        <f aca="false">IF(COUNTIF($A$2:$A2355,A2355)=1,1,0)</f>
        <v>0</v>
      </c>
    </row>
    <row r="2356" customFormat="false" ht="15" hidden="false" customHeight="false" outlineLevel="0" collapsed="false">
      <c r="A2356" s="0" t="s">
        <v>547</v>
      </c>
      <c r="B2356" s="0" t="s">
        <v>95</v>
      </c>
      <c r="C2356" s="0" t="s">
        <v>96</v>
      </c>
      <c r="D2356" s="0" t="n">
        <v>9</v>
      </c>
      <c r="E2356" s="5" t="n">
        <v>45967.374224537</v>
      </c>
      <c r="F2356" s="0" t="n">
        <v>2.55</v>
      </c>
      <c r="G2356" s="0" t="n">
        <v>17240</v>
      </c>
      <c r="H2356" s="6" t="s">
        <v>74</v>
      </c>
      <c r="I2356" s="6" t="n">
        <f aca="false">D2356*F2356</f>
        <v>22.95</v>
      </c>
      <c r="J2356" s="6" t="n">
        <f aca="false">HOUR(E2356)</f>
        <v>8</v>
      </c>
      <c r="K2356" s="6" t="n">
        <f aca="false">IF(COUNTIF($A$2:$A2356,A2356)=1,1,0)</f>
        <v>1</v>
      </c>
    </row>
    <row r="2357" customFormat="false" ht="15" hidden="false" customHeight="false" outlineLevel="0" collapsed="false">
      <c r="A2357" s="0" t="s">
        <v>547</v>
      </c>
      <c r="B2357" s="0" t="s">
        <v>91</v>
      </c>
      <c r="C2357" s="0" t="s">
        <v>92</v>
      </c>
      <c r="D2357" s="0" t="n">
        <v>21</v>
      </c>
      <c r="E2357" s="5" t="n">
        <v>45967.374224537</v>
      </c>
      <c r="F2357" s="0" t="n">
        <v>7.65</v>
      </c>
      <c r="G2357" s="0" t="n">
        <v>17240</v>
      </c>
      <c r="H2357" s="6" t="s">
        <v>74</v>
      </c>
      <c r="I2357" s="6" t="n">
        <f aca="false">D2357*F2357</f>
        <v>160.65</v>
      </c>
      <c r="J2357" s="6" t="n">
        <f aca="false">HOUR(E2357)</f>
        <v>8</v>
      </c>
      <c r="K2357" s="6" t="n">
        <f aca="false">IF(COUNTIF($A$2:$A2357,A2357)=1,1,0)</f>
        <v>0</v>
      </c>
    </row>
    <row r="2358" customFormat="false" ht="15" hidden="false" customHeight="false" outlineLevel="0" collapsed="false">
      <c r="A2358" s="0" t="s">
        <v>547</v>
      </c>
      <c r="B2358" s="0" t="s">
        <v>116</v>
      </c>
      <c r="C2358" s="0" t="s">
        <v>117</v>
      </c>
      <c r="D2358" s="0" t="n">
        <v>10</v>
      </c>
      <c r="E2358" s="5" t="n">
        <v>45967.374224537</v>
      </c>
      <c r="F2358" s="0" t="n">
        <v>1.95</v>
      </c>
      <c r="G2358" s="0" t="n">
        <v>17240</v>
      </c>
      <c r="H2358" s="6" t="s">
        <v>74</v>
      </c>
      <c r="I2358" s="6" t="n">
        <f aca="false">D2358*F2358</f>
        <v>19.5</v>
      </c>
      <c r="J2358" s="6" t="n">
        <f aca="false">HOUR(E2358)</f>
        <v>8</v>
      </c>
      <c r="K2358" s="6" t="n">
        <f aca="false">IF(COUNTIF($A$2:$A2358,A2358)=1,1,0)</f>
        <v>0</v>
      </c>
    </row>
    <row r="2359" customFormat="false" ht="15" hidden="false" customHeight="false" outlineLevel="0" collapsed="false">
      <c r="A2359" s="0" t="s">
        <v>547</v>
      </c>
      <c r="B2359" s="0" t="s">
        <v>93</v>
      </c>
      <c r="C2359" s="0" t="s">
        <v>94</v>
      </c>
      <c r="D2359" s="0" t="n">
        <v>19</v>
      </c>
      <c r="E2359" s="5" t="n">
        <v>45967.374224537</v>
      </c>
      <c r="F2359" s="0" t="n">
        <v>1.69</v>
      </c>
      <c r="G2359" s="0" t="n">
        <v>17240</v>
      </c>
      <c r="H2359" s="6" t="s">
        <v>74</v>
      </c>
      <c r="I2359" s="6" t="n">
        <f aca="false">D2359*F2359</f>
        <v>32.11</v>
      </c>
      <c r="J2359" s="6" t="n">
        <f aca="false">HOUR(E2359)</f>
        <v>8</v>
      </c>
      <c r="K2359" s="6" t="n">
        <f aca="false">IF(COUNTIF($A$2:$A2359,A2359)=1,1,0)</f>
        <v>0</v>
      </c>
    </row>
    <row r="2360" customFormat="false" ht="15" hidden="false" customHeight="false" outlineLevel="0" collapsed="false">
      <c r="A2360" s="0" t="s">
        <v>547</v>
      </c>
      <c r="B2360" s="0" t="s">
        <v>55</v>
      </c>
      <c r="C2360" s="0" t="s">
        <v>56</v>
      </c>
      <c r="D2360" s="0" t="n">
        <v>16</v>
      </c>
      <c r="E2360" s="5" t="n">
        <v>45967.374224537</v>
      </c>
      <c r="F2360" s="0" t="n">
        <v>1.65</v>
      </c>
      <c r="G2360" s="0" t="n">
        <v>17240</v>
      </c>
      <c r="H2360" s="6" t="s">
        <v>74</v>
      </c>
      <c r="I2360" s="6" t="n">
        <f aca="false">D2360*F2360</f>
        <v>26.4</v>
      </c>
      <c r="J2360" s="6" t="n">
        <f aca="false">HOUR(E2360)</f>
        <v>8</v>
      </c>
      <c r="K2360" s="6" t="n">
        <f aca="false">IF(COUNTIF($A$2:$A2360,A2360)=1,1,0)</f>
        <v>0</v>
      </c>
    </row>
    <row r="2361" customFormat="false" ht="15" hidden="false" customHeight="false" outlineLevel="0" collapsed="false">
      <c r="A2361" s="0" t="s">
        <v>547</v>
      </c>
      <c r="B2361" s="0" t="s">
        <v>45</v>
      </c>
      <c r="C2361" s="0" t="s">
        <v>46</v>
      </c>
      <c r="D2361" s="0" t="n">
        <v>1</v>
      </c>
      <c r="E2361" s="5" t="n">
        <v>45967.374224537</v>
      </c>
      <c r="F2361" s="0" t="n">
        <v>2.1</v>
      </c>
      <c r="G2361" s="0" t="n">
        <v>17240</v>
      </c>
      <c r="H2361" s="6" t="s">
        <v>74</v>
      </c>
      <c r="I2361" s="6" t="n">
        <f aca="false">D2361*F2361</f>
        <v>2.1</v>
      </c>
      <c r="J2361" s="6" t="n">
        <f aca="false">HOUR(E2361)</f>
        <v>8</v>
      </c>
      <c r="K2361" s="6" t="n">
        <f aca="false">IF(COUNTIF($A$2:$A2361,A2361)=1,1,0)</f>
        <v>0</v>
      </c>
    </row>
    <row r="2362" customFormat="false" ht="15" hidden="false" customHeight="false" outlineLevel="0" collapsed="false">
      <c r="A2362" s="0" t="s">
        <v>547</v>
      </c>
      <c r="B2362" s="0" t="s">
        <v>127</v>
      </c>
      <c r="C2362" s="0" t="s">
        <v>128</v>
      </c>
      <c r="D2362" s="0" t="n">
        <v>5</v>
      </c>
      <c r="E2362" s="5" t="n">
        <v>45967.374224537</v>
      </c>
      <c r="F2362" s="0" t="n">
        <v>1.45</v>
      </c>
      <c r="G2362" s="0" t="n">
        <v>17240</v>
      </c>
      <c r="H2362" s="6" t="s">
        <v>74</v>
      </c>
      <c r="I2362" s="6" t="n">
        <f aca="false">D2362*F2362</f>
        <v>7.25</v>
      </c>
      <c r="J2362" s="6" t="n">
        <f aca="false">HOUR(E2362)</f>
        <v>8</v>
      </c>
      <c r="K2362" s="6" t="n">
        <f aca="false">IF(COUNTIF($A$2:$A2362,A2362)=1,1,0)</f>
        <v>0</v>
      </c>
    </row>
    <row r="2363" customFormat="false" ht="15" hidden="false" customHeight="false" outlineLevel="0" collapsed="false">
      <c r="A2363" s="0" t="s">
        <v>547</v>
      </c>
      <c r="B2363" s="0" t="s">
        <v>79</v>
      </c>
      <c r="C2363" s="0" t="s">
        <v>80</v>
      </c>
      <c r="D2363" s="0" t="n">
        <v>15</v>
      </c>
      <c r="E2363" s="5" t="n">
        <v>45967.374224537</v>
      </c>
      <c r="F2363" s="0" t="n">
        <v>3.39</v>
      </c>
      <c r="G2363" s="0" t="n">
        <v>17240</v>
      </c>
      <c r="H2363" s="6" t="s">
        <v>74</v>
      </c>
      <c r="I2363" s="6" t="n">
        <f aca="false">D2363*F2363</f>
        <v>50.85</v>
      </c>
      <c r="J2363" s="6" t="n">
        <f aca="false">HOUR(E2363)</f>
        <v>8</v>
      </c>
      <c r="K2363" s="6" t="n">
        <f aca="false">IF(COUNTIF($A$2:$A2363,A2363)=1,1,0)</f>
        <v>0</v>
      </c>
    </row>
    <row r="2364" customFormat="false" ht="15" hidden="false" customHeight="false" outlineLevel="0" collapsed="false">
      <c r="A2364" s="0" t="s">
        <v>548</v>
      </c>
      <c r="B2364" s="0" t="s">
        <v>88</v>
      </c>
      <c r="C2364" s="0" t="s">
        <v>89</v>
      </c>
      <c r="D2364" s="0" t="n">
        <v>24</v>
      </c>
      <c r="E2364" s="5" t="n">
        <v>45967.3825115741</v>
      </c>
      <c r="F2364" s="0" t="n">
        <v>2.75</v>
      </c>
      <c r="G2364" s="0" t="n">
        <v>17253</v>
      </c>
      <c r="H2364" s="6" t="s">
        <v>208</v>
      </c>
      <c r="I2364" s="6" t="n">
        <f aca="false">D2364*F2364</f>
        <v>66</v>
      </c>
      <c r="J2364" s="6" t="n">
        <f aca="false">HOUR(E2364)</f>
        <v>9</v>
      </c>
      <c r="K2364" s="6" t="n">
        <f aca="false">IF(COUNTIF($A$2:$A2364,A2364)=1,1,0)</f>
        <v>1</v>
      </c>
    </row>
    <row r="2365" customFormat="false" ht="15" hidden="false" customHeight="false" outlineLevel="0" collapsed="false">
      <c r="A2365" s="0" t="s">
        <v>548</v>
      </c>
      <c r="B2365" s="0" t="s">
        <v>72</v>
      </c>
      <c r="C2365" s="0" t="s">
        <v>73</v>
      </c>
      <c r="D2365" s="0" t="n">
        <v>21</v>
      </c>
      <c r="E2365" s="5" t="n">
        <v>45967.3825115741</v>
      </c>
      <c r="F2365" s="0" t="n">
        <v>4.95</v>
      </c>
      <c r="G2365" s="0" t="n">
        <v>17253</v>
      </c>
      <c r="H2365" s="6" t="s">
        <v>208</v>
      </c>
      <c r="I2365" s="6" t="n">
        <f aca="false">D2365*F2365</f>
        <v>103.95</v>
      </c>
      <c r="J2365" s="6" t="n">
        <f aca="false">HOUR(E2365)</f>
        <v>9</v>
      </c>
      <c r="K2365" s="6" t="n">
        <f aca="false">IF(COUNTIF($A$2:$A2365,A2365)=1,1,0)</f>
        <v>0</v>
      </c>
    </row>
    <row r="2366" customFormat="false" ht="15" hidden="false" customHeight="false" outlineLevel="0" collapsed="false">
      <c r="A2366" s="0" t="s">
        <v>548</v>
      </c>
      <c r="B2366" s="0" t="s">
        <v>63</v>
      </c>
      <c r="C2366" s="0" t="s">
        <v>64</v>
      </c>
      <c r="D2366" s="0" t="n">
        <v>21</v>
      </c>
      <c r="E2366" s="5" t="n">
        <v>45967.3825115741</v>
      </c>
      <c r="F2366" s="0" t="n">
        <v>1.85</v>
      </c>
      <c r="G2366" s="0" t="n">
        <v>17253</v>
      </c>
      <c r="H2366" s="6" t="s">
        <v>208</v>
      </c>
      <c r="I2366" s="6" t="n">
        <f aca="false">D2366*F2366</f>
        <v>38.85</v>
      </c>
      <c r="J2366" s="6" t="n">
        <f aca="false">HOUR(E2366)</f>
        <v>9</v>
      </c>
      <c r="K2366" s="6" t="n">
        <f aca="false">IF(COUNTIF($A$2:$A2366,A2366)=1,1,0)</f>
        <v>0</v>
      </c>
    </row>
    <row r="2367" customFormat="false" ht="15" hidden="false" customHeight="false" outlineLevel="0" collapsed="false">
      <c r="A2367" s="0" t="s">
        <v>548</v>
      </c>
      <c r="B2367" s="0" t="s">
        <v>40</v>
      </c>
      <c r="C2367" s="0" t="s">
        <v>41</v>
      </c>
      <c r="D2367" s="0" t="n">
        <v>14</v>
      </c>
      <c r="E2367" s="5" t="n">
        <v>45967.3825115741</v>
      </c>
      <c r="F2367" s="0" t="n">
        <v>1.06</v>
      </c>
      <c r="G2367" s="0" t="n">
        <v>17253</v>
      </c>
      <c r="H2367" s="6" t="s">
        <v>208</v>
      </c>
      <c r="I2367" s="6" t="n">
        <f aca="false">D2367*F2367</f>
        <v>14.84</v>
      </c>
      <c r="J2367" s="6" t="n">
        <f aca="false">HOUR(E2367)</f>
        <v>9</v>
      </c>
      <c r="K2367" s="6" t="n">
        <f aca="false">IF(COUNTIF($A$2:$A2367,A2367)=1,1,0)</f>
        <v>0</v>
      </c>
    </row>
    <row r="2368" customFormat="false" ht="15" hidden="false" customHeight="false" outlineLevel="0" collapsed="false">
      <c r="A2368" s="0" t="s">
        <v>548</v>
      </c>
      <c r="B2368" s="0" t="s">
        <v>114</v>
      </c>
      <c r="C2368" s="0" t="s">
        <v>115</v>
      </c>
      <c r="D2368" s="0" t="n">
        <v>2</v>
      </c>
      <c r="E2368" s="5" t="n">
        <v>45967.3825115741</v>
      </c>
      <c r="F2368" s="0" t="n">
        <v>2.08</v>
      </c>
      <c r="G2368" s="0" t="n">
        <v>17253</v>
      </c>
      <c r="H2368" s="6" t="s">
        <v>208</v>
      </c>
      <c r="I2368" s="6" t="n">
        <f aca="false">D2368*F2368</f>
        <v>4.16</v>
      </c>
      <c r="J2368" s="6" t="n">
        <f aca="false">HOUR(E2368)</f>
        <v>9</v>
      </c>
      <c r="K2368" s="6" t="n">
        <f aca="false">IF(COUNTIF($A$2:$A2368,A2368)=1,1,0)</f>
        <v>0</v>
      </c>
    </row>
    <row r="2369" customFormat="false" ht="15" hidden="false" customHeight="false" outlineLevel="0" collapsed="false">
      <c r="A2369" s="0" t="s">
        <v>548</v>
      </c>
      <c r="B2369" s="0" t="s">
        <v>65</v>
      </c>
      <c r="C2369" s="0" t="s">
        <v>66</v>
      </c>
      <c r="D2369" s="0" t="n">
        <v>12</v>
      </c>
      <c r="E2369" s="5" t="n">
        <v>45967.3825115741</v>
      </c>
      <c r="F2369" s="0" t="n">
        <v>1.65</v>
      </c>
      <c r="G2369" s="0" t="n">
        <v>17253</v>
      </c>
      <c r="H2369" s="6" t="s">
        <v>208</v>
      </c>
      <c r="I2369" s="6" t="n">
        <f aca="false">D2369*F2369</f>
        <v>19.8</v>
      </c>
      <c r="J2369" s="6" t="n">
        <f aca="false">HOUR(E2369)</f>
        <v>9</v>
      </c>
      <c r="K2369" s="6" t="n">
        <f aca="false">IF(COUNTIF($A$2:$A2369,A2369)=1,1,0)</f>
        <v>0</v>
      </c>
    </row>
    <row r="2370" customFormat="false" ht="15" hidden="false" customHeight="false" outlineLevel="0" collapsed="false">
      <c r="A2370" s="0" t="s">
        <v>548</v>
      </c>
      <c r="B2370" s="0" t="s">
        <v>134</v>
      </c>
      <c r="C2370" s="0" t="s">
        <v>135</v>
      </c>
      <c r="D2370" s="0" t="n">
        <v>12</v>
      </c>
      <c r="E2370" s="5" t="n">
        <v>45967.3825115741</v>
      </c>
      <c r="F2370" s="0" t="n">
        <v>5.95</v>
      </c>
      <c r="G2370" s="0" t="n">
        <v>17253</v>
      </c>
      <c r="H2370" s="6" t="s">
        <v>208</v>
      </c>
      <c r="I2370" s="6" t="n">
        <f aca="false">D2370*F2370</f>
        <v>71.4</v>
      </c>
      <c r="J2370" s="6" t="n">
        <f aca="false">HOUR(E2370)</f>
        <v>9</v>
      </c>
      <c r="K2370" s="6" t="n">
        <f aca="false">IF(COUNTIF($A$2:$A2370,A2370)=1,1,0)</f>
        <v>0</v>
      </c>
    </row>
    <row r="2371" customFormat="false" ht="15" hidden="false" customHeight="false" outlineLevel="0" collapsed="false">
      <c r="A2371" s="0" t="s">
        <v>548</v>
      </c>
      <c r="B2371" s="0" t="s">
        <v>77</v>
      </c>
      <c r="C2371" s="0" t="s">
        <v>78</v>
      </c>
      <c r="D2371" s="0" t="n">
        <v>3</v>
      </c>
      <c r="E2371" s="5" t="n">
        <v>45967.3825115741</v>
      </c>
      <c r="F2371" s="0" t="n">
        <v>1.65</v>
      </c>
      <c r="G2371" s="0" t="n">
        <v>17253</v>
      </c>
      <c r="H2371" s="6" t="s">
        <v>208</v>
      </c>
      <c r="I2371" s="6" t="n">
        <f aca="false">D2371*F2371</f>
        <v>4.95</v>
      </c>
      <c r="J2371" s="6" t="n">
        <f aca="false">HOUR(E2371)</f>
        <v>9</v>
      </c>
      <c r="K2371" s="6" t="n">
        <f aca="false">IF(COUNTIF($A$2:$A2371,A2371)=1,1,0)</f>
        <v>0</v>
      </c>
    </row>
    <row r="2372" customFormat="false" ht="15" hidden="false" customHeight="false" outlineLevel="0" collapsed="false">
      <c r="A2372" s="0" t="s">
        <v>548</v>
      </c>
      <c r="B2372" s="0" t="s">
        <v>125</v>
      </c>
      <c r="C2372" s="0" t="s">
        <v>126</v>
      </c>
      <c r="D2372" s="0" t="n">
        <v>10</v>
      </c>
      <c r="E2372" s="5" t="n">
        <v>45967.3825115741</v>
      </c>
      <c r="F2372" s="0" t="n">
        <v>1.25</v>
      </c>
      <c r="G2372" s="0" t="n">
        <v>17253</v>
      </c>
      <c r="H2372" s="6" t="s">
        <v>208</v>
      </c>
      <c r="I2372" s="6" t="n">
        <f aca="false">D2372*F2372</f>
        <v>12.5</v>
      </c>
      <c r="J2372" s="6" t="n">
        <f aca="false">HOUR(E2372)</f>
        <v>9</v>
      </c>
      <c r="K2372" s="6" t="n">
        <f aca="false">IF(COUNTIF($A$2:$A2372,A2372)=1,1,0)</f>
        <v>0</v>
      </c>
    </row>
    <row r="2373" customFormat="false" ht="15" hidden="false" customHeight="false" outlineLevel="0" collapsed="false">
      <c r="A2373" s="0" t="s">
        <v>549</v>
      </c>
      <c r="B2373" s="0" t="s">
        <v>127</v>
      </c>
      <c r="C2373" s="0" t="s">
        <v>128</v>
      </c>
      <c r="D2373" s="0" t="n">
        <v>4</v>
      </c>
      <c r="E2373" s="5" t="n">
        <v>45967.4021296296</v>
      </c>
      <c r="F2373" s="0" t="n">
        <v>1.45</v>
      </c>
      <c r="G2373" s="0" t="n">
        <v>17168</v>
      </c>
      <c r="H2373" s="6" t="s">
        <v>74</v>
      </c>
      <c r="I2373" s="6" t="n">
        <f aca="false">D2373*F2373</f>
        <v>5.8</v>
      </c>
      <c r="J2373" s="6" t="n">
        <f aca="false">HOUR(E2373)</f>
        <v>9</v>
      </c>
      <c r="K2373" s="6" t="n">
        <f aca="false">IF(COUNTIF($A$2:$A2373,A2373)=1,1,0)</f>
        <v>1</v>
      </c>
    </row>
    <row r="2374" customFormat="false" ht="15" hidden="false" customHeight="false" outlineLevel="0" collapsed="false">
      <c r="A2374" s="0" t="s">
        <v>549</v>
      </c>
      <c r="B2374" s="0" t="s">
        <v>93</v>
      </c>
      <c r="C2374" s="0" t="s">
        <v>94</v>
      </c>
      <c r="D2374" s="0" t="n">
        <v>12</v>
      </c>
      <c r="E2374" s="5" t="n">
        <v>45967.4021296296</v>
      </c>
      <c r="F2374" s="0" t="n">
        <v>1.69</v>
      </c>
      <c r="G2374" s="0" t="n">
        <v>17168</v>
      </c>
      <c r="H2374" s="6" t="s">
        <v>74</v>
      </c>
      <c r="I2374" s="6" t="n">
        <f aca="false">D2374*F2374</f>
        <v>20.28</v>
      </c>
      <c r="J2374" s="6" t="n">
        <f aca="false">HOUR(E2374)</f>
        <v>9</v>
      </c>
      <c r="K2374" s="6" t="n">
        <f aca="false">IF(COUNTIF($A$2:$A2374,A2374)=1,1,0)</f>
        <v>0</v>
      </c>
    </row>
    <row r="2375" customFormat="false" ht="15" hidden="false" customHeight="false" outlineLevel="0" collapsed="false">
      <c r="A2375" s="0" t="s">
        <v>549</v>
      </c>
      <c r="B2375" s="0" t="s">
        <v>102</v>
      </c>
      <c r="C2375" s="0" t="s">
        <v>103</v>
      </c>
      <c r="D2375" s="0" t="n">
        <v>33</v>
      </c>
      <c r="E2375" s="5" t="n">
        <v>45967.4021296296</v>
      </c>
      <c r="F2375" s="0" t="n">
        <v>8.5</v>
      </c>
      <c r="G2375" s="0" t="n">
        <v>17168</v>
      </c>
      <c r="H2375" s="6" t="s">
        <v>74</v>
      </c>
      <c r="I2375" s="6" t="n">
        <f aca="false">D2375*F2375</f>
        <v>280.5</v>
      </c>
      <c r="J2375" s="6" t="n">
        <f aca="false">HOUR(E2375)</f>
        <v>9</v>
      </c>
      <c r="K2375" s="6" t="n">
        <f aca="false">IF(COUNTIF($A$2:$A2375,A2375)=1,1,0)</f>
        <v>0</v>
      </c>
    </row>
    <row r="2376" customFormat="false" ht="15" hidden="false" customHeight="false" outlineLevel="0" collapsed="false">
      <c r="A2376" s="0" t="s">
        <v>549</v>
      </c>
      <c r="B2376" s="0" t="s">
        <v>57</v>
      </c>
      <c r="C2376" s="0" t="s">
        <v>58</v>
      </c>
      <c r="D2376" s="0" t="n">
        <v>8</v>
      </c>
      <c r="E2376" s="5" t="n">
        <v>45967.4021296296</v>
      </c>
      <c r="F2376" s="0" t="n">
        <v>2.08</v>
      </c>
      <c r="G2376" s="0" t="n">
        <v>17168</v>
      </c>
      <c r="H2376" s="6" t="s">
        <v>74</v>
      </c>
      <c r="I2376" s="6" t="n">
        <f aca="false">D2376*F2376</f>
        <v>16.64</v>
      </c>
      <c r="J2376" s="6" t="n">
        <f aca="false">HOUR(E2376)</f>
        <v>9</v>
      </c>
      <c r="K2376" s="6" t="n">
        <f aca="false">IF(COUNTIF($A$2:$A2376,A2376)=1,1,0)</f>
        <v>0</v>
      </c>
    </row>
    <row r="2377" customFormat="false" ht="15" hidden="false" customHeight="false" outlineLevel="0" collapsed="false">
      <c r="A2377" s="0" t="s">
        <v>549</v>
      </c>
      <c r="B2377" s="0" t="s">
        <v>140</v>
      </c>
      <c r="C2377" s="0" t="s">
        <v>141</v>
      </c>
      <c r="D2377" s="0" t="n">
        <v>10</v>
      </c>
      <c r="E2377" s="5" t="n">
        <v>45967.4021296296</v>
      </c>
      <c r="F2377" s="0" t="n">
        <v>2.08</v>
      </c>
      <c r="G2377" s="0" t="n">
        <v>17168</v>
      </c>
      <c r="H2377" s="6" t="s">
        <v>74</v>
      </c>
      <c r="I2377" s="6" t="n">
        <f aca="false">D2377*F2377</f>
        <v>20.8</v>
      </c>
      <c r="J2377" s="6" t="n">
        <f aca="false">HOUR(E2377)</f>
        <v>9</v>
      </c>
      <c r="K2377" s="6" t="n">
        <f aca="false">IF(COUNTIF($A$2:$A2377,A2377)=1,1,0)</f>
        <v>0</v>
      </c>
    </row>
    <row r="2378" customFormat="false" ht="15" hidden="false" customHeight="false" outlineLevel="0" collapsed="false">
      <c r="A2378" s="0" t="s">
        <v>549</v>
      </c>
      <c r="B2378" s="0" t="s">
        <v>121</v>
      </c>
      <c r="C2378" s="0" t="s">
        <v>122</v>
      </c>
      <c r="D2378" s="0" t="n">
        <v>20</v>
      </c>
      <c r="E2378" s="5" t="n">
        <v>45967.4021296296</v>
      </c>
      <c r="F2378" s="0" t="n">
        <v>2.1</v>
      </c>
      <c r="G2378" s="0" t="n">
        <v>17168</v>
      </c>
      <c r="H2378" s="6" t="s">
        <v>74</v>
      </c>
      <c r="I2378" s="6" t="n">
        <f aca="false">D2378*F2378</f>
        <v>42</v>
      </c>
      <c r="J2378" s="6" t="n">
        <f aca="false">HOUR(E2378)</f>
        <v>9</v>
      </c>
      <c r="K2378" s="6" t="n">
        <f aca="false">IF(COUNTIF($A$2:$A2378,A2378)=1,1,0)</f>
        <v>0</v>
      </c>
    </row>
    <row r="2379" customFormat="false" ht="15" hidden="false" customHeight="false" outlineLevel="0" collapsed="false">
      <c r="A2379" s="0" t="s">
        <v>549</v>
      </c>
      <c r="B2379" s="0" t="s">
        <v>72</v>
      </c>
      <c r="C2379" s="0" t="s">
        <v>73</v>
      </c>
      <c r="D2379" s="0" t="n">
        <v>35</v>
      </c>
      <c r="E2379" s="5" t="n">
        <v>45967.4021296296</v>
      </c>
      <c r="F2379" s="0" t="n">
        <v>4.95</v>
      </c>
      <c r="G2379" s="0" t="n">
        <v>17168</v>
      </c>
      <c r="H2379" s="6" t="s">
        <v>74</v>
      </c>
      <c r="I2379" s="6" t="n">
        <f aca="false">D2379*F2379</f>
        <v>173.25</v>
      </c>
      <c r="J2379" s="6" t="n">
        <f aca="false">HOUR(E2379)</f>
        <v>9</v>
      </c>
      <c r="K2379" s="6" t="n">
        <f aca="false">IF(COUNTIF($A$2:$A2379,A2379)=1,1,0)</f>
        <v>0</v>
      </c>
    </row>
    <row r="2380" customFormat="false" ht="15" hidden="false" customHeight="false" outlineLevel="0" collapsed="false">
      <c r="A2380" s="0" t="s">
        <v>549</v>
      </c>
      <c r="B2380" s="0" t="s">
        <v>40</v>
      </c>
      <c r="C2380" s="0" t="s">
        <v>41</v>
      </c>
      <c r="D2380" s="0" t="n">
        <v>7</v>
      </c>
      <c r="E2380" s="5" t="n">
        <v>45967.4021296296</v>
      </c>
      <c r="F2380" s="0" t="n">
        <v>1.06</v>
      </c>
      <c r="G2380" s="0" t="n">
        <v>17168</v>
      </c>
      <c r="H2380" s="6" t="s">
        <v>74</v>
      </c>
      <c r="I2380" s="6" t="n">
        <f aca="false">D2380*F2380</f>
        <v>7.42</v>
      </c>
      <c r="J2380" s="6" t="n">
        <f aca="false">HOUR(E2380)</f>
        <v>9</v>
      </c>
      <c r="K2380" s="6" t="n">
        <f aca="false">IF(COUNTIF($A$2:$A2380,A2380)=1,1,0)</f>
        <v>0</v>
      </c>
    </row>
    <row r="2381" customFormat="false" ht="15" hidden="false" customHeight="false" outlineLevel="0" collapsed="false">
      <c r="A2381" s="0" t="s">
        <v>549</v>
      </c>
      <c r="B2381" s="0" t="s">
        <v>125</v>
      </c>
      <c r="C2381" s="0" t="s">
        <v>126</v>
      </c>
      <c r="D2381" s="0" t="n">
        <v>24</v>
      </c>
      <c r="E2381" s="5" t="n">
        <v>45967.4021296296</v>
      </c>
      <c r="F2381" s="0" t="n">
        <v>1.25</v>
      </c>
      <c r="G2381" s="0" t="n">
        <v>17168</v>
      </c>
      <c r="H2381" s="6" t="s">
        <v>74</v>
      </c>
      <c r="I2381" s="6" t="n">
        <f aca="false">D2381*F2381</f>
        <v>30</v>
      </c>
      <c r="J2381" s="6" t="n">
        <f aca="false">HOUR(E2381)</f>
        <v>9</v>
      </c>
      <c r="K2381" s="6" t="n">
        <f aca="false">IF(COUNTIF($A$2:$A2381,A2381)=1,1,0)</f>
        <v>0</v>
      </c>
    </row>
    <row r="2382" customFormat="false" ht="15" hidden="false" customHeight="false" outlineLevel="0" collapsed="false">
      <c r="A2382" s="0" t="s">
        <v>549</v>
      </c>
      <c r="B2382" s="0" t="s">
        <v>95</v>
      </c>
      <c r="C2382" s="0" t="s">
        <v>96</v>
      </c>
      <c r="D2382" s="0" t="n">
        <v>14</v>
      </c>
      <c r="E2382" s="5" t="n">
        <v>45967.4021296296</v>
      </c>
      <c r="F2382" s="0" t="n">
        <v>2.55</v>
      </c>
      <c r="G2382" s="0" t="n">
        <v>17168</v>
      </c>
      <c r="H2382" s="6" t="s">
        <v>74</v>
      </c>
      <c r="I2382" s="6" t="n">
        <f aca="false">D2382*F2382</f>
        <v>35.7</v>
      </c>
      <c r="J2382" s="6" t="n">
        <f aca="false">HOUR(E2382)</f>
        <v>9</v>
      </c>
      <c r="K2382" s="6" t="n">
        <f aca="false">IF(COUNTIF($A$2:$A2382,A2382)=1,1,0)</f>
        <v>0</v>
      </c>
    </row>
    <row r="2383" customFormat="false" ht="15" hidden="false" customHeight="false" outlineLevel="0" collapsed="false">
      <c r="A2383" s="0" t="s">
        <v>550</v>
      </c>
      <c r="B2383" s="0" t="s">
        <v>63</v>
      </c>
      <c r="C2383" s="0" t="s">
        <v>64</v>
      </c>
      <c r="D2383" s="0" t="n">
        <v>9</v>
      </c>
      <c r="E2383" s="5" t="n">
        <v>45967.4719212963</v>
      </c>
      <c r="F2383" s="0" t="n">
        <v>1.85</v>
      </c>
      <c r="H2383" s="6" t="s">
        <v>98</v>
      </c>
      <c r="I2383" s="6" t="n">
        <f aca="false">D2383*F2383</f>
        <v>16.65</v>
      </c>
      <c r="J2383" s="6" t="n">
        <f aca="false">HOUR(E2383)</f>
        <v>11</v>
      </c>
      <c r="K2383" s="6" t="n">
        <f aca="false">IF(COUNTIF($A$2:$A2383,A2383)=1,1,0)</f>
        <v>1</v>
      </c>
    </row>
    <row r="2384" customFormat="false" ht="15" hidden="false" customHeight="false" outlineLevel="0" collapsed="false">
      <c r="A2384" s="0" t="s">
        <v>550</v>
      </c>
      <c r="B2384" s="0" t="s">
        <v>95</v>
      </c>
      <c r="C2384" s="0" t="s">
        <v>96</v>
      </c>
      <c r="D2384" s="0" t="n">
        <v>34</v>
      </c>
      <c r="E2384" s="5" t="n">
        <v>45967.4719212963</v>
      </c>
      <c r="F2384" s="0" t="n">
        <v>2.55</v>
      </c>
      <c r="H2384" s="6" t="s">
        <v>98</v>
      </c>
      <c r="I2384" s="6" t="n">
        <f aca="false">D2384*F2384</f>
        <v>86.7</v>
      </c>
      <c r="J2384" s="6" t="n">
        <f aca="false">HOUR(E2384)</f>
        <v>11</v>
      </c>
      <c r="K2384" s="6" t="n">
        <f aca="false">IF(COUNTIF($A$2:$A2384,A2384)=1,1,0)</f>
        <v>0</v>
      </c>
    </row>
    <row r="2385" customFormat="false" ht="15" hidden="false" customHeight="false" outlineLevel="0" collapsed="false">
      <c r="A2385" s="0" t="s">
        <v>550</v>
      </c>
      <c r="B2385" s="0" t="s">
        <v>104</v>
      </c>
      <c r="C2385" s="0" t="s">
        <v>105</v>
      </c>
      <c r="D2385" s="0" t="n">
        <v>17</v>
      </c>
      <c r="E2385" s="5" t="n">
        <v>45967.4719212963</v>
      </c>
      <c r="F2385" s="0" t="n">
        <v>1.65</v>
      </c>
      <c r="H2385" s="6" t="s">
        <v>98</v>
      </c>
      <c r="I2385" s="6" t="n">
        <f aca="false">D2385*F2385</f>
        <v>28.05</v>
      </c>
      <c r="J2385" s="6" t="n">
        <f aca="false">HOUR(E2385)</f>
        <v>11</v>
      </c>
      <c r="K2385" s="6" t="n">
        <f aca="false">IF(COUNTIF($A$2:$A2385,A2385)=1,1,0)</f>
        <v>0</v>
      </c>
    </row>
    <row r="2386" customFormat="false" ht="15" hidden="false" customHeight="false" outlineLevel="0" collapsed="false">
      <c r="A2386" s="0" t="s">
        <v>551</v>
      </c>
      <c r="B2386" s="0" t="s">
        <v>104</v>
      </c>
      <c r="C2386" s="0" t="s">
        <v>105</v>
      </c>
      <c r="D2386" s="0" t="n">
        <v>17</v>
      </c>
      <c r="E2386" s="5" t="n">
        <v>45967.5215856481</v>
      </c>
      <c r="F2386" s="0" t="n">
        <v>1.65</v>
      </c>
      <c r="G2386" s="0" t="n">
        <v>17095</v>
      </c>
      <c r="H2386" s="6" t="s">
        <v>74</v>
      </c>
      <c r="I2386" s="6" t="n">
        <f aca="false">D2386*F2386</f>
        <v>28.05</v>
      </c>
      <c r="J2386" s="6" t="n">
        <f aca="false">HOUR(E2386)</f>
        <v>12</v>
      </c>
      <c r="K2386" s="6" t="n">
        <f aca="false">IF(COUNTIF($A$2:$A2386,A2386)=1,1,0)</f>
        <v>1</v>
      </c>
    </row>
    <row r="2387" customFormat="false" ht="15" hidden="false" customHeight="false" outlineLevel="0" collapsed="false">
      <c r="A2387" s="0" t="s">
        <v>551</v>
      </c>
      <c r="B2387" s="0" t="s">
        <v>63</v>
      </c>
      <c r="C2387" s="0" t="s">
        <v>64</v>
      </c>
      <c r="D2387" s="0" t="n">
        <v>23</v>
      </c>
      <c r="E2387" s="5" t="n">
        <v>45967.5215856481</v>
      </c>
      <c r="F2387" s="0" t="n">
        <v>1.85</v>
      </c>
      <c r="G2387" s="0" t="n">
        <v>17095</v>
      </c>
      <c r="H2387" s="6" t="s">
        <v>74</v>
      </c>
      <c r="I2387" s="6" t="n">
        <f aca="false">D2387*F2387</f>
        <v>42.55</v>
      </c>
      <c r="J2387" s="6" t="n">
        <f aca="false">HOUR(E2387)</f>
        <v>12</v>
      </c>
      <c r="K2387" s="6" t="n">
        <f aca="false">IF(COUNTIF($A$2:$A2387,A2387)=1,1,0)</f>
        <v>0</v>
      </c>
    </row>
    <row r="2388" customFormat="false" ht="15" hidden="false" customHeight="false" outlineLevel="0" collapsed="false">
      <c r="A2388" s="0" t="s">
        <v>551</v>
      </c>
      <c r="B2388" s="0" t="s">
        <v>55</v>
      </c>
      <c r="C2388" s="0" t="s">
        <v>56</v>
      </c>
      <c r="D2388" s="0" t="n">
        <v>4</v>
      </c>
      <c r="E2388" s="5" t="n">
        <v>45967.5215856481</v>
      </c>
      <c r="F2388" s="0" t="n">
        <v>1.65</v>
      </c>
      <c r="G2388" s="0" t="n">
        <v>17095</v>
      </c>
      <c r="H2388" s="6" t="s">
        <v>74</v>
      </c>
      <c r="I2388" s="6" t="n">
        <f aca="false">D2388*F2388</f>
        <v>6.6</v>
      </c>
      <c r="J2388" s="6" t="n">
        <f aca="false">HOUR(E2388)</f>
        <v>12</v>
      </c>
      <c r="K2388" s="6" t="n">
        <f aca="false">IF(COUNTIF($A$2:$A2388,A2388)=1,1,0)</f>
        <v>0</v>
      </c>
    </row>
    <row r="2389" customFormat="false" ht="15" hidden="false" customHeight="false" outlineLevel="0" collapsed="false">
      <c r="A2389" s="0" t="s">
        <v>551</v>
      </c>
      <c r="B2389" s="0" t="s">
        <v>65</v>
      </c>
      <c r="C2389" s="0" t="s">
        <v>66</v>
      </c>
      <c r="D2389" s="0" t="n">
        <v>14</v>
      </c>
      <c r="E2389" s="5" t="n">
        <v>45967.5215856481</v>
      </c>
      <c r="F2389" s="0" t="n">
        <v>1.65</v>
      </c>
      <c r="G2389" s="0" t="n">
        <v>17095</v>
      </c>
      <c r="H2389" s="6" t="s">
        <v>74</v>
      </c>
      <c r="I2389" s="6" t="n">
        <f aca="false">D2389*F2389</f>
        <v>23.1</v>
      </c>
      <c r="J2389" s="6" t="n">
        <f aca="false">HOUR(E2389)</f>
        <v>12</v>
      </c>
      <c r="K2389" s="6" t="n">
        <f aca="false">IF(COUNTIF($A$2:$A2389,A2389)=1,1,0)</f>
        <v>0</v>
      </c>
    </row>
    <row r="2390" customFormat="false" ht="15" hidden="false" customHeight="false" outlineLevel="0" collapsed="false">
      <c r="A2390" s="0" t="s">
        <v>552</v>
      </c>
      <c r="B2390" s="0" t="s">
        <v>40</v>
      </c>
      <c r="C2390" s="0" t="s">
        <v>41</v>
      </c>
      <c r="D2390" s="0" t="n">
        <v>23</v>
      </c>
      <c r="E2390" s="5" t="n">
        <v>45967.5850115741</v>
      </c>
      <c r="F2390" s="0" t="n">
        <v>1.06</v>
      </c>
      <c r="G2390" s="0" t="n">
        <v>17242</v>
      </c>
      <c r="H2390" s="6" t="s">
        <v>188</v>
      </c>
      <c r="I2390" s="6" t="n">
        <f aca="false">D2390*F2390</f>
        <v>24.38</v>
      </c>
      <c r="J2390" s="6" t="n">
        <f aca="false">HOUR(E2390)</f>
        <v>14</v>
      </c>
      <c r="K2390" s="6" t="n">
        <f aca="false">IF(COUNTIF($A$2:$A2390,A2390)=1,1,0)</f>
        <v>1</v>
      </c>
    </row>
    <row r="2391" customFormat="false" ht="15" hidden="false" customHeight="false" outlineLevel="0" collapsed="false">
      <c r="A2391" s="0" t="s">
        <v>552</v>
      </c>
      <c r="B2391" s="0" t="s">
        <v>43</v>
      </c>
      <c r="C2391" s="0" t="s">
        <v>44</v>
      </c>
      <c r="D2391" s="0" t="n">
        <v>3</v>
      </c>
      <c r="E2391" s="5" t="n">
        <v>45967.5850115741</v>
      </c>
      <c r="F2391" s="0" t="n">
        <v>4.25</v>
      </c>
      <c r="G2391" s="0" t="n">
        <v>17242</v>
      </c>
      <c r="H2391" s="6" t="s">
        <v>188</v>
      </c>
      <c r="I2391" s="6" t="n">
        <f aca="false">D2391*F2391</f>
        <v>12.75</v>
      </c>
      <c r="J2391" s="6" t="n">
        <f aca="false">HOUR(E2391)</f>
        <v>14</v>
      </c>
      <c r="K2391" s="6" t="n">
        <f aca="false">IF(COUNTIF($A$2:$A2391,A2391)=1,1,0)</f>
        <v>0</v>
      </c>
    </row>
    <row r="2392" customFormat="false" ht="15" hidden="false" customHeight="false" outlineLevel="0" collapsed="false">
      <c r="A2392" s="0" t="s">
        <v>552</v>
      </c>
      <c r="B2392" s="0" t="s">
        <v>118</v>
      </c>
      <c r="C2392" s="0" t="s">
        <v>119</v>
      </c>
      <c r="D2392" s="0" t="n">
        <v>14</v>
      </c>
      <c r="E2392" s="5" t="n">
        <v>45967.5850115741</v>
      </c>
      <c r="F2392" s="0" t="n">
        <v>4.95</v>
      </c>
      <c r="G2392" s="0" t="n">
        <v>17242</v>
      </c>
      <c r="H2392" s="6" t="s">
        <v>188</v>
      </c>
      <c r="I2392" s="6" t="n">
        <f aca="false">D2392*F2392</f>
        <v>69.3</v>
      </c>
      <c r="J2392" s="6" t="n">
        <f aca="false">HOUR(E2392)</f>
        <v>14</v>
      </c>
      <c r="K2392" s="6" t="n">
        <f aca="false">IF(COUNTIF($A$2:$A2392,A2392)=1,1,0)</f>
        <v>0</v>
      </c>
    </row>
    <row r="2393" customFormat="false" ht="15" hidden="false" customHeight="false" outlineLevel="0" collapsed="false">
      <c r="A2393" s="0" t="s">
        <v>552</v>
      </c>
      <c r="B2393" s="0" t="s">
        <v>102</v>
      </c>
      <c r="C2393" s="0" t="s">
        <v>103</v>
      </c>
      <c r="D2393" s="0" t="n">
        <v>21</v>
      </c>
      <c r="E2393" s="5" t="n">
        <v>45967.5850115741</v>
      </c>
      <c r="F2393" s="0" t="n">
        <v>8.5</v>
      </c>
      <c r="G2393" s="0" t="n">
        <v>17242</v>
      </c>
      <c r="H2393" s="6" t="s">
        <v>188</v>
      </c>
      <c r="I2393" s="6" t="n">
        <f aca="false">D2393*F2393</f>
        <v>178.5</v>
      </c>
      <c r="J2393" s="6" t="n">
        <f aca="false">HOUR(E2393)</f>
        <v>14</v>
      </c>
      <c r="K2393" s="6" t="n">
        <f aca="false">IF(COUNTIF($A$2:$A2393,A2393)=1,1,0)</f>
        <v>0</v>
      </c>
    </row>
    <row r="2394" customFormat="false" ht="15" hidden="false" customHeight="false" outlineLevel="0" collapsed="false">
      <c r="A2394" s="0" t="s">
        <v>552</v>
      </c>
      <c r="B2394" s="0" t="s">
        <v>61</v>
      </c>
      <c r="C2394" s="0" t="s">
        <v>62</v>
      </c>
      <c r="D2394" s="0" t="n">
        <v>4</v>
      </c>
      <c r="E2394" s="5" t="n">
        <v>45967.5850115741</v>
      </c>
      <c r="F2394" s="0" t="n">
        <v>1.65</v>
      </c>
      <c r="G2394" s="0" t="n">
        <v>17242</v>
      </c>
      <c r="H2394" s="6" t="s">
        <v>188</v>
      </c>
      <c r="I2394" s="6" t="n">
        <f aca="false">D2394*F2394</f>
        <v>6.6</v>
      </c>
      <c r="J2394" s="6" t="n">
        <f aca="false">HOUR(E2394)</f>
        <v>14</v>
      </c>
      <c r="K2394" s="6" t="n">
        <f aca="false">IF(COUNTIF($A$2:$A2394,A2394)=1,1,0)</f>
        <v>0</v>
      </c>
    </row>
    <row r="2395" customFormat="false" ht="15" hidden="false" customHeight="false" outlineLevel="0" collapsed="false">
      <c r="A2395" s="0" t="s">
        <v>552</v>
      </c>
      <c r="B2395" s="0" t="s">
        <v>57</v>
      </c>
      <c r="C2395" s="0" t="s">
        <v>58</v>
      </c>
      <c r="D2395" s="0" t="n">
        <v>3</v>
      </c>
      <c r="E2395" s="5" t="n">
        <v>45967.5850115741</v>
      </c>
      <c r="F2395" s="0" t="n">
        <v>2.08</v>
      </c>
      <c r="G2395" s="0" t="n">
        <v>17242</v>
      </c>
      <c r="H2395" s="6" t="s">
        <v>188</v>
      </c>
      <c r="I2395" s="6" t="n">
        <f aca="false">D2395*F2395</f>
        <v>6.24</v>
      </c>
      <c r="J2395" s="6" t="n">
        <f aca="false">HOUR(E2395)</f>
        <v>14</v>
      </c>
      <c r="K2395" s="6" t="n">
        <f aca="false">IF(COUNTIF($A$2:$A2395,A2395)=1,1,0)</f>
        <v>0</v>
      </c>
    </row>
    <row r="2396" customFormat="false" ht="15" hidden="false" customHeight="false" outlineLevel="0" collapsed="false">
      <c r="A2396" s="0" t="s">
        <v>552</v>
      </c>
      <c r="B2396" s="0" t="s">
        <v>47</v>
      </c>
      <c r="C2396" s="0" t="s">
        <v>48</v>
      </c>
      <c r="D2396" s="0" t="n">
        <v>21</v>
      </c>
      <c r="E2396" s="5" t="n">
        <v>45967.5850115741</v>
      </c>
      <c r="F2396" s="0" t="n">
        <v>12.75</v>
      </c>
      <c r="G2396" s="0" t="n">
        <v>17242</v>
      </c>
      <c r="H2396" s="6" t="s">
        <v>188</v>
      </c>
      <c r="I2396" s="6" t="n">
        <f aca="false">D2396*F2396</f>
        <v>267.75</v>
      </c>
      <c r="J2396" s="6" t="n">
        <f aca="false">HOUR(E2396)</f>
        <v>14</v>
      </c>
      <c r="K2396" s="6" t="n">
        <f aca="false">IF(COUNTIF($A$2:$A2396,A2396)=1,1,0)</f>
        <v>0</v>
      </c>
    </row>
    <row r="2397" customFormat="false" ht="15" hidden="false" customHeight="false" outlineLevel="0" collapsed="false">
      <c r="A2397" s="0" t="s">
        <v>552</v>
      </c>
      <c r="B2397" s="0" t="s">
        <v>104</v>
      </c>
      <c r="C2397" s="0" t="s">
        <v>105</v>
      </c>
      <c r="D2397" s="0" t="n">
        <v>11</v>
      </c>
      <c r="E2397" s="5" t="n">
        <v>45967.5850115741</v>
      </c>
      <c r="F2397" s="0" t="n">
        <v>1.65</v>
      </c>
      <c r="G2397" s="0" t="n">
        <v>17242</v>
      </c>
      <c r="H2397" s="6" t="s">
        <v>188</v>
      </c>
      <c r="I2397" s="6" t="n">
        <f aca="false">D2397*F2397</f>
        <v>18.15</v>
      </c>
      <c r="J2397" s="6" t="n">
        <f aca="false">HOUR(E2397)</f>
        <v>14</v>
      </c>
      <c r="K2397" s="6" t="n">
        <f aca="false">IF(COUNTIF($A$2:$A2397,A2397)=1,1,0)</f>
        <v>0</v>
      </c>
    </row>
    <row r="2398" customFormat="false" ht="15" hidden="false" customHeight="false" outlineLevel="0" collapsed="false">
      <c r="A2398" s="0" t="s">
        <v>553</v>
      </c>
      <c r="B2398" s="0" t="s">
        <v>118</v>
      </c>
      <c r="C2398" s="0" t="s">
        <v>119</v>
      </c>
      <c r="D2398" s="0" t="n">
        <v>22</v>
      </c>
      <c r="E2398" s="5" t="n">
        <v>45967.6041666667</v>
      </c>
      <c r="F2398" s="0" t="n">
        <v>4.95</v>
      </c>
      <c r="G2398" s="0" t="n">
        <v>17237</v>
      </c>
      <c r="H2398" s="6" t="s">
        <v>74</v>
      </c>
      <c r="I2398" s="6" t="n">
        <f aca="false">D2398*F2398</f>
        <v>108.9</v>
      </c>
      <c r="J2398" s="6" t="n">
        <f aca="false">HOUR(E2398)</f>
        <v>14</v>
      </c>
      <c r="K2398" s="6" t="n">
        <f aca="false">IF(COUNTIF($A$2:$A2398,A2398)=1,1,0)</f>
        <v>1</v>
      </c>
    </row>
    <row r="2399" customFormat="false" ht="15" hidden="false" customHeight="false" outlineLevel="0" collapsed="false">
      <c r="A2399" s="0" t="s">
        <v>553</v>
      </c>
      <c r="B2399" s="0" t="s">
        <v>109</v>
      </c>
      <c r="C2399" s="0" t="s">
        <v>110</v>
      </c>
      <c r="D2399" s="0" t="n">
        <v>12</v>
      </c>
      <c r="E2399" s="5" t="n">
        <v>45967.6041666667</v>
      </c>
      <c r="F2399" s="0" t="n">
        <v>0.85</v>
      </c>
      <c r="G2399" s="0" t="n">
        <v>17237</v>
      </c>
      <c r="H2399" s="6" t="s">
        <v>74</v>
      </c>
      <c r="I2399" s="6" t="n">
        <f aca="false">D2399*F2399</f>
        <v>10.2</v>
      </c>
      <c r="J2399" s="6" t="n">
        <f aca="false">HOUR(E2399)</f>
        <v>14</v>
      </c>
      <c r="K2399" s="6" t="n">
        <f aca="false">IF(COUNTIF($A$2:$A2399,A2399)=1,1,0)</f>
        <v>0</v>
      </c>
    </row>
    <row r="2400" customFormat="false" ht="15" hidden="false" customHeight="false" outlineLevel="0" collapsed="false">
      <c r="A2400" s="0" t="s">
        <v>553</v>
      </c>
      <c r="B2400" s="0" t="s">
        <v>127</v>
      </c>
      <c r="C2400" s="0" t="s">
        <v>128</v>
      </c>
      <c r="D2400" s="0" t="n">
        <v>7</v>
      </c>
      <c r="E2400" s="5" t="n">
        <v>45967.6041666667</v>
      </c>
      <c r="F2400" s="0" t="n">
        <v>1.45</v>
      </c>
      <c r="G2400" s="0" t="n">
        <v>17237</v>
      </c>
      <c r="H2400" s="6" t="s">
        <v>74</v>
      </c>
      <c r="I2400" s="6" t="n">
        <f aca="false">D2400*F2400</f>
        <v>10.15</v>
      </c>
      <c r="J2400" s="6" t="n">
        <f aca="false">HOUR(E2400)</f>
        <v>14</v>
      </c>
      <c r="K2400" s="6" t="n">
        <f aca="false">IF(COUNTIF($A$2:$A2400,A2400)=1,1,0)</f>
        <v>0</v>
      </c>
    </row>
    <row r="2401" customFormat="false" ht="15" hidden="false" customHeight="false" outlineLevel="0" collapsed="false">
      <c r="A2401" s="0" t="s">
        <v>553</v>
      </c>
      <c r="B2401" s="0" t="s">
        <v>77</v>
      </c>
      <c r="C2401" s="0" t="s">
        <v>78</v>
      </c>
      <c r="D2401" s="0" t="n">
        <v>3</v>
      </c>
      <c r="E2401" s="5" t="n">
        <v>45967.6041666667</v>
      </c>
      <c r="F2401" s="0" t="n">
        <v>1.65</v>
      </c>
      <c r="G2401" s="0" t="n">
        <v>17237</v>
      </c>
      <c r="H2401" s="6" t="s">
        <v>74</v>
      </c>
      <c r="I2401" s="6" t="n">
        <f aca="false">D2401*F2401</f>
        <v>4.95</v>
      </c>
      <c r="J2401" s="6" t="n">
        <f aca="false">HOUR(E2401)</f>
        <v>14</v>
      </c>
      <c r="K2401" s="6" t="n">
        <f aca="false">IF(COUNTIF($A$2:$A2401,A2401)=1,1,0)</f>
        <v>0</v>
      </c>
    </row>
    <row r="2402" customFormat="false" ht="15" hidden="false" customHeight="false" outlineLevel="0" collapsed="false">
      <c r="A2402" s="0" t="s">
        <v>553</v>
      </c>
      <c r="B2402" s="0" t="s">
        <v>116</v>
      </c>
      <c r="C2402" s="0" t="s">
        <v>117</v>
      </c>
      <c r="D2402" s="0" t="n">
        <v>10</v>
      </c>
      <c r="E2402" s="5" t="n">
        <v>45967.6041666667</v>
      </c>
      <c r="F2402" s="0" t="n">
        <v>1.95</v>
      </c>
      <c r="G2402" s="0" t="n">
        <v>17237</v>
      </c>
      <c r="H2402" s="6" t="s">
        <v>74</v>
      </c>
      <c r="I2402" s="6" t="n">
        <f aca="false">D2402*F2402</f>
        <v>19.5</v>
      </c>
      <c r="J2402" s="6" t="n">
        <f aca="false">HOUR(E2402)</f>
        <v>14</v>
      </c>
      <c r="K2402" s="6" t="n">
        <f aca="false">IF(COUNTIF($A$2:$A2402,A2402)=1,1,0)</f>
        <v>0</v>
      </c>
    </row>
    <row r="2403" customFormat="false" ht="15" hidden="false" customHeight="false" outlineLevel="0" collapsed="false">
      <c r="A2403" s="0" t="s">
        <v>553</v>
      </c>
      <c r="B2403" s="0" t="s">
        <v>57</v>
      </c>
      <c r="C2403" s="0" t="s">
        <v>58</v>
      </c>
      <c r="D2403" s="0" t="n">
        <v>19</v>
      </c>
      <c r="E2403" s="5" t="n">
        <v>45967.6041666667</v>
      </c>
      <c r="F2403" s="0" t="n">
        <v>2.08</v>
      </c>
      <c r="G2403" s="0" t="n">
        <v>17237</v>
      </c>
      <c r="H2403" s="6" t="s">
        <v>74</v>
      </c>
      <c r="I2403" s="6" t="n">
        <f aca="false">D2403*F2403</f>
        <v>39.52</v>
      </c>
      <c r="J2403" s="6" t="n">
        <f aca="false">HOUR(E2403)</f>
        <v>14</v>
      </c>
      <c r="K2403" s="6" t="n">
        <f aca="false">IF(COUNTIF($A$2:$A2403,A2403)=1,1,0)</f>
        <v>0</v>
      </c>
    </row>
    <row r="2404" customFormat="false" ht="15" hidden="false" customHeight="false" outlineLevel="0" collapsed="false">
      <c r="A2404" s="0" t="s">
        <v>553</v>
      </c>
      <c r="B2404" s="0" t="s">
        <v>114</v>
      </c>
      <c r="C2404" s="0" t="s">
        <v>115</v>
      </c>
      <c r="D2404" s="0" t="n">
        <v>2</v>
      </c>
      <c r="E2404" s="5" t="n">
        <v>45967.6041666667</v>
      </c>
      <c r="F2404" s="0" t="n">
        <v>2.08</v>
      </c>
      <c r="G2404" s="0" t="n">
        <v>17237</v>
      </c>
      <c r="H2404" s="6" t="s">
        <v>74</v>
      </c>
      <c r="I2404" s="6" t="n">
        <f aca="false">D2404*F2404</f>
        <v>4.16</v>
      </c>
      <c r="J2404" s="6" t="n">
        <f aca="false">HOUR(E2404)</f>
        <v>14</v>
      </c>
      <c r="K2404" s="6" t="n">
        <f aca="false">IF(COUNTIF($A$2:$A2404,A2404)=1,1,0)</f>
        <v>0</v>
      </c>
    </row>
    <row r="2405" customFormat="false" ht="15" hidden="false" customHeight="false" outlineLevel="0" collapsed="false">
      <c r="A2405" s="0" t="s">
        <v>554</v>
      </c>
      <c r="B2405" s="0" t="s">
        <v>86</v>
      </c>
      <c r="C2405" s="0" t="s">
        <v>87</v>
      </c>
      <c r="D2405" s="0" t="n">
        <v>1</v>
      </c>
      <c r="E2405" s="5" t="n">
        <v>45967.6144328704</v>
      </c>
      <c r="F2405" s="0" t="n">
        <v>4.25</v>
      </c>
      <c r="G2405" s="0" t="n">
        <v>17102</v>
      </c>
      <c r="H2405" s="6" t="s">
        <v>113</v>
      </c>
      <c r="I2405" s="6" t="n">
        <f aca="false">D2405*F2405</f>
        <v>4.25</v>
      </c>
      <c r="J2405" s="6" t="n">
        <f aca="false">HOUR(E2405)</f>
        <v>14</v>
      </c>
      <c r="K2405" s="6" t="n">
        <f aca="false">IF(COUNTIF($A$2:$A2405,A2405)=1,1,0)</f>
        <v>1</v>
      </c>
    </row>
    <row r="2406" customFormat="false" ht="15" hidden="false" customHeight="false" outlineLevel="0" collapsed="false">
      <c r="A2406" s="0" t="s">
        <v>554</v>
      </c>
      <c r="B2406" s="0" t="s">
        <v>109</v>
      </c>
      <c r="C2406" s="0" t="s">
        <v>110</v>
      </c>
      <c r="D2406" s="0" t="n">
        <v>7</v>
      </c>
      <c r="E2406" s="5" t="n">
        <v>45967.6144328704</v>
      </c>
      <c r="F2406" s="0" t="n">
        <v>0.85</v>
      </c>
      <c r="G2406" s="0" t="n">
        <v>17102</v>
      </c>
      <c r="H2406" s="6" t="s">
        <v>113</v>
      </c>
      <c r="I2406" s="6" t="n">
        <f aca="false">D2406*F2406</f>
        <v>5.95</v>
      </c>
      <c r="J2406" s="6" t="n">
        <f aca="false">HOUR(E2406)</f>
        <v>14</v>
      </c>
      <c r="K2406" s="6" t="n">
        <f aca="false">IF(COUNTIF($A$2:$A2406,A2406)=1,1,0)</f>
        <v>0</v>
      </c>
    </row>
    <row r="2407" customFormat="false" ht="15" hidden="false" customHeight="false" outlineLevel="0" collapsed="false">
      <c r="A2407" s="0" t="s">
        <v>554</v>
      </c>
      <c r="B2407" s="0" t="s">
        <v>114</v>
      </c>
      <c r="C2407" s="0" t="s">
        <v>115</v>
      </c>
      <c r="D2407" s="0" t="n">
        <v>16</v>
      </c>
      <c r="E2407" s="5" t="n">
        <v>45967.6144328704</v>
      </c>
      <c r="F2407" s="0" t="n">
        <v>2.08</v>
      </c>
      <c r="G2407" s="0" t="n">
        <v>17102</v>
      </c>
      <c r="H2407" s="6" t="s">
        <v>113</v>
      </c>
      <c r="I2407" s="6" t="n">
        <f aca="false">D2407*F2407</f>
        <v>33.28</v>
      </c>
      <c r="J2407" s="6" t="n">
        <f aca="false">HOUR(E2407)</f>
        <v>14</v>
      </c>
      <c r="K2407" s="6" t="n">
        <f aca="false">IF(COUNTIF($A$2:$A2407,A2407)=1,1,0)</f>
        <v>0</v>
      </c>
    </row>
    <row r="2408" customFormat="false" ht="15" hidden="false" customHeight="false" outlineLevel="0" collapsed="false">
      <c r="A2408" s="0" t="s">
        <v>555</v>
      </c>
      <c r="B2408" s="0" t="s">
        <v>127</v>
      </c>
      <c r="C2408" s="0" t="s">
        <v>128</v>
      </c>
      <c r="D2408" s="0" t="n">
        <v>18</v>
      </c>
      <c r="E2408" s="5" t="n">
        <v>45967.6723611111</v>
      </c>
      <c r="F2408" s="0" t="n">
        <v>1.45</v>
      </c>
      <c r="G2408" s="0" t="n">
        <v>17109</v>
      </c>
      <c r="H2408" s="6" t="s">
        <v>74</v>
      </c>
      <c r="I2408" s="6" t="n">
        <f aca="false">D2408*F2408</f>
        <v>26.1</v>
      </c>
      <c r="J2408" s="6" t="n">
        <f aca="false">HOUR(E2408)</f>
        <v>16</v>
      </c>
      <c r="K2408" s="6" t="n">
        <f aca="false">IF(COUNTIF($A$2:$A2408,A2408)=1,1,0)</f>
        <v>1</v>
      </c>
    </row>
    <row r="2409" customFormat="false" ht="15" hidden="false" customHeight="false" outlineLevel="0" collapsed="false">
      <c r="A2409" s="0" t="s">
        <v>556</v>
      </c>
      <c r="B2409" s="0" t="s">
        <v>121</v>
      </c>
      <c r="C2409" s="0" t="s">
        <v>122</v>
      </c>
      <c r="D2409" s="0" t="n">
        <v>19</v>
      </c>
      <c r="E2409" s="5" t="n">
        <v>45967.7394675926</v>
      </c>
      <c r="F2409" s="0" t="n">
        <v>2.1</v>
      </c>
      <c r="G2409" s="0" t="n">
        <v>17125</v>
      </c>
      <c r="H2409" s="6" t="s">
        <v>74</v>
      </c>
      <c r="I2409" s="6" t="n">
        <f aca="false">D2409*F2409</f>
        <v>39.9</v>
      </c>
      <c r="J2409" s="6" t="n">
        <f aca="false">HOUR(E2409)</f>
        <v>17</v>
      </c>
      <c r="K2409" s="6" t="n">
        <f aca="false">IF(COUNTIF($A$2:$A2409,A2409)=1,1,0)</f>
        <v>1</v>
      </c>
    </row>
    <row r="2410" customFormat="false" ht="15" hidden="false" customHeight="false" outlineLevel="0" collapsed="false">
      <c r="A2410" s="0" t="s">
        <v>556</v>
      </c>
      <c r="B2410" s="0" t="s">
        <v>104</v>
      </c>
      <c r="C2410" s="0" t="s">
        <v>105</v>
      </c>
      <c r="D2410" s="0" t="n">
        <v>1</v>
      </c>
      <c r="E2410" s="5" t="n">
        <v>45967.7394675926</v>
      </c>
      <c r="F2410" s="0" t="n">
        <v>1.65</v>
      </c>
      <c r="G2410" s="0" t="n">
        <v>17125</v>
      </c>
      <c r="H2410" s="6" t="s">
        <v>74</v>
      </c>
      <c r="I2410" s="6" t="n">
        <f aca="false">D2410*F2410</f>
        <v>1.65</v>
      </c>
      <c r="J2410" s="6" t="n">
        <f aca="false">HOUR(E2410)</f>
        <v>17</v>
      </c>
      <c r="K2410" s="6" t="n">
        <f aca="false">IF(COUNTIF($A$2:$A2410,A2410)=1,1,0)</f>
        <v>0</v>
      </c>
    </row>
    <row r="2411" customFormat="false" ht="15" hidden="false" customHeight="false" outlineLevel="0" collapsed="false">
      <c r="A2411" s="0" t="s">
        <v>556</v>
      </c>
      <c r="B2411" s="0" t="s">
        <v>118</v>
      </c>
      <c r="C2411" s="0" t="s">
        <v>119</v>
      </c>
      <c r="D2411" s="0" t="n">
        <v>40</v>
      </c>
      <c r="E2411" s="5" t="n">
        <v>45967.7394675926</v>
      </c>
      <c r="F2411" s="0" t="n">
        <v>4.95</v>
      </c>
      <c r="G2411" s="0" t="n">
        <v>17125</v>
      </c>
      <c r="H2411" s="6" t="s">
        <v>74</v>
      </c>
      <c r="I2411" s="6" t="n">
        <f aca="false">D2411*F2411</f>
        <v>198</v>
      </c>
      <c r="J2411" s="6" t="n">
        <f aca="false">HOUR(E2411)</f>
        <v>17</v>
      </c>
      <c r="K2411" s="6" t="n">
        <f aca="false">IF(COUNTIF($A$2:$A2411,A2411)=1,1,0)</f>
        <v>0</v>
      </c>
    </row>
    <row r="2412" customFormat="false" ht="15" hidden="false" customHeight="false" outlineLevel="0" collapsed="false">
      <c r="A2412" s="0" t="s">
        <v>556</v>
      </c>
      <c r="B2412" s="0" t="s">
        <v>61</v>
      </c>
      <c r="C2412" s="0" t="s">
        <v>62</v>
      </c>
      <c r="D2412" s="0" t="n">
        <v>1</v>
      </c>
      <c r="E2412" s="5" t="n">
        <v>45967.7394675926</v>
      </c>
      <c r="F2412" s="0" t="n">
        <v>1.65</v>
      </c>
      <c r="G2412" s="0" t="n">
        <v>17125</v>
      </c>
      <c r="H2412" s="6" t="s">
        <v>74</v>
      </c>
      <c r="I2412" s="6" t="n">
        <f aca="false">D2412*F2412</f>
        <v>1.65</v>
      </c>
      <c r="J2412" s="6" t="n">
        <f aca="false">HOUR(E2412)</f>
        <v>17</v>
      </c>
      <c r="K2412" s="6" t="n">
        <f aca="false">IF(COUNTIF($A$2:$A2412,A2412)=1,1,0)</f>
        <v>0</v>
      </c>
    </row>
    <row r="2413" customFormat="false" ht="15" hidden="false" customHeight="false" outlineLevel="0" collapsed="false">
      <c r="A2413" s="0" t="s">
        <v>557</v>
      </c>
      <c r="B2413" s="0" t="s">
        <v>109</v>
      </c>
      <c r="C2413" s="0" t="s">
        <v>110</v>
      </c>
      <c r="D2413" s="0" t="n">
        <v>8</v>
      </c>
      <c r="E2413" s="5" t="n">
        <v>45967.8525231482</v>
      </c>
      <c r="F2413" s="0" t="n">
        <v>0.85</v>
      </c>
      <c r="G2413" s="0" t="n">
        <v>17181</v>
      </c>
      <c r="H2413" s="6" t="s">
        <v>74</v>
      </c>
      <c r="I2413" s="6" t="n">
        <f aca="false">D2413*F2413</f>
        <v>6.8</v>
      </c>
      <c r="J2413" s="6" t="n">
        <f aca="false">HOUR(E2413)</f>
        <v>20</v>
      </c>
      <c r="K2413" s="6" t="n">
        <f aca="false">IF(COUNTIF($A$2:$A2413,A2413)=1,1,0)</f>
        <v>1</v>
      </c>
    </row>
    <row r="2414" customFormat="false" ht="15" hidden="false" customHeight="false" outlineLevel="0" collapsed="false">
      <c r="A2414" s="0" t="s">
        <v>557</v>
      </c>
      <c r="B2414" s="0" t="s">
        <v>116</v>
      </c>
      <c r="C2414" s="0" t="s">
        <v>117</v>
      </c>
      <c r="D2414" s="0" t="n">
        <v>21</v>
      </c>
      <c r="E2414" s="5" t="n">
        <v>45967.8525231482</v>
      </c>
      <c r="F2414" s="0" t="n">
        <v>1.95</v>
      </c>
      <c r="G2414" s="0" t="n">
        <v>17181</v>
      </c>
      <c r="H2414" s="6" t="s">
        <v>74</v>
      </c>
      <c r="I2414" s="6" t="n">
        <f aca="false">D2414*F2414</f>
        <v>40.95</v>
      </c>
      <c r="J2414" s="6" t="n">
        <f aca="false">HOUR(E2414)</f>
        <v>20</v>
      </c>
      <c r="K2414" s="6" t="n">
        <f aca="false">IF(COUNTIF($A$2:$A2414,A2414)=1,1,0)</f>
        <v>0</v>
      </c>
    </row>
    <row r="2415" customFormat="false" ht="15" hidden="false" customHeight="false" outlineLevel="0" collapsed="false">
      <c r="A2415" s="0" t="s">
        <v>557</v>
      </c>
      <c r="B2415" s="0" t="s">
        <v>125</v>
      </c>
      <c r="C2415" s="0" t="s">
        <v>126</v>
      </c>
      <c r="D2415" s="0" t="n">
        <v>6</v>
      </c>
      <c r="E2415" s="5" t="n">
        <v>45967.8525231482</v>
      </c>
      <c r="F2415" s="0" t="n">
        <v>1.25</v>
      </c>
      <c r="G2415" s="0" t="n">
        <v>17181</v>
      </c>
      <c r="H2415" s="6" t="s">
        <v>74</v>
      </c>
      <c r="I2415" s="6" t="n">
        <f aca="false">D2415*F2415</f>
        <v>7.5</v>
      </c>
      <c r="J2415" s="6" t="n">
        <f aca="false">HOUR(E2415)</f>
        <v>20</v>
      </c>
      <c r="K2415" s="6" t="n">
        <f aca="false">IF(COUNTIF($A$2:$A2415,A2415)=1,1,0)</f>
        <v>0</v>
      </c>
    </row>
    <row r="2416" customFormat="false" ht="15" hidden="false" customHeight="false" outlineLevel="0" collapsed="false">
      <c r="A2416" s="0" t="s">
        <v>558</v>
      </c>
      <c r="B2416" s="0" t="s">
        <v>47</v>
      </c>
      <c r="C2416" s="0" t="s">
        <v>48</v>
      </c>
      <c r="D2416" s="0" t="n">
        <v>33</v>
      </c>
      <c r="E2416" s="5" t="n">
        <v>45968.3440277778</v>
      </c>
      <c r="F2416" s="0" t="n">
        <v>12.75</v>
      </c>
      <c r="G2416" s="0" t="n">
        <v>17157</v>
      </c>
      <c r="H2416" s="6" t="s">
        <v>208</v>
      </c>
      <c r="I2416" s="6" t="n">
        <f aca="false">D2416*F2416</f>
        <v>420.75</v>
      </c>
      <c r="J2416" s="6" t="n">
        <f aca="false">HOUR(E2416)</f>
        <v>8</v>
      </c>
      <c r="K2416" s="6" t="n">
        <f aca="false">IF(COUNTIF($A$2:$A2416,A2416)=1,1,0)</f>
        <v>1</v>
      </c>
    </row>
    <row r="2417" customFormat="false" ht="15" hidden="false" customHeight="false" outlineLevel="0" collapsed="false">
      <c r="A2417" s="0" t="s">
        <v>559</v>
      </c>
      <c r="B2417" s="0" t="s">
        <v>79</v>
      </c>
      <c r="C2417" s="0" t="s">
        <v>80</v>
      </c>
      <c r="D2417" s="0" t="n">
        <v>9</v>
      </c>
      <c r="E2417" s="5" t="n">
        <v>45968.437337963</v>
      </c>
      <c r="F2417" s="0" t="n">
        <v>3.39</v>
      </c>
      <c r="G2417" s="0" t="n">
        <v>17068</v>
      </c>
      <c r="H2417" s="6" t="s">
        <v>42</v>
      </c>
      <c r="I2417" s="6" t="n">
        <f aca="false">D2417*F2417</f>
        <v>30.51</v>
      </c>
      <c r="J2417" s="6" t="n">
        <f aca="false">HOUR(E2417)</f>
        <v>10</v>
      </c>
      <c r="K2417" s="6" t="n">
        <f aca="false">IF(COUNTIF($A$2:$A2417,A2417)=1,1,0)</f>
        <v>1</v>
      </c>
    </row>
    <row r="2418" customFormat="false" ht="15" hidden="false" customHeight="false" outlineLevel="0" collapsed="false">
      <c r="A2418" s="0" t="s">
        <v>559</v>
      </c>
      <c r="B2418" s="0" t="s">
        <v>118</v>
      </c>
      <c r="C2418" s="0" t="s">
        <v>119</v>
      </c>
      <c r="D2418" s="0" t="n">
        <v>30</v>
      </c>
      <c r="E2418" s="5" t="n">
        <v>45968.437337963</v>
      </c>
      <c r="F2418" s="0" t="n">
        <v>4.95</v>
      </c>
      <c r="G2418" s="0" t="n">
        <v>17068</v>
      </c>
      <c r="H2418" s="6" t="s">
        <v>42</v>
      </c>
      <c r="I2418" s="6" t="n">
        <f aca="false">D2418*F2418</f>
        <v>148.5</v>
      </c>
      <c r="J2418" s="6" t="n">
        <f aca="false">HOUR(E2418)</f>
        <v>10</v>
      </c>
      <c r="K2418" s="6" t="n">
        <f aca="false">IF(COUNTIF($A$2:$A2418,A2418)=1,1,0)</f>
        <v>0</v>
      </c>
    </row>
    <row r="2419" customFormat="false" ht="15" hidden="false" customHeight="false" outlineLevel="0" collapsed="false">
      <c r="A2419" s="0" t="s">
        <v>559</v>
      </c>
      <c r="B2419" s="0" t="s">
        <v>121</v>
      </c>
      <c r="C2419" s="0" t="s">
        <v>122</v>
      </c>
      <c r="D2419" s="0" t="n">
        <v>23</v>
      </c>
      <c r="E2419" s="5" t="n">
        <v>45968.437337963</v>
      </c>
      <c r="F2419" s="0" t="n">
        <v>2.1</v>
      </c>
      <c r="G2419" s="0" t="n">
        <v>17068</v>
      </c>
      <c r="H2419" s="6" t="s">
        <v>42</v>
      </c>
      <c r="I2419" s="6" t="n">
        <f aca="false">D2419*F2419</f>
        <v>48.3</v>
      </c>
      <c r="J2419" s="6" t="n">
        <f aca="false">HOUR(E2419)</f>
        <v>10</v>
      </c>
      <c r="K2419" s="6" t="n">
        <f aca="false">IF(COUNTIF($A$2:$A2419,A2419)=1,1,0)</f>
        <v>0</v>
      </c>
    </row>
    <row r="2420" customFormat="false" ht="15" hidden="false" customHeight="false" outlineLevel="0" collapsed="false">
      <c r="A2420" s="0" t="s">
        <v>559</v>
      </c>
      <c r="B2420" s="0" t="s">
        <v>107</v>
      </c>
      <c r="C2420" s="0" t="s">
        <v>108</v>
      </c>
      <c r="D2420" s="0" t="n">
        <v>6</v>
      </c>
      <c r="E2420" s="5" t="n">
        <v>45968.437337963</v>
      </c>
      <c r="F2420" s="0" t="n">
        <v>3.75</v>
      </c>
      <c r="G2420" s="0" t="n">
        <v>17068</v>
      </c>
      <c r="H2420" s="6" t="s">
        <v>42</v>
      </c>
      <c r="I2420" s="6" t="n">
        <f aca="false">D2420*F2420</f>
        <v>22.5</v>
      </c>
      <c r="J2420" s="6" t="n">
        <f aca="false">HOUR(E2420)</f>
        <v>10</v>
      </c>
      <c r="K2420" s="6" t="n">
        <f aca="false">IF(COUNTIF($A$2:$A2420,A2420)=1,1,0)</f>
        <v>0</v>
      </c>
    </row>
    <row r="2421" customFormat="false" ht="15" hidden="false" customHeight="false" outlineLevel="0" collapsed="false">
      <c r="A2421" s="0" t="s">
        <v>559</v>
      </c>
      <c r="B2421" s="0" t="s">
        <v>47</v>
      </c>
      <c r="C2421" s="0" t="s">
        <v>48</v>
      </c>
      <c r="D2421" s="0" t="n">
        <v>7</v>
      </c>
      <c r="E2421" s="5" t="n">
        <v>45968.437337963</v>
      </c>
      <c r="F2421" s="0" t="n">
        <v>12.75</v>
      </c>
      <c r="G2421" s="0" t="n">
        <v>17068</v>
      </c>
      <c r="H2421" s="6" t="s">
        <v>42</v>
      </c>
      <c r="I2421" s="6" t="n">
        <f aca="false">D2421*F2421</f>
        <v>89.25</v>
      </c>
      <c r="J2421" s="6" t="n">
        <f aca="false">HOUR(E2421)</f>
        <v>10</v>
      </c>
      <c r="K2421" s="6" t="n">
        <f aca="false">IF(COUNTIF($A$2:$A2421,A2421)=1,1,0)</f>
        <v>0</v>
      </c>
    </row>
    <row r="2422" customFormat="false" ht="15" hidden="false" customHeight="false" outlineLevel="0" collapsed="false">
      <c r="A2422" s="0" t="s">
        <v>559</v>
      </c>
      <c r="B2422" s="0" t="s">
        <v>109</v>
      </c>
      <c r="C2422" s="0" t="s">
        <v>110</v>
      </c>
      <c r="D2422" s="0" t="n">
        <v>24</v>
      </c>
      <c r="E2422" s="5" t="n">
        <v>45968.437337963</v>
      </c>
      <c r="F2422" s="0" t="n">
        <v>0.85</v>
      </c>
      <c r="G2422" s="0" t="n">
        <v>17068</v>
      </c>
      <c r="H2422" s="6" t="s">
        <v>42</v>
      </c>
      <c r="I2422" s="6" t="n">
        <f aca="false">D2422*F2422</f>
        <v>20.4</v>
      </c>
      <c r="J2422" s="6" t="n">
        <f aca="false">HOUR(E2422)</f>
        <v>10</v>
      </c>
      <c r="K2422" s="6" t="n">
        <f aca="false">IF(COUNTIF($A$2:$A2422,A2422)=1,1,0)</f>
        <v>0</v>
      </c>
    </row>
    <row r="2423" customFormat="false" ht="15" hidden="false" customHeight="false" outlineLevel="0" collapsed="false">
      <c r="A2423" s="0" t="s">
        <v>560</v>
      </c>
      <c r="B2423" s="0" t="s">
        <v>79</v>
      </c>
      <c r="C2423" s="0" t="s">
        <v>80</v>
      </c>
      <c r="D2423" s="0" t="n">
        <v>13</v>
      </c>
      <c r="E2423" s="5" t="n">
        <v>45968.5188078704</v>
      </c>
      <c r="F2423" s="0" t="n">
        <v>3.39</v>
      </c>
      <c r="G2423" s="0" t="n">
        <v>17247</v>
      </c>
      <c r="H2423" s="6" t="s">
        <v>74</v>
      </c>
      <c r="I2423" s="6" t="n">
        <f aca="false">D2423*F2423</f>
        <v>44.07</v>
      </c>
      <c r="J2423" s="6" t="n">
        <f aca="false">HOUR(E2423)</f>
        <v>12</v>
      </c>
      <c r="K2423" s="6" t="n">
        <f aca="false">IF(COUNTIF($A$2:$A2423,A2423)=1,1,0)</f>
        <v>1</v>
      </c>
    </row>
    <row r="2424" customFormat="false" ht="15" hidden="false" customHeight="false" outlineLevel="0" collapsed="false">
      <c r="A2424" s="0" t="s">
        <v>560</v>
      </c>
      <c r="B2424" s="0" t="s">
        <v>77</v>
      </c>
      <c r="C2424" s="0" t="s">
        <v>78</v>
      </c>
      <c r="D2424" s="0" t="n">
        <v>24</v>
      </c>
      <c r="E2424" s="5" t="n">
        <v>45968.5188078704</v>
      </c>
      <c r="F2424" s="0" t="n">
        <v>1.65</v>
      </c>
      <c r="G2424" s="0" t="n">
        <v>17247</v>
      </c>
      <c r="H2424" s="6" t="s">
        <v>74</v>
      </c>
      <c r="I2424" s="6" t="n">
        <f aca="false">D2424*F2424</f>
        <v>39.6</v>
      </c>
      <c r="J2424" s="6" t="n">
        <f aca="false">HOUR(E2424)</f>
        <v>12</v>
      </c>
      <c r="K2424" s="6" t="n">
        <f aca="false">IF(COUNTIF($A$2:$A2424,A2424)=1,1,0)</f>
        <v>0</v>
      </c>
    </row>
    <row r="2425" customFormat="false" ht="15" hidden="false" customHeight="false" outlineLevel="0" collapsed="false">
      <c r="A2425" s="0" t="s">
        <v>560</v>
      </c>
      <c r="B2425" s="0" t="s">
        <v>69</v>
      </c>
      <c r="C2425" s="0" t="s">
        <v>70</v>
      </c>
      <c r="D2425" s="0" t="n">
        <v>42</v>
      </c>
      <c r="E2425" s="5" t="n">
        <v>45968.5188078704</v>
      </c>
      <c r="F2425" s="0" t="n">
        <v>2.08</v>
      </c>
      <c r="G2425" s="0" t="n">
        <v>17247</v>
      </c>
      <c r="H2425" s="6" t="s">
        <v>74</v>
      </c>
      <c r="I2425" s="6" t="n">
        <f aca="false">D2425*F2425</f>
        <v>87.36</v>
      </c>
      <c r="J2425" s="6" t="n">
        <f aca="false">HOUR(E2425)</f>
        <v>12</v>
      </c>
      <c r="K2425" s="6" t="n">
        <f aca="false">IF(COUNTIF($A$2:$A2425,A2425)=1,1,0)</f>
        <v>0</v>
      </c>
    </row>
    <row r="2426" customFormat="false" ht="15" hidden="false" customHeight="false" outlineLevel="0" collapsed="false">
      <c r="A2426" s="0" t="s">
        <v>560</v>
      </c>
      <c r="B2426" s="0" t="s">
        <v>40</v>
      </c>
      <c r="C2426" s="0" t="s">
        <v>41</v>
      </c>
      <c r="D2426" s="0" t="n">
        <v>12</v>
      </c>
      <c r="E2426" s="5" t="n">
        <v>45968.5188078704</v>
      </c>
      <c r="F2426" s="0" t="n">
        <v>1.06</v>
      </c>
      <c r="G2426" s="0" t="n">
        <v>17247</v>
      </c>
      <c r="H2426" s="6" t="s">
        <v>74</v>
      </c>
      <c r="I2426" s="6" t="n">
        <f aca="false">D2426*F2426</f>
        <v>12.72</v>
      </c>
      <c r="J2426" s="6" t="n">
        <f aca="false">HOUR(E2426)</f>
        <v>12</v>
      </c>
      <c r="K2426" s="6" t="n">
        <f aca="false">IF(COUNTIF($A$2:$A2426,A2426)=1,1,0)</f>
        <v>0</v>
      </c>
    </row>
    <row r="2427" customFormat="false" ht="15" hidden="false" customHeight="false" outlineLevel="0" collapsed="false">
      <c r="A2427" s="0" t="s">
        <v>560</v>
      </c>
      <c r="B2427" s="0" t="s">
        <v>104</v>
      </c>
      <c r="C2427" s="0" t="s">
        <v>105</v>
      </c>
      <c r="D2427" s="0" t="n">
        <v>23</v>
      </c>
      <c r="E2427" s="5" t="n">
        <v>45968.5188078704</v>
      </c>
      <c r="F2427" s="0" t="n">
        <v>1.65</v>
      </c>
      <c r="G2427" s="0" t="n">
        <v>17247</v>
      </c>
      <c r="H2427" s="6" t="s">
        <v>74</v>
      </c>
      <c r="I2427" s="6" t="n">
        <f aca="false">D2427*F2427</f>
        <v>37.95</v>
      </c>
      <c r="J2427" s="6" t="n">
        <f aca="false">HOUR(E2427)</f>
        <v>12</v>
      </c>
      <c r="K2427" s="6" t="n">
        <f aca="false">IF(COUNTIF($A$2:$A2427,A2427)=1,1,0)</f>
        <v>0</v>
      </c>
    </row>
    <row r="2428" customFormat="false" ht="15" hidden="false" customHeight="false" outlineLevel="0" collapsed="false">
      <c r="A2428" s="0" t="s">
        <v>561</v>
      </c>
      <c r="B2428" s="0" t="s">
        <v>102</v>
      </c>
      <c r="C2428" s="0" t="s">
        <v>103</v>
      </c>
      <c r="D2428" s="0" t="n">
        <v>39</v>
      </c>
      <c r="E2428" s="5" t="n">
        <v>45968.5270949074</v>
      </c>
      <c r="F2428" s="0" t="n">
        <v>8.5</v>
      </c>
      <c r="G2428" s="0" t="n">
        <v>17076</v>
      </c>
      <c r="H2428" s="6" t="s">
        <v>74</v>
      </c>
      <c r="I2428" s="6" t="n">
        <f aca="false">D2428*F2428</f>
        <v>331.5</v>
      </c>
      <c r="J2428" s="6" t="n">
        <f aca="false">HOUR(E2428)</f>
        <v>12</v>
      </c>
      <c r="K2428" s="6" t="n">
        <f aca="false">IF(COUNTIF($A$2:$A2428,A2428)=1,1,0)</f>
        <v>1</v>
      </c>
    </row>
    <row r="2429" customFormat="false" ht="15" hidden="false" customHeight="false" outlineLevel="0" collapsed="false">
      <c r="A2429" s="0" t="s">
        <v>561</v>
      </c>
      <c r="B2429" s="0" t="s">
        <v>69</v>
      </c>
      <c r="C2429" s="0" t="s">
        <v>70</v>
      </c>
      <c r="D2429" s="0" t="n">
        <v>36</v>
      </c>
      <c r="E2429" s="5" t="n">
        <v>45968.5270949074</v>
      </c>
      <c r="F2429" s="0" t="n">
        <v>2.08</v>
      </c>
      <c r="G2429" s="0" t="n">
        <v>17076</v>
      </c>
      <c r="H2429" s="6" t="s">
        <v>74</v>
      </c>
      <c r="I2429" s="6" t="n">
        <f aca="false">D2429*F2429</f>
        <v>74.88</v>
      </c>
      <c r="J2429" s="6" t="n">
        <f aca="false">HOUR(E2429)</f>
        <v>12</v>
      </c>
      <c r="K2429" s="6" t="n">
        <f aca="false">IF(COUNTIF($A$2:$A2429,A2429)=1,1,0)</f>
        <v>0</v>
      </c>
    </row>
    <row r="2430" customFormat="false" ht="15" hidden="false" customHeight="false" outlineLevel="0" collapsed="false">
      <c r="A2430" s="0" t="s">
        <v>561</v>
      </c>
      <c r="B2430" s="0" t="s">
        <v>47</v>
      </c>
      <c r="C2430" s="0" t="s">
        <v>48</v>
      </c>
      <c r="D2430" s="0" t="n">
        <v>32</v>
      </c>
      <c r="E2430" s="5" t="n">
        <v>45968.5270949074</v>
      </c>
      <c r="F2430" s="0" t="n">
        <v>12.75</v>
      </c>
      <c r="G2430" s="0" t="n">
        <v>17076</v>
      </c>
      <c r="H2430" s="6" t="s">
        <v>74</v>
      </c>
      <c r="I2430" s="6" t="n">
        <f aca="false">D2430*F2430</f>
        <v>408</v>
      </c>
      <c r="J2430" s="6" t="n">
        <f aca="false">HOUR(E2430)</f>
        <v>12</v>
      </c>
      <c r="K2430" s="6" t="n">
        <f aca="false">IF(COUNTIF($A$2:$A2430,A2430)=1,1,0)</f>
        <v>0</v>
      </c>
    </row>
    <row r="2431" customFormat="false" ht="15" hidden="false" customHeight="false" outlineLevel="0" collapsed="false">
      <c r="A2431" s="0" t="s">
        <v>561</v>
      </c>
      <c r="B2431" s="0" t="s">
        <v>43</v>
      </c>
      <c r="C2431" s="0" t="s">
        <v>44</v>
      </c>
      <c r="D2431" s="0" t="n">
        <v>17</v>
      </c>
      <c r="E2431" s="5" t="n">
        <v>45968.5270949074</v>
      </c>
      <c r="F2431" s="0" t="n">
        <v>4.25</v>
      </c>
      <c r="G2431" s="0" t="n">
        <v>17076</v>
      </c>
      <c r="H2431" s="6" t="s">
        <v>74</v>
      </c>
      <c r="I2431" s="6" t="n">
        <f aca="false">D2431*F2431</f>
        <v>72.25</v>
      </c>
      <c r="J2431" s="6" t="n">
        <f aca="false">HOUR(E2431)</f>
        <v>12</v>
      </c>
      <c r="K2431" s="6" t="n">
        <f aca="false">IF(COUNTIF($A$2:$A2431,A2431)=1,1,0)</f>
        <v>0</v>
      </c>
    </row>
    <row r="2432" customFormat="false" ht="15" hidden="false" customHeight="false" outlineLevel="0" collapsed="false">
      <c r="A2432" s="0" t="s">
        <v>561</v>
      </c>
      <c r="B2432" s="0" t="s">
        <v>81</v>
      </c>
      <c r="C2432" s="0" t="s">
        <v>82</v>
      </c>
      <c r="D2432" s="0" t="n">
        <v>19</v>
      </c>
      <c r="E2432" s="5" t="n">
        <v>45968.5270949074</v>
      </c>
      <c r="F2432" s="0" t="n">
        <v>1.65</v>
      </c>
      <c r="G2432" s="0" t="n">
        <v>17076</v>
      </c>
      <c r="H2432" s="6" t="s">
        <v>74</v>
      </c>
      <c r="I2432" s="6" t="n">
        <f aca="false">D2432*F2432</f>
        <v>31.35</v>
      </c>
      <c r="J2432" s="6" t="n">
        <f aca="false">HOUR(E2432)</f>
        <v>12</v>
      </c>
      <c r="K2432" s="6" t="n">
        <f aca="false">IF(COUNTIF($A$2:$A2432,A2432)=1,1,0)</f>
        <v>0</v>
      </c>
    </row>
    <row r="2433" customFormat="false" ht="15" hidden="false" customHeight="false" outlineLevel="0" collapsed="false">
      <c r="A2433" s="0" t="s">
        <v>561</v>
      </c>
      <c r="B2433" s="0" t="s">
        <v>40</v>
      </c>
      <c r="C2433" s="0" t="s">
        <v>41</v>
      </c>
      <c r="D2433" s="0" t="n">
        <v>8</v>
      </c>
      <c r="E2433" s="5" t="n">
        <v>45968.5270949074</v>
      </c>
      <c r="F2433" s="0" t="n">
        <v>1.06</v>
      </c>
      <c r="G2433" s="0" t="n">
        <v>17076</v>
      </c>
      <c r="H2433" s="6" t="s">
        <v>74</v>
      </c>
      <c r="I2433" s="6" t="n">
        <f aca="false">D2433*F2433</f>
        <v>8.48</v>
      </c>
      <c r="J2433" s="6" t="n">
        <f aca="false">HOUR(E2433)</f>
        <v>12</v>
      </c>
      <c r="K2433" s="6" t="n">
        <f aca="false">IF(COUNTIF($A$2:$A2433,A2433)=1,1,0)</f>
        <v>0</v>
      </c>
    </row>
    <row r="2434" customFormat="false" ht="15" hidden="false" customHeight="false" outlineLevel="0" collapsed="false">
      <c r="A2434" s="0" t="s">
        <v>561</v>
      </c>
      <c r="B2434" s="0" t="s">
        <v>79</v>
      </c>
      <c r="C2434" s="0" t="s">
        <v>80</v>
      </c>
      <c r="D2434" s="0" t="n">
        <v>22</v>
      </c>
      <c r="E2434" s="5" t="n">
        <v>45968.5270949074</v>
      </c>
      <c r="F2434" s="0" t="n">
        <v>3.39</v>
      </c>
      <c r="G2434" s="0" t="n">
        <v>17076</v>
      </c>
      <c r="H2434" s="6" t="s">
        <v>74</v>
      </c>
      <c r="I2434" s="6" t="n">
        <f aca="false">D2434*F2434</f>
        <v>74.58</v>
      </c>
      <c r="J2434" s="6" t="n">
        <f aca="false">HOUR(E2434)</f>
        <v>12</v>
      </c>
      <c r="K2434" s="6" t="n">
        <f aca="false">IF(COUNTIF($A$2:$A2434,A2434)=1,1,0)</f>
        <v>0</v>
      </c>
    </row>
    <row r="2435" customFormat="false" ht="15" hidden="false" customHeight="false" outlineLevel="0" collapsed="false">
      <c r="A2435" s="0" t="s">
        <v>561</v>
      </c>
      <c r="B2435" s="0" t="s">
        <v>86</v>
      </c>
      <c r="C2435" s="0" t="s">
        <v>87</v>
      </c>
      <c r="D2435" s="0" t="n">
        <v>13</v>
      </c>
      <c r="E2435" s="5" t="n">
        <v>45968.5270949074</v>
      </c>
      <c r="F2435" s="0" t="n">
        <v>4.25</v>
      </c>
      <c r="G2435" s="0" t="n">
        <v>17076</v>
      </c>
      <c r="H2435" s="6" t="s">
        <v>74</v>
      </c>
      <c r="I2435" s="6" t="n">
        <f aca="false">D2435*F2435</f>
        <v>55.25</v>
      </c>
      <c r="J2435" s="6" t="n">
        <f aca="false">HOUR(E2435)</f>
        <v>12</v>
      </c>
      <c r="K2435" s="6" t="n">
        <f aca="false">IF(COUNTIF($A$2:$A2435,A2435)=1,1,0)</f>
        <v>0</v>
      </c>
    </row>
    <row r="2436" customFormat="false" ht="15" hidden="false" customHeight="false" outlineLevel="0" collapsed="false">
      <c r="A2436" s="0" t="s">
        <v>561</v>
      </c>
      <c r="B2436" s="0" t="s">
        <v>45</v>
      </c>
      <c r="C2436" s="0" t="s">
        <v>46</v>
      </c>
      <c r="D2436" s="0" t="n">
        <v>21</v>
      </c>
      <c r="E2436" s="5" t="n">
        <v>45968.5270949074</v>
      </c>
      <c r="F2436" s="0" t="n">
        <v>2.1</v>
      </c>
      <c r="G2436" s="0" t="n">
        <v>17076</v>
      </c>
      <c r="H2436" s="6" t="s">
        <v>74</v>
      </c>
      <c r="I2436" s="6" t="n">
        <f aca="false">D2436*F2436</f>
        <v>44.1</v>
      </c>
      <c r="J2436" s="6" t="n">
        <f aca="false">HOUR(E2436)</f>
        <v>12</v>
      </c>
      <c r="K2436" s="6" t="n">
        <f aca="false">IF(COUNTIF($A$2:$A2436,A2436)=1,1,0)</f>
        <v>0</v>
      </c>
    </row>
    <row r="2437" customFormat="false" ht="15" hidden="false" customHeight="false" outlineLevel="0" collapsed="false">
      <c r="A2437" s="0" t="s">
        <v>561</v>
      </c>
      <c r="B2437" s="0" t="s">
        <v>140</v>
      </c>
      <c r="C2437" s="0" t="s">
        <v>141</v>
      </c>
      <c r="D2437" s="0" t="n">
        <v>3</v>
      </c>
      <c r="E2437" s="5" t="n">
        <v>45968.5270949074</v>
      </c>
      <c r="F2437" s="0" t="n">
        <v>2.08</v>
      </c>
      <c r="G2437" s="0" t="n">
        <v>17076</v>
      </c>
      <c r="H2437" s="6" t="s">
        <v>74</v>
      </c>
      <c r="I2437" s="6" t="n">
        <f aca="false">D2437*F2437</f>
        <v>6.24</v>
      </c>
      <c r="J2437" s="6" t="n">
        <f aca="false">HOUR(E2437)</f>
        <v>12</v>
      </c>
      <c r="K2437" s="6" t="n">
        <f aca="false">IF(COUNTIF($A$2:$A2437,A2437)=1,1,0)</f>
        <v>0</v>
      </c>
    </row>
    <row r="2438" customFormat="false" ht="15" hidden="false" customHeight="false" outlineLevel="0" collapsed="false">
      <c r="A2438" s="0" t="s">
        <v>562</v>
      </c>
      <c r="B2438" s="0" t="s">
        <v>83</v>
      </c>
      <c r="C2438" s="0" t="s">
        <v>84</v>
      </c>
      <c r="D2438" s="0" t="n">
        <v>12</v>
      </c>
      <c r="E2438" s="5" t="n">
        <v>45968.5313078704</v>
      </c>
      <c r="F2438" s="0" t="n">
        <v>2.95</v>
      </c>
      <c r="G2438" s="0" t="n">
        <v>17197</v>
      </c>
      <c r="H2438" s="6" t="s">
        <v>74</v>
      </c>
      <c r="I2438" s="6" t="n">
        <f aca="false">D2438*F2438</f>
        <v>35.4</v>
      </c>
      <c r="J2438" s="6" t="n">
        <f aca="false">HOUR(E2438)</f>
        <v>12</v>
      </c>
      <c r="K2438" s="6" t="n">
        <f aca="false">IF(COUNTIF($A$2:$A2438,A2438)=1,1,0)</f>
        <v>1</v>
      </c>
    </row>
    <row r="2439" customFormat="false" ht="15" hidden="false" customHeight="false" outlineLevel="0" collapsed="false">
      <c r="A2439" s="0" t="s">
        <v>562</v>
      </c>
      <c r="B2439" s="0" t="s">
        <v>75</v>
      </c>
      <c r="C2439" s="0" t="s">
        <v>76</v>
      </c>
      <c r="D2439" s="0" t="n">
        <v>5</v>
      </c>
      <c r="E2439" s="5" t="n">
        <v>45968.5313078704</v>
      </c>
      <c r="F2439" s="0" t="n">
        <v>3.39</v>
      </c>
      <c r="G2439" s="0" t="n">
        <v>17197</v>
      </c>
      <c r="H2439" s="6" t="s">
        <v>74</v>
      </c>
      <c r="I2439" s="6" t="n">
        <f aca="false">D2439*F2439</f>
        <v>16.95</v>
      </c>
      <c r="J2439" s="6" t="n">
        <f aca="false">HOUR(E2439)</f>
        <v>12</v>
      </c>
      <c r="K2439" s="6" t="n">
        <f aca="false">IF(COUNTIF($A$2:$A2439,A2439)=1,1,0)</f>
        <v>0</v>
      </c>
    </row>
    <row r="2440" customFormat="false" ht="15" hidden="false" customHeight="false" outlineLevel="0" collapsed="false">
      <c r="A2440" s="0" t="s">
        <v>562</v>
      </c>
      <c r="B2440" s="0" t="s">
        <v>86</v>
      </c>
      <c r="C2440" s="0" t="s">
        <v>87</v>
      </c>
      <c r="D2440" s="0" t="n">
        <v>16</v>
      </c>
      <c r="E2440" s="5" t="n">
        <v>45968.5313078704</v>
      </c>
      <c r="F2440" s="0" t="n">
        <v>4.25</v>
      </c>
      <c r="G2440" s="0" t="n">
        <v>17197</v>
      </c>
      <c r="H2440" s="6" t="s">
        <v>74</v>
      </c>
      <c r="I2440" s="6" t="n">
        <f aca="false">D2440*F2440</f>
        <v>68</v>
      </c>
      <c r="J2440" s="6" t="n">
        <f aca="false">HOUR(E2440)</f>
        <v>12</v>
      </c>
      <c r="K2440" s="6" t="n">
        <f aca="false">IF(COUNTIF($A$2:$A2440,A2440)=1,1,0)</f>
        <v>0</v>
      </c>
    </row>
    <row r="2441" customFormat="false" ht="15" hidden="false" customHeight="false" outlineLevel="0" collapsed="false">
      <c r="A2441" s="0" t="s">
        <v>562</v>
      </c>
      <c r="B2441" s="0" t="s">
        <v>77</v>
      </c>
      <c r="C2441" s="0" t="s">
        <v>78</v>
      </c>
      <c r="D2441" s="0" t="n">
        <v>19</v>
      </c>
      <c r="E2441" s="5" t="n">
        <v>45968.5313078704</v>
      </c>
      <c r="F2441" s="0" t="n">
        <v>1.65</v>
      </c>
      <c r="G2441" s="0" t="n">
        <v>17197</v>
      </c>
      <c r="H2441" s="6" t="s">
        <v>74</v>
      </c>
      <c r="I2441" s="6" t="n">
        <f aca="false">D2441*F2441</f>
        <v>31.35</v>
      </c>
      <c r="J2441" s="6" t="n">
        <f aca="false">HOUR(E2441)</f>
        <v>12</v>
      </c>
      <c r="K2441" s="6" t="n">
        <f aca="false">IF(COUNTIF($A$2:$A2441,A2441)=1,1,0)</f>
        <v>0</v>
      </c>
    </row>
    <row r="2442" customFormat="false" ht="15" hidden="false" customHeight="false" outlineLevel="0" collapsed="false">
      <c r="A2442" s="0" t="s">
        <v>562</v>
      </c>
      <c r="B2442" s="0" t="s">
        <v>81</v>
      </c>
      <c r="C2442" s="0" t="s">
        <v>82</v>
      </c>
      <c r="D2442" s="0" t="n">
        <v>2</v>
      </c>
      <c r="E2442" s="5" t="n">
        <v>45968.5313078704</v>
      </c>
      <c r="F2442" s="0" t="n">
        <v>1.65</v>
      </c>
      <c r="G2442" s="0" t="n">
        <v>17197</v>
      </c>
      <c r="H2442" s="6" t="s">
        <v>74</v>
      </c>
      <c r="I2442" s="6" t="n">
        <f aca="false">D2442*F2442</f>
        <v>3.3</v>
      </c>
      <c r="J2442" s="6" t="n">
        <f aca="false">HOUR(E2442)</f>
        <v>12</v>
      </c>
      <c r="K2442" s="6" t="n">
        <f aca="false">IF(COUNTIF($A$2:$A2442,A2442)=1,1,0)</f>
        <v>0</v>
      </c>
    </row>
    <row r="2443" customFormat="false" ht="15" hidden="false" customHeight="false" outlineLevel="0" collapsed="false">
      <c r="A2443" s="0" t="s">
        <v>562</v>
      </c>
      <c r="B2443" s="0" t="s">
        <v>93</v>
      </c>
      <c r="C2443" s="0" t="s">
        <v>94</v>
      </c>
      <c r="D2443" s="0" t="n">
        <v>9</v>
      </c>
      <c r="E2443" s="5" t="n">
        <v>45968.5313078704</v>
      </c>
      <c r="F2443" s="0" t="n">
        <v>1.69</v>
      </c>
      <c r="G2443" s="0" t="n">
        <v>17197</v>
      </c>
      <c r="H2443" s="6" t="s">
        <v>74</v>
      </c>
      <c r="I2443" s="6" t="n">
        <f aca="false">D2443*F2443</f>
        <v>15.21</v>
      </c>
      <c r="J2443" s="6" t="n">
        <f aca="false">HOUR(E2443)</f>
        <v>12</v>
      </c>
      <c r="K2443" s="6" t="n">
        <f aca="false">IF(COUNTIF($A$2:$A2443,A2443)=1,1,0)</f>
        <v>0</v>
      </c>
    </row>
    <row r="2444" customFormat="false" ht="15" hidden="false" customHeight="false" outlineLevel="0" collapsed="false">
      <c r="A2444" s="0" t="s">
        <v>562</v>
      </c>
      <c r="B2444" s="0" t="s">
        <v>65</v>
      </c>
      <c r="C2444" s="0" t="s">
        <v>66</v>
      </c>
      <c r="D2444" s="0" t="n">
        <v>12</v>
      </c>
      <c r="E2444" s="5" t="n">
        <v>45968.5313078704</v>
      </c>
      <c r="F2444" s="0" t="n">
        <v>1.65</v>
      </c>
      <c r="G2444" s="0" t="n">
        <v>17197</v>
      </c>
      <c r="H2444" s="6" t="s">
        <v>74</v>
      </c>
      <c r="I2444" s="6" t="n">
        <f aca="false">D2444*F2444</f>
        <v>19.8</v>
      </c>
      <c r="J2444" s="6" t="n">
        <f aca="false">HOUR(E2444)</f>
        <v>12</v>
      </c>
      <c r="K2444" s="6" t="n">
        <f aca="false">IF(COUNTIF($A$2:$A2444,A2444)=1,1,0)</f>
        <v>0</v>
      </c>
    </row>
    <row r="2445" customFormat="false" ht="15" hidden="false" customHeight="false" outlineLevel="0" collapsed="false">
      <c r="A2445" s="0" t="s">
        <v>562</v>
      </c>
      <c r="B2445" s="0" t="s">
        <v>91</v>
      </c>
      <c r="C2445" s="0" t="s">
        <v>92</v>
      </c>
      <c r="D2445" s="0" t="n">
        <v>5</v>
      </c>
      <c r="E2445" s="5" t="n">
        <v>45968.5313078704</v>
      </c>
      <c r="F2445" s="0" t="n">
        <v>7.65</v>
      </c>
      <c r="G2445" s="0" t="n">
        <v>17197</v>
      </c>
      <c r="H2445" s="6" t="s">
        <v>74</v>
      </c>
      <c r="I2445" s="6" t="n">
        <f aca="false">D2445*F2445</f>
        <v>38.25</v>
      </c>
      <c r="J2445" s="6" t="n">
        <f aca="false">HOUR(E2445)</f>
        <v>12</v>
      </c>
      <c r="K2445" s="6" t="n">
        <f aca="false">IF(COUNTIF($A$2:$A2445,A2445)=1,1,0)</f>
        <v>0</v>
      </c>
    </row>
    <row r="2446" customFormat="false" ht="15" hidden="false" customHeight="false" outlineLevel="0" collapsed="false">
      <c r="A2446" s="0" t="s">
        <v>562</v>
      </c>
      <c r="B2446" s="0" t="s">
        <v>118</v>
      </c>
      <c r="C2446" s="0" t="s">
        <v>119</v>
      </c>
      <c r="D2446" s="0" t="n">
        <v>28</v>
      </c>
      <c r="E2446" s="5" t="n">
        <v>45968.5313078704</v>
      </c>
      <c r="F2446" s="0" t="n">
        <v>4.95</v>
      </c>
      <c r="G2446" s="0" t="n">
        <v>17197</v>
      </c>
      <c r="H2446" s="6" t="s">
        <v>74</v>
      </c>
      <c r="I2446" s="6" t="n">
        <f aca="false">D2446*F2446</f>
        <v>138.6</v>
      </c>
      <c r="J2446" s="6" t="n">
        <f aca="false">HOUR(E2446)</f>
        <v>12</v>
      </c>
      <c r="K2446" s="6" t="n">
        <f aca="false">IF(COUNTIF($A$2:$A2446,A2446)=1,1,0)</f>
        <v>0</v>
      </c>
    </row>
    <row r="2447" customFormat="false" ht="15" hidden="false" customHeight="false" outlineLevel="0" collapsed="false">
      <c r="A2447" s="0" t="s">
        <v>562</v>
      </c>
      <c r="B2447" s="0" t="s">
        <v>137</v>
      </c>
      <c r="C2447" s="0" t="s">
        <v>138</v>
      </c>
      <c r="D2447" s="0" t="n">
        <v>9</v>
      </c>
      <c r="E2447" s="5" t="n">
        <v>45968.5313078704</v>
      </c>
      <c r="F2447" s="0" t="n">
        <v>2.1</v>
      </c>
      <c r="G2447" s="0" t="n">
        <v>17197</v>
      </c>
      <c r="H2447" s="6" t="s">
        <v>74</v>
      </c>
      <c r="I2447" s="6" t="n">
        <f aca="false">D2447*F2447</f>
        <v>18.9</v>
      </c>
      <c r="J2447" s="6" t="n">
        <f aca="false">HOUR(E2447)</f>
        <v>12</v>
      </c>
      <c r="K2447" s="6" t="n">
        <f aca="false">IF(COUNTIF($A$2:$A2447,A2447)=1,1,0)</f>
        <v>0</v>
      </c>
    </row>
    <row r="2448" customFormat="false" ht="15" hidden="false" customHeight="false" outlineLevel="0" collapsed="false">
      <c r="A2448" s="0" t="s">
        <v>563</v>
      </c>
      <c r="B2448" s="0" t="s">
        <v>47</v>
      </c>
      <c r="C2448" s="0" t="s">
        <v>48</v>
      </c>
      <c r="D2448" s="0" t="n">
        <v>45</v>
      </c>
      <c r="E2448" s="5" t="n">
        <v>45968.5346296296</v>
      </c>
      <c r="F2448" s="0" t="n">
        <v>12.75</v>
      </c>
      <c r="G2448" s="0" t="n">
        <v>17182</v>
      </c>
      <c r="H2448" s="6" t="s">
        <v>74</v>
      </c>
      <c r="I2448" s="6" t="n">
        <f aca="false">D2448*F2448</f>
        <v>573.75</v>
      </c>
      <c r="J2448" s="6" t="n">
        <f aca="false">HOUR(E2448)</f>
        <v>12</v>
      </c>
      <c r="K2448" s="6" t="n">
        <f aca="false">IF(COUNTIF($A$2:$A2448,A2448)=1,1,0)</f>
        <v>1</v>
      </c>
    </row>
    <row r="2449" customFormat="false" ht="15" hidden="false" customHeight="false" outlineLevel="0" collapsed="false">
      <c r="A2449" s="0" t="s">
        <v>563</v>
      </c>
      <c r="B2449" s="0" t="s">
        <v>134</v>
      </c>
      <c r="C2449" s="0" t="s">
        <v>135</v>
      </c>
      <c r="D2449" s="0" t="n">
        <v>8</v>
      </c>
      <c r="E2449" s="5" t="n">
        <v>45968.5346296296</v>
      </c>
      <c r="F2449" s="0" t="n">
        <v>5.95</v>
      </c>
      <c r="G2449" s="0" t="n">
        <v>17182</v>
      </c>
      <c r="H2449" s="6" t="s">
        <v>74</v>
      </c>
      <c r="I2449" s="6" t="n">
        <f aca="false">D2449*F2449</f>
        <v>47.6</v>
      </c>
      <c r="J2449" s="6" t="n">
        <f aca="false">HOUR(E2449)</f>
        <v>12</v>
      </c>
      <c r="K2449" s="6" t="n">
        <f aca="false">IF(COUNTIF($A$2:$A2449,A2449)=1,1,0)</f>
        <v>0</v>
      </c>
    </row>
    <row r="2450" customFormat="false" ht="15" hidden="false" customHeight="false" outlineLevel="0" collapsed="false">
      <c r="A2450" s="0" t="s">
        <v>563</v>
      </c>
      <c r="B2450" s="0" t="s">
        <v>63</v>
      </c>
      <c r="C2450" s="0" t="s">
        <v>64</v>
      </c>
      <c r="D2450" s="0" t="n">
        <v>9</v>
      </c>
      <c r="E2450" s="5" t="n">
        <v>45968.5346296296</v>
      </c>
      <c r="F2450" s="0" t="n">
        <v>1.85</v>
      </c>
      <c r="G2450" s="0" t="n">
        <v>17182</v>
      </c>
      <c r="H2450" s="6" t="s">
        <v>74</v>
      </c>
      <c r="I2450" s="6" t="n">
        <f aca="false">D2450*F2450</f>
        <v>16.65</v>
      </c>
      <c r="J2450" s="6" t="n">
        <f aca="false">HOUR(E2450)</f>
        <v>12</v>
      </c>
      <c r="K2450" s="6" t="n">
        <f aca="false">IF(COUNTIF($A$2:$A2450,A2450)=1,1,0)</f>
        <v>0</v>
      </c>
    </row>
    <row r="2451" customFormat="false" ht="15" hidden="false" customHeight="false" outlineLevel="0" collapsed="false">
      <c r="A2451" s="0" t="s">
        <v>563</v>
      </c>
      <c r="B2451" s="0" t="s">
        <v>88</v>
      </c>
      <c r="C2451" s="0" t="s">
        <v>89</v>
      </c>
      <c r="D2451" s="0" t="n">
        <v>16</v>
      </c>
      <c r="E2451" s="5" t="n">
        <v>45968.5346296296</v>
      </c>
      <c r="F2451" s="0" t="n">
        <v>2.75</v>
      </c>
      <c r="G2451" s="0" t="n">
        <v>17182</v>
      </c>
      <c r="H2451" s="6" t="s">
        <v>74</v>
      </c>
      <c r="I2451" s="6" t="n">
        <f aca="false">D2451*F2451</f>
        <v>44</v>
      </c>
      <c r="J2451" s="6" t="n">
        <f aca="false">HOUR(E2451)</f>
        <v>12</v>
      </c>
      <c r="K2451" s="6" t="n">
        <f aca="false">IF(COUNTIF($A$2:$A2451,A2451)=1,1,0)</f>
        <v>0</v>
      </c>
    </row>
    <row r="2452" customFormat="false" ht="15" hidden="false" customHeight="false" outlineLevel="0" collapsed="false">
      <c r="A2452" s="0" t="s">
        <v>563</v>
      </c>
      <c r="B2452" s="0" t="s">
        <v>140</v>
      </c>
      <c r="C2452" s="0" t="s">
        <v>141</v>
      </c>
      <c r="D2452" s="0" t="n">
        <v>18</v>
      </c>
      <c r="E2452" s="5" t="n">
        <v>45968.5346296296</v>
      </c>
      <c r="F2452" s="0" t="n">
        <v>2.08</v>
      </c>
      <c r="G2452" s="0" t="n">
        <v>17182</v>
      </c>
      <c r="H2452" s="6" t="s">
        <v>74</v>
      </c>
      <c r="I2452" s="6" t="n">
        <f aca="false">D2452*F2452</f>
        <v>37.44</v>
      </c>
      <c r="J2452" s="6" t="n">
        <f aca="false">HOUR(E2452)</f>
        <v>12</v>
      </c>
      <c r="K2452" s="6" t="n">
        <f aca="false">IF(COUNTIF($A$2:$A2452,A2452)=1,1,0)</f>
        <v>0</v>
      </c>
    </row>
    <row r="2453" customFormat="false" ht="15" hidden="false" customHeight="false" outlineLevel="0" collapsed="false">
      <c r="A2453" s="0" t="s">
        <v>563</v>
      </c>
      <c r="B2453" s="0" t="s">
        <v>57</v>
      </c>
      <c r="C2453" s="0" t="s">
        <v>58</v>
      </c>
      <c r="D2453" s="0" t="n">
        <v>24</v>
      </c>
      <c r="E2453" s="5" t="n">
        <v>45968.5346296296</v>
      </c>
      <c r="F2453" s="0" t="n">
        <v>2.08</v>
      </c>
      <c r="G2453" s="0" t="n">
        <v>17182</v>
      </c>
      <c r="H2453" s="6" t="s">
        <v>74</v>
      </c>
      <c r="I2453" s="6" t="n">
        <f aca="false">D2453*F2453</f>
        <v>49.92</v>
      </c>
      <c r="J2453" s="6" t="n">
        <f aca="false">HOUR(E2453)</f>
        <v>12</v>
      </c>
      <c r="K2453" s="6" t="n">
        <f aca="false">IF(COUNTIF($A$2:$A2453,A2453)=1,1,0)</f>
        <v>0</v>
      </c>
    </row>
    <row r="2454" customFormat="false" ht="15" hidden="false" customHeight="false" outlineLevel="0" collapsed="false">
      <c r="A2454" s="0" t="s">
        <v>563</v>
      </c>
      <c r="B2454" s="0" t="s">
        <v>79</v>
      </c>
      <c r="C2454" s="0" t="s">
        <v>80</v>
      </c>
      <c r="D2454" s="0" t="n">
        <v>18</v>
      </c>
      <c r="E2454" s="5" t="n">
        <v>45968.5346296296</v>
      </c>
      <c r="F2454" s="0" t="n">
        <v>3.39</v>
      </c>
      <c r="G2454" s="0" t="n">
        <v>17182</v>
      </c>
      <c r="H2454" s="6" t="s">
        <v>74</v>
      </c>
      <c r="I2454" s="6" t="n">
        <f aca="false">D2454*F2454</f>
        <v>61.02</v>
      </c>
      <c r="J2454" s="6" t="n">
        <f aca="false">HOUR(E2454)</f>
        <v>12</v>
      </c>
      <c r="K2454" s="6" t="n">
        <f aca="false">IF(COUNTIF($A$2:$A2454,A2454)=1,1,0)</f>
        <v>0</v>
      </c>
    </row>
    <row r="2455" customFormat="false" ht="15" hidden="false" customHeight="false" outlineLevel="0" collapsed="false">
      <c r="A2455" s="0" t="s">
        <v>564</v>
      </c>
      <c r="B2455" s="0" t="s">
        <v>107</v>
      </c>
      <c r="C2455" s="0" t="s">
        <v>108</v>
      </c>
      <c r="D2455" s="0" t="n">
        <v>19</v>
      </c>
      <c r="E2455" s="5" t="n">
        <v>45968.5644097222</v>
      </c>
      <c r="F2455" s="0" t="n">
        <v>3.75</v>
      </c>
      <c r="G2455" s="0" t="n">
        <v>17124</v>
      </c>
      <c r="H2455" s="6" t="s">
        <v>113</v>
      </c>
      <c r="I2455" s="6" t="n">
        <f aca="false">D2455*F2455</f>
        <v>71.25</v>
      </c>
      <c r="J2455" s="6" t="n">
        <f aca="false">HOUR(E2455)</f>
        <v>13</v>
      </c>
      <c r="K2455" s="6" t="n">
        <f aca="false">IF(COUNTIF($A$2:$A2455,A2455)=1,1,0)</f>
        <v>1</v>
      </c>
    </row>
    <row r="2456" customFormat="false" ht="15" hidden="false" customHeight="false" outlineLevel="0" collapsed="false">
      <c r="A2456" s="0" t="s">
        <v>564</v>
      </c>
      <c r="B2456" s="0" t="s">
        <v>65</v>
      </c>
      <c r="C2456" s="0" t="s">
        <v>66</v>
      </c>
      <c r="D2456" s="0" t="n">
        <v>18</v>
      </c>
      <c r="E2456" s="5" t="n">
        <v>45968.5644097222</v>
      </c>
      <c r="F2456" s="0" t="n">
        <v>1.65</v>
      </c>
      <c r="G2456" s="0" t="n">
        <v>17124</v>
      </c>
      <c r="H2456" s="6" t="s">
        <v>113</v>
      </c>
      <c r="I2456" s="6" t="n">
        <f aca="false">D2456*F2456</f>
        <v>29.7</v>
      </c>
      <c r="J2456" s="6" t="n">
        <f aca="false">HOUR(E2456)</f>
        <v>13</v>
      </c>
      <c r="K2456" s="6" t="n">
        <f aca="false">IF(COUNTIF($A$2:$A2456,A2456)=1,1,0)</f>
        <v>0</v>
      </c>
    </row>
    <row r="2457" customFormat="false" ht="15" hidden="false" customHeight="false" outlineLevel="0" collapsed="false">
      <c r="A2457" s="0" t="s">
        <v>564</v>
      </c>
      <c r="B2457" s="0" t="s">
        <v>40</v>
      </c>
      <c r="C2457" s="0" t="s">
        <v>41</v>
      </c>
      <c r="D2457" s="0" t="n">
        <v>22</v>
      </c>
      <c r="E2457" s="5" t="n">
        <v>45968.5644097222</v>
      </c>
      <c r="F2457" s="0" t="n">
        <v>1.06</v>
      </c>
      <c r="G2457" s="0" t="n">
        <v>17124</v>
      </c>
      <c r="H2457" s="6" t="s">
        <v>113</v>
      </c>
      <c r="I2457" s="6" t="n">
        <f aca="false">D2457*F2457</f>
        <v>23.32</v>
      </c>
      <c r="J2457" s="6" t="n">
        <f aca="false">HOUR(E2457)</f>
        <v>13</v>
      </c>
      <c r="K2457" s="6" t="n">
        <f aca="false">IF(COUNTIF($A$2:$A2457,A2457)=1,1,0)</f>
        <v>0</v>
      </c>
    </row>
    <row r="2458" customFormat="false" ht="15" hidden="false" customHeight="false" outlineLevel="0" collapsed="false">
      <c r="A2458" s="0" t="s">
        <v>564</v>
      </c>
      <c r="B2458" s="0" t="s">
        <v>93</v>
      </c>
      <c r="C2458" s="0" t="s">
        <v>94</v>
      </c>
      <c r="D2458" s="0" t="n">
        <v>17</v>
      </c>
      <c r="E2458" s="5" t="n">
        <v>45968.5644097222</v>
      </c>
      <c r="F2458" s="0" t="n">
        <v>1.69</v>
      </c>
      <c r="G2458" s="0" t="n">
        <v>17124</v>
      </c>
      <c r="H2458" s="6" t="s">
        <v>113</v>
      </c>
      <c r="I2458" s="6" t="n">
        <f aca="false">D2458*F2458</f>
        <v>28.73</v>
      </c>
      <c r="J2458" s="6" t="n">
        <f aca="false">HOUR(E2458)</f>
        <v>13</v>
      </c>
      <c r="K2458" s="6" t="n">
        <f aca="false">IF(COUNTIF($A$2:$A2458,A2458)=1,1,0)</f>
        <v>0</v>
      </c>
    </row>
    <row r="2459" customFormat="false" ht="15" hidden="false" customHeight="false" outlineLevel="0" collapsed="false">
      <c r="A2459" s="0" t="s">
        <v>564</v>
      </c>
      <c r="B2459" s="0" t="s">
        <v>81</v>
      </c>
      <c r="C2459" s="0" t="s">
        <v>82</v>
      </c>
      <c r="D2459" s="0" t="n">
        <v>14</v>
      </c>
      <c r="E2459" s="5" t="n">
        <v>45968.5644097222</v>
      </c>
      <c r="F2459" s="0" t="n">
        <v>1.65</v>
      </c>
      <c r="G2459" s="0" t="n">
        <v>17124</v>
      </c>
      <c r="H2459" s="6" t="s">
        <v>113</v>
      </c>
      <c r="I2459" s="6" t="n">
        <f aca="false">D2459*F2459</f>
        <v>23.1</v>
      </c>
      <c r="J2459" s="6" t="n">
        <f aca="false">HOUR(E2459)</f>
        <v>13</v>
      </c>
      <c r="K2459" s="6" t="n">
        <f aca="false">IF(COUNTIF($A$2:$A2459,A2459)=1,1,0)</f>
        <v>0</v>
      </c>
    </row>
    <row r="2460" customFormat="false" ht="15" hidden="false" customHeight="false" outlineLevel="0" collapsed="false">
      <c r="A2460" s="0" t="s">
        <v>564</v>
      </c>
      <c r="B2460" s="0" t="s">
        <v>75</v>
      </c>
      <c r="C2460" s="0" t="s">
        <v>76</v>
      </c>
      <c r="D2460" s="0" t="n">
        <v>16</v>
      </c>
      <c r="E2460" s="5" t="n">
        <v>45968.5644097222</v>
      </c>
      <c r="F2460" s="0" t="n">
        <v>3.39</v>
      </c>
      <c r="G2460" s="0" t="n">
        <v>17124</v>
      </c>
      <c r="H2460" s="6" t="s">
        <v>113</v>
      </c>
      <c r="I2460" s="6" t="n">
        <f aca="false">D2460*F2460</f>
        <v>54.24</v>
      </c>
      <c r="J2460" s="6" t="n">
        <f aca="false">HOUR(E2460)</f>
        <v>13</v>
      </c>
      <c r="K2460" s="6" t="n">
        <f aca="false">IF(COUNTIF($A$2:$A2460,A2460)=1,1,0)</f>
        <v>0</v>
      </c>
    </row>
    <row r="2461" customFormat="false" ht="15" hidden="false" customHeight="false" outlineLevel="0" collapsed="false">
      <c r="A2461" s="0" t="s">
        <v>564</v>
      </c>
      <c r="B2461" s="0" t="s">
        <v>145</v>
      </c>
      <c r="C2461" s="0" t="s">
        <v>146</v>
      </c>
      <c r="D2461" s="0" t="n">
        <v>5</v>
      </c>
      <c r="E2461" s="5" t="n">
        <v>45968.5644097222</v>
      </c>
      <c r="F2461" s="0" t="n">
        <v>1.85</v>
      </c>
      <c r="G2461" s="0" t="n">
        <v>17124</v>
      </c>
      <c r="H2461" s="6" t="s">
        <v>113</v>
      </c>
      <c r="I2461" s="6" t="n">
        <f aca="false">D2461*F2461</f>
        <v>9.25</v>
      </c>
      <c r="J2461" s="6" t="n">
        <f aca="false">HOUR(E2461)</f>
        <v>13</v>
      </c>
      <c r="K2461" s="6" t="n">
        <f aca="false">IF(COUNTIF($A$2:$A2461,A2461)=1,1,0)</f>
        <v>0</v>
      </c>
    </row>
    <row r="2462" customFormat="false" ht="15" hidden="false" customHeight="false" outlineLevel="0" collapsed="false">
      <c r="A2462" s="0" t="s">
        <v>564</v>
      </c>
      <c r="B2462" s="0" t="s">
        <v>69</v>
      </c>
      <c r="C2462" s="0" t="s">
        <v>70</v>
      </c>
      <c r="D2462" s="0" t="n">
        <v>24</v>
      </c>
      <c r="E2462" s="5" t="n">
        <v>45968.5644097222</v>
      </c>
      <c r="F2462" s="0" t="n">
        <v>2.08</v>
      </c>
      <c r="G2462" s="0" t="n">
        <v>17124</v>
      </c>
      <c r="H2462" s="6" t="s">
        <v>113</v>
      </c>
      <c r="I2462" s="6" t="n">
        <f aca="false">D2462*F2462</f>
        <v>49.92</v>
      </c>
      <c r="J2462" s="6" t="n">
        <f aca="false">HOUR(E2462)</f>
        <v>13</v>
      </c>
      <c r="K2462" s="6" t="n">
        <f aca="false">IF(COUNTIF($A$2:$A2462,A2462)=1,1,0)</f>
        <v>0</v>
      </c>
    </row>
    <row r="2463" customFormat="false" ht="15" hidden="false" customHeight="false" outlineLevel="0" collapsed="false">
      <c r="A2463" s="0" t="s">
        <v>565</v>
      </c>
      <c r="B2463" s="0" t="s">
        <v>125</v>
      </c>
      <c r="C2463" s="0" t="s">
        <v>126</v>
      </c>
      <c r="D2463" s="0" t="n">
        <v>17</v>
      </c>
      <c r="E2463" s="5" t="n">
        <v>45968.5878009259</v>
      </c>
      <c r="F2463" s="0" t="n">
        <v>1.25</v>
      </c>
      <c r="G2463" s="0" t="n">
        <v>17248</v>
      </c>
      <c r="H2463" s="6" t="s">
        <v>74</v>
      </c>
      <c r="I2463" s="6" t="n">
        <f aca="false">D2463*F2463</f>
        <v>21.25</v>
      </c>
      <c r="J2463" s="6" t="n">
        <f aca="false">HOUR(E2463)</f>
        <v>14</v>
      </c>
      <c r="K2463" s="6" t="n">
        <f aca="false">IF(COUNTIF($A$2:$A2463,A2463)=1,1,0)</f>
        <v>1</v>
      </c>
    </row>
    <row r="2464" customFormat="false" ht="15" hidden="false" customHeight="false" outlineLevel="0" collapsed="false">
      <c r="A2464" s="0" t="s">
        <v>565</v>
      </c>
      <c r="B2464" s="0" t="s">
        <v>131</v>
      </c>
      <c r="C2464" s="0" t="s">
        <v>132</v>
      </c>
      <c r="D2464" s="0" t="n">
        <v>6</v>
      </c>
      <c r="E2464" s="5" t="n">
        <v>45968.5878009259</v>
      </c>
      <c r="F2464" s="0" t="n">
        <v>3.39</v>
      </c>
      <c r="G2464" s="0" t="n">
        <v>17248</v>
      </c>
      <c r="H2464" s="6" t="s">
        <v>74</v>
      </c>
      <c r="I2464" s="6" t="n">
        <f aca="false">D2464*F2464</f>
        <v>20.34</v>
      </c>
      <c r="J2464" s="6" t="n">
        <f aca="false">HOUR(E2464)</f>
        <v>14</v>
      </c>
      <c r="K2464" s="6" t="n">
        <f aca="false">IF(COUNTIF($A$2:$A2464,A2464)=1,1,0)</f>
        <v>0</v>
      </c>
    </row>
    <row r="2465" customFormat="false" ht="15" hidden="false" customHeight="false" outlineLevel="0" collapsed="false">
      <c r="A2465" s="0" t="s">
        <v>565</v>
      </c>
      <c r="B2465" s="0" t="s">
        <v>65</v>
      </c>
      <c r="C2465" s="0" t="s">
        <v>66</v>
      </c>
      <c r="D2465" s="0" t="n">
        <v>20</v>
      </c>
      <c r="E2465" s="5" t="n">
        <v>45968.5878009259</v>
      </c>
      <c r="F2465" s="0" t="n">
        <v>1.65</v>
      </c>
      <c r="G2465" s="0" t="n">
        <v>17248</v>
      </c>
      <c r="H2465" s="6" t="s">
        <v>74</v>
      </c>
      <c r="I2465" s="6" t="n">
        <f aca="false">D2465*F2465</f>
        <v>33</v>
      </c>
      <c r="J2465" s="6" t="n">
        <f aca="false">HOUR(E2465)</f>
        <v>14</v>
      </c>
      <c r="K2465" s="6" t="n">
        <f aca="false">IF(COUNTIF($A$2:$A2465,A2465)=1,1,0)</f>
        <v>0</v>
      </c>
    </row>
    <row r="2466" customFormat="false" ht="15" hidden="false" customHeight="false" outlineLevel="0" collapsed="false">
      <c r="A2466" s="0" t="s">
        <v>565</v>
      </c>
      <c r="B2466" s="0" t="s">
        <v>109</v>
      </c>
      <c r="C2466" s="0" t="s">
        <v>110</v>
      </c>
      <c r="D2466" s="0" t="n">
        <v>14</v>
      </c>
      <c r="E2466" s="5" t="n">
        <v>45968.5878009259</v>
      </c>
      <c r="F2466" s="0" t="n">
        <v>0.85</v>
      </c>
      <c r="G2466" s="0" t="n">
        <v>17248</v>
      </c>
      <c r="H2466" s="6" t="s">
        <v>74</v>
      </c>
      <c r="I2466" s="6" t="n">
        <f aca="false">D2466*F2466</f>
        <v>11.9</v>
      </c>
      <c r="J2466" s="6" t="n">
        <f aca="false">HOUR(E2466)</f>
        <v>14</v>
      </c>
      <c r="K2466" s="6" t="n">
        <f aca="false">IF(COUNTIF($A$2:$A2466,A2466)=1,1,0)</f>
        <v>0</v>
      </c>
    </row>
    <row r="2467" customFormat="false" ht="15" hidden="false" customHeight="false" outlineLevel="0" collapsed="false">
      <c r="A2467" s="0" t="s">
        <v>565</v>
      </c>
      <c r="B2467" s="0" t="s">
        <v>83</v>
      </c>
      <c r="C2467" s="0" t="s">
        <v>84</v>
      </c>
      <c r="D2467" s="0" t="n">
        <v>24</v>
      </c>
      <c r="E2467" s="5" t="n">
        <v>45968.5878009259</v>
      </c>
      <c r="F2467" s="0" t="n">
        <v>2.95</v>
      </c>
      <c r="G2467" s="0" t="n">
        <v>17248</v>
      </c>
      <c r="H2467" s="6" t="s">
        <v>74</v>
      </c>
      <c r="I2467" s="6" t="n">
        <f aca="false">D2467*F2467</f>
        <v>70.8</v>
      </c>
      <c r="J2467" s="6" t="n">
        <f aca="false">HOUR(E2467)</f>
        <v>14</v>
      </c>
      <c r="K2467" s="6" t="n">
        <f aca="false">IF(COUNTIF($A$2:$A2467,A2467)=1,1,0)</f>
        <v>0</v>
      </c>
    </row>
    <row r="2468" customFormat="false" ht="15" hidden="false" customHeight="false" outlineLevel="0" collapsed="false">
      <c r="A2468" s="0" t="s">
        <v>566</v>
      </c>
      <c r="B2468" s="0" t="s">
        <v>127</v>
      </c>
      <c r="C2468" s="0" t="s">
        <v>128</v>
      </c>
      <c r="D2468" s="0" t="n">
        <v>7</v>
      </c>
      <c r="E2468" s="5" t="n">
        <v>45968.6309375</v>
      </c>
      <c r="F2468" s="0" t="n">
        <v>1.45</v>
      </c>
      <c r="H2468" s="6" t="s">
        <v>208</v>
      </c>
      <c r="I2468" s="6" t="n">
        <f aca="false">D2468*F2468</f>
        <v>10.15</v>
      </c>
      <c r="J2468" s="6" t="n">
        <f aca="false">HOUR(E2468)</f>
        <v>15</v>
      </c>
      <c r="K2468" s="6" t="n">
        <f aca="false">IF(COUNTIF($A$2:$A2468,A2468)=1,1,0)</f>
        <v>1</v>
      </c>
    </row>
    <row r="2469" customFormat="false" ht="15" hidden="false" customHeight="false" outlineLevel="0" collapsed="false">
      <c r="A2469" s="0" t="s">
        <v>566</v>
      </c>
      <c r="B2469" s="0" t="s">
        <v>118</v>
      </c>
      <c r="C2469" s="0" t="s">
        <v>119</v>
      </c>
      <c r="D2469" s="0" t="n">
        <v>9</v>
      </c>
      <c r="E2469" s="5" t="n">
        <v>45968.6309375</v>
      </c>
      <c r="F2469" s="0" t="n">
        <v>4.95</v>
      </c>
      <c r="H2469" s="6" t="s">
        <v>208</v>
      </c>
      <c r="I2469" s="6" t="n">
        <f aca="false">D2469*F2469</f>
        <v>44.55</v>
      </c>
      <c r="J2469" s="6" t="n">
        <f aca="false">HOUR(E2469)</f>
        <v>15</v>
      </c>
      <c r="K2469" s="6" t="n">
        <f aca="false">IF(COUNTIF($A$2:$A2469,A2469)=1,1,0)</f>
        <v>0</v>
      </c>
    </row>
    <row r="2470" customFormat="false" ht="15" hidden="false" customHeight="false" outlineLevel="0" collapsed="false">
      <c r="A2470" s="0" t="s">
        <v>566</v>
      </c>
      <c r="B2470" s="0" t="s">
        <v>109</v>
      </c>
      <c r="C2470" s="0" t="s">
        <v>110</v>
      </c>
      <c r="D2470" s="0" t="n">
        <v>1</v>
      </c>
      <c r="E2470" s="5" t="n">
        <v>45968.6309375</v>
      </c>
      <c r="F2470" s="0" t="n">
        <v>0.85</v>
      </c>
      <c r="H2470" s="6" t="s">
        <v>208</v>
      </c>
      <c r="I2470" s="6" t="n">
        <f aca="false">D2470*F2470</f>
        <v>0.85</v>
      </c>
      <c r="J2470" s="6" t="n">
        <f aca="false">HOUR(E2470)</f>
        <v>15</v>
      </c>
      <c r="K2470" s="6" t="n">
        <f aca="false">IF(COUNTIF($A$2:$A2470,A2470)=1,1,0)</f>
        <v>0</v>
      </c>
    </row>
    <row r="2471" customFormat="false" ht="15" hidden="false" customHeight="false" outlineLevel="0" collapsed="false">
      <c r="A2471" s="0" t="s">
        <v>566</v>
      </c>
      <c r="B2471" s="0" t="s">
        <v>104</v>
      </c>
      <c r="C2471" s="0" t="s">
        <v>105</v>
      </c>
      <c r="D2471" s="0" t="n">
        <v>24</v>
      </c>
      <c r="E2471" s="5" t="n">
        <v>45968.6309375</v>
      </c>
      <c r="F2471" s="0" t="n">
        <v>1.65</v>
      </c>
      <c r="H2471" s="6" t="s">
        <v>208</v>
      </c>
      <c r="I2471" s="6" t="n">
        <f aca="false">D2471*F2471</f>
        <v>39.6</v>
      </c>
      <c r="J2471" s="6" t="n">
        <f aca="false">HOUR(E2471)</f>
        <v>15</v>
      </c>
      <c r="K2471" s="6" t="n">
        <f aca="false">IF(COUNTIF($A$2:$A2471,A2471)=1,1,0)</f>
        <v>0</v>
      </c>
    </row>
    <row r="2472" customFormat="false" ht="15" hidden="false" customHeight="false" outlineLevel="0" collapsed="false">
      <c r="A2472" s="0" t="s">
        <v>566</v>
      </c>
      <c r="B2472" s="0" t="s">
        <v>99</v>
      </c>
      <c r="C2472" s="0" t="s">
        <v>100</v>
      </c>
      <c r="D2472" s="0" t="n">
        <v>23</v>
      </c>
      <c r="E2472" s="5" t="n">
        <v>45968.6309375</v>
      </c>
      <c r="F2472" s="0" t="n">
        <v>2.08</v>
      </c>
      <c r="H2472" s="6" t="s">
        <v>208</v>
      </c>
      <c r="I2472" s="6" t="n">
        <f aca="false">D2472*F2472</f>
        <v>47.84</v>
      </c>
      <c r="J2472" s="6" t="n">
        <f aca="false">HOUR(E2472)</f>
        <v>15</v>
      </c>
      <c r="K2472" s="6" t="n">
        <f aca="false">IF(COUNTIF($A$2:$A2472,A2472)=1,1,0)</f>
        <v>0</v>
      </c>
    </row>
    <row r="2473" customFormat="false" ht="15" hidden="false" customHeight="false" outlineLevel="0" collapsed="false">
      <c r="A2473" s="0" t="s">
        <v>566</v>
      </c>
      <c r="B2473" s="0" t="s">
        <v>79</v>
      </c>
      <c r="C2473" s="0" t="s">
        <v>80</v>
      </c>
      <c r="D2473" s="0" t="n">
        <v>24</v>
      </c>
      <c r="E2473" s="5" t="n">
        <v>45968.6309375</v>
      </c>
      <c r="F2473" s="0" t="n">
        <v>3.39</v>
      </c>
      <c r="H2473" s="6" t="s">
        <v>208</v>
      </c>
      <c r="I2473" s="6" t="n">
        <f aca="false">D2473*F2473</f>
        <v>81.36</v>
      </c>
      <c r="J2473" s="6" t="n">
        <f aca="false">HOUR(E2473)</f>
        <v>15</v>
      </c>
      <c r="K2473" s="6" t="n">
        <f aca="false">IF(COUNTIF($A$2:$A2473,A2473)=1,1,0)</f>
        <v>0</v>
      </c>
    </row>
    <row r="2474" customFormat="false" ht="15" hidden="false" customHeight="false" outlineLevel="0" collapsed="false">
      <c r="A2474" s="0" t="s">
        <v>567</v>
      </c>
      <c r="B2474" s="0" t="s">
        <v>77</v>
      </c>
      <c r="C2474" s="0" t="s">
        <v>78</v>
      </c>
      <c r="D2474" s="0" t="n">
        <v>11</v>
      </c>
      <c r="E2474" s="5" t="n">
        <v>45968.7618171296</v>
      </c>
      <c r="F2474" s="0" t="n">
        <v>1.65</v>
      </c>
      <c r="G2474" s="0" t="n">
        <v>17032</v>
      </c>
      <c r="H2474" s="6" t="s">
        <v>74</v>
      </c>
      <c r="I2474" s="6" t="n">
        <f aca="false">D2474*F2474</f>
        <v>18.15</v>
      </c>
      <c r="J2474" s="6" t="n">
        <f aca="false">HOUR(E2474)</f>
        <v>18</v>
      </c>
      <c r="K2474" s="6" t="n">
        <f aca="false">IF(COUNTIF($A$2:$A2474,A2474)=1,1,0)</f>
        <v>1</v>
      </c>
    </row>
    <row r="2475" customFormat="false" ht="15" hidden="false" customHeight="false" outlineLevel="0" collapsed="false">
      <c r="A2475" s="0" t="s">
        <v>567</v>
      </c>
      <c r="B2475" s="0" t="s">
        <v>88</v>
      </c>
      <c r="C2475" s="0" t="s">
        <v>89</v>
      </c>
      <c r="D2475" s="0" t="n">
        <v>13</v>
      </c>
      <c r="E2475" s="5" t="n">
        <v>45968.7618171296</v>
      </c>
      <c r="F2475" s="0" t="n">
        <v>2.75</v>
      </c>
      <c r="G2475" s="0" t="n">
        <v>17032</v>
      </c>
      <c r="H2475" s="6" t="s">
        <v>74</v>
      </c>
      <c r="I2475" s="6" t="n">
        <f aca="false">D2475*F2475</f>
        <v>35.75</v>
      </c>
      <c r="J2475" s="6" t="n">
        <f aca="false">HOUR(E2475)</f>
        <v>18</v>
      </c>
      <c r="K2475" s="6" t="n">
        <f aca="false">IF(COUNTIF($A$2:$A2475,A2475)=1,1,0)</f>
        <v>0</v>
      </c>
    </row>
    <row r="2476" customFormat="false" ht="15" hidden="false" customHeight="false" outlineLevel="0" collapsed="false">
      <c r="A2476" s="0" t="s">
        <v>567</v>
      </c>
      <c r="B2476" s="0" t="s">
        <v>145</v>
      </c>
      <c r="C2476" s="0" t="s">
        <v>146</v>
      </c>
      <c r="D2476" s="0" t="n">
        <v>14</v>
      </c>
      <c r="E2476" s="5" t="n">
        <v>45968.7618171296</v>
      </c>
      <c r="F2476" s="0" t="n">
        <v>1.85</v>
      </c>
      <c r="G2476" s="0" t="n">
        <v>17032</v>
      </c>
      <c r="H2476" s="6" t="s">
        <v>74</v>
      </c>
      <c r="I2476" s="6" t="n">
        <f aca="false">D2476*F2476</f>
        <v>25.9</v>
      </c>
      <c r="J2476" s="6" t="n">
        <f aca="false">HOUR(E2476)</f>
        <v>18</v>
      </c>
      <c r="K2476" s="6" t="n">
        <f aca="false">IF(COUNTIF($A$2:$A2476,A2476)=1,1,0)</f>
        <v>0</v>
      </c>
    </row>
    <row r="2477" customFormat="false" ht="15" hidden="false" customHeight="false" outlineLevel="0" collapsed="false">
      <c r="A2477" s="0" t="s">
        <v>567</v>
      </c>
      <c r="B2477" s="0" t="s">
        <v>53</v>
      </c>
      <c r="C2477" s="0" t="s">
        <v>54</v>
      </c>
      <c r="D2477" s="0" t="n">
        <v>3</v>
      </c>
      <c r="E2477" s="5" t="n">
        <v>45968.7618171296</v>
      </c>
      <c r="F2477" s="0" t="n">
        <v>2.95</v>
      </c>
      <c r="G2477" s="0" t="n">
        <v>17032</v>
      </c>
      <c r="H2477" s="6" t="s">
        <v>74</v>
      </c>
      <c r="I2477" s="6" t="n">
        <f aca="false">D2477*F2477</f>
        <v>8.85</v>
      </c>
      <c r="J2477" s="6" t="n">
        <f aca="false">HOUR(E2477)</f>
        <v>18</v>
      </c>
      <c r="K2477" s="6" t="n">
        <f aca="false">IF(COUNTIF($A$2:$A2477,A2477)=1,1,0)</f>
        <v>0</v>
      </c>
    </row>
    <row r="2478" customFormat="false" ht="15" hidden="false" customHeight="false" outlineLevel="0" collapsed="false">
      <c r="A2478" s="0" t="s">
        <v>567</v>
      </c>
      <c r="B2478" s="0" t="s">
        <v>75</v>
      </c>
      <c r="C2478" s="0" t="s">
        <v>76</v>
      </c>
      <c r="D2478" s="0" t="n">
        <v>5</v>
      </c>
      <c r="E2478" s="5" t="n">
        <v>45968.7618171296</v>
      </c>
      <c r="F2478" s="0" t="n">
        <v>3.39</v>
      </c>
      <c r="G2478" s="0" t="n">
        <v>17032</v>
      </c>
      <c r="H2478" s="6" t="s">
        <v>74</v>
      </c>
      <c r="I2478" s="6" t="n">
        <f aca="false">D2478*F2478</f>
        <v>16.95</v>
      </c>
      <c r="J2478" s="6" t="n">
        <f aca="false">HOUR(E2478)</f>
        <v>18</v>
      </c>
      <c r="K2478" s="6" t="n">
        <f aca="false">IF(COUNTIF($A$2:$A2478,A2478)=1,1,0)</f>
        <v>0</v>
      </c>
    </row>
    <row r="2479" customFormat="false" ht="15" hidden="false" customHeight="false" outlineLevel="0" collapsed="false">
      <c r="A2479" s="0" t="s">
        <v>567</v>
      </c>
      <c r="B2479" s="0" t="s">
        <v>83</v>
      </c>
      <c r="C2479" s="0" t="s">
        <v>84</v>
      </c>
      <c r="D2479" s="0" t="n">
        <v>15</v>
      </c>
      <c r="E2479" s="5" t="n">
        <v>45968.7618171296</v>
      </c>
      <c r="F2479" s="0" t="n">
        <v>2.95</v>
      </c>
      <c r="G2479" s="0" t="n">
        <v>17032</v>
      </c>
      <c r="H2479" s="6" t="s">
        <v>74</v>
      </c>
      <c r="I2479" s="6" t="n">
        <f aca="false">D2479*F2479</f>
        <v>44.25</v>
      </c>
      <c r="J2479" s="6" t="n">
        <f aca="false">HOUR(E2479)</f>
        <v>18</v>
      </c>
      <c r="K2479" s="6" t="n">
        <f aca="false">IF(COUNTIF($A$2:$A2479,A2479)=1,1,0)</f>
        <v>0</v>
      </c>
    </row>
    <row r="2480" customFormat="false" ht="15" hidden="false" customHeight="false" outlineLevel="0" collapsed="false">
      <c r="A2480" s="0" t="s">
        <v>567</v>
      </c>
      <c r="B2480" s="0" t="s">
        <v>55</v>
      </c>
      <c r="C2480" s="0" t="s">
        <v>56</v>
      </c>
      <c r="D2480" s="0" t="n">
        <v>4</v>
      </c>
      <c r="E2480" s="5" t="n">
        <v>45968.7618171296</v>
      </c>
      <c r="F2480" s="0" t="n">
        <v>1.65</v>
      </c>
      <c r="G2480" s="0" t="n">
        <v>17032</v>
      </c>
      <c r="H2480" s="6" t="s">
        <v>74</v>
      </c>
      <c r="I2480" s="6" t="n">
        <f aca="false">D2480*F2480</f>
        <v>6.6</v>
      </c>
      <c r="J2480" s="6" t="n">
        <f aca="false">HOUR(E2480)</f>
        <v>18</v>
      </c>
      <c r="K2480" s="6" t="n">
        <f aca="false">IF(COUNTIF($A$2:$A2480,A2480)=1,1,0)</f>
        <v>0</v>
      </c>
    </row>
    <row r="2481" customFormat="false" ht="15" hidden="false" customHeight="false" outlineLevel="0" collapsed="false">
      <c r="A2481" s="0" t="s">
        <v>567</v>
      </c>
      <c r="B2481" s="0" t="s">
        <v>95</v>
      </c>
      <c r="C2481" s="0" t="s">
        <v>96</v>
      </c>
      <c r="D2481" s="0" t="n">
        <v>40</v>
      </c>
      <c r="E2481" s="5" t="n">
        <v>45968.7618171296</v>
      </c>
      <c r="F2481" s="0" t="n">
        <v>2.55</v>
      </c>
      <c r="G2481" s="0" t="n">
        <v>17032</v>
      </c>
      <c r="H2481" s="6" t="s">
        <v>74</v>
      </c>
      <c r="I2481" s="6" t="n">
        <f aca="false">D2481*F2481</f>
        <v>102</v>
      </c>
      <c r="J2481" s="6" t="n">
        <f aca="false">HOUR(E2481)</f>
        <v>18</v>
      </c>
      <c r="K2481" s="6" t="n">
        <f aca="false">IF(COUNTIF($A$2:$A2481,A2481)=1,1,0)</f>
        <v>0</v>
      </c>
    </row>
    <row r="2482" customFormat="false" ht="15" hidden="false" customHeight="false" outlineLevel="0" collapsed="false">
      <c r="A2482" s="0" t="s">
        <v>568</v>
      </c>
      <c r="B2482" s="0" t="s">
        <v>57</v>
      </c>
      <c r="C2482" s="0" t="s">
        <v>58</v>
      </c>
      <c r="D2482" s="0" t="n">
        <v>1</v>
      </c>
      <c r="E2482" s="5" t="n">
        <v>45968.7664236111</v>
      </c>
      <c r="F2482" s="0" t="n">
        <v>2.08</v>
      </c>
      <c r="G2482" s="0" t="n">
        <v>17089</v>
      </c>
      <c r="H2482" s="6" t="s">
        <v>74</v>
      </c>
      <c r="I2482" s="6" t="n">
        <f aca="false">D2482*F2482</f>
        <v>2.08</v>
      </c>
      <c r="J2482" s="6" t="n">
        <f aca="false">HOUR(E2482)</f>
        <v>18</v>
      </c>
      <c r="K2482" s="6" t="n">
        <f aca="false">IF(COUNTIF($A$2:$A2482,A2482)=1,1,0)</f>
        <v>1</v>
      </c>
    </row>
    <row r="2483" customFormat="false" ht="15" hidden="false" customHeight="false" outlineLevel="0" collapsed="false">
      <c r="A2483" s="0" t="s">
        <v>568</v>
      </c>
      <c r="B2483" s="0" t="s">
        <v>45</v>
      </c>
      <c r="C2483" s="0" t="s">
        <v>46</v>
      </c>
      <c r="D2483" s="0" t="n">
        <v>6</v>
      </c>
      <c r="E2483" s="5" t="n">
        <v>45968.7664236111</v>
      </c>
      <c r="F2483" s="0" t="n">
        <v>2.1</v>
      </c>
      <c r="G2483" s="0" t="n">
        <v>17089</v>
      </c>
      <c r="H2483" s="6" t="s">
        <v>74</v>
      </c>
      <c r="I2483" s="6" t="n">
        <f aca="false">D2483*F2483</f>
        <v>12.6</v>
      </c>
      <c r="J2483" s="6" t="n">
        <f aca="false">HOUR(E2483)</f>
        <v>18</v>
      </c>
      <c r="K2483" s="6" t="n">
        <f aca="false">IF(COUNTIF($A$2:$A2483,A2483)=1,1,0)</f>
        <v>0</v>
      </c>
    </row>
    <row r="2484" customFormat="false" ht="15" hidden="false" customHeight="false" outlineLevel="0" collapsed="false">
      <c r="A2484" s="0" t="s">
        <v>568</v>
      </c>
      <c r="B2484" s="0" t="s">
        <v>109</v>
      </c>
      <c r="C2484" s="0" t="s">
        <v>110</v>
      </c>
      <c r="D2484" s="0" t="n">
        <v>20</v>
      </c>
      <c r="E2484" s="5" t="n">
        <v>45968.7664236111</v>
      </c>
      <c r="F2484" s="0" t="n">
        <v>0.85</v>
      </c>
      <c r="G2484" s="0" t="n">
        <v>17089</v>
      </c>
      <c r="H2484" s="6" t="s">
        <v>74</v>
      </c>
      <c r="I2484" s="6" t="n">
        <f aca="false">D2484*F2484</f>
        <v>17</v>
      </c>
      <c r="J2484" s="6" t="n">
        <f aca="false">HOUR(E2484)</f>
        <v>18</v>
      </c>
      <c r="K2484" s="6" t="n">
        <f aca="false">IF(COUNTIF($A$2:$A2484,A2484)=1,1,0)</f>
        <v>0</v>
      </c>
    </row>
    <row r="2485" customFormat="false" ht="15" hidden="false" customHeight="false" outlineLevel="0" collapsed="false">
      <c r="A2485" s="0" t="s">
        <v>568</v>
      </c>
      <c r="B2485" s="0" t="s">
        <v>79</v>
      </c>
      <c r="C2485" s="0" t="s">
        <v>80</v>
      </c>
      <c r="D2485" s="0" t="n">
        <v>2</v>
      </c>
      <c r="E2485" s="5" t="n">
        <v>45968.7664236111</v>
      </c>
      <c r="F2485" s="0" t="n">
        <v>3.39</v>
      </c>
      <c r="G2485" s="0" t="n">
        <v>17089</v>
      </c>
      <c r="H2485" s="6" t="s">
        <v>74</v>
      </c>
      <c r="I2485" s="6" t="n">
        <f aca="false">D2485*F2485</f>
        <v>6.78</v>
      </c>
      <c r="J2485" s="6" t="n">
        <f aca="false">HOUR(E2485)</f>
        <v>18</v>
      </c>
      <c r="K2485" s="6" t="n">
        <f aca="false">IF(COUNTIF($A$2:$A2485,A2485)=1,1,0)</f>
        <v>0</v>
      </c>
    </row>
    <row r="2486" customFormat="false" ht="15" hidden="false" customHeight="false" outlineLevel="0" collapsed="false">
      <c r="A2486" s="0" t="s">
        <v>568</v>
      </c>
      <c r="B2486" s="0" t="s">
        <v>121</v>
      </c>
      <c r="C2486" s="0" t="s">
        <v>122</v>
      </c>
      <c r="D2486" s="0" t="n">
        <v>5</v>
      </c>
      <c r="E2486" s="5" t="n">
        <v>45968.7664236111</v>
      </c>
      <c r="F2486" s="0" t="n">
        <v>2.1</v>
      </c>
      <c r="G2486" s="0" t="n">
        <v>17089</v>
      </c>
      <c r="H2486" s="6" t="s">
        <v>74</v>
      </c>
      <c r="I2486" s="6" t="n">
        <f aca="false">D2486*F2486</f>
        <v>10.5</v>
      </c>
      <c r="J2486" s="6" t="n">
        <f aca="false">HOUR(E2486)</f>
        <v>18</v>
      </c>
      <c r="K2486" s="6" t="n">
        <f aca="false">IF(COUNTIF($A$2:$A2486,A2486)=1,1,0)</f>
        <v>0</v>
      </c>
    </row>
    <row r="2487" customFormat="false" ht="15" hidden="false" customHeight="false" outlineLevel="0" collapsed="false">
      <c r="A2487" s="0" t="s">
        <v>568</v>
      </c>
      <c r="B2487" s="0" t="s">
        <v>63</v>
      </c>
      <c r="C2487" s="0" t="s">
        <v>64</v>
      </c>
      <c r="D2487" s="0" t="n">
        <v>16</v>
      </c>
      <c r="E2487" s="5" t="n">
        <v>45968.7664236111</v>
      </c>
      <c r="F2487" s="0" t="n">
        <v>1.85</v>
      </c>
      <c r="G2487" s="0" t="n">
        <v>17089</v>
      </c>
      <c r="H2487" s="6" t="s">
        <v>74</v>
      </c>
      <c r="I2487" s="6" t="n">
        <f aca="false">D2487*F2487</f>
        <v>29.6</v>
      </c>
      <c r="J2487" s="6" t="n">
        <f aca="false">HOUR(E2487)</f>
        <v>18</v>
      </c>
      <c r="K2487" s="6" t="n">
        <f aca="false">IF(COUNTIF($A$2:$A2487,A2487)=1,1,0)</f>
        <v>0</v>
      </c>
    </row>
    <row r="2488" customFormat="false" ht="15" hidden="false" customHeight="false" outlineLevel="0" collapsed="false">
      <c r="A2488" s="0" t="s">
        <v>568</v>
      </c>
      <c r="B2488" s="0" t="s">
        <v>72</v>
      </c>
      <c r="C2488" s="0" t="s">
        <v>73</v>
      </c>
      <c r="D2488" s="0" t="n">
        <v>7</v>
      </c>
      <c r="E2488" s="5" t="n">
        <v>45968.7664236111</v>
      </c>
      <c r="F2488" s="0" t="n">
        <v>4.95</v>
      </c>
      <c r="G2488" s="0" t="n">
        <v>17089</v>
      </c>
      <c r="H2488" s="6" t="s">
        <v>74</v>
      </c>
      <c r="I2488" s="6" t="n">
        <f aca="false">D2488*F2488</f>
        <v>34.65</v>
      </c>
      <c r="J2488" s="6" t="n">
        <f aca="false">HOUR(E2488)</f>
        <v>18</v>
      </c>
      <c r="K2488" s="6" t="n">
        <f aca="false">IF(COUNTIF($A$2:$A2488,A2488)=1,1,0)</f>
        <v>0</v>
      </c>
    </row>
    <row r="2489" customFormat="false" ht="15" hidden="false" customHeight="false" outlineLevel="0" collapsed="false">
      <c r="A2489" s="0" t="s">
        <v>568</v>
      </c>
      <c r="B2489" s="0" t="s">
        <v>137</v>
      </c>
      <c r="C2489" s="0" t="s">
        <v>138</v>
      </c>
      <c r="D2489" s="0" t="n">
        <v>9</v>
      </c>
      <c r="E2489" s="5" t="n">
        <v>45968.7664236111</v>
      </c>
      <c r="F2489" s="0" t="n">
        <v>2.1</v>
      </c>
      <c r="G2489" s="0" t="n">
        <v>17089</v>
      </c>
      <c r="H2489" s="6" t="s">
        <v>74</v>
      </c>
      <c r="I2489" s="6" t="n">
        <f aca="false">D2489*F2489</f>
        <v>18.9</v>
      </c>
      <c r="J2489" s="6" t="n">
        <f aca="false">HOUR(E2489)</f>
        <v>18</v>
      </c>
      <c r="K2489" s="6" t="n">
        <f aca="false">IF(COUNTIF($A$2:$A2489,A2489)=1,1,0)</f>
        <v>0</v>
      </c>
    </row>
    <row r="2490" customFormat="false" ht="15" hidden="false" customHeight="false" outlineLevel="0" collapsed="false">
      <c r="A2490" s="0" t="s">
        <v>568</v>
      </c>
      <c r="B2490" s="0" t="s">
        <v>93</v>
      </c>
      <c r="C2490" s="0" t="s">
        <v>94</v>
      </c>
      <c r="D2490" s="0" t="n">
        <v>12</v>
      </c>
      <c r="E2490" s="5" t="n">
        <v>45968.7664236111</v>
      </c>
      <c r="F2490" s="0" t="n">
        <v>1.69</v>
      </c>
      <c r="G2490" s="0" t="n">
        <v>17089</v>
      </c>
      <c r="H2490" s="6" t="s">
        <v>74</v>
      </c>
      <c r="I2490" s="6" t="n">
        <f aca="false">D2490*F2490</f>
        <v>20.28</v>
      </c>
      <c r="J2490" s="6" t="n">
        <f aca="false">HOUR(E2490)</f>
        <v>18</v>
      </c>
      <c r="K2490" s="6" t="n">
        <f aca="false">IF(COUNTIF($A$2:$A2490,A2490)=1,1,0)</f>
        <v>0</v>
      </c>
    </row>
    <row r="2491" customFormat="false" ht="15" hidden="false" customHeight="false" outlineLevel="0" collapsed="false">
      <c r="A2491" s="0" t="s">
        <v>569</v>
      </c>
      <c r="B2491" s="0" t="s">
        <v>95</v>
      </c>
      <c r="C2491" s="0" t="s">
        <v>96</v>
      </c>
      <c r="D2491" s="0" t="n">
        <v>11</v>
      </c>
      <c r="E2491" s="5" t="n">
        <v>45968.7766898148</v>
      </c>
      <c r="F2491" s="0" t="n">
        <v>2.55</v>
      </c>
      <c r="G2491" s="0" t="n">
        <v>17128</v>
      </c>
      <c r="H2491" s="6" t="s">
        <v>74</v>
      </c>
      <c r="I2491" s="6" t="n">
        <f aca="false">D2491*F2491</f>
        <v>28.05</v>
      </c>
      <c r="J2491" s="6" t="n">
        <f aca="false">HOUR(E2491)</f>
        <v>18</v>
      </c>
      <c r="K2491" s="6" t="n">
        <f aca="false">IF(COUNTIF($A$2:$A2491,A2491)=1,1,0)</f>
        <v>1</v>
      </c>
    </row>
    <row r="2492" customFormat="false" ht="15" hidden="false" customHeight="false" outlineLevel="0" collapsed="false">
      <c r="A2492" s="0" t="s">
        <v>569</v>
      </c>
      <c r="B2492" s="0" t="s">
        <v>55</v>
      </c>
      <c r="C2492" s="0" t="s">
        <v>56</v>
      </c>
      <c r="D2492" s="0" t="n">
        <v>23</v>
      </c>
      <c r="E2492" s="5" t="n">
        <v>45968.7766898148</v>
      </c>
      <c r="F2492" s="0" t="n">
        <v>1.65</v>
      </c>
      <c r="G2492" s="0" t="n">
        <v>17128</v>
      </c>
      <c r="H2492" s="6" t="s">
        <v>74</v>
      </c>
      <c r="I2492" s="6" t="n">
        <f aca="false">D2492*F2492</f>
        <v>37.95</v>
      </c>
      <c r="J2492" s="6" t="n">
        <f aca="false">HOUR(E2492)</f>
        <v>18</v>
      </c>
      <c r="K2492" s="6" t="n">
        <f aca="false">IF(COUNTIF($A$2:$A2492,A2492)=1,1,0)</f>
        <v>0</v>
      </c>
    </row>
    <row r="2493" customFormat="false" ht="15" hidden="false" customHeight="false" outlineLevel="0" collapsed="false">
      <c r="A2493" s="0" t="s">
        <v>569</v>
      </c>
      <c r="B2493" s="0" t="s">
        <v>53</v>
      </c>
      <c r="C2493" s="0" t="s">
        <v>54</v>
      </c>
      <c r="D2493" s="0" t="n">
        <v>24</v>
      </c>
      <c r="E2493" s="5" t="n">
        <v>45968.7766898148</v>
      </c>
      <c r="F2493" s="0" t="n">
        <v>2.95</v>
      </c>
      <c r="G2493" s="0" t="n">
        <v>17128</v>
      </c>
      <c r="H2493" s="6" t="s">
        <v>74</v>
      </c>
      <c r="I2493" s="6" t="n">
        <f aca="false">D2493*F2493</f>
        <v>70.8</v>
      </c>
      <c r="J2493" s="6" t="n">
        <f aca="false">HOUR(E2493)</f>
        <v>18</v>
      </c>
      <c r="K2493" s="6" t="n">
        <f aca="false">IF(COUNTIF($A$2:$A2493,A2493)=1,1,0)</f>
        <v>0</v>
      </c>
    </row>
    <row r="2494" customFormat="false" ht="15" hidden="false" customHeight="false" outlineLevel="0" collapsed="false">
      <c r="A2494" s="0" t="s">
        <v>569</v>
      </c>
      <c r="B2494" s="0" t="s">
        <v>104</v>
      </c>
      <c r="C2494" s="0" t="s">
        <v>105</v>
      </c>
      <c r="D2494" s="0" t="n">
        <v>3</v>
      </c>
      <c r="E2494" s="5" t="n">
        <v>45968.7766898148</v>
      </c>
      <c r="F2494" s="0" t="n">
        <v>1.65</v>
      </c>
      <c r="G2494" s="0" t="n">
        <v>17128</v>
      </c>
      <c r="H2494" s="6" t="s">
        <v>74</v>
      </c>
      <c r="I2494" s="6" t="n">
        <f aca="false">D2494*F2494</f>
        <v>4.95</v>
      </c>
      <c r="J2494" s="6" t="n">
        <f aca="false">HOUR(E2494)</f>
        <v>18</v>
      </c>
      <c r="K2494" s="6" t="n">
        <f aca="false">IF(COUNTIF($A$2:$A2494,A2494)=1,1,0)</f>
        <v>0</v>
      </c>
    </row>
    <row r="2495" customFormat="false" ht="15" hidden="false" customHeight="false" outlineLevel="0" collapsed="false">
      <c r="A2495" s="0" t="s">
        <v>569</v>
      </c>
      <c r="B2495" s="0" t="s">
        <v>121</v>
      </c>
      <c r="C2495" s="0" t="s">
        <v>122</v>
      </c>
      <c r="D2495" s="0" t="n">
        <v>11</v>
      </c>
      <c r="E2495" s="5" t="n">
        <v>45968.7766898148</v>
      </c>
      <c r="F2495" s="0" t="n">
        <v>2.1</v>
      </c>
      <c r="G2495" s="0" t="n">
        <v>17128</v>
      </c>
      <c r="H2495" s="6" t="s">
        <v>74</v>
      </c>
      <c r="I2495" s="6" t="n">
        <f aca="false">D2495*F2495</f>
        <v>23.1</v>
      </c>
      <c r="J2495" s="6" t="n">
        <f aca="false">HOUR(E2495)</f>
        <v>18</v>
      </c>
      <c r="K2495" s="6" t="n">
        <f aca="false">IF(COUNTIF($A$2:$A2495,A2495)=1,1,0)</f>
        <v>0</v>
      </c>
    </row>
    <row r="2496" customFormat="false" ht="15" hidden="false" customHeight="false" outlineLevel="0" collapsed="false">
      <c r="A2496" s="0" t="s">
        <v>569</v>
      </c>
      <c r="B2496" s="0" t="s">
        <v>61</v>
      </c>
      <c r="C2496" s="0" t="s">
        <v>62</v>
      </c>
      <c r="D2496" s="0" t="n">
        <v>24</v>
      </c>
      <c r="E2496" s="5" t="n">
        <v>45968.7766898148</v>
      </c>
      <c r="F2496" s="0" t="n">
        <v>1.65</v>
      </c>
      <c r="G2496" s="0" t="n">
        <v>17128</v>
      </c>
      <c r="H2496" s="6" t="s">
        <v>74</v>
      </c>
      <c r="I2496" s="6" t="n">
        <f aca="false">D2496*F2496</f>
        <v>39.6</v>
      </c>
      <c r="J2496" s="6" t="n">
        <f aca="false">HOUR(E2496)</f>
        <v>18</v>
      </c>
      <c r="K2496" s="6" t="n">
        <f aca="false">IF(COUNTIF($A$2:$A2496,A2496)=1,1,0)</f>
        <v>0</v>
      </c>
    </row>
    <row r="2497" customFormat="false" ht="15" hidden="false" customHeight="false" outlineLevel="0" collapsed="false">
      <c r="A2497" s="0" t="s">
        <v>570</v>
      </c>
      <c r="B2497" s="0" t="s">
        <v>72</v>
      </c>
      <c r="C2497" s="0" t="s">
        <v>73</v>
      </c>
      <c r="D2497" s="0" t="n">
        <v>12</v>
      </c>
      <c r="E2497" s="5" t="n">
        <v>45968.7836805556</v>
      </c>
      <c r="F2497" s="0" t="n">
        <v>4.95</v>
      </c>
      <c r="G2497" s="0" t="n">
        <v>17042</v>
      </c>
      <c r="H2497" s="6" t="s">
        <v>263</v>
      </c>
      <c r="I2497" s="6" t="n">
        <f aca="false">D2497*F2497</f>
        <v>59.4</v>
      </c>
      <c r="J2497" s="6" t="n">
        <f aca="false">HOUR(E2497)</f>
        <v>18</v>
      </c>
      <c r="K2497" s="6" t="n">
        <f aca="false">IF(COUNTIF($A$2:$A2497,A2497)=1,1,0)</f>
        <v>1</v>
      </c>
    </row>
    <row r="2498" customFormat="false" ht="15" hidden="false" customHeight="false" outlineLevel="0" collapsed="false">
      <c r="A2498" s="0" t="s">
        <v>570</v>
      </c>
      <c r="B2498" s="0" t="s">
        <v>95</v>
      </c>
      <c r="C2498" s="0" t="s">
        <v>96</v>
      </c>
      <c r="D2498" s="0" t="n">
        <v>30</v>
      </c>
      <c r="E2498" s="5" t="n">
        <v>45968.7836805556</v>
      </c>
      <c r="F2498" s="0" t="n">
        <v>2.55</v>
      </c>
      <c r="G2498" s="0" t="n">
        <v>17042</v>
      </c>
      <c r="H2498" s="6" t="s">
        <v>263</v>
      </c>
      <c r="I2498" s="6" t="n">
        <f aca="false">D2498*F2498</f>
        <v>76.5</v>
      </c>
      <c r="J2498" s="6" t="n">
        <f aca="false">HOUR(E2498)</f>
        <v>18</v>
      </c>
      <c r="K2498" s="6" t="n">
        <f aca="false">IF(COUNTIF($A$2:$A2498,A2498)=1,1,0)</f>
        <v>0</v>
      </c>
    </row>
    <row r="2499" customFormat="false" ht="15" hidden="false" customHeight="false" outlineLevel="0" collapsed="false">
      <c r="A2499" s="0" t="s">
        <v>570</v>
      </c>
      <c r="B2499" s="0" t="s">
        <v>102</v>
      </c>
      <c r="C2499" s="0" t="s">
        <v>103</v>
      </c>
      <c r="D2499" s="0" t="n">
        <v>38</v>
      </c>
      <c r="E2499" s="5" t="n">
        <v>45968.7836805556</v>
      </c>
      <c r="F2499" s="0" t="n">
        <v>8.5</v>
      </c>
      <c r="G2499" s="0" t="n">
        <v>17042</v>
      </c>
      <c r="H2499" s="6" t="s">
        <v>263</v>
      </c>
      <c r="I2499" s="6" t="n">
        <f aca="false">D2499*F2499</f>
        <v>323</v>
      </c>
      <c r="J2499" s="6" t="n">
        <f aca="false">HOUR(E2499)</f>
        <v>18</v>
      </c>
      <c r="K2499" s="6" t="n">
        <f aca="false">IF(COUNTIF($A$2:$A2499,A2499)=1,1,0)</f>
        <v>0</v>
      </c>
    </row>
    <row r="2500" customFormat="false" ht="15" hidden="false" customHeight="false" outlineLevel="0" collapsed="false">
      <c r="A2500" s="0" t="s">
        <v>571</v>
      </c>
      <c r="B2500" s="0" t="s">
        <v>131</v>
      </c>
      <c r="C2500" s="0" t="s">
        <v>132</v>
      </c>
      <c r="D2500" s="0" t="n">
        <v>13</v>
      </c>
      <c r="E2500" s="5" t="n">
        <v>45968.8278240741</v>
      </c>
      <c r="F2500" s="0" t="n">
        <v>3.39</v>
      </c>
      <c r="G2500" s="0" t="n">
        <v>17235</v>
      </c>
      <c r="H2500" s="6" t="s">
        <v>42</v>
      </c>
      <c r="I2500" s="6" t="n">
        <f aca="false">D2500*F2500</f>
        <v>44.07</v>
      </c>
      <c r="J2500" s="6" t="n">
        <f aca="false">HOUR(E2500)</f>
        <v>19</v>
      </c>
      <c r="K2500" s="6" t="n">
        <f aca="false">IF(COUNTIF($A$2:$A2500,A2500)=1,1,0)</f>
        <v>1</v>
      </c>
    </row>
    <row r="2501" customFormat="false" ht="15" hidden="false" customHeight="false" outlineLevel="0" collapsed="false">
      <c r="A2501" s="0" t="s">
        <v>571</v>
      </c>
      <c r="B2501" s="0" t="s">
        <v>69</v>
      </c>
      <c r="C2501" s="0" t="s">
        <v>70</v>
      </c>
      <c r="D2501" s="0" t="n">
        <v>22</v>
      </c>
      <c r="E2501" s="5" t="n">
        <v>45968.8278240741</v>
      </c>
      <c r="F2501" s="0" t="n">
        <v>2.08</v>
      </c>
      <c r="G2501" s="0" t="n">
        <v>17235</v>
      </c>
      <c r="H2501" s="6" t="s">
        <v>42</v>
      </c>
      <c r="I2501" s="6" t="n">
        <f aca="false">D2501*F2501</f>
        <v>45.76</v>
      </c>
      <c r="J2501" s="6" t="n">
        <f aca="false">HOUR(E2501)</f>
        <v>19</v>
      </c>
      <c r="K2501" s="6" t="n">
        <f aca="false">IF(COUNTIF($A$2:$A2501,A2501)=1,1,0)</f>
        <v>0</v>
      </c>
    </row>
    <row r="2502" customFormat="false" ht="15" hidden="false" customHeight="false" outlineLevel="0" collapsed="false">
      <c r="A2502" s="0" t="s">
        <v>571</v>
      </c>
      <c r="B2502" s="0" t="s">
        <v>121</v>
      </c>
      <c r="C2502" s="0" t="s">
        <v>122</v>
      </c>
      <c r="D2502" s="0" t="n">
        <v>13</v>
      </c>
      <c r="E2502" s="5" t="n">
        <v>45968.8278240741</v>
      </c>
      <c r="F2502" s="0" t="n">
        <v>2.1</v>
      </c>
      <c r="G2502" s="0" t="n">
        <v>17235</v>
      </c>
      <c r="H2502" s="6" t="s">
        <v>42</v>
      </c>
      <c r="I2502" s="6" t="n">
        <f aca="false">D2502*F2502</f>
        <v>27.3</v>
      </c>
      <c r="J2502" s="6" t="n">
        <f aca="false">HOUR(E2502)</f>
        <v>19</v>
      </c>
      <c r="K2502" s="6" t="n">
        <f aca="false">IF(COUNTIF($A$2:$A2502,A2502)=1,1,0)</f>
        <v>0</v>
      </c>
    </row>
    <row r="2503" customFormat="false" ht="15" hidden="false" customHeight="false" outlineLevel="0" collapsed="false">
      <c r="A2503" s="0" t="s">
        <v>572</v>
      </c>
      <c r="B2503" s="0" t="s">
        <v>118</v>
      </c>
      <c r="C2503" s="0" t="s">
        <v>119</v>
      </c>
      <c r="D2503" s="0" t="n">
        <v>15</v>
      </c>
      <c r="E2503" s="5" t="n">
        <v>45969.3508680556</v>
      </c>
      <c r="F2503" s="0" t="n">
        <v>4.95</v>
      </c>
      <c r="G2503" s="0" t="n">
        <v>17129</v>
      </c>
      <c r="H2503" s="6" t="s">
        <v>74</v>
      </c>
      <c r="I2503" s="6" t="n">
        <f aca="false">D2503*F2503</f>
        <v>74.25</v>
      </c>
      <c r="J2503" s="6" t="n">
        <f aca="false">HOUR(E2503)</f>
        <v>8</v>
      </c>
      <c r="K2503" s="6" t="n">
        <f aca="false">IF(COUNTIF($A$2:$A2503,A2503)=1,1,0)</f>
        <v>1</v>
      </c>
    </row>
    <row r="2504" customFormat="false" ht="15" hidden="false" customHeight="false" outlineLevel="0" collapsed="false">
      <c r="A2504" s="0" t="s">
        <v>572</v>
      </c>
      <c r="B2504" s="0" t="s">
        <v>50</v>
      </c>
      <c r="C2504" s="0" t="s">
        <v>51</v>
      </c>
      <c r="D2504" s="0" t="n">
        <v>4</v>
      </c>
      <c r="E2504" s="5" t="n">
        <v>45969.3508680556</v>
      </c>
      <c r="F2504" s="0" t="n">
        <v>5.95</v>
      </c>
      <c r="G2504" s="0" t="n">
        <v>17129</v>
      </c>
      <c r="H2504" s="6" t="s">
        <v>74</v>
      </c>
      <c r="I2504" s="6" t="n">
        <f aca="false">D2504*F2504</f>
        <v>23.8</v>
      </c>
      <c r="J2504" s="6" t="n">
        <f aca="false">HOUR(E2504)</f>
        <v>8</v>
      </c>
      <c r="K2504" s="6" t="n">
        <f aca="false">IF(COUNTIF($A$2:$A2504,A2504)=1,1,0)</f>
        <v>0</v>
      </c>
    </row>
    <row r="2505" customFormat="false" ht="15" hidden="false" customHeight="false" outlineLevel="0" collapsed="false">
      <c r="A2505" s="0" t="s">
        <v>572</v>
      </c>
      <c r="B2505" s="0" t="s">
        <v>145</v>
      </c>
      <c r="C2505" s="0" t="s">
        <v>146</v>
      </c>
      <c r="D2505" s="0" t="n">
        <v>2</v>
      </c>
      <c r="E2505" s="5" t="n">
        <v>45969.3508680556</v>
      </c>
      <c r="F2505" s="0" t="n">
        <v>1.85</v>
      </c>
      <c r="G2505" s="0" t="n">
        <v>17129</v>
      </c>
      <c r="H2505" s="6" t="s">
        <v>74</v>
      </c>
      <c r="I2505" s="6" t="n">
        <f aca="false">D2505*F2505</f>
        <v>3.7</v>
      </c>
      <c r="J2505" s="6" t="n">
        <f aca="false">HOUR(E2505)</f>
        <v>8</v>
      </c>
      <c r="K2505" s="6" t="n">
        <f aca="false">IF(COUNTIF($A$2:$A2505,A2505)=1,1,0)</f>
        <v>0</v>
      </c>
    </row>
    <row r="2506" customFormat="false" ht="15" hidden="false" customHeight="false" outlineLevel="0" collapsed="false">
      <c r="A2506" s="0" t="s">
        <v>572</v>
      </c>
      <c r="B2506" s="0" t="s">
        <v>114</v>
      </c>
      <c r="C2506" s="0" t="s">
        <v>115</v>
      </c>
      <c r="D2506" s="0" t="n">
        <v>2</v>
      </c>
      <c r="E2506" s="5" t="n">
        <v>45969.3508680556</v>
      </c>
      <c r="F2506" s="0" t="n">
        <v>2.08</v>
      </c>
      <c r="G2506" s="0" t="n">
        <v>17129</v>
      </c>
      <c r="H2506" s="6" t="s">
        <v>74</v>
      </c>
      <c r="I2506" s="6" t="n">
        <f aca="false">D2506*F2506</f>
        <v>4.16</v>
      </c>
      <c r="J2506" s="6" t="n">
        <f aca="false">HOUR(E2506)</f>
        <v>8</v>
      </c>
      <c r="K2506" s="6" t="n">
        <f aca="false">IF(COUNTIF($A$2:$A2506,A2506)=1,1,0)</f>
        <v>0</v>
      </c>
    </row>
    <row r="2507" customFormat="false" ht="15" hidden="false" customHeight="false" outlineLevel="0" collapsed="false">
      <c r="A2507" s="0" t="s">
        <v>572</v>
      </c>
      <c r="B2507" s="0" t="s">
        <v>43</v>
      </c>
      <c r="C2507" s="0" t="s">
        <v>44</v>
      </c>
      <c r="D2507" s="0" t="n">
        <v>16</v>
      </c>
      <c r="E2507" s="5" t="n">
        <v>45969.3508680556</v>
      </c>
      <c r="F2507" s="0" t="n">
        <v>4.25</v>
      </c>
      <c r="G2507" s="0" t="n">
        <v>17129</v>
      </c>
      <c r="H2507" s="6" t="s">
        <v>74</v>
      </c>
      <c r="I2507" s="6" t="n">
        <f aca="false">D2507*F2507</f>
        <v>68</v>
      </c>
      <c r="J2507" s="6" t="n">
        <f aca="false">HOUR(E2507)</f>
        <v>8</v>
      </c>
      <c r="K2507" s="6" t="n">
        <f aca="false">IF(COUNTIF($A$2:$A2507,A2507)=1,1,0)</f>
        <v>0</v>
      </c>
    </row>
    <row r="2508" customFormat="false" ht="15" hidden="false" customHeight="false" outlineLevel="0" collapsed="false">
      <c r="A2508" s="0" t="s">
        <v>572</v>
      </c>
      <c r="B2508" s="0" t="s">
        <v>45</v>
      </c>
      <c r="C2508" s="0" t="s">
        <v>46</v>
      </c>
      <c r="D2508" s="0" t="n">
        <v>3</v>
      </c>
      <c r="E2508" s="5" t="n">
        <v>45969.3508680556</v>
      </c>
      <c r="F2508" s="0" t="n">
        <v>2.1</v>
      </c>
      <c r="G2508" s="0" t="n">
        <v>17129</v>
      </c>
      <c r="H2508" s="6" t="s">
        <v>74</v>
      </c>
      <c r="I2508" s="6" t="n">
        <f aca="false">D2508*F2508</f>
        <v>6.3</v>
      </c>
      <c r="J2508" s="6" t="n">
        <f aca="false">HOUR(E2508)</f>
        <v>8</v>
      </c>
      <c r="K2508" s="6" t="n">
        <f aca="false">IF(COUNTIF($A$2:$A2508,A2508)=1,1,0)</f>
        <v>0</v>
      </c>
    </row>
    <row r="2509" customFormat="false" ht="15" hidden="false" customHeight="false" outlineLevel="0" collapsed="false">
      <c r="A2509" s="0" t="s">
        <v>572</v>
      </c>
      <c r="B2509" s="0" t="s">
        <v>72</v>
      </c>
      <c r="C2509" s="0" t="s">
        <v>73</v>
      </c>
      <c r="D2509" s="0" t="n">
        <v>47</v>
      </c>
      <c r="E2509" s="5" t="n">
        <v>45969.3508680556</v>
      </c>
      <c r="F2509" s="0" t="n">
        <v>4.95</v>
      </c>
      <c r="G2509" s="0" t="n">
        <v>17129</v>
      </c>
      <c r="H2509" s="6" t="s">
        <v>74</v>
      </c>
      <c r="I2509" s="6" t="n">
        <f aca="false">D2509*F2509</f>
        <v>232.65</v>
      </c>
      <c r="J2509" s="6" t="n">
        <f aca="false">HOUR(E2509)</f>
        <v>8</v>
      </c>
      <c r="K2509" s="6" t="n">
        <f aca="false">IF(COUNTIF($A$2:$A2509,A2509)=1,1,0)</f>
        <v>0</v>
      </c>
    </row>
    <row r="2510" customFormat="false" ht="15" hidden="false" customHeight="false" outlineLevel="0" collapsed="false">
      <c r="A2510" s="0" t="s">
        <v>572</v>
      </c>
      <c r="B2510" s="0" t="s">
        <v>102</v>
      </c>
      <c r="C2510" s="0" t="s">
        <v>103</v>
      </c>
      <c r="D2510" s="0" t="n">
        <v>38</v>
      </c>
      <c r="E2510" s="5" t="n">
        <v>45969.3508680556</v>
      </c>
      <c r="F2510" s="0" t="n">
        <v>8.5</v>
      </c>
      <c r="G2510" s="0" t="n">
        <v>17129</v>
      </c>
      <c r="H2510" s="6" t="s">
        <v>74</v>
      </c>
      <c r="I2510" s="6" t="n">
        <f aca="false">D2510*F2510</f>
        <v>323</v>
      </c>
      <c r="J2510" s="6" t="n">
        <f aca="false">HOUR(E2510)</f>
        <v>8</v>
      </c>
      <c r="K2510" s="6" t="n">
        <f aca="false">IF(COUNTIF($A$2:$A2510,A2510)=1,1,0)</f>
        <v>0</v>
      </c>
    </row>
    <row r="2511" customFormat="false" ht="15" hidden="false" customHeight="false" outlineLevel="0" collapsed="false">
      <c r="A2511" s="0" t="s">
        <v>573</v>
      </c>
      <c r="B2511" s="0" t="s">
        <v>114</v>
      </c>
      <c r="C2511" s="0" t="s">
        <v>115</v>
      </c>
      <c r="D2511" s="0" t="n">
        <v>24</v>
      </c>
      <c r="E2511" s="5" t="n">
        <v>45969.3641782407</v>
      </c>
      <c r="F2511" s="0" t="n">
        <v>2.08</v>
      </c>
      <c r="G2511" s="0" t="n">
        <v>17224</v>
      </c>
      <c r="H2511" s="6" t="s">
        <v>42</v>
      </c>
      <c r="I2511" s="6" t="n">
        <f aca="false">D2511*F2511</f>
        <v>49.92</v>
      </c>
      <c r="J2511" s="6" t="n">
        <f aca="false">HOUR(E2511)</f>
        <v>8</v>
      </c>
      <c r="K2511" s="6" t="n">
        <f aca="false">IF(COUNTIF($A$2:$A2511,A2511)=1,1,0)</f>
        <v>1</v>
      </c>
    </row>
    <row r="2512" customFormat="false" ht="15" hidden="false" customHeight="false" outlineLevel="0" collapsed="false">
      <c r="A2512" s="0" t="s">
        <v>573</v>
      </c>
      <c r="B2512" s="0" t="s">
        <v>88</v>
      </c>
      <c r="C2512" s="0" t="s">
        <v>89</v>
      </c>
      <c r="D2512" s="0" t="n">
        <v>9</v>
      </c>
      <c r="E2512" s="5" t="n">
        <v>45969.3641782407</v>
      </c>
      <c r="F2512" s="0" t="n">
        <v>2.75</v>
      </c>
      <c r="G2512" s="0" t="n">
        <v>17224</v>
      </c>
      <c r="H2512" s="6" t="s">
        <v>42</v>
      </c>
      <c r="I2512" s="6" t="n">
        <f aca="false">D2512*F2512</f>
        <v>24.75</v>
      </c>
      <c r="J2512" s="6" t="n">
        <f aca="false">HOUR(E2512)</f>
        <v>8</v>
      </c>
      <c r="K2512" s="6" t="n">
        <f aca="false">IF(COUNTIF($A$2:$A2512,A2512)=1,1,0)</f>
        <v>0</v>
      </c>
    </row>
    <row r="2513" customFormat="false" ht="15" hidden="false" customHeight="false" outlineLevel="0" collapsed="false">
      <c r="A2513" s="0" t="s">
        <v>574</v>
      </c>
      <c r="B2513" s="0" t="s">
        <v>45</v>
      </c>
      <c r="C2513" s="0" t="s">
        <v>46</v>
      </c>
      <c r="D2513" s="0" t="n">
        <v>9</v>
      </c>
      <c r="E2513" s="5" t="n">
        <v>45969.3912847222</v>
      </c>
      <c r="F2513" s="0" t="n">
        <v>2.1</v>
      </c>
      <c r="G2513" s="0" t="n">
        <v>17038</v>
      </c>
      <c r="H2513" s="6" t="s">
        <v>98</v>
      </c>
      <c r="I2513" s="6" t="n">
        <f aca="false">D2513*F2513</f>
        <v>18.9</v>
      </c>
      <c r="J2513" s="6" t="n">
        <f aca="false">HOUR(E2513)</f>
        <v>9</v>
      </c>
      <c r="K2513" s="6" t="n">
        <f aca="false">IF(COUNTIF($A$2:$A2513,A2513)=1,1,0)</f>
        <v>1</v>
      </c>
    </row>
    <row r="2514" customFormat="false" ht="15" hidden="false" customHeight="false" outlineLevel="0" collapsed="false">
      <c r="A2514" s="0" t="s">
        <v>574</v>
      </c>
      <c r="B2514" s="0" t="s">
        <v>55</v>
      </c>
      <c r="C2514" s="0" t="s">
        <v>56</v>
      </c>
      <c r="D2514" s="0" t="n">
        <v>7</v>
      </c>
      <c r="E2514" s="5" t="n">
        <v>45969.3912847222</v>
      </c>
      <c r="F2514" s="0" t="n">
        <v>1.65</v>
      </c>
      <c r="G2514" s="0" t="n">
        <v>17038</v>
      </c>
      <c r="H2514" s="6" t="s">
        <v>98</v>
      </c>
      <c r="I2514" s="6" t="n">
        <f aca="false">D2514*F2514</f>
        <v>11.55</v>
      </c>
      <c r="J2514" s="6" t="n">
        <f aca="false">HOUR(E2514)</f>
        <v>9</v>
      </c>
      <c r="K2514" s="6" t="n">
        <f aca="false">IF(COUNTIF($A$2:$A2514,A2514)=1,1,0)</f>
        <v>0</v>
      </c>
    </row>
    <row r="2515" customFormat="false" ht="15" hidden="false" customHeight="false" outlineLevel="0" collapsed="false">
      <c r="A2515" s="0" t="s">
        <v>574</v>
      </c>
      <c r="B2515" s="0" t="s">
        <v>61</v>
      </c>
      <c r="C2515" s="0" t="s">
        <v>62</v>
      </c>
      <c r="D2515" s="0" t="n">
        <v>17</v>
      </c>
      <c r="E2515" s="5" t="n">
        <v>45969.3912847222</v>
      </c>
      <c r="F2515" s="0" t="n">
        <v>1.65</v>
      </c>
      <c r="G2515" s="0" t="n">
        <v>17038</v>
      </c>
      <c r="H2515" s="6" t="s">
        <v>98</v>
      </c>
      <c r="I2515" s="6" t="n">
        <f aca="false">D2515*F2515</f>
        <v>28.05</v>
      </c>
      <c r="J2515" s="6" t="n">
        <f aca="false">HOUR(E2515)</f>
        <v>9</v>
      </c>
      <c r="K2515" s="6" t="n">
        <f aca="false">IF(COUNTIF($A$2:$A2515,A2515)=1,1,0)</f>
        <v>0</v>
      </c>
    </row>
    <row r="2516" customFormat="false" ht="15" hidden="false" customHeight="false" outlineLevel="0" collapsed="false">
      <c r="A2516" s="0" t="s">
        <v>574</v>
      </c>
      <c r="B2516" s="0" t="s">
        <v>57</v>
      </c>
      <c r="C2516" s="0" t="s">
        <v>58</v>
      </c>
      <c r="D2516" s="0" t="n">
        <v>10</v>
      </c>
      <c r="E2516" s="5" t="n">
        <v>45969.3912847222</v>
      </c>
      <c r="F2516" s="0" t="n">
        <v>2.08</v>
      </c>
      <c r="G2516" s="0" t="n">
        <v>17038</v>
      </c>
      <c r="H2516" s="6" t="s">
        <v>98</v>
      </c>
      <c r="I2516" s="6" t="n">
        <f aca="false">D2516*F2516</f>
        <v>20.8</v>
      </c>
      <c r="J2516" s="6" t="n">
        <f aca="false">HOUR(E2516)</f>
        <v>9</v>
      </c>
      <c r="K2516" s="6" t="n">
        <f aca="false">IF(COUNTIF($A$2:$A2516,A2516)=1,1,0)</f>
        <v>0</v>
      </c>
    </row>
    <row r="2517" customFormat="false" ht="15" hidden="false" customHeight="false" outlineLevel="0" collapsed="false">
      <c r="A2517" s="0" t="s">
        <v>574</v>
      </c>
      <c r="B2517" s="0" t="s">
        <v>118</v>
      </c>
      <c r="C2517" s="0" t="s">
        <v>119</v>
      </c>
      <c r="D2517" s="0" t="n">
        <v>33</v>
      </c>
      <c r="E2517" s="5" t="n">
        <v>45969.3912847222</v>
      </c>
      <c r="F2517" s="0" t="n">
        <v>4.95</v>
      </c>
      <c r="G2517" s="0" t="n">
        <v>17038</v>
      </c>
      <c r="H2517" s="6" t="s">
        <v>98</v>
      </c>
      <c r="I2517" s="6" t="n">
        <f aca="false">D2517*F2517</f>
        <v>163.35</v>
      </c>
      <c r="J2517" s="6" t="n">
        <f aca="false">HOUR(E2517)</f>
        <v>9</v>
      </c>
      <c r="K2517" s="6" t="n">
        <f aca="false">IF(COUNTIF($A$2:$A2517,A2517)=1,1,0)</f>
        <v>0</v>
      </c>
    </row>
    <row r="2518" customFormat="false" ht="15" hidden="false" customHeight="false" outlineLevel="0" collapsed="false">
      <c r="A2518" s="0" t="s">
        <v>574</v>
      </c>
      <c r="B2518" s="0" t="s">
        <v>59</v>
      </c>
      <c r="C2518" s="0" t="s">
        <v>60</v>
      </c>
      <c r="D2518" s="0" t="n">
        <v>11</v>
      </c>
      <c r="E2518" s="5" t="n">
        <v>45969.3912847222</v>
      </c>
      <c r="F2518" s="0" t="n">
        <v>0.42</v>
      </c>
      <c r="G2518" s="0" t="n">
        <v>17038</v>
      </c>
      <c r="H2518" s="6" t="s">
        <v>98</v>
      </c>
      <c r="I2518" s="6" t="n">
        <f aca="false">D2518*F2518</f>
        <v>4.62</v>
      </c>
      <c r="J2518" s="6" t="n">
        <f aca="false">HOUR(E2518)</f>
        <v>9</v>
      </c>
      <c r="K2518" s="6" t="n">
        <f aca="false">IF(COUNTIF($A$2:$A2518,A2518)=1,1,0)</f>
        <v>0</v>
      </c>
    </row>
    <row r="2519" customFormat="false" ht="15" hidden="false" customHeight="false" outlineLevel="0" collapsed="false">
      <c r="A2519" s="0" t="s">
        <v>574</v>
      </c>
      <c r="B2519" s="0" t="s">
        <v>91</v>
      </c>
      <c r="C2519" s="0" t="s">
        <v>92</v>
      </c>
      <c r="D2519" s="0" t="n">
        <v>13</v>
      </c>
      <c r="E2519" s="5" t="n">
        <v>45969.3912847222</v>
      </c>
      <c r="F2519" s="0" t="n">
        <v>7.65</v>
      </c>
      <c r="G2519" s="0" t="n">
        <v>17038</v>
      </c>
      <c r="H2519" s="6" t="s">
        <v>98</v>
      </c>
      <c r="I2519" s="6" t="n">
        <f aca="false">D2519*F2519</f>
        <v>99.45</v>
      </c>
      <c r="J2519" s="6" t="n">
        <f aca="false">HOUR(E2519)</f>
        <v>9</v>
      </c>
      <c r="K2519" s="6" t="n">
        <f aca="false">IF(COUNTIF($A$2:$A2519,A2519)=1,1,0)</f>
        <v>0</v>
      </c>
    </row>
    <row r="2520" customFormat="false" ht="15" hidden="false" customHeight="false" outlineLevel="0" collapsed="false">
      <c r="A2520" s="0" t="s">
        <v>574</v>
      </c>
      <c r="B2520" s="0" t="s">
        <v>86</v>
      </c>
      <c r="C2520" s="0" t="s">
        <v>87</v>
      </c>
      <c r="D2520" s="0" t="n">
        <v>17</v>
      </c>
      <c r="E2520" s="5" t="n">
        <v>45969.3912847222</v>
      </c>
      <c r="F2520" s="0" t="n">
        <v>4.25</v>
      </c>
      <c r="G2520" s="0" t="n">
        <v>17038</v>
      </c>
      <c r="H2520" s="6" t="s">
        <v>98</v>
      </c>
      <c r="I2520" s="6" t="n">
        <f aca="false">D2520*F2520</f>
        <v>72.25</v>
      </c>
      <c r="J2520" s="6" t="n">
        <f aca="false">HOUR(E2520)</f>
        <v>9</v>
      </c>
      <c r="K2520" s="6" t="n">
        <f aca="false">IF(COUNTIF($A$2:$A2520,A2520)=1,1,0)</f>
        <v>0</v>
      </c>
    </row>
    <row r="2521" customFormat="false" ht="15" hidden="false" customHeight="false" outlineLevel="0" collapsed="false">
      <c r="A2521" s="0" t="s">
        <v>574</v>
      </c>
      <c r="B2521" s="0" t="s">
        <v>131</v>
      </c>
      <c r="C2521" s="0" t="s">
        <v>132</v>
      </c>
      <c r="D2521" s="0" t="n">
        <v>3</v>
      </c>
      <c r="E2521" s="5" t="n">
        <v>45969.3912847222</v>
      </c>
      <c r="F2521" s="0" t="n">
        <v>3.39</v>
      </c>
      <c r="G2521" s="0" t="n">
        <v>17038</v>
      </c>
      <c r="H2521" s="6" t="s">
        <v>98</v>
      </c>
      <c r="I2521" s="6" t="n">
        <f aca="false">D2521*F2521</f>
        <v>10.17</v>
      </c>
      <c r="J2521" s="6" t="n">
        <f aca="false">HOUR(E2521)</f>
        <v>9</v>
      </c>
      <c r="K2521" s="6" t="n">
        <f aca="false">IF(COUNTIF($A$2:$A2521,A2521)=1,1,0)</f>
        <v>0</v>
      </c>
    </row>
    <row r="2522" customFormat="false" ht="15" hidden="false" customHeight="false" outlineLevel="0" collapsed="false">
      <c r="A2522" s="0" t="s">
        <v>575</v>
      </c>
      <c r="B2522" s="0" t="s">
        <v>109</v>
      </c>
      <c r="C2522" s="0" t="s">
        <v>110</v>
      </c>
      <c r="D2522" s="0" t="n">
        <v>13</v>
      </c>
      <c r="E2522" s="5" t="n">
        <v>45969.4093634259</v>
      </c>
      <c r="F2522" s="0" t="n">
        <v>0.85</v>
      </c>
      <c r="H2522" s="6" t="s">
        <v>74</v>
      </c>
      <c r="I2522" s="6" t="n">
        <f aca="false">D2522*F2522</f>
        <v>11.05</v>
      </c>
      <c r="J2522" s="6" t="n">
        <f aca="false">HOUR(E2522)</f>
        <v>9</v>
      </c>
      <c r="K2522" s="6" t="n">
        <f aca="false">IF(COUNTIF($A$2:$A2522,A2522)=1,1,0)</f>
        <v>1</v>
      </c>
    </row>
    <row r="2523" customFormat="false" ht="15" hidden="false" customHeight="false" outlineLevel="0" collapsed="false">
      <c r="A2523" s="0" t="s">
        <v>575</v>
      </c>
      <c r="B2523" s="0" t="s">
        <v>93</v>
      </c>
      <c r="C2523" s="0" t="s">
        <v>94</v>
      </c>
      <c r="D2523" s="0" t="n">
        <v>15</v>
      </c>
      <c r="E2523" s="5" t="n">
        <v>45969.4093634259</v>
      </c>
      <c r="F2523" s="0" t="n">
        <v>1.69</v>
      </c>
      <c r="H2523" s="6" t="s">
        <v>74</v>
      </c>
      <c r="I2523" s="6" t="n">
        <f aca="false">D2523*F2523</f>
        <v>25.35</v>
      </c>
      <c r="J2523" s="6" t="n">
        <f aca="false">HOUR(E2523)</f>
        <v>9</v>
      </c>
      <c r="K2523" s="6" t="n">
        <f aca="false">IF(COUNTIF($A$2:$A2523,A2523)=1,1,0)</f>
        <v>0</v>
      </c>
    </row>
    <row r="2524" customFormat="false" ht="15" hidden="false" customHeight="false" outlineLevel="0" collapsed="false">
      <c r="A2524" s="0" t="s">
        <v>575</v>
      </c>
      <c r="B2524" s="0" t="s">
        <v>134</v>
      </c>
      <c r="C2524" s="0" t="s">
        <v>135</v>
      </c>
      <c r="D2524" s="0" t="n">
        <v>7</v>
      </c>
      <c r="E2524" s="5" t="n">
        <v>45969.4093634259</v>
      </c>
      <c r="F2524" s="0" t="n">
        <v>5.95</v>
      </c>
      <c r="H2524" s="6" t="s">
        <v>74</v>
      </c>
      <c r="I2524" s="6" t="n">
        <f aca="false">D2524*F2524</f>
        <v>41.65</v>
      </c>
      <c r="J2524" s="6" t="n">
        <f aca="false">HOUR(E2524)</f>
        <v>9</v>
      </c>
      <c r="K2524" s="6" t="n">
        <f aca="false">IF(COUNTIF($A$2:$A2524,A2524)=1,1,0)</f>
        <v>0</v>
      </c>
    </row>
    <row r="2525" customFormat="false" ht="15" hidden="false" customHeight="false" outlineLevel="0" collapsed="false">
      <c r="A2525" s="0" t="s">
        <v>576</v>
      </c>
      <c r="B2525" s="0" t="s">
        <v>65</v>
      </c>
      <c r="C2525" s="0" t="s">
        <v>66</v>
      </c>
      <c r="D2525" s="0" t="n">
        <v>-2</v>
      </c>
      <c r="E2525" s="5" t="n">
        <v>45969.4095601852</v>
      </c>
      <c r="F2525" s="0" t="n">
        <v>1.65</v>
      </c>
      <c r="G2525" s="0" t="n">
        <v>17060</v>
      </c>
      <c r="H2525" s="6" t="s">
        <v>188</v>
      </c>
      <c r="I2525" s="6" t="n">
        <f aca="false">D2525*F2525</f>
        <v>-3.3</v>
      </c>
      <c r="J2525" s="6" t="n">
        <f aca="false">HOUR(E2525)</f>
        <v>9</v>
      </c>
      <c r="K2525" s="6" t="n">
        <f aca="false">IF(COUNTIF($A$2:$A2525,A2525)=1,1,0)</f>
        <v>1</v>
      </c>
    </row>
    <row r="2526" customFormat="false" ht="15" hidden="false" customHeight="false" outlineLevel="0" collapsed="false">
      <c r="A2526" s="0" t="s">
        <v>577</v>
      </c>
      <c r="B2526" s="0" t="s">
        <v>40</v>
      </c>
      <c r="C2526" s="0" t="s">
        <v>41</v>
      </c>
      <c r="D2526" s="0" t="n">
        <v>1</v>
      </c>
      <c r="E2526" s="5" t="n">
        <v>45969.4576273148</v>
      </c>
      <c r="F2526" s="0" t="n">
        <v>1.06</v>
      </c>
      <c r="G2526" s="0" t="n">
        <v>17004</v>
      </c>
      <c r="H2526" s="6" t="s">
        <v>74</v>
      </c>
      <c r="I2526" s="6" t="n">
        <f aca="false">D2526*F2526</f>
        <v>1.06</v>
      </c>
      <c r="J2526" s="6" t="n">
        <f aca="false">HOUR(E2526)</f>
        <v>10</v>
      </c>
      <c r="K2526" s="6" t="n">
        <f aca="false">IF(COUNTIF($A$2:$A2526,A2526)=1,1,0)</f>
        <v>1</v>
      </c>
    </row>
    <row r="2527" customFormat="false" ht="15" hidden="false" customHeight="false" outlineLevel="0" collapsed="false">
      <c r="A2527" s="0" t="s">
        <v>577</v>
      </c>
      <c r="B2527" s="0" t="s">
        <v>118</v>
      </c>
      <c r="C2527" s="0" t="s">
        <v>119</v>
      </c>
      <c r="D2527" s="0" t="n">
        <v>43</v>
      </c>
      <c r="E2527" s="5" t="n">
        <v>45969.4576273148</v>
      </c>
      <c r="F2527" s="0" t="n">
        <v>4.95</v>
      </c>
      <c r="G2527" s="0" t="n">
        <v>17004</v>
      </c>
      <c r="H2527" s="6" t="s">
        <v>74</v>
      </c>
      <c r="I2527" s="6" t="n">
        <f aca="false">D2527*F2527</f>
        <v>212.85</v>
      </c>
      <c r="J2527" s="6" t="n">
        <f aca="false">HOUR(E2527)</f>
        <v>10</v>
      </c>
      <c r="K2527" s="6" t="n">
        <f aca="false">IF(COUNTIF($A$2:$A2527,A2527)=1,1,0)</f>
        <v>0</v>
      </c>
    </row>
    <row r="2528" customFormat="false" ht="15" hidden="false" customHeight="false" outlineLevel="0" collapsed="false">
      <c r="A2528" s="0" t="s">
        <v>577</v>
      </c>
      <c r="B2528" s="0" t="s">
        <v>145</v>
      </c>
      <c r="C2528" s="0" t="s">
        <v>146</v>
      </c>
      <c r="D2528" s="0" t="n">
        <v>11</v>
      </c>
      <c r="E2528" s="5" t="n">
        <v>45969.4576273148</v>
      </c>
      <c r="F2528" s="0" t="n">
        <v>1.85</v>
      </c>
      <c r="G2528" s="0" t="n">
        <v>17004</v>
      </c>
      <c r="H2528" s="6" t="s">
        <v>74</v>
      </c>
      <c r="I2528" s="6" t="n">
        <f aca="false">D2528*F2528</f>
        <v>20.35</v>
      </c>
      <c r="J2528" s="6" t="n">
        <f aca="false">HOUR(E2528)</f>
        <v>10</v>
      </c>
      <c r="K2528" s="6" t="n">
        <f aca="false">IF(COUNTIF($A$2:$A2528,A2528)=1,1,0)</f>
        <v>0</v>
      </c>
    </row>
    <row r="2529" customFormat="false" ht="15" hidden="false" customHeight="false" outlineLevel="0" collapsed="false">
      <c r="A2529" s="0" t="s">
        <v>577</v>
      </c>
      <c r="B2529" s="0" t="s">
        <v>61</v>
      </c>
      <c r="C2529" s="0" t="s">
        <v>62</v>
      </c>
      <c r="D2529" s="0" t="n">
        <v>13</v>
      </c>
      <c r="E2529" s="5" t="n">
        <v>45969.4576273148</v>
      </c>
      <c r="F2529" s="0" t="n">
        <v>1.65</v>
      </c>
      <c r="G2529" s="0" t="n">
        <v>17004</v>
      </c>
      <c r="H2529" s="6" t="s">
        <v>74</v>
      </c>
      <c r="I2529" s="6" t="n">
        <f aca="false">D2529*F2529</f>
        <v>21.45</v>
      </c>
      <c r="J2529" s="6" t="n">
        <f aca="false">HOUR(E2529)</f>
        <v>10</v>
      </c>
      <c r="K2529" s="6" t="n">
        <f aca="false">IF(COUNTIF($A$2:$A2529,A2529)=1,1,0)</f>
        <v>0</v>
      </c>
    </row>
    <row r="2530" customFormat="false" ht="15" hidden="false" customHeight="false" outlineLevel="0" collapsed="false">
      <c r="A2530" s="0" t="s">
        <v>577</v>
      </c>
      <c r="B2530" s="0" t="s">
        <v>131</v>
      </c>
      <c r="C2530" s="0" t="s">
        <v>132</v>
      </c>
      <c r="D2530" s="0" t="n">
        <v>18</v>
      </c>
      <c r="E2530" s="5" t="n">
        <v>45969.4576273148</v>
      </c>
      <c r="F2530" s="0" t="n">
        <v>3.39</v>
      </c>
      <c r="G2530" s="0" t="n">
        <v>17004</v>
      </c>
      <c r="H2530" s="6" t="s">
        <v>74</v>
      </c>
      <c r="I2530" s="6" t="n">
        <f aca="false">D2530*F2530</f>
        <v>61.02</v>
      </c>
      <c r="J2530" s="6" t="n">
        <f aca="false">HOUR(E2530)</f>
        <v>10</v>
      </c>
      <c r="K2530" s="6" t="n">
        <f aca="false">IF(COUNTIF($A$2:$A2530,A2530)=1,1,0)</f>
        <v>0</v>
      </c>
    </row>
    <row r="2531" customFormat="false" ht="15" hidden="false" customHeight="false" outlineLevel="0" collapsed="false">
      <c r="A2531" s="0" t="s">
        <v>577</v>
      </c>
      <c r="B2531" s="0" t="s">
        <v>72</v>
      </c>
      <c r="C2531" s="0" t="s">
        <v>73</v>
      </c>
      <c r="D2531" s="0" t="n">
        <v>36</v>
      </c>
      <c r="E2531" s="5" t="n">
        <v>45969.4576273148</v>
      </c>
      <c r="F2531" s="0" t="n">
        <v>4.95</v>
      </c>
      <c r="G2531" s="0" t="n">
        <v>17004</v>
      </c>
      <c r="H2531" s="6" t="s">
        <v>74</v>
      </c>
      <c r="I2531" s="6" t="n">
        <f aca="false">D2531*F2531</f>
        <v>178.2</v>
      </c>
      <c r="J2531" s="6" t="n">
        <f aca="false">HOUR(E2531)</f>
        <v>10</v>
      </c>
      <c r="K2531" s="6" t="n">
        <f aca="false">IF(COUNTIF($A$2:$A2531,A2531)=1,1,0)</f>
        <v>0</v>
      </c>
    </row>
    <row r="2532" customFormat="false" ht="15" hidden="false" customHeight="false" outlineLevel="0" collapsed="false">
      <c r="A2532" s="0" t="s">
        <v>577</v>
      </c>
      <c r="B2532" s="0" t="s">
        <v>81</v>
      </c>
      <c r="C2532" s="0" t="s">
        <v>82</v>
      </c>
      <c r="D2532" s="0" t="n">
        <v>18</v>
      </c>
      <c r="E2532" s="5" t="n">
        <v>45969.4576273148</v>
      </c>
      <c r="F2532" s="0" t="n">
        <v>1.65</v>
      </c>
      <c r="G2532" s="0" t="n">
        <v>17004</v>
      </c>
      <c r="H2532" s="6" t="s">
        <v>74</v>
      </c>
      <c r="I2532" s="6" t="n">
        <f aca="false">D2532*F2532</f>
        <v>29.7</v>
      </c>
      <c r="J2532" s="6" t="n">
        <f aca="false">HOUR(E2532)</f>
        <v>10</v>
      </c>
      <c r="K2532" s="6" t="n">
        <f aca="false">IF(COUNTIF($A$2:$A2532,A2532)=1,1,0)</f>
        <v>0</v>
      </c>
    </row>
    <row r="2533" customFormat="false" ht="15" hidden="false" customHeight="false" outlineLevel="0" collapsed="false">
      <c r="A2533" s="0" t="s">
        <v>577</v>
      </c>
      <c r="B2533" s="0" t="s">
        <v>95</v>
      </c>
      <c r="C2533" s="0" t="s">
        <v>96</v>
      </c>
      <c r="D2533" s="0" t="n">
        <v>32</v>
      </c>
      <c r="E2533" s="5" t="n">
        <v>45969.4576273148</v>
      </c>
      <c r="F2533" s="0" t="n">
        <v>2.55</v>
      </c>
      <c r="G2533" s="0" t="n">
        <v>17004</v>
      </c>
      <c r="H2533" s="6" t="s">
        <v>74</v>
      </c>
      <c r="I2533" s="6" t="n">
        <f aca="false">D2533*F2533</f>
        <v>81.6</v>
      </c>
      <c r="J2533" s="6" t="n">
        <f aca="false">HOUR(E2533)</f>
        <v>10</v>
      </c>
      <c r="K2533" s="6" t="n">
        <f aca="false">IF(COUNTIF($A$2:$A2533,A2533)=1,1,0)</f>
        <v>0</v>
      </c>
    </row>
    <row r="2534" customFormat="false" ht="15" hidden="false" customHeight="false" outlineLevel="0" collapsed="false">
      <c r="A2534" s="0" t="s">
        <v>577</v>
      </c>
      <c r="B2534" s="0" t="s">
        <v>47</v>
      </c>
      <c r="C2534" s="0" t="s">
        <v>48</v>
      </c>
      <c r="D2534" s="0" t="n">
        <v>14</v>
      </c>
      <c r="E2534" s="5" t="n">
        <v>45969.4576273148</v>
      </c>
      <c r="F2534" s="0" t="n">
        <v>12.75</v>
      </c>
      <c r="G2534" s="0" t="n">
        <v>17004</v>
      </c>
      <c r="H2534" s="6" t="s">
        <v>74</v>
      </c>
      <c r="I2534" s="6" t="n">
        <f aca="false">D2534*F2534</f>
        <v>178.5</v>
      </c>
      <c r="J2534" s="6" t="n">
        <f aca="false">HOUR(E2534)</f>
        <v>10</v>
      </c>
      <c r="K2534" s="6" t="n">
        <f aca="false">IF(COUNTIF($A$2:$A2534,A2534)=1,1,0)</f>
        <v>0</v>
      </c>
    </row>
    <row r="2535" customFormat="false" ht="15" hidden="false" customHeight="false" outlineLevel="0" collapsed="false">
      <c r="A2535" s="0" t="s">
        <v>577</v>
      </c>
      <c r="B2535" s="0" t="s">
        <v>53</v>
      </c>
      <c r="C2535" s="0" t="s">
        <v>54</v>
      </c>
      <c r="D2535" s="0" t="n">
        <v>3</v>
      </c>
      <c r="E2535" s="5" t="n">
        <v>45969.4576273148</v>
      </c>
      <c r="F2535" s="0" t="n">
        <v>2.95</v>
      </c>
      <c r="G2535" s="0" t="n">
        <v>17004</v>
      </c>
      <c r="H2535" s="6" t="s">
        <v>74</v>
      </c>
      <c r="I2535" s="6" t="n">
        <f aca="false">D2535*F2535</f>
        <v>8.85</v>
      </c>
      <c r="J2535" s="6" t="n">
        <f aca="false">HOUR(E2535)</f>
        <v>10</v>
      </c>
      <c r="K2535" s="6" t="n">
        <f aca="false">IF(COUNTIF($A$2:$A2535,A2535)=1,1,0)</f>
        <v>0</v>
      </c>
    </row>
    <row r="2536" customFormat="false" ht="15" hidden="false" customHeight="false" outlineLevel="0" collapsed="false">
      <c r="A2536" s="0" t="s">
        <v>578</v>
      </c>
      <c r="B2536" s="0" t="s">
        <v>93</v>
      </c>
      <c r="C2536" s="0" t="s">
        <v>94</v>
      </c>
      <c r="D2536" s="0" t="n">
        <v>17</v>
      </c>
      <c r="E2536" s="5" t="n">
        <v>45969.4872453704</v>
      </c>
      <c r="F2536" s="0" t="n">
        <v>1.69</v>
      </c>
      <c r="G2536" s="0" t="n">
        <v>17086</v>
      </c>
      <c r="H2536" s="6" t="s">
        <v>113</v>
      </c>
      <c r="I2536" s="6" t="n">
        <f aca="false">D2536*F2536</f>
        <v>28.73</v>
      </c>
      <c r="J2536" s="6" t="n">
        <f aca="false">HOUR(E2536)</f>
        <v>11</v>
      </c>
      <c r="K2536" s="6" t="n">
        <f aca="false">IF(COUNTIF($A$2:$A2536,A2536)=1,1,0)</f>
        <v>1</v>
      </c>
    </row>
    <row r="2537" customFormat="false" ht="15" hidden="false" customHeight="false" outlineLevel="0" collapsed="false">
      <c r="A2537" s="0" t="s">
        <v>578</v>
      </c>
      <c r="B2537" s="0" t="s">
        <v>91</v>
      </c>
      <c r="C2537" s="0" t="s">
        <v>92</v>
      </c>
      <c r="D2537" s="0" t="n">
        <v>11</v>
      </c>
      <c r="E2537" s="5" t="n">
        <v>45969.4872453704</v>
      </c>
      <c r="F2537" s="0" t="n">
        <v>7.65</v>
      </c>
      <c r="G2537" s="0" t="n">
        <v>17086</v>
      </c>
      <c r="H2537" s="6" t="s">
        <v>113</v>
      </c>
      <c r="I2537" s="6" t="n">
        <f aca="false">D2537*F2537</f>
        <v>84.15</v>
      </c>
      <c r="J2537" s="6" t="n">
        <f aca="false">HOUR(E2537)</f>
        <v>11</v>
      </c>
      <c r="K2537" s="6" t="n">
        <f aca="false">IF(COUNTIF($A$2:$A2537,A2537)=1,1,0)</f>
        <v>0</v>
      </c>
    </row>
    <row r="2538" customFormat="false" ht="15" hidden="false" customHeight="false" outlineLevel="0" collapsed="false">
      <c r="A2538" s="0" t="s">
        <v>578</v>
      </c>
      <c r="B2538" s="0" t="s">
        <v>63</v>
      </c>
      <c r="C2538" s="0" t="s">
        <v>64</v>
      </c>
      <c r="D2538" s="0" t="n">
        <v>21</v>
      </c>
      <c r="E2538" s="5" t="n">
        <v>45969.4872453704</v>
      </c>
      <c r="F2538" s="0" t="n">
        <v>1.85</v>
      </c>
      <c r="G2538" s="0" t="n">
        <v>17086</v>
      </c>
      <c r="H2538" s="6" t="s">
        <v>113</v>
      </c>
      <c r="I2538" s="6" t="n">
        <f aca="false">D2538*F2538</f>
        <v>38.85</v>
      </c>
      <c r="J2538" s="6" t="n">
        <f aca="false">HOUR(E2538)</f>
        <v>11</v>
      </c>
      <c r="K2538" s="6" t="n">
        <f aca="false">IF(COUNTIF($A$2:$A2538,A2538)=1,1,0)</f>
        <v>0</v>
      </c>
    </row>
    <row r="2539" customFormat="false" ht="15" hidden="false" customHeight="false" outlineLevel="0" collapsed="false">
      <c r="A2539" s="0" t="s">
        <v>578</v>
      </c>
      <c r="B2539" s="0" t="s">
        <v>127</v>
      </c>
      <c r="C2539" s="0" t="s">
        <v>128</v>
      </c>
      <c r="D2539" s="0" t="n">
        <v>24</v>
      </c>
      <c r="E2539" s="5" t="n">
        <v>45969.4872453704</v>
      </c>
      <c r="F2539" s="0" t="n">
        <v>1.45</v>
      </c>
      <c r="G2539" s="0" t="n">
        <v>17086</v>
      </c>
      <c r="H2539" s="6" t="s">
        <v>113</v>
      </c>
      <c r="I2539" s="6" t="n">
        <f aca="false">D2539*F2539</f>
        <v>34.8</v>
      </c>
      <c r="J2539" s="6" t="n">
        <f aca="false">HOUR(E2539)</f>
        <v>11</v>
      </c>
      <c r="K2539" s="6" t="n">
        <f aca="false">IF(COUNTIF($A$2:$A2539,A2539)=1,1,0)</f>
        <v>0</v>
      </c>
    </row>
    <row r="2540" customFormat="false" ht="15" hidden="false" customHeight="false" outlineLevel="0" collapsed="false">
      <c r="A2540" s="0" t="s">
        <v>578</v>
      </c>
      <c r="B2540" s="0" t="s">
        <v>145</v>
      </c>
      <c r="C2540" s="0" t="s">
        <v>146</v>
      </c>
      <c r="D2540" s="0" t="n">
        <v>14</v>
      </c>
      <c r="E2540" s="5" t="n">
        <v>45969.4872453704</v>
      </c>
      <c r="F2540" s="0" t="n">
        <v>1.85</v>
      </c>
      <c r="G2540" s="0" t="n">
        <v>17086</v>
      </c>
      <c r="H2540" s="6" t="s">
        <v>113</v>
      </c>
      <c r="I2540" s="6" t="n">
        <f aca="false">D2540*F2540</f>
        <v>25.9</v>
      </c>
      <c r="J2540" s="6" t="n">
        <f aca="false">HOUR(E2540)</f>
        <v>11</v>
      </c>
      <c r="K2540" s="6" t="n">
        <f aca="false">IF(COUNTIF($A$2:$A2540,A2540)=1,1,0)</f>
        <v>0</v>
      </c>
    </row>
    <row r="2541" customFormat="false" ht="15" hidden="false" customHeight="false" outlineLevel="0" collapsed="false">
      <c r="A2541" s="0" t="s">
        <v>578</v>
      </c>
      <c r="B2541" s="0" t="s">
        <v>55</v>
      </c>
      <c r="C2541" s="0" t="s">
        <v>56</v>
      </c>
      <c r="D2541" s="0" t="n">
        <v>21</v>
      </c>
      <c r="E2541" s="5" t="n">
        <v>45969.4872453704</v>
      </c>
      <c r="F2541" s="0" t="n">
        <v>1.65</v>
      </c>
      <c r="G2541" s="0" t="n">
        <v>17086</v>
      </c>
      <c r="H2541" s="6" t="s">
        <v>113</v>
      </c>
      <c r="I2541" s="6" t="n">
        <f aca="false">D2541*F2541</f>
        <v>34.65</v>
      </c>
      <c r="J2541" s="6" t="n">
        <f aca="false">HOUR(E2541)</f>
        <v>11</v>
      </c>
      <c r="K2541" s="6" t="n">
        <f aca="false">IF(COUNTIF($A$2:$A2541,A2541)=1,1,0)</f>
        <v>0</v>
      </c>
    </row>
    <row r="2542" customFormat="false" ht="15" hidden="false" customHeight="false" outlineLevel="0" collapsed="false">
      <c r="A2542" s="0" t="s">
        <v>578</v>
      </c>
      <c r="B2542" s="0" t="s">
        <v>61</v>
      </c>
      <c r="C2542" s="0" t="s">
        <v>62</v>
      </c>
      <c r="D2542" s="0" t="n">
        <v>5</v>
      </c>
      <c r="E2542" s="5" t="n">
        <v>45969.4872453704</v>
      </c>
      <c r="F2542" s="0" t="n">
        <v>1.65</v>
      </c>
      <c r="G2542" s="0" t="n">
        <v>17086</v>
      </c>
      <c r="H2542" s="6" t="s">
        <v>113</v>
      </c>
      <c r="I2542" s="6" t="n">
        <f aca="false">D2542*F2542</f>
        <v>8.25</v>
      </c>
      <c r="J2542" s="6" t="n">
        <f aca="false">HOUR(E2542)</f>
        <v>11</v>
      </c>
      <c r="K2542" s="6" t="n">
        <f aca="false">IF(COUNTIF($A$2:$A2542,A2542)=1,1,0)</f>
        <v>0</v>
      </c>
    </row>
    <row r="2543" customFormat="false" ht="15" hidden="false" customHeight="false" outlineLevel="0" collapsed="false">
      <c r="A2543" s="0" t="s">
        <v>579</v>
      </c>
      <c r="B2543" s="0" t="s">
        <v>107</v>
      </c>
      <c r="C2543" s="0" t="s">
        <v>108</v>
      </c>
      <c r="D2543" s="0" t="n">
        <v>19</v>
      </c>
      <c r="E2543" s="5" t="n">
        <v>45969.6558333333</v>
      </c>
      <c r="F2543" s="0" t="n">
        <v>3.75</v>
      </c>
      <c r="G2543" s="0" t="n">
        <v>17249</v>
      </c>
      <c r="H2543" s="6" t="s">
        <v>151</v>
      </c>
      <c r="I2543" s="6" t="n">
        <f aca="false">D2543*F2543</f>
        <v>71.25</v>
      </c>
      <c r="J2543" s="6" t="n">
        <f aca="false">HOUR(E2543)</f>
        <v>15</v>
      </c>
      <c r="K2543" s="6" t="n">
        <f aca="false">IF(COUNTIF($A$2:$A2543,A2543)=1,1,0)</f>
        <v>1</v>
      </c>
    </row>
    <row r="2544" customFormat="false" ht="15" hidden="false" customHeight="false" outlineLevel="0" collapsed="false">
      <c r="A2544" s="0" t="s">
        <v>579</v>
      </c>
      <c r="B2544" s="0" t="s">
        <v>134</v>
      </c>
      <c r="C2544" s="0" t="s">
        <v>135</v>
      </c>
      <c r="D2544" s="0" t="n">
        <v>7</v>
      </c>
      <c r="E2544" s="5" t="n">
        <v>45969.6558333333</v>
      </c>
      <c r="F2544" s="0" t="n">
        <v>5.95</v>
      </c>
      <c r="G2544" s="0" t="n">
        <v>17249</v>
      </c>
      <c r="H2544" s="6" t="s">
        <v>151</v>
      </c>
      <c r="I2544" s="6" t="n">
        <f aca="false">D2544*F2544</f>
        <v>41.65</v>
      </c>
      <c r="J2544" s="6" t="n">
        <f aca="false">HOUR(E2544)</f>
        <v>15</v>
      </c>
      <c r="K2544" s="6" t="n">
        <f aca="false">IF(COUNTIF($A$2:$A2544,A2544)=1,1,0)</f>
        <v>0</v>
      </c>
    </row>
    <row r="2545" customFormat="false" ht="15" hidden="false" customHeight="false" outlineLevel="0" collapsed="false">
      <c r="A2545" s="0" t="s">
        <v>580</v>
      </c>
      <c r="B2545" s="0" t="s">
        <v>65</v>
      </c>
      <c r="C2545" s="0" t="s">
        <v>66</v>
      </c>
      <c r="D2545" s="0" t="n">
        <v>6</v>
      </c>
      <c r="E2545" s="5" t="n">
        <v>45969.6611921296</v>
      </c>
      <c r="F2545" s="0" t="n">
        <v>1.65</v>
      </c>
      <c r="G2545" s="0" t="n">
        <v>17036</v>
      </c>
      <c r="H2545" s="6" t="s">
        <v>151</v>
      </c>
      <c r="I2545" s="6" t="n">
        <f aca="false">D2545*F2545</f>
        <v>9.9</v>
      </c>
      <c r="J2545" s="6" t="n">
        <f aca="false">HOUR(E2545)</f>
        <v>15</v>
      </c>
      <c r="K2545" s="6" t="n">
        <f aca="false">IF(COUNTIF($A$2:$A2545,A2545)=1,1,0)</f>
        <v>1</v>
      </c>
    </row>
    <row r="2546" customFormat="false" ht="15" hidden="false" customHeight="false" outlineLevel="0" collapsed="false">
      <c r="A2546" s="0" t="s">
        <v>580</v>
      </c>
      <c r="B2546" s="0" t="s">
        <v>88</v>
      </c>
      <c r="C2546" s="0" t="s">
        <v>89</v>
      </c>
      <c r="D2546" s="0" t="n">
        <v>23</v>
      </c>
      <c r="E2546" s="5" t="n">
        <v>45969.6611921296</v>
      </c>
      <c r="F2546" s="0" t="n">
        <v>2.75</v>
      </c>
      <c r="G2546" s="0" t="n">
        <v>17036</v>
      </c>
      <c r="H2546" s="6" t="s">
        <v>151</v>
      </c>
      <c r="I2546" s="6" t="n">
        <f aca="false">D2546*F2546</f>
        <v>63.25</v>
      </c>
      <c r="J2546" s="6" t="n">
        <f aca="false">HOUR(E2546)</f>
        <v>15</v>
      </c>
      <c r="K2546" s="6" t="n">
        <f aca="false">IF(COUNTIF($A$2:$A2546,A2546)=1,1,0)</f>
        <v>0</v>
      </c>
    </row>
    <row r="2547" customFormat="false" ht="15" hidden="false" customHeight="false" outlineLevel="0" collapsed="false">
      <c r="A2547" s="0" t="s">
        <v>580</v>
      </c>
      <c r="B2547" s="0" t="s">
        <v>50</v>
      </c>
      <c r="C2547" s="0" t="s">
        <v>51</v>
      </c>
      <c r="D2547" s="0" t="n">
        <v>20</v>
      </c>
      <c r="E2547" s="5" t="n">
        <v>45969.6611921296</v>
      </c>
      <c r="F2547" s="0" t="n">
        <v>5.95</v>
      </c>
      <c r="G2547" s="0" t="n">
        <v>17036</v>
      </c>
      <c r="H2547" s="6" t="s">
        <v>151</v>
      </c>
      <c r="I2547" s="6" t="n">
        <f aca="false">D2547*F2547</f>
        <v>119</v>
      </c>
      <c r="J2547" s="6" t="n">
        <f aca="false">HOUR(E2547)</f>
        <v>15</v>
      </c>
      <c r="K2547" s="6" t="n">
        <f aca="false">IF(COUNTIF($A$2:$A2547,A2547)=1,1,0)</f>
        <v>0</v>
      </c>
    </row>
    <row r="2548" customFormat="false" ht="15" hidden="false" customHeight="false" outlineLevel="0" collapsed="false">
      <c r="A2548" s="0" t="s">
        <v>580</v>
      </c>
      <c r="B2548" s="0" t="s">
        <v>63</v>
      </c>
      <c r="C2548" s="0" t="s">
        <v>64</v>
      </c>
      <c r="D2548" s="0" t="n">
        <v>24</v>
      </c>
      <c r="E2548" s="5" t="n">
        <v>45969.6611921296</v>
      </c>
      <c r="F2548" s="0" t="n">
        <v>1.85</v>
      </c>
      <c r="G2548" s="0" t="n">
        <v>17036</v>
      </c>
      <c r="H2548" s="6" t="s">
        <v>151</v>
      </c>
      <c r="I2548" s="6" t="n">
        <f aca="false">D2548*F2548</f>
        <v>44.4</v>
      </c>
      <c r="J2548" s="6" t="n">
        <f aca="false">HOUR(E2548)</f>
        <v>15</v>
      </c>
      <c r="K2548" s="6" t="n">
        <f aca="false">IF(COUNTIF($A$2:$A2548,A2548)=1,1,0)</f>
        <v>0</v>
      </c>
    </row>
    <row r="2549" customFormat="false" ht="15" hidden="false" customHeight="false" outlineLevel="0" collapsed="false">
      <c r="A2549" s="0" t="s">
        <v>580</v>
      </c>
      <c r="B2549" s="0" t="s">
        <v>55</v>
      </c>
      <c r="C2549" s="0" t="s">
        <v>56</v>
      </c>
      <c r="D2549" s="0" t="n">
        <v>4</v>
      </c>
      <c r="E2549" s="5" t="n">
        <v>45969.6611921296</v>
      </c>
      <c r="F2549" s="0" t="n">
        <v>1.65</v>
      </c>
      <c r="G2549" s="0" t="n">
        <v>17036</v>
      </c>
      <c r="H2549" s="6" t="s">
        <v>151</v>
      </c>
      <c r="I2549" s="6" t="n">
        <f aca="false">D2549*F2549</f>
        <v>6.6</v>
      </c>
      <c r="J2549" s="6" t="n">
        <f aca="false">HOUR(E2549)</f>
        <v>15</v>
      </c>
      <c r="K2549" s="6" t="n">
        <f aca="false">IF(COUNTIF($A$2:$A2549,A2549)=1,1,0)</f>
        <v>0</v>
      </c>
    </row>
    <row r="2550" customFormat="false" ht="15" hidden="false" customHeight="false" outlineLevel="0" collapsed="false">
      <c r="A2550" s="0" t="s">
        <v>580</v>
      </c>
      <c r="B2550" s="0" t="s">
        <v>69</v>
      </c>
      <c r="C2550" s="0" t="s">
        <v>70</v>
      </c>
      <c r="D2550" s="0" t="n">
        <v>24</v>
      </c>
      <c r="E2550" s="5" t="n">
        <v>45969.6611921296</v>
      </c>
      <c r="F2550" s="0" t="n">
        <v>2.08</v>
      </c>
      <c r="G2550" s="0" t="n">
        <v>17036</v>
      </c>
      <c r="H2550" s="6" t="s">
        <v>151</v>
      </c>
      <c r="I2550" s="6" t="n">
        <f aca="false">D2550*F2550</f>
        <v>49.92</v>
      </c>
      <c r="J2550" s="6" t="n">
        <f aca="false">HOUR(E2550)</f>
        <v>15</v>
      </c>
      <c r="K2550" s="6" t="n">
        <f aca="false">IF(COUNTIF($A$2:$A2550,A2550)=1,1,0)</f>
        <v>0</v>
      </c>
    </row>
    <row r="2551" customFormat="false" ht="15" hidden="false" customHeight="false" outlineLevel="0" collapsed="false">
      <c r="A2551" s="0" t="s">
        <v>581</v>
      </c>
      <c r="B2551" s="0" t="s">
        <v>145</v>
      </c>
      <c r="C2551" s="0" t="s">
        <v>146</v>
      </c>
      <c r="D2551" s="0" t="n">
        <v>14</v>
      </c>
      <c r="E2551" s="5" t="n">
        <v>45969.6891087963</v>
      </c>
      <c r="F2551" s="0" t="n">
        <v>1.85</v>
      </c>
      <c r="G2551" s="0" t="n">
        <v>17151</v>
      </c>
      <c r="H2551" s="6" t="s">
        <v>74</v>
      </c>
      <c r="I2551" s="6" t="n">
        <f aca="false">D2551*F2551</f>
        <v>25.9</v>
      </c>
      <c r="J2551" s="6" t="n">
        <f aca="false">HOUR(E2551)</f>
        <v>16</v>
      </c>
      <c r="K2551" s="6" t="n">
        <f aca="false">IF(COUNTIF($A$2:$A2551,A2551)=1,1,0)</f>
        <v>1</v>
      </c>
    </row>
    <row r="2552" customFormat="false" ht="15" hidden="false" customHeight="false" outlineLevel="0" collapsed="false">
      <c r="A2552" s="0" t="s">
        <v>581</v>
      </c>
      <c r="B2552" s="0" t="s">
        <v>107</v>
      </c>
      <c r="C2552" s="0" t="s">
        <v>108</v>
      </c>
      <c r="D2552" s="0" t="n">
        <v>20</v>
      </c>
      <c r="E2552" s="5" t="n">
        <v>45969.6891087963</v>
      </c>
      <c r="F2552" s="0" t="n">
        <v>3.75</v>
      </c>
      <c r="G2552" s="0" t="n">
        <v>17151</v>
      </c>
      <c r="H2552" s="6" t="s">
        <v>74</v>
      </c>
      <c r="I2552" s="6" t="n">
        <f aca="false">D2552*F2552</f>
        <v>75</v>
      </c>
      <c r="J2552" s="6" t="n">
        <f aca="false">HOUR(E2552)</f>
        <v>16</v>
      </c>
      <c r="K2552" s="6" t="n">
        <f aca="false">IF(COUNTIF($A$2:$A2552,A2552)=1,1,0)</f>
        <v>0</v>
      </c>
    </row>
    <row r="2553" customFormat="false" ht="15" hidden="false" customHeight="false" outlineLevel="0" collapsed="false">
      <c r="A2553" s="0" t="s">
        <v>581</v>
      </c>
      <c r="B2553" s="0" t="s">
        <v>77</v>
      </c>
      <c r="C2553" s="0" t="s">
        <v>78</v>
      </c>
      <c r="D2553" s="0" t="n">
        <v>8</v>
      </c>
      <c r="E2553" s="5" t="n">
        <v>45969.6891087963</v>
      </c>
      <c r="F2553" s="0" t="n">
        <v>1.65</v>
      </c>
      <c r="G2553" s="0" t="n">
        <v>17151</v>
      </c>
      <c r="H2553" s="6" t="s">
        <v>74</v>
      </c>
      <c r="I2553" s="6" t="n">
        <f aca="false">D2553*F2553</f>
        <v>13.2</v>
      </c>
      <c r="J2553" s="6" t="n">
        <f aca="false">HOUR(E2553)</f>
        <v>16</v>
      </c>
      <c r="K2553" s="6" t="n">
        <f aca="false">IF(COUNTIF($A$2:$A2553,A2553)=1,1,0)</f>
        <v>0</v>
      </c>
    </row>
    <row r="2554" customFormat="false" ht="15" hidden="false" customHeight="false" outlineLevel="0" collapsed="false">
      <c r="A2554" s="0" t="s">
        <v>581</v>
      </c>
      <c r="B2554" s="0" t="s">
        <v>43</v>
      </c>
      <c r="C2554" s="0" t="s">
        <v>44</v>
      </c>
      <c r="D2554" s="0" t="n">
        <v>15</v>
      </c>
      <c r="E2554" s="5" t="n">
        <v>45969.6891087963</v>
      </c>
      <c r="F2554" s="0" t="n">
        <v>4.25</v>
      </c>
      <c r="G2554" s="0" t="n">
        <v>17151</v>
      </c>
      <c r="H2554" s="6" t="s">
        <v>74</v>
      </c>
      <c r="I2554" s="6" t="n">
        <f aca="false">D2554*F2554</f>
        <v>63.75</v>
      </c>
      <c r="J2554" s="6" t="n">
        <f aca="false">HOUR(E2554)</f>
        <v>16</v>
      </c>
      <c r="K2554" s="6" t="n">
        <f aca="false">IF(COUNTIF($A$2:$A2554,A2554)=1,1,0)</f>
        <v>0</v>
      </c>
    </row>
    <row r="2555" customFormat="false" ht="15" hidden="false" customHeight="false" outlineLevel="0" collapsed="false">
      <c r="A2555" s="0" t="s">
        <v>581</v>
      </c>
      <c r="B2555" s="0" t="s">
        <v>95</v>
      </c>
      <c r="C2555" s="0" t="s">
        <v>96</v>
      </c>
      <c r="D2555" s="0" t="n">
        <v>21</v>
      </c>
      <c r="E2555" s="5" t="n">
        <v>45969.6891087963</v>
      </c>
      <c r="F2555" s="0" t="n">
        <v>2.55</v>
      </c>
      <c r="G2555" s="0" t="n">
        <v>17151</v>
      </c>
      <c r="H2555" s="6" t="s">
        <v>74</v>
      </c>
      <c r="I2555" s="6" t="n">
        <f aca="false">D2555*F2555</f>
        <v>53.55</v>
      </c>
      <c r="J2555" s="6" t="n">
        <f aca="false">HOUR(E2555)</f>
        <v>16</v>
      </c>
      <c r="K2555" s="6" t="n">
        <f aca="false">IF(COUNTIF($A$2:$A2555,A2555)=1,1,0)</f>
        <v>0</v>
      </c>
    </row>
    <row r="2556" customFormat="false" ht="15" hidden="false" customHeight="false" outlineLevel="0" collapsed="false">
      <c r="A2556" s="0" t="s">
        <v>581</v>
      </c>
      <c r="B2556" s="0" t="s">
        <v>118</v>
      </c>
      <c r="C2556" s="0" t="s">
        <v>119</v>
      </c>
      <c r="D2556" s="0" t="n">
        <v>46</v>
      </c>
      <c r="E2556" s="5" t="n">
        <v>45969.6891087963</v>
      </c>
      <c r="F2556" s="0" t="n">
        <v>4.95</v>
      </c>
      <c r="G2556" s="0" t="n">
        <v>17151</v>
      </c>
      <c r="H2556" s="6" t="s">
        <v>74</v>
      </c>
      <c r="I2556" s="6" t="n">
        <f aca="false">D2556*F2556</f>
        <v>227.7</v>
      </c>
      <c r="J2556" s="6" t="n">
        <f aca="false">HOUR(E2556)</f>
        <v>16</v>
      </c>
      <c r="K2556" s="6" t="n">
        <f aca="false">IF(COUNTIF($A$2:$A2556,A2556)=1,1,0)</f>
        <v>0</v>
      </c>
    </row>
    <row r="2557" customFormat="false" ht="15" hidden="false" customHeight="false" outlineLevel="0" collapsed="false">
      <c r="A2557" s="0" t="s">
        <v>581</v>
      </c>
      <c r="B2557" s="0" t="s">
        <v>69</v>
      </c>
      <c r="C2557" s="0" t="s">
        <v>70</v>
      </c>
      <c r="D2557" s="0" t="n">
        <v>19</v>
      </c>
      <c r="E2557" s="5" t="n">
        <v>45969.6891087963</v>
      </c>
      <c r="F2557" s="0" t="n">
        <v>2.08</v>
      </c>
      <c r="G2557" s="0" t="n">
        <v>17151</v>
      </c>
      <c r="H2557" s="6" t="s">
        <v>74</v>
      </c>
      <c r="I2557" s="6" t="n">
        <f aca="false">D2557*F2557</f>
        <v>39.52</v>
      </c>
      <c r="J2557" s="6" t="n">
        <f aca="false">HOUR(E2557)</f>
        <v>16</v>
      </c>
      <c r="K2557" s="6" t="n">
        <f aca="false">IF(COUNTIF($A$2:$A2557,A2557)=1,1,0)</f>
        <v>0</v>
      </c>
    </row>
    <row r="2558" customFormat="false" ht="15" hidden="false" customHeight="false" outlineLevel="0" collapsed="false">
      <c r="A2558" s="0" t="s">
        <v>581</v>
      </c>
      <c r="B2558" s="0" t="s">
        <v>137</v>
      </c>
      <c r="C2558" s="0" t="s">
        <v>138</v>
      </c>
      <c r="D2558" s="0" t="n">
        <v>24</v>
      </c>
      <c r="E2558" s="5" t="n">
        <v>45969.6891087963</v>
      </c>
      <c r="F2558" s="0" t="n">
        <v>2.1</v>
      </c>
      <c r="G2558" s="0" t="n">
        <v>17151</v>
      </c>
      <c r="H2558" s="6" t="s">
        <v>74</v>
      </c>
      <c r="I2558" s="6" t="n">
        <f aca="false">D2558*F2558</f>
        <v>50.4</v>
      </c>
      <c r="J2558" s="6" t="n">
        <f aca="false">HOUR(E2558)</f>
        <v>16</v>
      </c>
      <c r="K2558" s="6" t="n">
        <f aca="false">IF(COUNTIF($A$2:$A2558,A2558)=1,1,0)</f>
        <v>0</v>
      </c>
    </row>
    <row r="2559" customFormat="false" ht="15" hidden="false" customHeight="false" outlineLevel="0" collapsed="false">
      <c r="A2559" s="0" t="s">
        <v>581</v>
      </c>
      <c r="B2559" s="0" t="s">
        <v>57</v>
      </c>
      <c r="C2559" s="0" t="s">
        <v>58</v>
      </c>
      <c r="D2559" s="0" t="n">
        <v>3</v>
      </c>
      <c r="E2559" s="5" t="n">
        <v>45969.6891087963</v>
      </c>
      <c r="F2559" s="0" t="n">
        <v>2.08</v>
      </c>
      <c r="G2559" s="0" t="n">
        <v>17151</v>
      </c>
      <c r="H2559" s="6" t="s">
        <v>74</v>
      </c>
      <c r="I2559" s="6" t="n">
        <f aca="false">D2559*F2559</f>
        <v>6.24</v>
      </c>
      <c r="J2559" s="6" t="n">
        <f aca="false">HOUR(E2559)</f>
        <v>16</v>
      </c>
      <c r="K2559" s="6" t="n">
        <f aca="false">IF(COUNTIF($A$2:$A2559,A2559)=1,1,0)</f>
        <v>0</v>
      </c>
    </row>
    <row r="2560" customFormat="false" ht="15" hidden="false" customHeight="false" outlineLevel="0" collapsed="false">
      <c r="A2560" s="0" t="s">
        <v>582</v>
      </c>
      <c r="B2560" s="0" t="s">
        <v>95</v>
      </c>
      <c r="C2560" s="0" t="s">
        <v>96</v>
      </c>
      <c r="D2560" s="0" t="n">
        <v>15</v>
      </c>
      <c r="E2560" s="5" t="n">
        <v>45969.6943518519</v>
      </c>
      <c r="F2560" s="0" t="n">
        <v>2.55</v>
      </c>
      <c r="G2560" s="0" t="n">
        <v>17202</v>
      </c>
      <c r="H2560" s="6" t="s">
        <v>74</v>
      </c>
      <c r="I2560" s="6" t="n">
        <f aca="false">D2560*F2560</f>
        <v>38.25</v>
      </c>
      <c r="J2560" s="6" t="n">
        <f aca="false">HOUR(E2560)</f>
        <v>16</v>
      </c>
      <c r="K2560" s="6" t="n">
        <f aca="false">IF(COUNTIF($A$2:$A2560,A2560)=1,1,0)</f>
        <v>1</v>
      </c>
    </row>
    <row r="2561" customFormat="false" ht="15" hidden="false" customHeight="false" outlineLevel="0" collapsed="false">
      <c r="A2561" s="0" t="s">
        <v>582</v>
      </c>
      <c r="B2561" s="0" t="s">
        <v>63</v>
      </c>
      <c r="C2561" s="0" t="s">
        <v>64</v>
      </c>
      <c r="D2561" s="0" t="n">
        <v>18</v>
      </c>
      <c r="E2561" s="5" t="n">
        <v>45969.6943518519</v>
      </c>
      <c r="F2561" s="0" t="n">
        <v>1.85</v>
      </c>
      <c r="G2561" s="0" t="n">
        <v>17202</v>
      </c>
      <c r="H2561" s="6" t="s">
        <v>74</v>
      </c>
      <c r="I2561" s="6" t="n">
        <f aca="false">D2561*F2561</f>
        <v>33.3</v>
      </c>
      <c r="J2561" s="6" t="n">
        <f aca="false">HOUR(E2561)</f>
        <v>16</v>
      </c>
      <c r="K2561" s="6" t="n">
        <f aca="false">IF(COUNTIF($A$2:$A2561,A2561)=1,1,0)</f>
        <v>0</v>
      </c>
    </row>
    <row r="2562" customFormat="false" ht="15" hidden="false" customHeight="false" outlineLevel="0" collapsed="false">
      <c r="A2562" s="0" t="s">
        <v>582</v>
      </c>
      <c r="B2562" s="0" t="s">
        <v>145</v>
      </c>
      <c r="C2562" s="0" t="s">
        <v>146</v>
      </c>
      <c r="D2562" s="0" t="n">
        <v>1</v>
      </c>
      <c r="E2562" s="5" t="n">
        <v>45969.6943518519</v>
      </c>
      <c r="F2562" s="0" t="n">
        <v>1.85</v>
      </c>
      <c r="G2562" s="0" t="n">
        <v>17202</v>
      </c>
      <c r="H2562" s="6" t="s">
        <v>74</v>
      </c>
      <c r="I2562" s="6" t="n">
        <f aca="false">D2562*F2562</f>
        <v>1.85</v>
      </c>
      <c r="J2562" s="6" t="n">
        <f aca="false">HOUR(E2562)</f>
        <v>16</v>
      </c>
      <c r="K2562" s="6" t="n">
        <f aca="false">IF(COUNTIF($A$2:$A2562,A2562)=1,1,0)</f>
        <v>0</v>
      </c>
    </row>
    <row r="2563" customFormat="false" ht="15" hidden="false" customHeight="false" outlineLevel="0" collapsed="false">
      <c r="A2563" s="0" t="s">
        <v>582</v>
      </c>
      <c r="B2563" s="0" t="s">
        <v>91</v>
      </c>
      <c r="C2563" s="0" t="s">
        <v>92</v>
      </c>
      <c r="D2563" s="0" t="n">
        <v>23</v>
      </c>
      <c r="E2563" s="5" t="n">
        <v>45969.6943518519</v>
      </c>
      <c r="F2563" s="0" t="n">
        <v>7.65</v>
      </c>
      <c r="G2563" s="0" t="n">
        <v>17202</v>
      </c>
      <c r="H2563" s="6" t="s">
        <v>74</v>
      </c>
      <c r="I2563" s="6" t="n">
        <f aca="false">D2563*F2563</f>
        <v>175.95</v>
      </c>
      <c r="J2563" s="6" t="n">
        <f aca="false">HOUR(E2563)</f>
        <v>16</v>
      </c>
      <c r="K2563" s="6" t="n">
        <f aca="false">IF(COUNTIF($A$2:$A2563,A2563)=1,1,0)</f>
        <v>0</v>
      </c>
    </row>
    <row r="2564" customFormat="false" ht="15" hidden="false" customHeight="false" outlineLevel="0" collapsed="false">
      <c r="A2564" s="0" t="s">
        <v>582</v>
      </c>
      <c r="B2564" s="0" t="s">
        <v>107</v>
      </c>
      <c r="C2564" s="0" t="s">
        <v>108</v>
      </c>
      <c r="D2564" s="0" t="n">
        <v>14</v>
      </c>
      <c r="E2564" s="5" t="n">
        <v>45969.6943518519</v>
      </c>
      <c r="F2564" s="0" t="n">
        <v>3.75</v>
      </c>
      <c r="G2564" s="0" t="n">
        <v>17202</v>
      </c>
      <c r="H2564" s="6" t="s">
        <v>74</v>
      </c>
      <c r="I2564" s="6" t="n">
        <f aca="false">D2564*F2564</f>
        <v>52.5</v>
      </c>
      <c r="J2564" s="6" t="n">
        <f aca="false">HOUR(E2564)</f>
        <v>16</v>
      </c>
      <c r="K2564" s="6" t="n">
        <f aca="false">IF(COUNTIF($A$2:$A2564,A2564)=1,1,0)</f>
        <v>0</v>
      </c>
    </row>
    <row r="2565" customFormat="false" ht="15" hidden="false" customHeight="false" outlineLevel="0" collapsed="false">
      <c r="A2565" s="0" t="s">
        <v>583</v>
      </c>
      <c r="B2565" s="0" t="s">
        <v>45</v>
      </c>
      <c r="C2565" s="0" t="s">
        <v>46</v>
      </c>
      <c r="D2565" s="0" t="n">
        <v>16</v>
      </c>
      <c r="E2565" s="5" t="n">
        <v>45969.719849537</v>
      </c>
      <c r="F2565" s="0" t="n">
        <v>2.1</v>
      </c>
      <c r="G2565" s="0" t="n">
        <v>17083</v>
      </c>
      <c r="H2565" s="6" t="s">
        <v>74</v>
      </c>
      <c r="I2565" s="6" t="n">
        <f aca="false">D2565*F2565</f>
        <v>33.6</v>
      </c>
      <c r="J2565" s="6" t="n">
        <f aca="false">HOUR(E2565)</f>
        <v>17</v>
      </c>
      <c r="K2565" s="6" t="n">
        <f aca="false">IF(COUNTIF($A$2:$A2565,A2565)=1,1,0)</f>
        <v>1</v>
      </c>
    </row>
    <row r="2566" customFormat="false" ht="15" hidden="false" customHeight="false" outlineLevel="0" collapsed="false">
      <c r="A2566" s="0" t="s">
        <v>584</v>
      </c>
      <c r="B2566" s="0" t="s">
        <v>59</v>
      </c>
      <c r="C2566" s="0" t="s">
        <v>60</v>
      </c>
      <c r="D2566" s="0" t="n">
        <v>12</v>
      </c>
      <c r="E2566" s="5" t="n">
        <v>45969.7478240741</v>
      </c>
      <c r="F2566" s="0" t="n">
        <v>0.42</v>
      </c>
      <c r="G2566" s="0" t="n">
        <v>17017</v>
      </c>
      <c r="H2566" s="6" t="s">
        <v>74</v>
      </c>
      <c r="I2566" s="6" t="n">
        <f aca="false">D2566*F2566</f>
        <v>5.04</v>
      </c>
      <c r="J2566" s="6" t="n">
        <f aca="false">HOUR(E2566)</f>
        <v>17</v>
      </c>
      <c r="K2566" s="6" t="n">
        <f aca="false">IF(COUNTIF($A$2:$A2566,A2566)=1,1,0)</f>
        <v>1</v>
      </c>
    </row>
    <row r="2567" customFormat="false" ht="15" hidden="false" customHeight="false" outlineLevel="0" collapsed="false">
      <c r="A2567" s="0" t="s">
        <v>584</v>
      </c>
      <c r="B2567" s="0" t="s">
        <v>137</v>
      </c>
      <c r="C2567" s="0" t="s">
        <v>138</v>
      </c>
      <c r="D2567" s="0" t="n">
        <v>5</v>
      </c>
      <c r="E2567" s="5" t="n">
        <v>45969.7478240741</v>
      </c>
      <c r="F2567" s="0" t="n">
        <v>2.1</v>
      </c>
      <c r="G2567" s="0" t="n">
        <v>17017</v>
      </c>
      <c r="H2567" s="6" t="s">
        <v>74</v>
      </c>
      <c r="I2567" s="6" t="n">
        <f aca="false">D2567*F2567</f>
        <v>10.5</v>
      </c>
      <c r="J2567" s="6" t="n">
        <f aca="false">HOUR(E2567)</f>
        <v>17</v>
      </c>
      <c r="K2567" s="6" t="n">
        <f aca="false">IF(COUNTIF($A$2:$A2567,A2567)=1,1,0)</f>
        <v>0</v>
      </c>
    </row>
    <row r="2568" customFormat="false" ht="15" hidden="false" customHeight="false" outlineLevel="0" collapsed="false">
      <c r="A2568" s="0" t="s">
        <v>584</v>
      </c>
      <c r="B2568" s="0" t="s">
        <v>83</v>
      </c>
      <c r="C2568" s="0" t="s">
        <v>84</v>
      </c>
      <c r="D2568" s="0" t="n">
        <v>18</v>
      </c>
      <c r="E2568" s="5" t="n">
        <v>45969.7478240741</v>
      </c>
      <c r="F2568" s="0" t="n">
        <v>2.95</v>
      </c>
      <c r="G2568" s="0" t="n">
        <v>17017</v>
      </c>
      <c r="H2568" s="6" t="s">
        <v>74</v>
      </c>
      <c r="I2568" s="6" t="n">
        <f aca="false">D2568*F2568</f>
        <v>53.1</v>
      </c>
      <c r="J2568" s="6" t="n">
        <f aca="false">HOUR(E2568)</f>
        <v>17</v>
      </c>
      <c r="K2568" s="6" t="n">
        <f aca="false">IF(COUNTIF($A$2:$A2568,A2568)=1,1,0)</f>
        <v>0</v>
      </c>
    </row>
    <row r="2569" customFormat="false" ht="15" hidden="false" customHeight="false" outlineLevel="0" collapsed="false">
      <c r="A2569" s="0" t="s">
        <v>584</v>
      </c>
      <c r="B2569" s="0" t="s">
        <v>95</v>
      </c>
      <c r="C2569" s="0" t="s">
        <v>96</v>
      </c>
      <c r="D2569" s="0" t="n">
        <v>43</v>
      </c>
      <c r="E2569" s="5" t="n">
        <v>45969.7478240741</v>
      </c>
      <c r="F2569" s="0" t="n">
        <v>2.55</v>
      </c>
      <c r="G2569" s="0" t="n">
        <v>17017</v>
      </c>
      <c r="H2569" s="6" t="s">
        <v>74</v>
      </c>
      <c r="I2569" s="6" t="n">
        <f aca="false">D2569*F2569</f>
        <v>109.65</v>
      </c>
      <c r="J2569" s="6" t="n">
        <f aca="false">HOUR(E2569)</f>
        <v>17</v>
      </c>
      <c r="K2569" s="6" t="n">
        <f aca="false">IF(COUNTIF($A$2:$A2569,A2569)=1,1,0)</f>
        <v>0</v>
      </c>
    </row>
    <row r="2570" customFormat="false" ht="15" hidden="false" customHeight="false" outlineLevel="0" collapsed="false">
      <c r="A2570" s="0" t="s">
        <v>584</v>
      </c>
      <c r="B2570" s="0" t="s">
        <v>114</v>
      </c>
      <c r="C2570" s="0" t="s">
        <v>115</v>
      </c>
      <c r="D2570" s="0" t="n">
        <v>2</v>
      </c>
      <c r="E2570" s="5" t="n">
        <v>45969.7478240741</v>
      </c>
      <c r="F2570" s="0" t="n">
        <v>2.08</v>
      </c>
      <c r="G2570" s="0" t="n">
        <v>17017</v>
      </c>
      <c r="H2570" s="6" t="s">
        <v>74</v>
      </c>
      <c r="I2570" s="6" t="n">
        <f aca="false">D2570*F2570</f>
        <v>4.16</v>
      </c>
      <c r="J2570" s="6" t="n">
        <f aca="false">HOUR(E2570)</f>
        <v>17</v>
      </c>
      <c r="K2570" s="6" t="n">
        <f aca="false">IF(COUNTIF($A$2:$A2570,A2570)=1,1,0)</f>
        <v>0</v>
      </c>
    </row>
    <row r="2571" customFormat="false" ht="15" hidden="false" customHeight="false" outlineLevel="0" collapsed="false">
      <c r="A2571" s="0" t="s">
        <v>584</v>
      </c>
      <c r="B2571" s="0" t="s">
        <v>45</v>
      </c>
      <c r="C2571" s="0" t="s">
        <v>46</v>
      </c>
      <c r="D2571" s="0" t="n">
        <v>23</v>
      </c>
      <c r="E2571" s="5" t="n">
        <v>45969.7478240741</v>
      </c>
      <c r="F2571" s="0" t="n">
        <v>2.1</v>
      </c>
      <c r="G2571" s="0" t="n">
        <v>17017</v>
      </c>
      <c r="H2571" s="6" t="s">
        <v>74</v>
      </c>
      <c r="I2571" s="6" t="n">
        <f aca="false">D2571*F2571</f>
        <v>48.3</v>
      </c>
      <c r="J2571" s="6" t="n">
        <f aca="false">HOUR(E2571)</f>
        <v>17</v>
      </c>
      <c r="K2571" s="6" t="n">
        <f aca="false">IF(COUNTIF($A$2:$A2571,A2571)=1,1,0)</f>
        <v>0</v>
      </c>
    </row>
    <row r="2572" customFormat="false" ht="15" hidden="false" customHeight="false" outlineLevel="0" collapsed="false">
      <c r="A2572" s="0" t="s">
        <v>584</v>
      </c>
      <c r="B2572" s="0" t="s">
        <v>47</v>
      </c>
      <c r="C2572" s="0" t="s">
        <v>48</v>
      </c>
      <c r="D2572" s="0" t="n">
        <v>9</v>
      </c>
      <c r="E2572" s="5" t="n">
        <v>45969.7478240741</v>
      </c>
      <c r="F2572" s="0" t="n">
        <v>12.75</v>
      </c>
      <c r="G2572" s="0" t="n">
        <v>17017</v>
      </c>
      <c r="H2572" s="6" t="s">
        <v>74</v>
      </c>
      <c r="I2572" s="6" t="n">
        <f aca="false">D2572*F2572</f>
        <v>114.75</v>
      </c>
      <c r="J2572" s="6" t="n">
        <f aca="false">HOUR(E2572)</f>
        <v>17</v>
      </c>
      <c r="K2572" s="6" t="n">
        <f aca="false">IF(COUNTIF($A$2:$A2572,A2572)=1,1,0)</f>
        <v>0</v>
      </c>
    </row>
    <row r="2573" customFormat="false" ht="15" hidden="false" customHeight="false" outlineLevel="0" collapsed="false">
      <c r="A2573" s="0" t="s">
        <v>584</v>
      </c>
      <c r="B2573" s="0" t="s">
        <v>107</v>
      </c>
      <c r="C2573" s="0" t="s">
        <v>108</v>
      </c>
      <c r="D2573" s="0" t="n">
        <v>24</v>
      </c>
      <c r="E2573" s="5" t="n">
        <v>45969.7478240741</v>
      </c>
      <c r="F2573" s="0" t="n">
        <v>3.75</v>
      </c>
      <c r="G2573" s="0" t="n">
        <v>17017</v>
      </c>
      <c r="H2573" s="6" t="s">
        <v>74</v>
      </c>
      <c r="I2573" s="6" t="n">
        <f aca="false">D2573*F2573</f>
        <v>90</v>
      </c>
      <c r="J2573" s="6" t="n">
        <f aca="false">HOUR(E2573)</f>
        <v>17</v>
      </c>
      <c r="K2573" s="6" t="n">
        <f aca="false">IF(COUNTIF($A$2:$A2573,A2573)=1,1,0)</f>
        <v>0</v>
      </c>
    </row>
    <row r="2574" customFormat="false" ht="15" hidden="false" customHeight="false" outlineLevel="0" collapsed="false">
      <c r="A2574" s="0" t="s">
        <v>584</v>
      </c>
      <c r="B2574" s="0" t="s">
        <v>121</v>
      </c>
      <c r="C2574" s="0" t="s">
        <v>122</v>
      </c>
      <c r="D2574" s="0" t="n">
        <v>21</v>
      </c>
      <c r="E2574" s="5" t="n">
        <v>45969.7478240741</v>
      </c>
      <c r="F2574" s="0" t="n">
        <v>2.1</v>
      </c>
      <c r="G2574" s="0" t="n">
        <v>17017</v>
      </c>
      <c r="H2574" s="6" t="s">
        <v>74</v>
      </c>
      <c r="I2574" s="6" t="n">
        <f aca="false">D2574*F2574</f>
        <v>44.1</v>
      </c>
      <c r="J2574" s="6" t="n">
        <f aca="false">HOUR(E2574)</f>
        <v>17</v>
      </c>
      <c r="K2574" s="6" t="n">
        <f aca="false">IF(COUNTIF($A$2:$A2574,A2574)=1,1,0)</f>
        <v>0</v>
      </c>
    </row>
    <row r="2575" customFormat="false" ht="15" hidden="false" customHeight="false" outlineLevel="0" collapsed="false">
      <c r="A2575" s="0" t="s">
        <v>584</v>
      </c>
      <c r="B2575" s="0" t="s">
        <v>104</v>
      </c>
      <c r="C2575" s="0" t="s">
        <v>105</v>
      </c>
      <c r="D2575" s="0" t="n">
        <v>11</v>
      </c>
      <c r="E2575" s="5" t="n">
        <v>45969.7478240741</v>
      </c>
      <c r="F2575" s="0" t="n">
        <v>1.65</v>
      </c>
      <c r="G2575" s="0" t="n">
        <v>17017</v>
      </c>
      <c r="H2575" s="6" t="s">
        <v>74</v>
      </c>
      <c r="I2575" s="6" t="n">
        <f aca="false">D2575*F2575</f>
        <v>18.15</v>
      </c>
      <c r="J2575" s="6" t="n">
        <f aca="false">HOUR(E2575)</f>
        <v>17</v>
      </c>
      <c r="K2575" s="6" t="n">
        <f aca="false">IF(COUNTIF($A$2:$A2575,A2575)=1,1,0)</f>
        <v>0</v>
      </c>
    </row>
    <row r="2576" customFormat="false" ht="15" hidden="false" customHeight="false" outlineLevel="0" collapsed="false">
      <c r="A2576" s="0" t="s">
        <v>585</v>
      </c>
      <c r="B2576" s="0" t="s">
        <v>40</v>
      </c>
      <c r="C2576" s="0" t="s">
        <v>41</v>
      </c>
      <c r="D2576" s="0" t="n">
        <v>20</v>
      </c>
      <c r="E2576" s="5" t="n">
        <v>45969.7721064815</v>
      </c>
      <c r="F2576" s="0" t="n">
        <v>1.06</v>
      </c>
      <c r="H2576" s="6" t="s">
        <v>74</v>
      </c>
      <c r="I2576" s="6" t="n">
        <f aca="false">D2576*F2576</f>
        <v>21.2</v>
      </c>
      <c r="J2576" s="6" t="n">
        <f aca="false">HOUR(E2576)</f>
        <v>18</v>
      </c>
      <c r="K2576" s="6" t="n">
        <f aca="false">IF(COUNTIF($A$2:$A2576,A2576)=1,1,0)</f>
        <v>1</v>
      </c>
    </row>
    <row r="2577" customFormat="false" ht="15" hidden="false" customHeight="false" outlineLevel="0" collapsed="false">
      <c r="A2577" s="0" t="s">
        <v>585</v>
      </c>
      <c r="B2577" s="0" t="s">
        <v>75</v>
      </c>
      <c r="C2577" s="0" t="s">
        <v>76</v>
      </c>
      <c r="D2577" s="0" t="n">
        <v>7</v>
      </c>
      <c r="E2577" s="5" t="n">
        <v>45969.7721064815</v>
      </c>
      <c r="F2577" s="0" t="n">
        <v>3.39</v>
      </c>
      <c r="H2577" s="6" t="s">
        <v>74</v>
      </c>
      <c r="I2577" s="6" t="n">
        <f aca="false">D2577*F2577</f>
        <v>23.73</v>
      </c>
      <c r="J2577" s="6" t="n">
        <f aca="false">HOUR(E2577)</f>
        <v>18</v>
      </c>
      <c r="K2577" s="6" t="n">
        <f aca="false">IF(COUNTIF($A$2:$A2577,A2577)=1,1,0)</f>
        <v>0</v>
      </c>
    </row>
    <row r="2578" customFormat="false" ht="15" hidden="false" customHeight="false" outlineLevel="0" collapsed="false">
      <c r="A2578" s="0" t="s">
        <v>585</v>
      </c>
      <c r="B2578" s="0" t="s">
        <v>116</v>
      </c>
      <c r="C2578" s="0" t="s">
        <v>117</v>
      </c>
      <c r="D2578" s="0" t="n">
        <v>11</v>
      </c>
      <c r="E2578" s="5" t="n">
        <v>45969.7721064815</v>
      </c>
      <c r="F2578" s="0" t="n">
        <v>1.95</v>
      </c>
      <c r="H2578" s="6" t="s">
        <v>74</v>
      </c>
      <c r="I2578" s="6" t="n">
        <f aca="false">D2578*F2578</f>
        <v>21.45</v>
      </c>
      <c r="J2578" s="6" t="n">
        <f aca="false">HOUR(E2578)</f>
        <v>18</v>
      </c>
      <c r="K2578" s="6" t="n">
        <f aca="false">IF(COUNTIF($A$2:$A2578,A2578)=1,1,0)</f>
        <v>0</v>
      </c>
    </row>
    <row r="2579" customFormat="false" ht="15" hidden="false" customHeight="false" outlineLevel="0" collapsed="false">
      <c r="A2579" s="0" t="s">
        <v>585</v>
      </c>
      <c r="B2579" s="0" t="s">
        <v>137</v>
      </c>
      <c r="C2579" s="0" t="s">
        <v>138</v>
      </c>
      <c r="D2579" s="0" t="n">
        <v>7</v>
      </c>
      <c r="E2579" s="5" t="n">
        <v>45969.7721064815</v>
      </c>
      <c r="F2579" s="0" t="n">
        <v>2.1</v>
      </c>
      <c r="H2579" s="6" t="s">
        <v>74</v>
      </c>
      <c r="I2579" s="6" t="n">
        <f aca="false">D2579*F2579</f>
        <v>14.7</v>
      </c>
      <c r="J2579" s="6" t="n">
        <f aca="false">HOUR(E2579)</f>
        <v>18</v>
      </c>
      <c r="K2579" s="6" t="n">
        <f aca="false">IF(COUNTIF($A$2:$A2579,A2579)=1,1,0)</f>
        <v>0</v>
      </c>
    </row>
    <row r="2580" customFormat="false" ht="15" hidden="false" customHeight="false" outlineLevel="0" collapsed="false">
      <c r="A2580" s="0" t="s">
        <v>585</v>
      </c>
      <c r="B2580" s="0" t="s">
        <v>59</v>
      </c>
      <c r="C2580" s="0" t="s">
        <v>60</v>
      </c>
      <c r="D2580" s="0" t="n">
        <v>3</v>
      </c>
      <c r="E2580" s="5" t="n">
        <v>45969.7721064815</v>
      </c>
      <c r="F2580" s="0" t="n">
        <v>0.42</v>
      </c>
      <c r="H2580" s="6" t="s">
        <v>74</v>
      </c>
      <c r="I2580" s="6" t="n">
        <f aca="false">D2580*F2580</f>
        <v>1.26</v>
      </c>
      <c r="J2580" s="6" t="n">
        <f aca="false">HOUR(E2580)</f>
        <v>18</v>
      </c>
      <c r="K2580" s="6" t="n">
        <f aca="false">IF(COUNTIF($A$2:$A2580,A2580)=1,1,0)</f>
        <v>0</v>
      </c>
    </row>
    <row r="2581" customFormat="false" ht="15" hidden="false" customHeight="false" outlineLevel="0" collapsed="false">
      <c r="A2581" s="0" t="s">
        <v>585</v>
      </c>
      <c r="B2581" s="0" t="s">
        <v>53</v>
      </c>
      <c r="C2581" s="0" t="s">
        <v>54</v>
      </c>
      <c r="D2581" s="0" t="n">
        <v>18</v>
      </c>
      <c r="E2581" s="5" t="n">
        <v>45969.7721064815</v>
      </c>
      <c r="F2581" s="0" t="n">
        <v>2.95</v>
      </c>
      <c r="H2581" s="6" t="s">
        <v>74</v>
      </c>
      <c r="I2581" s="6" t="n">
        <f aca="false">D2581*F2581</f>
        <v>53.1</v>
      </c>
      <c r="J2581" s="6" t="n">
        <f aca="false">HOUR(E2581)</f>
        <v>18</v>
      </c>
      <c r="K2581" s="6" t="n">
        <f aca="false">IF(COUNTIF($A$2:$A2581,A2581)=1,1,0)</f>
        <v>0</v>
      </c>
    </row>
    <row r="2582" customFormat="false" ht="15" hidden="false" customHeight="false" outlineLevel="0" collapsed="false">
      <c r="A2582" s="0" t="s">
        <v>586</v>
      </c>
      <c r="B2582" s="0" t="s">
        <v>137</v>
      </c>
      <c r="C2582" s="0" t="s">
        <v>138</v>
      </c>
      <c r="D2582" s="0" t="n">
        <v>1</v>
      </c>
      <c r="E2582" s="5" t="n">
        <v>45969.8059837963</v>
      </c>
      <c r="F2582" s="0" t="n">
        <v>2.1</v>
      </c>
      <c r="G2582" s="0" t="n">
        <v>17135</v>
      </c>
      <c r="H2582" s="6" t="s">
        <v>208</v>
      </c>
      <c r="I2582" s="6" t="n">
        <f aca="false">D2582*F2582</f>
        <v>2.1</v>
      </c>
      <c r="J2582" s="6" t="n">
        <f aca="false">HOUR(E2582)</f>
        <v>19</v>
      </c>
      <c r="K2582" s="6" t="n">
        <f aca="false">IF(COUNTIF($A$2:$A2582,A2582)=1,1,0)</f>
        <v>1</v>
      </c>
    </row>
    <row r="2583" customFormat="false" ht="15" hidden="false" customHeight="false" outlineLevel="0" collapsed="false">
      <c r="A2583" s="0" t="s">
        <v>586</v>
      </c>
      <c r="B2583" s="0" t="s">
        <v>45</v>
      </c>
      <c r="D2583" s="0" t="n">
        <v>4</v>
      </c>
      <c r="E2583" s="5" t="n">
        <v>45969.8059837963</v>
      </c>
      <c r="F2583" s="0" t="n">
        <v>2.1</v>
      </c>
      <c r="G2583" s="0" t="n">
        <v>17135</v>
      </c>
      <c r="H2583" s="6" t="s">
        <v>208</v>
      </c>
      <c r="I2583" s="6" t="n">
        <f aca="false">D2583*F2583</f>
        <v>8.4</v>
      </c>
      <c r="J2583" s="6" t="n">
        <f aca="false">HOUR(E2583)</f>
        <v>19</v>
      </c>
      <c r="K2583" s="6" t="n">
        <f aca="false">IF(COUNTIF($A$2:$A2583,A2583)=1,1,0)</f>
        <v>0</v>
      </c>
    </row>
    <row r="2584" customFormat="false" ht="15" hidden="false" customHeight="false" outlineLevel="0" collapsed="false">
      <c r="A2584" s="0" t="s">
        <v>586</v>
      </c>
      <c r="B2584" s="0" t="s">
        <v>116</v>
      </c>
      <c r="D2584" s="0" t="n">
        <v>21</v>
      </c>
      <c r="E2584" s="5" t="n">
        <v>45969.8059837963</v>
      </c>
      <c r="F2584" s="0" t="n">
        <v>1.95</v>
      </c>
      <c r="G2584" s="0" t="n">
        <v>17135</v>
      </c>
      <c r="H2584" s="6" t="s">
        <v>208</v>
      </c>
      <c r="I2584" s="6" t="n">
        <f aca="false">D2584*F2584</f>
        <v>40.95</v>
      </c>
      <c r="J2584" s="6" t="n">
        <f aca="false">HOUR(E2584)</f>
        <v>19</v>
      </c>
      <c r="K2584" s="6" t="n">
        <f aca="false">IF(COUNTIF($A$2:$A2584,A2584)=1,1,0)</f>
        <v>0</v>
      </c>
    </row>
    <row r="2585" customFormat="false" ht="15" hidden="false" customHeight="false" outlineLevel="0" collapsed="false">
      <c r="A2585" s="0" t="s">
        <v>586</v>
      </c>
      <c r="B2585" s="0" t="s">
        <v>91</v>
      </c>
      <c r="C2585" s="0" t="s">
        <v>92</v>
      </c>
      <c r="D2585" s="0" t="n">
        <v>23</v>
      </c>
      <c r="E2585" s="5" t="n">
        <v>45969.8059837963</v>
      </c>
      <c r="F2585" s="0" t="n">
        <v>7.65</v>
      </c>
      <c r="G2585" s="0" t="n">
        <v>17135</v>
      </c>
      <c r="H2585" s="6" t="s">
        <v>208</v>
      </c>
      <c r="I2585" s="6" t="n">
        <f aca="false">D2585*F2585</f>
        <v>175.95</v>
      </c>
      <c r="J2585" s="6" t="n">
        <f aca="false">HOUR(E2585)</f>
        <v>19</v>
      </c>
      <c r="K2585" s="6" t="n">
        <f aca="false">IF(COUNTIF($A$2:$A2585,A2585)=1,1,0)</f>
        <v>0</v>
      </c>
    </row>
    <row r="2586" customFormat="false" ht="15" hidden="false" customHeight="false" outlineLevel="0" collapsed="false">
      <c r="A2586" s="0" t="s">
        <v>586</v>
      </c>
      <c r="B2586" s="0" t="s">
        <v>86</v>
      </c>
      <c r="C2586" s="0" t="s">
        <v>87</v>
      </c>
      <c r="D2586" s="0" t="n">
        <v>20</v>
      </c>
      <c r="E2586" s="5" t="n">
        <v>45969.8059837963</v>
      </c>
      <c r="F2586" s="0" t="n">
        <v>4.25</v>
      </c>
      <c r="G2586" s="0" t="n">
        <v>17135</v>
      </c>
      <c r="H2586" s="6" t="s">
        <v>208</v>
      </c>
      <c r="I2586" s="6" t="n">
        <f aca="false">D2586*F2586</f>
        <v>85</v>
      </c>
      <c r="J2586" s="6" t="n">
        <f aca="false">HOUR(E2586)</f>
        <v>19</v>
      </c>
      <c r="K2586" s="6" t="n">
        <f aca="false">IF(COUNTIF($A$2:$A2586,A2586)=1,1,0)</f>
        <v>0</v>
      </c>
    </row>
    <row r="2587" customFormat="false" ht="15" hidden="false" customHeight="false" outlineLevel="0" collapsed="false">
      <c r="A2587" s="0" t="s">
        <v>586</v>
      </c>
      <c r="B2587" s="0" t="s">
        <v>55</v>
      </c>
      <c r="C2587" s="0" t="s">
        <v>56</v>
      </c>
      <c r="D2587" s="0" t="n">
        <v>22</v>
      </c>
      <c r="E2587" s="5" t="n">
        <v>45969.8059837963</v>
      </c>
      <c r="F2587" s="0" t="n">
        <v>1.65</v>
      </c>
      <c r="G2587" s="0" t="n">
        <v>17135</v>
      </c>
      <c r="H2587" s="6" t="s">
        <v>208</v>
      </c>
      <c r="I2587" s="6" t="n">
        <f aca="false">D2587*F2587</f>
        <v>36.3</v>
      </c>
      <c r="J2587" s="6" t="n">
        <f aca="false">HOUR(E2587)</f>
        <v>19</v>
      </c>
      <c r="K2587" s="6" t="n">
        <f aca="false">IF(COUNTIF($A$2:$A2587,A2587)=1,1,0)</f>
        <v>0</v>
      </c>
    </row>
    <row r="2588" customFormat="false" ht="15" hidden="false" customHeight="false" outlineLevel="0" collapsed="false">
      <c r="A2588" s="0" t="s">
        <v>587</v>
      </c>
      <c r="B2588" s="0" t="s">
        <v>91</v>
      </c>
      <c r="C2588" s="0" t="s">
        <v>92</v>
      </c>
      <c r="D2588" s="0" t="n">
        <v>18</v>
      </c>
      <c r="E2588" s="5" t="n">
        <v>45969.8260763889</v>
      </c>
      <c r="F2588" s="0" t="n">
        <v>7.65</v>
      </c>
      <c r="G2588" s="0" t="n">
        <v>17090</v>
      </c>
      <c r="H2588" s="6" t="s">
        <v>208</v>
      </c>
      <c r="I2588" s="6" t="n">
        <f aca="false">D2588*F2588</f>
        <v>137.7</v>
      </c>
      <c r="J2588" s="6" t="n">
        <f aca="false">HOUR(E2588)</f>
        <v>19</v>
      </c>
      <c r="K2588" s="6" t="n">
        <f aca="false">IF(COUNTIF($A$2:$A2588,A2588)=1,1,0)</f>
        <v>1</v>
      </c>
    </row>
    <row r="2589" customFormat="false" ht="15" hidden="false" customHeight="false" outlineLevel="0" collapsed="false">
      <c r="A2589" s="0" t="s">
        <v>587</v>
      </c>
      <c r="B2589" s="0" t="s">
        <v>61</v>
      </c>
      <c r="C2589" s="0" t="s">
        <v>62</v>
      </c>
      <c r="D2589" s="0" t="n">
        <v>21</v>
      </c>
      <c r="E2589" s="5" t="n">
        <v>45969.8260763889</v>
      </c>
      <c r="F2589" s="0" t="n">
        <v>1.65</v>
      </c>
      <c r="G2589" s="0" t="n">
        <v>17090</v>
      </c>
      <c r="H2589" s="6" t="s">
        <v>208</v>
      </c>
      <c r="I2589" s="6" t="n">
        <f aca="false">D2589*F2589</f>
        <v>34.65</v>
      </c>
      <c r="J2589" s="6" t="n">
        <f aca="false">HOUR(E2589)</f>
        <v>19</v>
      </c>
      <c r="K2589" s="6" t="n">
        <f aca="false">IF(COUNTIF($A$2:$A2589,A2589)=1,1,0)</f>
        <v>0</v>
      </c>
    </row>
    <row r="2590" customFormat="false" ht="15" hidden="false" customHeight="false" outlineLevel="0" collapsed="false">
      <c r="A2590" s="0" t="s">
        <v>588</v>
      </c>
      <c r="B2590" s="0" t="s">
        <v>75</v>
      </c>
      <c r="C2590" s="0" t="s">
        <v>76</v>
      </c>
      <c r="D2590" s="0" t="n">
        <v>23</v>
      </c>
      <c r="E2590" s="5" t="n">
        <v>45969.9053240741</v>
      </c>
      <c r="F2590" s="0" t="n">
        <v>3.39</v>
      </c>
      <c r="G2590" s="0" t="n">
        <v>17183</v>
      </c>
      <c r="H2590" s="6" t="s">
        <v>74</v>
      </c>
      <c r="I2590" s="6" t="n">
        <f aca="false">D2590*F2590</f>
        <v>77.97</v>
      </c>
      <c r="J2590" s="6" t="n">
        <f aca="false">HOUR(E2590)</f>
        <v>21</v>
      </c>
      <c r="K2590" s="6" t="n">
        <f aca="false">IF(COUNTIF($A$2:$A2590,A2590)=1,1,0)</f>
        <v>1</v>
      </c>
    </row>
    <row r="2591" customFormat="false" ht="15" hidden="false" customHeight="false" outlineLevel="0" collapsed="false">
      <c r="A2591" s="0" t="s">
        <v>588</v>
      </c>
      <c r="B2591" s="0" t="s">
        <v>116</v>
      </c>
      <c r="D2591" s="0" t="n">
        <v>9</v>
      </c>
      <c r="E2591" s="5" t="n">
        <v>45969.9053240741</v>
      </c>
      <c r="F2591" s="0" t="n">
        <v>1.95</v>
      </c>
      <c r="G2591" s="0" t="n">
        <v>17183</v>
      </c>
      <c r="H2591" s="6" t="s">
        <v>74</v>
      </c>
      <c r="I2591" s="6" t="n">
        <f aca="false">D2591*F2591</f>
        <v>17.55</v>
      </c>
      <c r="J2591" s="6" t="n">
        <f aca="false">HOUR(E2591)</f>
        <v>21</v>
      </c>
      <c r="K2591" s="6" t="n">
        <f aca="false">IF(COUNTIF($A$2:$A2591,A2591)=1,1,0)</f>
        <v>0</v>
      </c>
    </row>
    <row r="2592" customFormat="false" ht="15" hidden="false" customHeight="false" outlineLevel="0" collapsed="false">
      <c r="A2592" s="0" t="s">
        <v>588</v>
      </c>
      <c r="B2592" s="0" t="s">
        <v>102</v>
      </c>
      <c r="C2592" s="0" t="s">
        <v>103</v>
      </c>
      <c r="D2592" s="0" t="n">
        <v>40</v>
      </c>
      <c r="E2592" s="5" t="n">
        <v>45969.9053240741</v>
      </c>
      <c r="F2592" s="0" t="n">
        <v>8.5</v>
      </c>
      <c r="G2592" s="0" t="n">
        <v>17183</v>
      </c>
      <c r="H2592" s="6" t="s">
        <v>74</v>
      </c>
      <c r="I2592" s="6" t="n">
        <f aca="false">D2592*F2592</f>
        <v>340</v>
      </c>
      <c r="J2592" s="6" t="n">
        <f aca="false">HOUR(E2592)</f>
        <v>21</v>
      </c>
      <c r="K2592" s="6" t="n">
        <f aca="false">IF(COUNTIF($A$2:$A2592,A2592)=1,1,0)</f>
        <v>0</v>
      </c>
    </row>
    <row r="2593" customFormat="false" ht="15" hidden="false" customHeight="false" outlineLevel="0" collapsed="false">
      <c r="A2593" s="0" t="s">
        <v>588</v>
      </c>
      <c r="B2593" s="0" t="s">
        <v>86</v>
      </c>
      <c r="C2593" s="0" t="s">
        <v>87</v>
      </c>
      <c r="D2593" s="0" t="n">
        <v>16</v>
      </c>
      <c r="E2593" s="5" t="n">
        <v>45969.9053240741</v>
      </c>
      <c r="F2593" s="0" t="n">
        <v>4.25</v>
      </c>
      <c r="G2593" s="0" t="n">
        <v>17183</v>
      </c>
      <c r="H2593" s="6" t="s">
        <v>74</v>
      </c>
      <c r="I2593" s="6" t="n">
        <f aca="false">D2593*F2593</f>
        <v>68</v>
      </c>
      <c r="J2593" s="6" t="n">
        <f aca="false">HOUR(E2593)</f>
        <v>21</v>
      </c>
      <c r="K2593" s="6" t="n">
        <f aca="false">IF(COUNTIF($A$2:$A2593,A2593)=1,1,0)</f>
        <v>0</v>
      </c>
    </row>
    <row r="2594" customFormat="false" ht="15" hidden="false" customHeight="false" outlineLevel="0" collapsed="false">
      <c r="A2594" s="0" t="s">
        <v>588</v>
      </c>
      <c r="B2594" s="0" t="s">
        <v>99</v>
      </c>
      <c r="C2594" s="0" t="s">
        <v>100</v>
      </c>
      <c r="D2594" s="0" t="n">
        <v>24</v>
      </c>
      <c r="E2594" s="5" t="n">
        <v>45969.9053240741</v>
      </c>
      <c r="F2594" s="0" t="n">
        <v>2.08</v>
      </c>
      <c r="G2594" s="0" t="n">
        <v>17183</v>
      </c>
      <c r="H2594" s="6" t="s">
        <v>74</v>
      </c>
      <c r="I2594" s="6" t="n">
        <f aca="false">D2594*F2594</f>
        <v>49.92</v>
      </c>
      <c r="J2594" s="6" t="n">
        <f aca="false">HOUR(E2594)</f>
        <v>21</v>
      </c>
      <c r="K2594" s="6" t="n">
        <f aca="false">IF(COUNTIF($A$2:$A2594,A2594)=1,1,0)</f>
        <v>0</v>
      </c>
    </row>
    <row r="2595" customFormat="false" ht="15" hidden="false" customHeight="false" outlineLevel="0" collapsed="false">
      <c r="A2595" s="0" t="s">
        <v>588</v>
      </c>
      <c r="B2595" s="0" t="s">
        <v>134</v>
      </c>
      <c r="C2595" s="0" t="s">
        <v>135</v>
      </c>
      <c r="D2595" s="0" t="n">
        <v>9</v>
      </c>
      <c r="E2595" s="5" t="n">
        <v>45969.9053240741</v>
      </c>
      <c r="F2595" s="0" t="n">
        <v>5.95</v>
      </c>
      <c r="G2595" s="0" t="n">
        <v>17183</v>
      </c>
      <c r="H2595" s="6" t="s">
        <v>74</v>
      </c>
      <c r="I2595" s="6" t="n">
        <f aca="false">D2595*F2595</f>
        <v>53.55</v>
      </c>
      <c r="J2595" s="6" t="n">
        <f aca="false">HOUR(E2595)</f>
        <v>21</v>
      </c>
      <c r="K2595" s="6" t="n">
        <f aca="false">IF(COUNTIF($A$2:$A2595,A2595)=1,1,0)</f>
        <v>0</v>
      </c>
    </row>
    <row r="2596" customFormat="false" ht="15" hidden="false" customHeight="false" outlineLevel="0" collapsed="false">
      <c r="A2596" s="0" t="s">
        <v>588</v>
      </c>
      <c r="B2596" s="0" t="s">
        <v>137</v>
      </c>
      <c r="C2596" s="0" t="s">
        <v>138</v>
      </c>
      <c r="D2596" s="0" t="n">
        <v>2</v>
      </c>
      <c r="E2596" s="5" t="n">
        <v>45969.9053240741</v>
      </c>
      <c r="F2596" s="0" t="n">
        <v>2.1</v>
      </c>
      <c r="G2596" s="0" t="n">
        <v>17183</v>
      </c>
      <c r="H2596" s="6" t="s">
        <v>74</v>
      </c>
      <c r="I2596" s="6" t="n">
        <f aca="false">D2596*F2596</f>
        <v>4.2</v>
      </c>
      <c r="J2596" s="6" t="n">
        <f aca="false">HOUR(E2596)</f>
        <v>21</v>
      </c>
      <c r="K2596" s="6" t="n">
        <f aca="false">IF(COUNTIF($A$2:$A2596,A2596)=1,1,0)</f>
        <v>0</v>
      </c>
    </row>
    <row r="2597" customFormat="false" ht="15" hidden="false" customHeight="false" outlineLevel="0" collapsed="false">
      <c r="A2597" s="0" t="s">
        <v>588</v>
      </c>
      <c r="B2597" s="0" t="s">
        <v>79</v>
      </c>
      <c r="C2597" s="0" t="s">
        <v>80</v>
      </c>
      <c r="D2597" s="0" t="n">
        <v>17</v>
      </c>
      <c r="E2597" s="5" t="n">
        <v>45969.9053240741</v>
      </c>
      <c r="F2597" s="0" t="n">
        <v>3.39</v>
      </c>
      <c r="G2597" s="0" t="n">
        <v>17183</v>
      </c>
      <c r="H2597" s="6" t="s">
        <v>74</v>
      </c>
      <c r="I2597" s="6" t="n">
        <f aca="false">D2597*F2597</f>
        <v>57.63</v>
      </c>
      <c r="J2597" s="6" t="n">
        <f aca="false">HOUR(E2597)</f>
        <v>21</v>
      </c>
      <c r="K2597" s="6" t="n">
        <f aca="false">IF(COUNTIF($A$2:$A2597,A2597)=1,1,0)</f>
        <v>0</v>
      </c>
    </row>
    <row r="2598" customFormat="false" ht="15" hidden="false" customHeight="false" outlineLevel="0" collapsed="false">
      <c r="A2598" s="0" t="s">
        <v>588</v>
      </c>
      <c r="B2598" s="0" t="s">
        <v>69</v>
      </c>
      <c r="C2598" s="0" t="s">
        <v>70</v>
      </c>
      <c r="D2598" s="0" t="n">
        <v>48</v>
      </c>
      <c r="E2598" s="5" t="n">
        <v>45969.9053240741</v>
      </c>
      <c r="F2598" s="0" t="n">
        <v>2.08</v>
      </c>
      <c r="G2598" s="0" t="n">
        <v>17183</v>
      </c>
      <c r="H2598" s="6" t="s">
        <v>74</v>
      </c>
      <c r="I2598" s="6" t="n">
        <f aca="false">D2598*F2598</f>
        <v>99.84</v>
      </c>
      <c r="J2598" s="6" t="n">
        <f aca="false">HOUR(E2598)</f>
        <v>21</v>
      </c>
      <c r="K2598" s="6" t="n">
        <f aca="false">IF(COUNTIF($A$2:$A2598,A2598)=1,1,0)</f>
        <v>0</v>
      </c>
    </row>
    <row r="2599" customFormat="false" ht="15" hidden="false" customHeight="false" outlineLevel="0" collapsed="false">
      <c r="A2599" s="0" t="s">
        <v>588</v>
      </c>
      <c r="B2599" s="0" t="s">
        <v>43</v>
      </c>
      <c r="C2599" s="0" t="s">
        <v>44</v>
      </c>
      <c r="D2599" s="0" t="n">
        <v>17</v>
      </c>
      <c r="E2599" s="5" t="n">
        <v>45969.9053240741</v>
      </c>
      <c r="F2599" s="0" t="n">
        <v>4.25</v>
      </c>
      <c r="G2599" s="0" t="n">
        <v>17183</v>
      </c>
      <c r="H2599" s="6" t="s">
        <v>74</v>
      </c>
      <c r="I2599" s="6" t="n">
        <f aca="false">D2599*F2599</f>
        <v>72.25</v>
      </c>
      <c r="J2599" s="6" t="n">
        <f aca="false">HOUR(E2599)</f>
        <v>21</v>
      </c>
      <c r="K2599" s="6" t="n">
        <f aca="false">IF(COUNTIF($A$2:$A2599,A2599)=1,1,0)</f>
        <v>0</v>
      </c>
    </row>
    <row r="2600" customFormat="false" ht="15" hidden="false" customHeight="false" outlineLevel="0" collapsed="false">
      <c r="A2600" s="0" t="s">
        <v>589</v>
      </c>
      <c r="B2600" s="0" t="s">
        <v>107</v>
      </c>
      <c r="C2600" s="0" t="s">
        <v>108</v>
      </c>
      <c r="D2600" s="0" t="n">
        <v>15</v>
      </c>
      <c r="E2600" s="5" t="n">
        <v>45970.3344444444</v>
      </c>
      <c r="F2600" s="0" t="n">
        <v>3.75</v>
      </c>
      <c r="G2600" s="0" t="n">
        <v>17164</v>
      </c>
      <c r="H2600" s="6" t="s">
        <v>98</v>
      </c>
      <c r="I2600" s="6" t="n">
        <f aca="false">D2600*F2600</f>
        <v>56.25</v>
      </c>
      <c r="J2600" s="6" t="n">
        <f aca="false">HOUR(E2600)</f>
        <v>8</v>
      </c>
      <c r="K2600" s="6" t="n">
        <f aca="false">IF(COUNTIF($A$2:$A2600,A2600)=1,1,0)</f>
        <v>1</v>
      </c>
    </row>
    <row r="2601" customFormat="false" ht="15" hidden="false" customHeight="false" outlineLevel="0" collapsed="false">
      <c r="A2601" s="0" t="s">
        <v>589</v>
      </c>
      <c r="B2601" s="0" t="s">
        <v>61</v>
      </c>
      <c r="C2601" s="0" t="s">
        <v>62</v>
      </c>
      <c r="D2601" s="0" t="n">
        <v>9</v>
      </c>
      <c r="E2601" s="5" t="n">
        <v>45970.3344444444</v>
      </c>
      <c r="F2601" s="0" t="n">
        <v>1.65</v>
      </c>
      <c r="G2601" s="0" t="n">
        <v>17164</v>
      </c>
      <c r="H2601" s="6" t="s">
        <v>98</v>
      </c>
      <c r="I2601" s="6" t="n">
        <f aca="false">D2601*F2601</f>
        <v>14.85</v>
      </c>
      <c r="J2601" s="6" t="n">
        <f aca="false">HOUR(E2601)</f>
        <v>8</v>
      </c>
      <c r="K2601" s="6" t="n">
        <f aca="false">IF(COUNTIF($A$2:$A2601,A2601)=1,1,0)</f>
        <v>0</v>
      </c>
    </row>
    <row r="2602" customFormat="false" ht="15" hidden="false" customHeight="false" outlineLevel="0" collapsed="false">
      <c r="A2602" s="0" t="s">
        <v>589</v>
      </c>
      <c r="B2602" s="0" t="s">
        <v>65</v>
      </c>
      <c r="C2602" s="0" t="s">
        <v>66</v>
      </c>
      <c r="D2602" s="0" t="n">
        <v>9</v>
      </c>
      <c r="E2602" s="5" t="n">
        <v>45970.3344444444</v>
      </c>
      <c r="F2602" s="0" t="n">
        <v>1.65</v>
      </c>
      <c r="G2602" s="0" t="n">
        <v>17164</v>
      </c>
      <c r="H2602" s="6" t="s">
        <v>98</v>
      </c>
      <c r="I2602" s="6" t="n">
        <f aca="false">D2602*F2602</f>
        <v>14.85</v>
      </c>
      <c r="J2602" s="6" t="n">
        <f aca="false">HOUR(E2602)</f>
        <v>8</v>
      </c>
      <c r="K2602" s="6" t="n">
        <f aca="false">IF(COUNTIF($A$2:$A2602,A2602)=1,1,0)</f>
        <v>0</v>
      </c>
    </row>
    <row r="2603" customFormat="false" ht="15" hidden="false" customHeight="false" outlineLevel="0" collapsed="false">
      <c r="A2603" s="0" t="s">
        <v>589</v>
      </c>
      <c r="B2603" s="0" t="s">
        <v>77</v>
      </c>
      <c r="C2603" s="0" t="s">
        <v>78</v>
      </c>
      <c r="D2603" s="0" t="n">
        <v>20</v>
      </c>
      <c r="E2603" s="5" t="n">
        <v>45970.3344444444</v>
      </c>
      <c r="F2603" s="0" t="n">
        <v>1.65</v>
      </c>
      <c r="G2603" s="0" t="n">
        <v>17164</v>
      </c>
      <c r="H2603" s="6" t="s">
        <v>98</v>
      </c>
      <c r="I2603" s="6" t="n">
        <f aca="false">D2603*F2603</f>
        <v>33</v>
      </c>
      <c r="J2603" s="6" t="n">
        <f aca="false">HOUR(E2603)</f>
        <v>8</v>
      </c>
      <c r="K2603" s="6" t="n">
        <f aca="false">IF(COUNTIF($A$2:$A2603,A2603)=1,1,0)</f>
        <v>0</v>
      </c>
    </row>
    <row r="2604" customFormat="false" ht="15" hidden="false" customHeight="false" outlineLevel="0" collapsed="false">
      <c r="A2604" s="0" t="s">
        <v>590</v>
      </c>
      <c r="B2604" s="0" t="s">
        <v>69</v>
      </c>
      <c r="C2604" s="0" t="s">
        <v>70</v>
      </c>
      <c r="D2604" s="0" t="n">
        <v>25</v>
      </c>
      <c r="E2604" s="5" t="n">
        <v>45970.4408796296</v>
      </c>
      <c r="F2604" s="0" t="n">
        <v>2.08</v>
      </c>
      <c r="G2604" s="0" t="n">
        <v>17028</v>
      </c>
      <c r="H2604" s="6" t="s">
        <v>74</v>
      </c>
      <c r="I2604" s="6" t="n">
        <f aca="false">D2604*F2604</f>
        <v>52</v>
      </c>
      <c r="J2604" s="6" t="n">
        <f aca="false">HOUR(E2604)</f>
        <v>10</v>
      </c>
      <c r="K2604" s="6" t="n">
        <f aca="false">IF(COUNTIF($A$2:$A2604,A2604)=1,1,0)</f>
        <v>1</v>
      </c>
    </row>
    <row r="2605" customFormat="false" ht="15" hidden="false" customHeight="false" outlineLevel="0" collapsed="false">
      <c r="A2605" s="0" t="s">
        <v>590</v>
      </c>
      <c r="B2605" s="0" t="s">
        <v>55</v>
      </c>
      <c r="C2605" s="0" t="s">
        <v>56</v>
      </c>
      <c r="D2605" s="0" t="n">
        <v>17</v>
      </c>
      <c r="E2605" s="5" t="n">
        <v>45970.4408796296</v>
      </c>
      <c r="F2605" s="0" t="n">
        <v>1.65</v>
      </c>
      <c r="G2605" s="0" t="n">
        <v>17028</v>
      </c>
      <c r="H2605" s="6" t="s">
        <v>74</v>
      </c>
      <c r="I2605" s="6" t="n">
        <f aca="false">D2605*F2605</f>
        <v>28.05</v>
      </c>
      <c r="J2605" s="6" t="n">
        <f aca="false">HOUR(E2605)</f>
        <v>10</v>
      </c>
      <c r="K2605" s="6" t="n">
        <f aca="false">IF(COUNTIF($A$2:$A2605,A2605)=1,1,0)</f>
        <v>0</v>
      </c>
    </row>
    <row r="2606" customFormat="false" ht="15" hidden="false" customHeight="false" outlineLevel="0" collapsed="false">
      <c r="A2606" s="0" t="s">
        <v>590</v>
      </c>
      <c r="B2606" s="0" t="s">
        <v>65</v>
      </c>
      <c r="C2606" s="0" t="s">
        <v>66</v>
      </c>
      <c r="D2606" s="0" t="n">
        <v>10</v>
      </c>
      <c r="E2606" s="5" t="n">
        <v>45970.4408796296</v>
      </c>
      <c r="F2606" s="0" t="n">
        <v>1.65</v>
      </c>
      <c r="G2606" s="0" t="n">
        <v>17028</v>
      </c>
      <c r="H2606" s="6" t="s">
        <v>74</v>
      </c>
      <c r="I2606" s="6" t="n">
        <f aca="false">D2606*F2606</f>
        <v>16.5</v>
      </c>
      <c r="J2606" s="6" t="n">
        <f aca="false">HOUR(E2606)</f>
        <v>10</v>
      </c>
      <c r="K2606" s="6" t="n">
        <f aca="false">IF(COUNTIF($A$2:$A2606,A2606)=1,1,0)</f>
        <v>0</v>
      </c>
    </row>
    <row r="2607" customFormat="false" ht="15" hidden="false" customHeight="false" outlineLevel="0" collapsed="false">
      <c r="A2607" s="0" t="s">
        <v>590</v>
      </c>
      <c r="B2607" s="0" t="s">
        <v>93</v>
      </c>
      <c r="C2607" s="0" t="s">
        <v>94</v>
      </c>
      <c r="D2607" s="0" t="n">
        <v>14</v>
      </c>
      <c r="E2607" s="5" t="n">
        <v>45970.4408796296</v>
      </c>
      <c r="F2607" s="0" t="n">
        <v>1.69</v>
      </c>
      <c r="G2607" s="0" t="n">
        <v>17028</v>
      </c>
      <c r="H2607" s="6" t="s">
        <v>74</v>
      </c>
      <c r="I2607" s="6" t="n">
        <f aca="false">D2607*F2607</f>
        <v>23.66</v>
      </c>
      <c r="J2607" s="6" t="n">
        <f aca="false">HOUR(E2607)</f>
        <v>10</v>
      </c>
      <c r="K2607" s="6" t="n">
        <f aca="false">IF(COUNTIF($A$2:$A2607,A2607)=1,1,0)</f>
        <v>0</v>
      </c>
    </row>
    <row r="2608" customFormat="false" ht="15" hidden="false" customHeight="false" outlineLevel="0" collapsed="false">
      <c r="A2608" s="0" t="s">
        <v>590</v>
      </c>
      <c r="B2608" s="0" t="s">
        <v>145</v>
      </c>
      <c r="C2608" s="0" t="s">
        <v>146</v>
      </c>
      <c r="D2608" s="0" t="n">
        <v>14</v>
      </c>
      <c r="E2608" s="5" t="n">
        <v>45970.4408796296</v>
      </c>
      <c r="F2608" s="0" t="n">
        <v>1.85</v>
      </c>
      <c r="G2608" s="0" t="n">
        <v>17028</v>
      </c>
      <c r="H2608" s="6" t="s">
        <v>74</v>
      </c>
      <c r="I2608" s="6" t="n">
        <f aca="false">D2608*F2608</f>
        <v>25.9</v>
      </c>
      <c r="J2608" s="6" t="n">
        <f aca="false">HOUR(E2608)</f>
        <v>10</v>
      </c>
      <c r="K2608" s="6" t="n">
        <f aca="false">IF(COUNTIF($A$2:$A2608,A2608)=1,1,0)</f>
        <v>0</v>
      </c>
    </row>
    <row r="2609" customFormat="false" ht="15" hidden="false" customHeight="false" outlineLevel="0" collapsed="false">
      <c r="A2609" s="0" t="s">
        <v>591</v>
      </c>
      <c r="B2609" s="0" t="s">
        <v>137</v>
      </c>
      <c r="C2609" s="0" t="s">
        <v>138</v>
      </c>
      <c r="D2609" s="0" t="n">
        <v>11</v>
      </c>
      <c r="E2609" s="5" t="n">
        <v>45970.4500925926</v>
      </c>
      <c r="F2609" s="0" t="n">
        <v>2.1</v>
      </c>
      <c r="H2609" s="6" t="s">
        <v>188</v>
      </c>
      <c r="I2609" s="6" t="n">
        <f aca="false">D2609*F2609</f>
        <v>23.1</v>
      </c>
      <c r="J2609" s="6" t="n">
        <f aca="false">HOUR(E2609)</f>
        <v>10</v>
      </c>
      <c r="K2609" s="6" t="n">
        <f aca="false">IF(COUNTIF($A$2:$A2609,A2609)=1,1,0)</f>
        <v>1</v>
      </c>
    </row>
    <row r="2610" customFormat="false" ht="15" hidden="false" customHeight="false" outlineLevel="0" collapsed="false">
      <c r="A2610" s="0" t="s">
        <v>591</v>
      </c>
      <c r="B2610" s="0" t="s">
        <v>125</v>
      </c>
      <c r="C2610" s="0" t="s">
        <v>126</v>
      </c>
      <c r="D2610" s="0" t="n">
        <v>24</v>
      </c>
      <c r="E2610" s="5" t="n">
        <v>45970.4500925926</v>
      </c>
      <c r="F2610" s="0" t="n">
        <v>1.25</v>
      </c>
      <c r="H2610" s="6" t="s">
        <v>188</v>
      </c>
      <c r="I2610" s="6" t="n">
        <f aca="false">D2610*F2610</f>
        <v>30</v>
      </c>
      <c r="J2610" s="6" t="n">
        <f aca="false">HOUR(E2610)</f>
        <v>10</v>
      </c>
      <c r="K2610" s="6" t="n">
        <f aca="false">IF(COUNTIF($A$2:$A2610,A2610)=1,1,0)</f>
        <v>0</v>
      </c>
    </row>
    <row r="2611" customFormat="false" ht="15" hidden="false" customHeight="false" outlineLevel="0" collapsed="false">
      <c r="A2611" s="0" t="s">
        <v>591</v>
      </c>
      <c r="B2611" s="0" t="s">
        <v>40</v>
      </c>
      <c r="C2611" s="0" t="s">
        <v>41</v>
      </c>
      <c r="D2611" s="0" t="n">
        <v>21</v>
      </c>
      <c r="E2611" s="5" t="n">
        <v>45970.4500925926</v>
      </c>
      <c r="F2611" s="0" t="n">
        <v>1.06</v>
      </c>
      <c r="H2611" s="6" t="s">
        <v>188</v>
      </c>
      <c r="I2611" s="6" t="n">
        <f aca="false">D2611*F2611</f>
        <v>22.26</v>
      </c>
      <c r="J2611" s="6" t="n">
        <f aca="false">HOUR(E2611)</f>
        <v>10</v>
      </c>
      <c r="K2611" s="6" t="n">
        <f aca="false">IF(COUNTIF($A$2:$A2611,A2611)=1,1,0)</f>
        <v>0</v>
      </c>
    </row>
    <row r="2612" customFormat="false" ht="15" hidden="false" customHeight="false" outlineLevel="0" collapsed="false">
      <c r="A2612" s="0" t="s">
        <v>591</v>
      </c>
      <c r="B2612" s="0" t="s">
        <v>109</v>
      </c>
      <c r="C2612" s="0" t="s">
        <v>110</v>
      </c>
      <c r="D2612" s="0" t="n">
        <v>13</v>
      </c>
      <c r="E2612" s="5" t="n">
        <v>45970.4500925926</v>
      </c>
      <c r="F2612" s="0" t="n">
        <v>0.85</v>
      </c>
      <c r="H2612" s="6" t="s">
        <v>188</v>
      </c>
      <c r="I2612" s="6" t="n">
        <f aca="false">D2612*F2612</f>
        <v>11.05</v>
      </c>
      <c r="J2612" s="6" t="n">
        <f aca="false">HOUR(E2612)</f>
        <v>10</v>
      </c>
      <c r="K2612" s="6" t="n">
        <f aca="false">IF(COUNTIF($A$2:$A2612,A2612)=1,1,0)</f>
        <v>0</v>
      </c>
    </row>
    <row r="2613" customFormat="false" ht="15" hidden="false" customHeight="false" outlineLevel="0" collapsed="false">
      <c r="A2613" s="0" t="s">
        <v>591</v>
      </c>
      <c r="B2613" s="0" t="s">
        <v>134</v>
      </c>
      <c r="C2613" s="0" t="s">
        <v>135</v>
      </c>
      <c r="D2613" s="0" t="n">
        <v>24</v>
      </c>
      <c r="E2613" s="5" t="n">
        <v>45970.4500925926</v>
      </c>
      <c r="F2613" s="0" t="n">
        <v>5.95</v>
      </c>
      <c r="H2613" s="6" t="s">
        <v>188</v>
      </c>
      <c r="I2613" s="6" t="n">
        <f aca="false">D2613*F2613</f>
        <v>142.8</v>
      </c>
      <c r="J2613" s="6" t="n">
        <f aca="false">HOUR(E2613)</f>
        <v>10</v>
      </c>
      <c r="K2613" s="6" t="n">
        <f aca="false">IF(COUNTIF($A$2:$A2613,A2613)=1,1,0)</f>
        <v>0</v>
      </c>
    </row>
    <row r="2614" customFormat="false" ht="15" hidden="false" customHeight="false" outlineLevel="0" collapsed="false">
      <c r="A2614" s="0" t="s">
        <v>591</v>
      </c>
      <c r="B2614" s="0" t="s">
        <v>53</v>
      </c>
      <c r="C2614" s="0" t="s">
        <v>54</v>
      </c>
      <c r="D2614" s="0" t="n">
        <v>14</v>
      </c>
      <c r="E2614" s="5" t="n">
        <v>45970.4500925926</v>
      </c>
      <c r="F2614" s="0" t="n">
        <v>2.95</v>
      </c>
      <c r="H2614" s="6" t="s">
        <v>188</v>
      </c>
      <c r="I2614" s="6" t="n">
        <f aca="false">D2614*F2614</f>
        <v>41.3</v>
      </c>
      <c r="J2614" s="6" t="n">
        <f aca="false">HOUR(E2614)</f>
        <v>10</v>
      </c>
      <c r="K2614" s="6" t="n">
        <f aca="false">IF(COUNTIF($A$2:$A2614,A2614)=1,1,0)</f>
        <v>0</v>
      </c>
    </row>
    <row r="2615" customFormat="false" ht="15" hidden="false" customHeight="false" outlineLevel="0" collapsed="false">
      <c r="A2615" s="0" t="s">
        <v>591</v>
      </c>
      <c r="B2615" s="0" t="s">
        <v>83</v>
      </c>
      <c r="C2615" s="0" t="s">
        <v>84</v>
      </c>
      <c r="D2615" s="0" t="n">
        <v>7</v>
      </c>
      <c r="E2615" s="5" t="n">
        <v>45970.4500925926</v>
      </c>
      <c r="F2615" s="0" t="n">
        <v>2.95</v>
      </c>
      <c r="H2615" s="6" t="s">
        <v>188</v>
      </c>
      <c r="I2615" s="6" t="n">
        <f aca="false">D2615*F2615</f>
        <v>20.65</v>
      </c>
      <c r="J2615" s="6" t="n">
        <f aca="false">HOUR(E2615)</f>
        <v>10</v>
      </c>
      <c r="K2615" s="6" t="n">
        <f aca="false">IF(COUNTIF($A$2:$A2615,A2615)=1,1,0)</f>
        <v>0</v>
      </c>
    </row>
    <row r="2616" customFormat="false" ht="15" hidden="false" customHeight="false" outlineLevel="0" collapsed="false">
      <c r="A2616" s="0" t="s">
        <v>592</v>
      </c>
      <c r="B2616" s="0" t="s">
        <v>47</v>
      </c>
      <c r="C2616" s="0" t="s">
        <v>48</v>
      </c>
      <c r="D2616" s="0" t="n">
        <v>46</v>
      </c>
      <c r="E2616" s="5" t="n">
        <v>45970.567962963</v>
      </c>
      <c r="F2616" s="0" t="n">
        <v>12.75</v>
      </c>
      <c r="G2616" s="0" t="n">
        <v>17144</v>
      </c>
      <c r="H2616" s="6" t="s">
        <v>74</v>
      </c>
      <c r="I2616" s="6" t="n">
        <f aca="false">D2616*F2616</f>
        <v>586.5</v>
      </c>
      <c r="J2616" s="6" t="n">
        <f aca="false">HOUR(E2616)</f>
        <v>13</v>
      </c>
      <c r="K2616" s="6" t="n">
        <f aca="false">IF(COUNTIF($A$2:$A2616,A2616)=1,1,0)</f>
        <v>1</v>
      </c>
    </row>
    <row r="2617" customFormat="false" ht="15" hidden="false" customHeight="false" outlineLevel="0" collapsed="false">
      <c r="A2617" s="0" t="s">
        <v>592</v>
      </c>
      <c r="B2617" s="0" t="s">
        <v>137</v>
      </c>
      <c r="C2617" s="0" t="s">
        <v>138</v>
      </c>
      <c r="D2617" s="0" t="n">
        <v>9</v>
      </c>
      <c r="E2617" s="5" t="n">
        <v>45970.567962963</v>
      </c>
      <c r="F2617" s="0" t="n">
        <v>2.1</v>
      </c>
      <c r="G2617" s="0" t="n">
        <v>17144</v>
      </c>
      <c r="H2617" s="6" t="s">
        <v>74</v>
      </c>
      <c r="I2617" s="6" t="n">
        <f aca="false">D2617*F2617</f>
        <v>18.9</v>
      </c>
      <c r="J2617" s="6" t="n">
        <f aca="false">HOUR(E2617)</f>
        <v>13</v>
      </c>
      <c r="K2617" s="6" t="n">
        <f aca="false">IF(COUNTIF($A$2:$A2617,A2617)=1,1,0)</f>
        <v>0</v>
      </c>
    </row>
    <row r="2618" customFormat="false" ht="15" hidden="false" customHeight="false" outlineLevel="0" collapsed="false">
      <c r="A2618" s="0" t="s">
        <v>592</v>
      </c>
      <c r="B2618" s="0" t="s">
        <v>69</v>
      </c>
      <c r="C2618" s="0" t="s">
        <v>70</v>
      </c>
      <c r="D2618" s="0" t="n">
        <v>30</v>
      </c>
      <c r="E2618" s="5" t="n">
        <v>45970.567962963</v>
      </c>
      <c r="F2618" s="0" t="n">
        <v>2.08</v>
      </c>
      <c r="G2618" s="0" t="n">
        <v>17144</v>
      </c>
      <c r="H2618" s="6" t="s">
        <v>74</v>
      </c>
      <c r="I2618" s="6" t="n">
        <f aca="false">D2618*F2618</f>
        <v>62.4</v>
      </c>
      <c r="J2618" s="6" t="n">
        <f aca="false">HOUR(E2618)</f>
        <v>13</v>
      </c>
      <c r="K2618" s="6" t="n">
        <f aca="false">IF(COUNTIF($A$2:$A2618,A2618)=1,1,0)</f>
        <v>0</v>
      </c>
    </row>
    <row r="2619" customFormat="false" ht="15" hidden="false" customHeight="false" outlineLevel="0" collapsed="false">
      <c r="A2619" s="0" t="s">
        <v>592</v>
      </c>
      <c r="B2619" s="0" t="s">
        <v>140</v>
      </c>
      <c r="C2619" s="0" t="s">
        <v>141</v>
      </c>
      <c r="D2619" s="0" t="n">
        <v>5</v>
      </c>
      <c r="E2619" s="5" t="n">
        <v>45970.567962963</v>
      </c>
      <c r="F2619" s="0" t="n">
        <v>2.08</v>
      </c>
      <c r="G2619" s="0" t="n">
        <v>17144</v>
      </c>
      <c r="H2619" s="6" t="s">
        <v>74</v>
      </c>
      <c r="I2619" s="6" t="n">
        <f aca="false">D2619*F2619</f>
        <v>10.4</v>
      </c>
      <c r="J2619" s="6" t="n">
        <f aca="false">HOUR(E2619)</f>
        <v>13</v>
      </c>
      <c r="K2619" s="6" t="n">
        <f aca="false">IF(COUNTIF($A$2:$A2619,A2619)=1,1,0)</f>
        <v>0</v>
      </c>
    </row>
    <row r="2620" customFormat="false" ht="15" hidden="false" customHeight="false" outlineLevel="0" collapsed="false">
      <c r="A2620" s="0" t="s">
        <v>592</v>
      </c>
      <c r="B2620" s="0" t="s">
        <v>121</v>
      </c>
      <c r="C2620" s="0" t="s">
        <v>122</v>
      </c>
      <c r="D2620" s="0" t="n">
        <v>22</v>
      </c>
      <c r="E2620" s="5" t="n">
        <v>45970.567962963</v>
      </c>
      <c r="F2620" s="0" t="n">
        <v>2.1</v>
      </c>
      <c r="G2620" s="0" t="n">
        <v>17144</v>
      </c>
      <c r="H2620" s="6" t="s">
        <v>74</v>
      </c>
      <c r="I2620" s="6" t="n">
        <f aca="false">D2620*F2620</f>
        <v>46.2</v>
      </c>
      <c r="J2620" s="6" t="n">
        <f aca="false">HOUR(E2620)</f>
        <v>13</v>
      </c>
      <c r="K2620" s="6" t="n">
        <f aca="false">IF(COUNTIF($A$2:$A2620,A2620)=1,1,0)</f>
        <v>0</v>
      </c>
    </row>
    <row r="2621" customFormat="false" ht="15" hidden="false" customHeight="false" outlineLevel="0" collapsed="false">
      <c r="A2621" s="0" t="s">
        <v>592</v>
      </c>
      <c r="B2621" s="0" t="s">
        <v>86</v>
      </c>
      <c r="C2621" s="0" t="s">
        <v>87</v>
      </c>
      <c r="D2621" s="0" t="n">
        <v>13</v>
      </c>
      <c r="E2621" s="5" t="n">
        <v>45970.567962963</v>
      </c>
      <c r="F2621" s="0" t="n">
        <v>4.25</v>
      </c>
      <c r="G2621" s="0" t="n">
        <v>17144</v>
      </c>
      <c r="H2621" s="6" t="s">
        <v>74</v>
      </c>
      <c r="I2621" s="6" t="n">
        <f aca="false">D2621*F2621</f>
        <v>55.25</v>
      </c>
      <c r="J2621" s="6" t="n">
        <f aca="false">HOUR(E2621)</f>
        <v>13</v>
      </c>
      <c r="K2621" s="6" t="n">
        <f aca="false">IF(COUNTIF($A$2:$A2621,A2621)=1,1,0)</f>
        <v>0</v>
      </c>
    </row>
    <row r="2622" customFormat="false" ht="15" hidden="false" customHeight="false" outlineLevel="0" collapsed="false">
      <c r="A2622" s="0" t="s">
        <v>592</v>
      </c>
      <c r="B2622" s="0" t="s">
        <v>65</v>
      </c>
      <c r="C2622" s="0" t="s">
        <v>66</v>
      </c>
      <c r="D2622" s="0" t="n">
        <v>22</v>
      </c>
      <c r="E2622" s="5" t="n">
        <v>45970.567962963</v>
      </c>
      <c r="F2622" s="0" t="n">
        <v>1.65</v>
      </c>
      <c r="G2622" s="0" t="n">
        <v>17144</v>
      </c>
      <c r="H2622" s="6" t="s">
        <v>74</v>
      </c>
      <c r="I2622" s="6" t="n">
        <f aca="false">D2622*F2622</f>
        <v>36.3</v>
      </c>
      <c r="J2622" s="6" t="n">
        <f aca="false">HOUR(E2622)</f>
        <v>13</v>
      </c>
      <c r="K2622" s="6" t="n">
        <f aca="false">IF(COUNTIF($A$2:$A2622,A2622)=1,1,0)</f>
        <v>0</v>
      </c>
    </row>
    <row r="2623" customFormat="false" ht="15" hidden="false" customHeight="false" outlineLevel="0" collapsed="false">
      <c r="A2623" s="0" t="s">
        <v>592</v>
      </c>
      <c r="B2623" s="0" t="s">
        <v>114</v>
      </c>
      <c r="C2623" s="0" t="s">
        <v>115</v>
      </c>
      <c r="D2623" s="0" t="n">
        <v>18</v>
      </c>
      <c r="E2623" s="5" t="n">
        <v>45970.567962963</v>
      </c>
      <c r="F2623" s="0" t="n">
        <v>2.08</v>
      </c>
      <c r="G2623" s="0" t="n">
        <v>17144</v>
      </c>
      <c r="H2623" s="6" t="s">
        <v>74</v>
      </c>
      <c r="I2623" s="6" t="n">
        <f aca="false">D2623*F2623</f>
        <v>37.44</v>
      </c>
      <c r="J2623" s="6" t="n">
        <f aca="false">HOUR(E2623)</f>
        <v>13</v>
      </c>
      <c r="K2623" s="6" t="n">
        <f aca="false">IF(COUNTIF($A$2:$A2623,A2623)=1,1,0)</f>
        <v>0</v>
      </c>
    </row>
    <row r="2624" customFormat="false" ht="15" hidden="false" customHeight="false" outlineLevel="0" collapsed="false">
      <c r="A2624" s="0" t="s">
        <v>592</v>
      </c>
      <c r="B2624" s="0" t="s">
        <v>131</v>
      </c>
      <c r="C2624" s="0" t="s">
        <v>132</v>
      </c>
      <c r="D2624" s="0" t="n">
        <v>5</v>
      </c>
      <c r="E2624" s="5" t="n">
        <v>45970.567962963</v>
      </c>
      <c r="F2624" s="0" t="n">
        <v>3.39</v>
      </c>
      <c r="G2624" s="0" t="n">
        <v>17144</v>
      </c>
      <c r="H2624" s="6" t="s">
        <v>74</v>
      </c>
      <c r="I2624" s="6" t="n">
        <f aca="false">D2624*F2624</f>
        <v>16.95</v>
      </c>
      <c r="J2624" s="6" t="n">
        <f aca="false">HOUR(E2624)</f>
        <v>13</v>
      </c>
      <c r="K2624" s="6" t="n">
        <f aca="false">IF(COUNTIF($A$2:$A2624,A2624)=1,1,0)</f>
        <v>0</v>
      </c>
    </row>
    <row r="2625" customFormat="false" ht="15" hidden="false" customHeight="false" outlineLevel="0" collapsed="false">
      <c r="A2625" s="0" t="s">
        <v>593</v>
      </c>
      <c r="B2625" s="0" t="s">
        <v>137</v>
      </c>
      <c r="C2625" s="0" t="s">
        <v>138</v>
      </c>
      <c r="D2625" s="0" t="n">
        <v>1</v>
      </c>
      <c r="E2625" s="5" t="n">
        <v>45970.6215046296</v>
      </c>
      <c r="F2625" s="0" t="n">
        <v>2.1</v>
      </c>
      <c r="G2625" s="0" t="n">
        <v>17035</v>
      </c>
      <c r="H2625" s="6" t="s">
        <v>74</v>
      </c>
      <c r="I2625" s="6" t="n">
        <f aca="false">D2625*F2625</f>
        <v>2.1</v>
      </c>
      <c r="J2625" s="6" t="n">
        <f aca="false">HOUR(E2625)</f>
        <v>14</v>
      </c>
      <c r="K2625" s="6" t="n">
        <f aca="false">IF(COUNTIF($A$2:$A2625,A2625)=1,1,0)</f>
        <v>1</v>
      </c>
    </row>
    <row r="2626" customFormat="false" ht="15" hidden="false" customHeight="false" outlineLevel="0" collapsed="false">
      <c r="A2626" s="0" t="s">
        <v>593</v>
      </c>
      <c r="B2626" s="0" t="s">
        <v>50</v>
      </c>
      <c r="C2626" s="0" t="s">
        <v>51</v>
      </c>
      <c r="D2626" s="0" t="n">
        <v>6</v>
      </c>
      <c r="E2626" s="5" t="n">
        <v>45970.6215046296</v>
      </c>
      <c r="F2626" s="0" t="n">
        <v>5.95</v>
      </c>
      <c r="G2626" s="0" t="n">
        <v>17035</v>
      </c>
      <c r="H2626" s="6" t="s">
        <v>74</v>
      </c>
      <c r="I2626" s="6" t="n">
        <f aca="false">D2626*F2626</f>
        <v>35.7</v>
      </c>
      <c r="J2626" s="6" t="n">
        <f aca="false">HOUR(E2626)</f>
        <v>14</v>
      </c>
      <c r="K2626" s="6" t="n">
        <f aca="false">IF(COUNTIF($A$2:$A2626,A2626)=1,1,0)</f>
        <v>0</v>
      </c>
    </row>
    <row r="2627" customFormat="false" ht="15" hidden="false" customHeight="false" outlineLevel="0" collapsed="false">
      <c r="A2627" s="0" t="s">
        <v>593</v>
      </c>
      <c r="B2627" s="0" t="s">
        <v>99</v>
      </c>
      <c r="C2627" s="0" t="s">
        <v>100</v>
      </c>
      <c r="D2627" s="0" t="n">
        <v>14</v>
      </c>
      <c r="E2627" s="5" t="n">
        <v>45970.6215046296</v>
      </c>
      <c r="F2627" s="0" t="n">
        <v>2.08</v>
      </c>
      <c r="G2627" s="0" t="n">
        <v>17035</v>
      </c>
      <c r="H2627" s="6" t="s">
        <v>74</v>
      </c>
      <c r="I2627" s="6" t="n">
        <f aca="false">D2627*F2627</f>
        <v>29.12</v>
      </c>
      <c r="J2627" s="6" t="n">
        <f aca="false">HOUR(E2627)</f>
        <v>14</v>
      </c>
      <c r="K2627" s="6" t="n">
        <f aca="false">IF(COUNTIF($A$2:$A2627,A2627)=1,1,0)</f>
        <v>0</v>
      </c>
    </row>
    <row r="2628" customFormat="false" ht="15" hidden="false" customHeight="false" outlineLevel="0" collapsed="false">
      <c r="A2628" s="0" t="s">
        <v>594</v>
      </c>
      <c r="B2628" s="0" t="s">
        <v>145</v>
      </c>
      <c r="C2628" s="0" t="s">
        <v>146</v>
      </c>
      <c r="D2628" s="0" t="n">
        <v>12</v>
      </c>
      <c r="E2628" s="5" t="n">
        <v>45970.6915046296</v>
      </c>
      <c r="F2628" s="0" t="n">
        <v>1.85</v>
      </c>
      <c r="G2628" s="0" t="n">
        <v>17185</v>
      </c>
      <c r="H2628" s="6" t="s">
        <v>151</v>
      </c>
      <c r="I2628" s="6" t="n">
        <f aca="false">D2628*F2628</f>
        <v>22.2</v>
      </c>
      <c r="J2628" s="6" t="n">
        <f aca="false">HOUR(E2628)</f>
        <v>16</v>
      </c>
      <c r="K2628" s="6" t="n">
        <f aca="false">IF(COUNTIF($A$2:$A2628,A2628)=1,1,0)</f>
        <v>1</v>
      </c>
    </row>
    <row r="2629" customFormat="false" ht="15" hidden="false" customHeight="false" outlineLevel="0" collapsed="false">
      <c r="A2629" s="0" t="s">
        <v>594</v>
      </c>
      <c r="B2629" s="0" t="s">
        <v>53</v>
      </c>
      <c r="C2629" s="0" t="s">
        <v>54</v>
      </c>
      <c r="D2629" s="0" t="n">
        <v>10</v>
      </c>
      <c r="E2629" s="5" t="n">
        <v>45970.6915046296</v>
      </c>
      <c r="F2629" s="0" t="n">
        <v>2.95</v>
      </c>
      <c r="G2629" s="0" t="n">
        <v>17185</v>
      </c>
      <c r="H2629" s="6" t="s">
        <v>151</v>
      </c>
      <c r="I2629" s="6" t="n">
        <f aca="false">D2629*F2629</f>
        <v>29.5</v>
      </c>
      <c r="J2629" s="6" t="n">
        <f aca="false">HOUR(E2629)</f>
        <v>16</v>
      </c>
      <c r="K2629" s="6" t="n">
        <f aca="false">IF(COUNTIF($A$2:$A2629,A2629)=1,1,0)</f>
        <v>0</v>
      </c>
    </row>
    <row r="2630" customFormat="false" ht="15" hidden="false" customHeight="false" outlineLevel="0" collapsed="false">
      <c r="A2630" s="0" t="s">
        <v>594</v>
      </c>
      <c r="B2630" s="0" t="s">
        <v>81</v>
      </c>
      <c r="C2630" s="0" t="s">
        <v>82</v>
      </c>
      <c r="D2630" s="0" t="n">
        <v>22</v>
      </c>
      <c r="E2630" s="5" t="n">
        <v>45970.6915046296</v>
      </c>
      <c r="F2630" s="0" t="n">
        <v>1.65</v>
      </c>
      <c r="G2630" s="0" t="n">
        <v>17185</v>
      </c>
      <c r="H2630" s="6" t="s">
        <v>151</v>
      </c>
      <c r="I2630" s="6" t="n">
        <f aca="false">D2630*F2630</f>
        <v>36.3</v>
      </c>
      <c r="J2630" s="6" t="n">
        <f aca="false">HOUR(E2630)</f>
        <v>16</v>
      </c>
      <c r="K2630" s="6" t="n">
        <f aca="false">IF(COUNTIF($A$2:$A2630,A2630)=1,1,0)</f>
        <v>0</v>
      </c>
    </row>
    <row r="2631" customFormat="false" ht="15" hidden="false" customHeight="false" outlineLevel="0" collapsed="false">
      <c r="A2631" s="0" t="s">
        <v>594</v>
      </c>
      <c r="B2631" s="0" t="s">
        <v>79</v>
      </c>
      <c r="C2631" s="0" t="s">
        <v>80</v>
      </c>
      <c r="D2631" s="0" t="n">
        <v>5</v>
      </c>
      <c r="E2631" s="5" t="n">
        <v>45970.6915046296</v>
      </c>
      <c r="F2631" s="0" t="n">
        <v>3.39</v>
      </c>
      <c r="G2631" s="0" t="n">
        <v>17185</v>
      </c>
      <c r="H2631" s="6" t="s">
        <v>151</v>
      </c>
      <c r="I2631" s="6" t="n">
        <f aca="false">D2631*F2631</f>
        <v>16.95</v>
      </c>
      <c r="J2631" s="6" t="n">
        <f aca="false">HOUR(E2631)</f>
        <v>16</v>
      </c>
      <c r="K2631" s="6" t="n">
        <f aca="false">IF(COUNTIF($A$2:$A2631,A2631)=1,1,0)</f>
        <v>0</v>
      </c>
    </row>
    <row r="2632" customFormat="false" ht="15" hidden="false" customHeight="false" outlineLevel="0" collapsed="false">
      <c r="A2632" s="0" t="s">
        <v>595</v>
      </c>
      <c r="B2632" s="0" t="s">
        <v>65</v>
      </c>
      <c r="C2632" s="0" t="s">
        <v>66</v>
      </c>
      <c r="D2632" s="0" t="n">
        <v>6</v>
      </c>
      <c r="E2632" s="5" t="n">
        <v>45970.7288310185</v>
      </c>
      <c r="F2632" s="0" t="n">
        <v>1.65</v>
      </c>
      <c r="G2632" s="0" t="n">
        <v>17018</v>
      </c>
      <c r="H2632" s="6" t="s">
        <v>113</v>
      </c>
      <c r="I2632" s="6" t="n">
        <f aca="false">D2632*F2632</f>
        <v>9.9</v>
      </c>
      <c r="J2632" s="6" t="n">
        <f aca="false">HOUR(E2632)</f>
        <v>17</v>
      </c>
      <c r="K2632" s="6" t="n">
        <f aca="false">IF(COUNTIF($A$2:$A2632,A2632)=1,1,0)</f>
        <v>1</v>
      </c>
    </row>
    <row r="2633" customFormat="false" ht="15" hidden="false" customHeight="false" outlineLevel="0" collapsed="false">
      <c r="A2633" s="0" t="s">
        <v>595</v>
      </c>
      <c r="B2633" s="0" t="s">
        <v>121</v>
      </c>
      <c r="C2633" s="0" t="s">
        <v>122</v>
      </c>
      <c r="D2633" s="0" t="n">
        <v>9</v>
      </c>
      <c r="E2633" s="5" t="n">
        <v>45970.7288310185</v>
      </c>
      <c r="F2633" s="0" t="n">
        <v>2.1</v>
      </c>
      <c r="G2633" s="0" t="n">
        <v>17018</v>
      </c>
      <c r="H2633" s="6" t="s">
        <v>113</v>
      </c>
      <c r="I2633" s="6" t="n">
        <f aca="false">D2633*F2633</f>
        <v>18.9</v>
      </c>
      <c r="J2633" s="6" t="n">
        <f aca="false">HOUR(E2633)</f>
        <v>17</v>
      </c>
      <c r="K2633" s="6" t="n">
        <f aca="false">IF(COUNTIF($A$2:$A2633,A2633)=1,1,0)</f>
        <v>0</v>
      </c>
    </row>
    <row r="2634" customFormat="false" ht="15" hidden="false" customHeight="false" outlineLevel="0" collapsed="false">
      <c r="A2634" s="0" t="s">
        <v>595</v>
      </c>
      <c r="B2634" s="0" t="s">
        <v>145</v>
      </c>
      <c r="C2634" s="0" t="s">
        <v>146</v>
      </c>
      <c r="D2634" s="0" t="n">
        <v>2</v>
      </c>
      <c r="E2634" s="5" t="n">
        <v>45970.7288310185</v>
      </c>
      <c r="F2634" s="0" t="n">
        <v>1.85</v>
      </c>
      <c r="G2634" s="0" t="n">
        <v>17018</v>
      </c>
      <c r="H2634" s="6" t="s">
        <v>113</v>
      </c>
      <c r="I2634" s="6" t="n">
        <f aca="false">D2634*F2634</f>
        <v>3.7</v>
      </c>
      <c r="J2634" s="6" t="n">
        <f aca="false">HOUR(E2634)</f>
        <v>17</v>
      </c>
      <c r="K2634" s="6" t="n">
        <f aca="false">IF(COUNTIF($A$2:$A2634,A2634)=1,1,0)</f>
        <v>0</v>
      </c>
    </row>
    <row r="2635" customFormat="false" ht="15" hidden="false" customHeight="false" outlineLevel="0" collapsed="false">
      <c r="A2635" s="0" t="s">
        <v>595</v>
      </c>
      <c r="B2635" s="0" t="s">
        <v>79</v>
      </c>
      <c r="C2635" s="0" t="s">
        <v>80</v>
      </c>
      <c r="D2635" s="0" t="n">
        <v>16</v>
      </c>
      <c r="E2635" s="5" t="n">
        <v>45970.7288310185</v>
      </c>
      <c r="F2635" s="0" t="n">
        <v>3.39</v>
      </c>
      <c r="G2635" s="0" t="n">
        <v>17018</v>
      </c>
      <c r="H2635" s="6" t="s">
        <v>113</v>
      </c>
      <c r="I2635" s="6" t="n">
        <f aca="false">D2635*F2635</f>
        <v>54.24</v>
      </c>
      <c r="J2635" s="6" t="n">
        <f aca="false">HOUR(E2635)</f>
        <v>17</v>
      </c>
      <c r="K2635" s="6" t="n">
        <f aca="false">IF(COUNTIF($A$2:$A2635,A2635)=1,1,0)</f>
        <v>0</v>
      </c>
    </row>
    <row r="2636" customFormat="false" ht="15" hidden="false" customHeight="false" outlineLevel="0" collapsed="false">
      <c r="A2636" s="0" t="s">
        <v>596</v>
      </c>
      <c r="B2636" s="0" t="s">
        <v>109</v>
      </c>
      <c r="C2636" s="0" t="s">
        <v>110</v>
      </c>
      <c r="D2636" s="0" t="n">
        <v>20</v>
      </c>
      <c r="E2636" s="5" t="n">
        <v>45970.7495138889</v>
      </c>
      <c r="F2636" s="0" t="n">
        <v>0.85</v>
      </c>
      <c r="G2636" s="0" t="n">
        <v>17085</v>
      </c>
      <c r="H2636" s="6" t="s">
        <v>188</v>
      </c>
      <c r="I2636" s="6" t="n">
        <f aca="false">D2636*F2636</f>
        <v>17</v>
      </c>
      <c r="J2636" s="6" t="n">
        <f aca="false">HOUR(E2636)</f>
        <v>17</v>
      </c>
      <c r="K2636" s="6" t="n">
        <f aca="false">IF(COUNTIF($A$2:$A2636,A2636)=1,1,0)</f>
        <v>1</v>
      </c>
    </row>
    <row r="2637" customFormat="false" ht="15" hidden="false" customHeight="false" outlineLevel="0" collapsed="false">
      <c r="A2637" s="0" t="s">
        <v>596</v>
      </c>
      <c r="B2637" s="0" t="s">
        <v>107</v>
      </c>
      <c r="C2637" s="0" t="s">
        <v>108</v>
      </c>
      <c r="D2637" s="0" t="n">
        <v>15</v>
      </c>
      <c r="E2637" s="5" t="n">
        <v>45970.7495138889</v>
      </c>
      <c r="F2637" s="0" t="n">
        <v>3.75</v>
      </c>
      <c r="G2637" s="0" t="n">
        <v>17085</v>
      </c>
      <c r="H2637" s="6" t="s">
        <v>188</v>
      </c>
      <c r="I2637" s="6" t="n">
        <f aca="false">D2637*F2637</f>
        <v>56.25</v>
      </c>
      <c r="J2637" s="6" t="n">
        <f aca="false">HOUR(E2637)</f>
        <v>17</v>
      </c>
      <c r="K2637" s="6" t="n">
        <f aca="false">IF(COUNTIF($A$2:$A2637,A2637)=1,1,0)</f>
        <v>0</v>
      </c>
    </row>
    <row r="2638" customFormat="false" ht="15" hidden="false" customHeight="false" outlineLevel="0" collapsed="false">
      <c r="A2638" s="0" t="s">
        <v>597</v>
      </c>
      <c r="B2638" s="0" t="s">
        <v>131</v>
      </c>
      <c r="C2638" s="0" t="s">
        <v>132</v>
      </c>
      <c r="D2638" s="0" t="n">
        <v>22</v>
      </c>
      <c r="E2638" s="5" t="n">
        <v>45970.848275463</v>
      </c>
      <c r="F2638" s="0" t="n">
        <v>3.39</v>
      </c>
      <c r="H2638" s="6" t="s">
        <v>74</v>
      </c>
      <c r="I2638" s="6" t="n">
        <f aca="false">D2638*F2638</f>
        <v>74.58</v>
      </c>
      <c r="J2638" s="6" t="n">
        <f aca="false">HOUR(E2638)</f>
        <v>20</v>
      </c>
      <c r="K2638" s="6" t="n">
        <f aca="false">IF(COUNTIF($A$2:$A2638,A2638)=1,1,0)</f>
        <v>1</v>
      </c>
    </row>
    <row r="2639" customFormat="false" ht="15" hidden="false" customHeight="false" outlineLevel="0" collapsed="false">
      <c r="A2639" s="0" t="s">
        <v>597</v>
      </c>
      <c r="B2639" s="0" t="s">
        <v>40</v>
      </c>
      <c r="C2639" s="0" t="s">
        <v>41</v>
      </c>
      <c r="D2639" s="0" t="n">
        <v>22</v>
      </c>
      <c r="E2639" s="5" t="n">
        <v>45970.848275463</v>
      </c>
      <c r="F2639" s="0" t="n">
        <v>1.06</v>
      </c>
      <c r="H2639" s="6" t="s">
        <v>74</v>
      </c>
      <c r="I2639" s="6" t="n">
        <f aca="false">D2639*F2639</f>
        <v>23.32</v>
      </c>
      <c r="J2639" s="6" t="n">
        <f aca="false">HOUR(E2639)</f>
        <v>20</v>
      </c>
      <c r="K2639" s="6" t="n">
        <f aca="false">IF(COUNTIF($A$2:$A2639,A2639)=1,1,0)</f>
        <v>0</v>
      </c>
    </row>
    <row r="2640" customFormat="false" ht="15" hidden="false" customHeight="false" outlineLevel="0" collapsed="false">
      <c r="A2640" s="0" t="s">
        <v>597</v>
      </c>
      <c r="B2640" s="0" t="s">
        <v>104</v>
      </c>
      <c r="C2640" s="0" t="s">
        <v>105</v>
      </c>
      <c r="D2640" s="0" t="n">
        <v>11</v>
      </c>
      <c r="E2640" s="5" t="n">
        <v>45970.848275463</v>
      </c>
      <c r="F2640" s="0" t="n">
        <v>1.65</v>
      </c>
      <c r="H2640" s="6" t="s">
        <v>74</v>
      </c>
      <c r="I2640" s="6" t="n">
        <f aca="false">D2640*F2640</f>
        <v>18.15</v>
      </c>
      <c r="J2640" s="6" t="n">
        <f aca="false">HOUR(E2640)</f>
        <v>20</v>
      </c>
      <c r="K2640" s="6" t="n">
        <f aca="false">IF(COUNTIF($A$2:$A2640,A2640)=1,1,0)</f>
        <v>0</v>
      </c>
    </row>
    <row r="2641" customFormat="false" ht="15" hidden="false" customHeight="false" outlineLevel="0" collapsed="false">
      <c r="A2641" s="0" t="s">
        <v>597</v>
      </c>
      <c r="B2641" s="0" t="s">
        <v>57</v>
      </c>
      <c r="C2641" s="0" t="s">
        <v>58</v>
      </c>
      <c r="D2641" s="0" t="n">
        <v>9</v>
      </c>
      <c r="E2641" s="5" t="n">
        <v>45970.848275463</v>
      </c>
      <c r="F2641" s="0" t="n">
        <v>2.08</v>
      </c>
      <c r="H2641" s="6" t="s">
        <v>74</v>
      </c>
      <c r="I2641" s="6" t="n">
        <f aca="false">D2641*F2641</f>
        <v>18.72</v>
      </c>
      <c r="J2641" s="6" t="n">
        <f aca="false">HOUR(E2641)</f>
        <v>20</v>
      </c>
      <c r="K2641" s="6" t="n">
        <f aca="false">IF(COUNTIF($A$2:$A2641,A2641)=1,1,0)</f>
        <v>0</v>
      </c>
    </row>
    <row r="2642" customFormat="false" ht="15" hidden="false" customHeight="false" outlineLevel="0" collapsed="false">
      <c r="A2642" s="0" t="s">
        <v>597</v>
      </c>
      <c r="B2642" s="0" t="s">
        <v>47</v>
      </c>
      <c r="C2642" s="0" t="s">
        <v>48</v>
      </c>
      <c r="D2642" s="0" t="n">
        <v>7</v>
      </c>
      <c r="E2642" s="5" t="n">
        <v>45970.848275463</v>
      </c>
      <c r="F2642" s="0" t="n">
        <v>12.75</v>
      </c>
      <c r="H2642" s="6" t="s">
        <v>74</v>
      </c>
      <c r="I2642" s="6" t="n">
        <f aca="false">D2642*F2642</f>
        <v>89.25</v>
      </c>
      <c r="J2642" s="6" t="n">
        <f aca="false">HOUR(E2642)</f>
        <v>20</v>
      </c>
      <c r="K2642" s="6" t="n">
        <f aca="false">IF(COUNTIF($A$2:$A2642,A2642)=1,1,0)</f>
        <v>0</v>
      </c>
    </row>
    <row r="2643" customFormat="false" ht="15" hidden="false" customHeight="false" outlineLevel="0" collapsed="false">
      <c r="A2643" s="0" t="s">
        <v>597</v>
      </c>
      <c r="B2643" s="0" t="s">
        <v>65</v>
      </c>
      <c r="C2643" s="0" t="s">
        <v>66</v>
      </c>
      <c r="D2643" s="0" t="n">
        <v>24</v>
      </c>
      <c r="E2643" s="5" t="n">
        <v>45970.848275463</v>
      </c>
      <c r="F2643" s="0" t="n">
        <v>1.65</v>
      </c>
      <c r="H2643" s="6" t="s">
        <v>74</v>
      </c>
      <c r="I2643" s="6" t="n">
        <f aca="false">D2643*F2643</f>
        <v>39.6</v>
      </c>
      <c r="J2643" s="6" t="n">
        <f aca="false">HOUR(E2643)</f>
        <v>20</v>
      </c>
      <c r="K2643" s="6" t="n">
        <f aca="false">IF(COUNTIF($A$2:$A2643,A2643)=1,1,0)</f>
        <v>0</v>
      </c>
    </row>
    <row r="2644" customFormat="false" ht="15" hidden="false" customHeight="false" outlineLevel="0" collapsed="false">
      <c r="A2644" s="0" t="s">
        <v>598</v>
      </c>
      <c r="B2644" s="0" t="s">
        <v>77</v>
      </c>
      <c r="C2644" s="0" t="s">
        <v>78</v>
      </c>
      <c r="D2644" s="0" t="n">
        <v>10</v>
      </c>
      <c r="E2644" s="5" t="n">
        <v>45970.8733449074</v>
      </c>
      <c r="F2644" s="0" t="n">
        <v>1.65</v>
      </c>
      <c r="G2644" s="0" t="n">
        <v>17160</v>
      </c>
      <c r="H2644" s="6" t="s">
        <v>68</v>
      </c>
      <c r="I2644" s="6" t="n">
        <f aca="false">D2644*F2644</f>
        <v>16.5</v>
      </c>
      <c r="J2644" s="6" t="n">
        <f aca="false">HOUR(E2644)</f>
        <v>20</v>
      </c>
      <c r="K2644" s="6" t="n">
        <f aca="false">IF(COUNTIF($A$2:$A2644,A2644)=1,1,0)</f>
        <v>1</v>
      </c>
    </row>
    <row r="2645" customFormat="false" ht="15" hidden="false" customHeight="false" outlineLevel="0" collapsed="false">
      <c r="A2645" s="0" t="s">
        <v>599</v>
      </c>
      <c r="B2645" s="0" t="s">
        <v>65</v>
      </c>
      <c r="C2645" s="0" t="s">
        <v>66</v>
      </c>
      <c r="D2645" s="0" t="n">
        <v>6</v>
      </c>
      <c r="E2645" s="5" t="n">
        <v>45971.3771875</v>
      </c>
      <c r="F2645" s="0" t="n">
        <v>1.65</v>
      </c>
      <c r="G2645" s="0" t="n">
        <v>17083</v>
      </c>
      <c r="H2645" s="6" t="s">
        <v>74</v>
      </c>
      <c r="I2645" s="6" t="n">
        <f aca="false">D2645*F2645</f>
        <v>9.9</v>
      </c>
      <c r="J2645" s="6" t="n">
        <f aca="false">HOUR(E2645)</f>
        <v>9</v>
      </c>
      <c r="K2645" s="6" t="n">
        <f aca="false">IF(COUNTIF($A$2:$A2645,A2645)=1,1,0)</f>
        <v>1</v>
      </c>
    </row>
    <row r="2646" customFormat="false" ht="15" hidden="false" customHeight="false" outlineLevel="0" collapsed="false">
      <c r="A2646" s="0" t="s">
        <v>599</v>
      </c>
      <c r="B2646" s="0" t="s">
        <v>116</v>
      </c>
      <c r="C2646" s="0" t="s">
        <v>117</v>
      </c>
      <c r="D2646" s="0" t="n">
        <v>11</v>
      </c>
      <c r="E2646" s="5" t="n">
        <v>45971.3771875</v>
      </c>
      <c r="F2646" s="0" t="n">
        <v>1.95</v>
      </c>
      <c r="G2646" s="0" t="n">
        <v>17083</v>
      </c>
      <c r="H2646" s="6" t="s">
        <v>74</v>
      </c>
      <c r="I2646" s="6" t="n">
        <f aca="false">D2646*F2646</f>
        <v>21.45</v>
      </c>
      <c r="J2646" s="6" t="n">
        <f aca="false">HOUR(E2646)</f>
        <v>9</v>
      </c>
      <c r="K2646" s="6" t="n">
        <f aca="false">IF(COUNTIF($A$2:$A2646,A2646)=1,1,0)</f>
        <v>0</v>
      </c>
    </row>
    <row r="2647" customFormat="false" ht="15" hidden="false" customHeight="false" outlineLevel="0" collapsed="false">
      <c r="A2647" s="0" t="s">
        <v>599</v>
      </c>
      <c r="B2647" s="0" t="s">
        <v>81</v>
      </c>
      <c r="C2647" s="0" t="s">
        <v>82</v>
      </c>
      <c r="D2647" s="0" t="n">
        <v>11</v>
      </c>
      <c r="E2647" s="5" t="n">
        <v>45971.3771875</v>
      </c>
      <c r="F2647" s="0" t="n">
        <v>1.65</v>
      </c>
      <c r="G2647" s="0" t="n">
        <v>17083</v>
      </c>
      <c r="H2647" s="6" t="s">
        <v>74</v>
      </c>
      <c r="I2647" s="6" t="n">
        <f aca="false">D2647*F2647</f>
        <v>18.15</v>
      </c>
      <c r="J2647" s="6" t="n">
        <f aca="false">HOUR(E2647)</f>
        <v>9</v>
      </c>
      <c r="K2647" s="6" t="n">
        <f aca="false">IF(COUNTIF($A$2:$A2647,A2647)=1,1,0)</f>
        <v>0</v>
      </c>
    </row>
    <row r="2648" customFormat="false" ht="15" hidden="false" customHeight="false" outlineLevel="0" collapsed="false">
      <c r="A2648" s="0" t="s">
        <v>600</v>
      </c>
      <c r="B2648" s="0" t="s">
        <v>116</v>
      </c>
      <c r="C2648" s="0" t="s">
        <v>117</v>
      </c>
      <c r="D2648" s="0" t="n">
        <v>21</v>
      </c>
      <c r="E2648" s="5" t="n">
        <v>45971.3856018519</v>
      </c>
      <c r="F2648" s="0" t="n">
        <v>1.95</v>
      </c>
      <c r="G2648" s="0" t="n">
        <v>17234</v>
      </c>
      <c r="H2648" s="6" t="s">
        <v>188</v>
      </c>
      <c r="I2648" s="6" t="n">
        <f aca="false">D2648*F2648</f>
        <v>40.95</v>
      </c>
      <c r="J2648" s="6" t="n">
        <f aca="false">HOUR(E2648)</f>
        <v>9</v>
      </c>
      <c r="K2648" s="6" t="n">
        <f aca="false">IF(COUNTIF($A$2:$A2648,A2648)=1,1,0)</f>
        <v>1</v>
      </c>
    </row>
    <row r="2649" customFormat="false" ht="15" hidden="false" customHeight="false" outlineLevel="0" collapsed="false">
      <c r="A2649" s="0" t="s">
        <v>600</v>
      </c>
      <c r="B2649" s="0" t="s">
        <v>95</v>
      </c>
      <c r="C2649" s="0" t="s">
        <v>96</v>
      </c>
      <c r="D2649" s="0" t="n">
        <v>10</v>
      </c>
      <c r="E2649" s="5" t="n">
        <v>45971.3856018519</v>
      </c>
      <c r="F2649" s="0" t="n">
        <v>2.55</v>
      </c>
      <c r="G2649" s="0" t="n">
        <v>17234</v>
      </c>
      <c r="H2649" s="6" t="s">
        <v>188</v>
      </c>
      <c r="I2649" s="6" t="n">
        <f aca="false">D2649*F2649</f>
        <v>25.5</v>
      </c>
      <c r="J2649" s="6" t="n">
        <f aca="false">HOUR(E2649)</f>
        <v>9</v>
      </c>
      <c r="K2649" s="6" t="n">
        <f aca="false">IF(COUNTIF($A$2:$A2649,A2649)=1,1,0)</f>
        <v>0</v>
      </c>
    </row>
    <row r="2650" customFormat="false" ht="15" hidden="false" customHeight="false" outlineLevel="0" collapsed="false">
      <c r="A2650" s="0" t="s">
        <v>600</v>
      </c>
      <c r="B2650" s="0" t="s">
        <v>75</v>
      </c>
      <c r="C2650" s="0" t="s">
        <v>76</v>
      </c>
      <c r="D2650" s="0" t="n">
        <v>17</v>
      </c>
      <c r="E2650" s="5" t="n">
        <v>45971.3856018519</v>
      </c>
      <c r="F2650" s="0" t="n">
        <v>3.39</v>
      </c>
      <c r="G2650" s="0" t="n">
        <v>17234</v>
      </c>
      <c r="H2650" s="6" t="s">
        <v>188</v>
      </c>
      <c r="I2650" s="6" t="n">
        <f aca="false">D2650*F2650</f>
        <v>57.63</v>
      </c>
      <c r="J2650" s="6" t="n">
        <f aca="false">HOUR(E2650)</f>
        <v>9</v>
      </c>
      <c r="K2650" s="6" t="n">
        <f aca="false">IF(COUNTIF($A$2:$A2650,A2650)=1,1,0)</f>
        <v>0</v>
      </c>
    </row>
    <row r="2651" customFormat="false" ht="15" hidden="false" customHeight="false" outlineLevel="0" collapsed="false">
      <c r="A2651" s="0" t="s">
        <v>600</v>
      </c>
      <c r="B2651" s="0" t="s">
        <v>86</v>
      </c>
      <c r="C2651" s="0" t="s">
        <v>87</v>
      </c>
      <c r="D2651" s="0" t="n">
        <v>23</v>
      </c>
      <c r="E2651" s="5" t="n">
        <v>45971.3856018519</v>
      </c>
      <c r="F2651" s="0" t="n">
        <v>4.25</v>
      </c>
      <c r="G2651" s="0" t="n">
        <v>17234</v>
      </c>
      <c r="H2651" s="6" t="s">
        <v>188</v>
      </c>
      <c r="I2651" s="6" t="n">
        <f aca="false">D2651*F2651</f>
        <v>97.75</v>
      </c>
      <c r="J2651" s="6" t="n">
        <f aca="false">HOUR(E2651)</f>
        <v>9</v>
      </c>
      <c r="K2651" s="6" t="n">
        <f aca="false">IF(COUNTIF($A$2:$A2651,A2651)=1,1,0)</f>
        <v>0</v>
      </c>
    </row>
    <row r="2652" customFormat="false" ht="15" hidden="false" customHeight="false" outlineLevel="0" collapsed="false">
      <c r="A2652" s="0" t="s">
        <v>600</v>
      </c>
      <c r="B2652" s="0" t="s">
        <v>125</v>
      </c>
      <c r="C2652" s="0" t="s">
        <v>126</v>
      </c>
      <c r="D2652" s="0" t="n">
        <v>15</v>
      </c>
      <c r="E2652" s="5" t="n">
        <v>45971.3856018519</v>
      </c>
      <c r="F2652" s="0" t="n">
        <v>1.25</v>
      </c>
      <c r="G2652" s="0" t="n">
        <v>17234</v>
      </c>
      <c r="H2652" s="6" t="s">
        <v>188</v>
      </c>
      <c r="I2652" s="6" t="n">
        <f aca="false">D2652*F2652</f>
        <v>18.75</v>
      </c>
      <c r="J2652" s="6" t="n">
        <f aca="false">HOUR(E2652)</f>
        <v>9</v>
      </c>
      <c r="K2652" s="6" t="n">
        <f aca="false">IF(COUNTIF($A$2:$A2652,A2652)=1,1,0)</f>
        <v>0</v>
      </c>
    </row>
    <row r="2653" customFormat="false" ht="15" hidden="false" customHeight="false" outlineLevel="0" collapsed="false">
      <c r="A2653" s="0" t="s">
        <v>600</v>
      </c>
      <c r="B2653" s="0" t="s">
        <v>50</v>
      </c>
      <c r="C2653" s="0" t="s">
        <v>51</v>
      </c>
      <c r="D2653" s="0" t="n">
        <v>12</v>
      </c>
      <c r="E2653" s="5" t="n">
        <v>45971.3856018519</v>
      </c>
      <c r="F2653" s="0" t="n">
        <v>5.95</v>
      </c>
      <c r="G2653" s="0" t="n">
        <v>17234</v>
      </c>
      <c r="H2653" s="6" t="s">
        <v>188</v>
      </c>
      <c r="I2653" s="6" t="n">
        <f aca="false">D2653*F2653</f>
        <v>71.4</v>
      </c>
      <c r="J2653" s="6" t="n">
        <f aca="false">HOUR(E2653)</f>
        <v>9</v>
      </c>
      <c r="K2653" s="6" t="n">
        <f aca="false">IF(COUNTIF($A$2:$A2653,A2653)=1,1,0)</f>
        <v>0</v>
      </c>
    </row>
    <row r="2654" customFormat="false" ht="15" hidden="false" customHeight="false" outlineLevel="0" collapsed="false">
      <c r="A2654" s="0" t="s">
        <v>601</v>
      </c>
      <c r="B2654" s="0" t="s">
        <v>145</v>
      </c>
      <c r="C2654" s="0" t="s">
        <v>146</v>
      </c>
      <c r="D2654" s="0" t="n">
        <v>24</v>
      </c>
      <c r="E2654" s="5" t="n">
        <v>45971.4754166667</v>
      </c>
      <c r="F2654" s="0" t="n">
        <v>1.85</v>
      </c>
      <c r="H2654" s="6" t="s">
        <v>74</v>
      </c>
      <c r="I2654" s="6" t="n">
        <f aca="false">D2654*F2654</f>
        <v>44.4</v>
      </c>
      <c r="J2654" s="6" t="n">
        <f aca="false">HOUR(E2654)</f>
        <v>11</v>
      </c>
      <c r="K2654" s="6" t="n">
        <f aca="false">IF(COUNTIF($A$2:$A2654,A2654)=1,1,0)</f>
        <v>1</v>
      </c>
    </row>
    <row r="2655" customFormat="false" ht="15" hidden="false" customHeight="false" outlineLevel="0" collapsed="false">
      <c r="A2655" s="0" t="s">
        <v>601</v>
      </c>
      <c r="B2655" s="0" t="s">
        <v>53</v>
      </c>
      <c r="C2655" s="0" t="s">
        <v>54</v>
      </c>
      <c r="D2655" s="0" t="n">
        <v>23</v>
      </c>
      <c r="E2655" s="5" t="n">
        <v>45971.4754166667</v>
      </c>
      <c r="F2655" s="0" t="n">
        <v>2.95</v>
      </c>
      <c r="H2655" s="6" t="s">
        <v>74</v>
      </c>
      <c r="I2655" s="6" t="n">
        <f aca="false">D2655*F2655</f>
        <v>67.85</v>
      </c>
      <c r="J2655" s="6" t="n">
        <f aca="false">HOUR(E2655)</f>
        <v>11</v>
      </c>
      <c r="K2655" s="6" t="n">
        <f aca="false">IF(COUNTIF($A$2:$A2655,A2655)=1,1,0)</f>
        <v>0</v>
      </c>
    </row>
    <row r="2656" customFormat="false" ht="15" hidden="false" customHeight="false" outlineLevel="0" collapsed="false">
      <c r="A2656" s="0" t="s">
        <v>601</v>
      </c>
      <c r="B2656" s="0" t="s">
        <v>59</v>
      </c>
      <c r="C2656" s="0" t="s">
        <v>60</v>
      </c>
      <c r="D2656" s="0" t="n">
        <v>11</v>
      </c>
      <c r="E2656" s="5" t="n">
        <v>45971.4754166667</v>
      </c>
      <c r="F2656" s="0" t="n">
        <v>0.42</v>
      </c>
      <c r="H2656" s="6" t="s">
        <v>74</v>
      </c>
      <c r="I2656" s="6" t="n">
        <f aca="false">D2656*F2656</f>
        <v>4.62</v>
      </c>
      <c r="J2656" s="6" t="n">
        <f aca="false">HOUR(E2656)</f>
        <v>11</v>
      </c>
      <c r="K2656" s="6" t="n">
        <f aca="false">IF(COUNTIF($A$2:$A2656,A2656)=1,1,0)</f>
        <v>0</v>
      </c>
    </row>
    <row r="2657" customFormat="false" ht="15" hidden="false" customHeight="false" outlineLevel="0" collapsed="false">
      <c r="A2657" s="0" t="s">
        <v>601</v>
      </c>
      <c r="B2657" s="0" t="s">
        <v>140</v>
      </c>
      <c r="C2657" s="0" t="s">
        <v>141</v>
      </c>
      <c r="D2657" s="0" t="n">
        <v>16</v>
      </c>
      <c r="E2657" s="5" t="n">
        <v>45971.4754166667</v>
      </c>
      <c r="F2657" s="0" t="n">
        <v>2.08</v>
      </c>
      <c r="H2657" s="6" t="s">
        <v>74</v>
      </c>
      <c r="I2657" s="6" t="n">
        <f aca="false">D2657*F2657</f>
        <v>33.28</v>
      </c>
      <c r="J2657" s="6" t="n">
        <f aca="false">HOUR(E2657)</f>
        <v>11</v>
      </c>
      <c r="K2657" s="6" t="n">
        <f aca="false">IF(COUNTIF($A$2:$A2657,A2657)=1,1,0)</f>
        <v>0</v>
      </c>
    </row>
    <row r="2658" customFormat="false" ht="15" hidden="false" customHeight="false" outlineLevel="0" collapsed="false">
      <c r="A2658" s="0" t="s">
        <v>601</v>
      </c>
      <c r="B2658" s="0" t="s">
        <v>127</v>
      </c>
      <c r="C2658" s="0" t="s">
        <v>128</v>
      </c>
      <c r="D2658" s="0" t="n">
        <v>10</v>
      </c>
      <c r="E2658" s="5" t="n">
        <v>45971.4754166667</v>
      </c>
      <c r="F2658" s="0" t="n">
        <v>1.45</v>
      </c>
      <c r="H2658" s="6" t="s">
        <v>74</v>
      </c>
      <c r="I2658" s="6" t="n">
        <f aca="false">D2658*F2658</f>
        <v>14.5</v>
      </c>
      <c r="J2658" s="6" t="n">
        <f aca="false">HOUR(E2658)</f>
        <v>11</v>
      </c>
      <c r="K2658" s="6" t="n">
        <f aca="false">IF(COUNTIF($A$2:$A2658,A2658)=1,1,0)</f>
        <v>0</v>
      </c>
    </row>
    <row r="2659" customFormat="false" ht="15" hidden="false" customHeight="false" outlineLevel="0" collapsed="false">
      <c r="A2659" s="0" t="s">
        <v>601</v>
      </c>
      <c r="B2659" s="0" t="s">
        <v>69</v>
      </c>
      <c r="C2659" s="0" t="s">
        <v>70</v>
      </c>
      <c r="D2659" s="0" t="n">
        <v>15</v>
      </c>
      <c r="E2659" s="5" t="n">
        <v>45971.4754166667</v>
      </c>
      <c r="F2659" s="0" t="n">
        <v>2.08</v>
      </c>
      <c r="H2659" s="6" t="s">
        <v>74</v>
      </c>
      <c r="I2659" s="6" t="n">
        <f aca="false">D2659*F2659</f>
        <v>31.2</v>
      </c>
      <c r="J2659" s="6" t="n">
        <f aca="false">HOUR(E2659)</f>
        <v>11</v>
      </c>
      <c r="K2659" s="6" t="n">
        <f aca="false">IF(COUNTIF($A$2:$A2659,A2659)=1,1,0)</f>
        <v>0</v>
      </c>
    </row>
    <row r="2660" customFormat="false" ht="15" hidden="false" customHeight="false" outlineLevel="0" collapsed="false">
      <c r="A2660" s="0" t="s">
        <v>601</v>
      </c>
      <c r="B2660" s="0" t="s">
        <v>107</v>
      </c>
      <c r="C2660" s="0" t="s">
        <v>108</v>
      </c>
      <c r="D2660" s="0" t="n">
        <v>18</v>
      </c>
      <c r="E2660" s="5" t="n">
        <v>45971.4754166667</v>
      </c>
      <c r="F2660" s="0" t="n">
        <v>3.75</v>
      </c>
      <c r="H2660" s="6" t="s">
        <v>74</v>
      </c>
      <c r="I2660" s="6" t="n">
        <f aca="false">D2660*F2660</f>
        <v>67.5</v>
      </c>
      <c r="J2660" s="6" t="n">
        <f aca="false">HOUR(E2660)</f>
        <v>11</v>
      </c>
      <c r="K2660" s="6" t="n">
        <f aca="false">IF(COUNTIF($A$2:$A2660,A2660)=1,1,0)</f>
        <v>0</v>
      </c>
    </row>
    <row r="2661" customFormat="false" ht="15" hidden="false" customHeight="false" outlineLevel="0" collapsed="false">
      <c r="A2661" s="0" t="s">
        <v>601</v>
      </c>
      <c r="B2661" s="0" t="s">
        <v>72</v>
      </c>
      <c r="C2661" s="0" t="s">
        <v>73</v>
      </c>
      <c r="D2661" s="0" t="n">
        <v>44</v>
      </c>
      <c r="E2661" s="5" t="n">
        <v>45971.4754166667</v>
      </c>
      <c r="F2661" s="0" t="n">
        <v>4.95</v>
      </c>
      <c r="H2661" s="6" t="s">
        <v>74</v>
      </c>
      <c r="I2661" s="6" t="n">
        <f aca="false">D2661*F2661</f>
        <v>217.8</v>
      </c>
      <c r="J2661" s="6" t="n">
        <f aca="false">HOUR(E2661)</f>
        <v>11</v>
      </c>
      <c r="K2661" s="6" t="n">
        <f aca="false">IF(COUNTIF($A$2:$A2661,A2661)=1,1,0)</f>
        <v>0</v>
      </c>
    </row>
    <row r="2662" customFormat="false" ht="15" hidden="false" customHeight="false" outlineLevel="0" collapsed="false">
      <c r="A2662" s="0" t="s">
        <v>601</v>
      </c>
      <c r="B2662" s="0" t="s">
        <v>86</v>
      </c>
      <c r="C2662" s="0" t="s">
        <v>87</v>
      </c>
      <c r="D2662" s="0" t="n">
        <v>23</v>
      </c>
      <c r="E2662" s="5" t="n">
        <v>45971.4754166667</v>
      </c>
      <c r="F2662" s="0" t="n">
        <v>4.25</v>
      </c>
      <c r="H2662" s="6" t="s">
        <v>74</v>
      </c>
      <c r="I2662" s="6" t="n">
        <f aca="false">D2662*F2662</f>
        <v>97.75</v>
      </c>
      <c r="J2662" s="6" t="n">
        <f aca="false">HOUR(E2662)</f>
        <v>11</v>
      </c>
      <c r="K2662" s="6" t="n">
        <f aca="false">IF(COUNTIF($A$2:$A2662,A2662)=1,1,0)</f>
        <v>0</v>
      </c>
    </row>
    <row r="2663" customFormat="false" ht="15" hidden="false" customHeight="false" outlineLevel="0" collapsed="false">
      <c r="A2663" s="0" t="s">
        <v>602</v>
      </c>
      <c r="B2663" s="0" t="s">
        <v>127</v>
      </c>
      <c r="C2663" s="0" t="s">
        <v>128</v>
      </c>
      <c r="D2663" s="0" t="n">
        <v>7</v>
      </c>
      <c r="E2663" s="5" t="n">
        <v>45971.5191898148</v>
      </c>
      <c r="F2663" s="0" t="n">
        <v>1.45</v>
      </c>
      <c r="G2663" s="0" t="n">
        <v>17097</v>
      </c>
      <c r="H2663" s="6" t="s">
        <v>74</v>
      </c>
      <c r="I2663" s="6" t="n">
        <f aca="false">D2663*F2663</f>
        <v>10.15</v>
      </c>
      <c r="J2663" s="6" t="n">
        <f aca="false">HOUR(E2663)</f>
        <v>12</v>
      </c>
      <c r="K2663" s="6" t="n">
        <f aca="false">IF(COUNTIF($A$2:$A2663,A2663)=1,1,0)</f>
        <v>1</v>
      </c>
    </row>
    <row r="2664" customFormat="false" ht="15" hidden="false" customHeight="false" outlineLevel="0" collapsed="false">
      <c r="A2664" s="0" t="s">
        <v>602</v>
      </c>
      <c r="B2664" s="0" t="s">
        <v>88</v>
      </c>
      <c r="C2664" s="0" t="s">
        <v>89</v>
      </c>
      <c r="D2664" s="0" t="n">
        <v>24</v>
      </c>
      <c r="E2664" s="5" t="n">
        <v>45971.5191898148</v>
      </c>
      <c r="F2664" s="0" t="n">
        <v>2.75</v>
      </c>
      <c r="G2664" s="0" t="n">
        <v>17097</v>
      </c>
      <c r="H2664" s="6" t="s">
        <v>74</v>
      </c>
      <c r="I2664" s="6" t="n">
        <f aca="false">D2664*F2664</f>
        <v>66</v>
      </c>
      <c r="J2664" s="6" t="n">
        <f aca="false">HOUR(E2664)</f>
        <v>12</v>
      </c>
      <c r="K2664" s="6" t="n">
        <f aca="false">IF(COUNTIF($A$2:$A2664,A2664)=1,1,0)</f>
        <v>0</v>
      </c>
    </row>
    <row r="2665" customFormat="false" ht="15" hidden="false" customHeight="false" outlineLevel="0" collapsed="false">
      <c r="A2665" s="0" t="s">
        <v>602</v>
      </c>
      <c r="B2665" s="0" t="s">
        <v>53</v>
      </c>
      <c r="C2665" s="0" t="s">
        <v>54</v>
      </c>
      <c r="D2665" s="0" t="n">
        <v>20</v>
      </c>
      <c r="E2665" s="5" t="n">
        <v>45971.5191898148</v>
      </c>
      <c r="F2665" s="0" t="n">
        <v>2.95</v>
      </c>
      <c r="G2665" s="0" t="n">
        <v>17097</v>
      </c>
      <c r="H2665" s="6" t="s">
        <v>74</v>
      </c>
      <c r="I2665" s="6" t="n">
        <f aca="false">D2665*F2665</f>
        <v>59</v>
      </c>
      <c r="J2665" s="6" t="n">
        <f aca="false">HOUR(E2665)</f>
        <v>12</v>
      </c>
      <c r="K2665" s="6" t="n">
        <f aca="false">IF(COUNTIF($A$2:$A2665,A2665)=1,1,0)</f>
        <v>0</v>
      </c>
    </row>
    <row r="2666" customFormat="false" ht="15" hidden="false" customHeight="false" outlineLevel="0" collapsed="false">
      <c r="A2666" s="0" t="s">
        <v>602</v>
      </c>
      <c r="B2666" s="0" t="s">
        <v>77</v>
      </c>
      <c r="C2666" s="0" t="s">
        <v>78</v>
      </c>
      <c r="D2666" s="0" t="n">
        <v>4</v>
      </c>
      <c r="E2666" s="5" t="n">
        <v>45971.5191898148</v>
      </c>
      <c r="F2666" s="0" t="n">
        <v>1.65</v>
      </c>
      <c r="G2666" s="0" t="n">
        <v>17097</v>
      </c>
      <c r="H2666" s="6" t="s">
        <v>74</v>
      </c>
      <c r="I2666" s="6" t="n">
        <f aca="false">D2666*F2666</f>
        <v>6.6</v>
      </c>
      <c r="J2666" s="6" t="n">
        <f aca="false">HOUR(E2666)</f>
        <v>12</v>
      </c>
      <c r="K2666" s="6" t="n">
        <f aca="false">IF(COUNTIF($A$2:$A2666,A2666)=1,1,0)</f>
        <v>0</v>
      </c>
    </row>
    <row r="2667" customFormat="false" ht="15" hidden="false" customHeight="false" outlineLevel="0" collapsed="false">
      <c r="A2667" s="0" t="s">
        <v>602</v>
      </c>
      <c r="B2667" s="0" t="s">
        <v>95</v>
      </c>
      <c r="C2667" s="0" t="s">
        <v>96</v>
      </c>
      <c r="D2667" s="0" t="n">
        <v>48</v>
      </c>
      <c r="E2667" s="5" t="n">
        <v>45971.5191898148</v>
      </c>
      <c r="F2667" s="0" t="n">
        <v>2.55</v>
      </c>
      <c r="G2667" s="0" t="n">
        <v>17097</v>
      </c>
      <c r="H2667" s="6" t="s">
        <v>74</v>
      </c>
      <c r="I2667" s="6" t="n">
        <f aca="false">D2667*F2667</f>
        <v>122.4</v>
      </c>
      <c r="J2667" s="6" t="n">
        <f aca="false">HOUR(E2667)</f>
        <v>12</v>
      </c>
      <c r="K2667" s="6" t="n">
        <f aca="false">IF(COUNTIF($A$2:$A2667,A2667)=1,1,0)</f>
        <v>0</v>
      </c>
    </row>
    <row r="2668" customFormat="false" ht="15" hidden="false" customHeight="false" outlineLevel="0" collapsed="false">
      <c r="A2668" s="0" t="s">
        <v>603</v>
      </c>
      <c r="B2668" s="0" t="s">
        <v>95</v>
      </c>
      <c r="C2668" s="0" t="s">
        <v>96</v>
      </c>
      <c r="D2668" s="0" t="n">
        <v>30</v>
      </c>
      <c r="E2668" s="5" t="n">
        <v>45971.6015277778</v>
      </c>
      <c r="F2668" s="0" t="n">
        <v>2.55</v>
      </c>
      <c r="G2668" s="0" t="n">
        <v>17184</v>
      </c>
      <c r="H2668" s="6" t="s">
        <v>74</v>
      </c>
      <c r="I2668" s="6" t="n">
        <f aca="false">D2668*F2668</f>
        <v>76.5</v>
      </c>
      <c r="J2668" s="6" t="n">
        <f aca="false">HOUR(E2668)</f>
        <v>14</v>
      </c>
      <c r="K2668" s="6" t="n">
        <f aca="false">IF(COUNTIF($A$2:$A2668,A2668)=1,1,0)</f>
        <v>1</v>
      </c>
    </row>
    <row r="2669" customFormat="false" ht="15" hidden="false" customHeight="false" outlineLevel="0" collapsed="false">
      <c r="A2669" s="0" t="s">
        <v>603</v>
      </c>
      <c r="B2669" s="0" t="s">
        <v>50</v>
      </c>
      <c r="C2669" s="0" t="s">
        <v>51</v>
      </c>
      <c r="D2669" s="0" t="n">
        <v>21</v>
      </c>
      <c r="E2669" s="5" t="n">
        <v>45971.6015277778</v>
      </c>
      <c r="F2669" s="0" t="n">
        <v>5.95</v>
      </c>
      <c r="G2669" s="0" t="n">
        <v>17184</v>
      </c>
      <c r="H2669" s="6" t="s">
        <v>74</v>
      </c>
      <c r="I2669" s="6" t="n">
        <f aca="false">D2669*F2669</f>
        <v>124.95</v>
      </c>
      <c r="J2669" s="6" t="n">
        <f aca="false">HOUR(E2669)</f>
        <v>14</v>
      </c>
      <c r="K2669" s="6" t="n">
        <f aca="false">IF(COUNTIF($A$2:$A2669,A2669)=1,1,0)</f>
        <v>0</v>
      </c>
    </row>
    <row r="2670" customFormat="false" ht="15" hidden="false" customHeight="false" outlineLevel="0" collapsed="false">
      <c r="A2670" s="0" t="s">
        <v>603</v>
      </c>
      <c r="B2670" s="0" t="s">
        <v>69</v>
      </c>
      <c r="C2670" s="0" t="s">
        <v>70</v>
      </c>
      <c r="D2670" s="0" t="n">
        <v>23</v>
      </c>
      <c r="E2670" s="5" t="n">
        <v>45971.6015277778</v>
      </c>
      <c r="F2670" s="0" t="n">
        <v>2.08</v>
      </c>
      <c r="G2670" s="0" t="n">
        <v>17184</v>
      </c>
      <c r="H2670" s="6" t="s">
        <v>74</v>
      </c>
      <c r="I2670" s="6" t="n">
        <f aca="false">D2670*F2670</f>
        <v>47.84</v>
      </c>
      <c r="J2670" s="6" t="n">
        <f aca="false">HOUR(E2670)</f>
        <v>14</v>
      </c>
      <c r="K2670" s="6" t="n">
        <f aca="false">IF(COUNTIF($A$2:$A2670,A2670)=1,1,0)</f>
        <v>0</v>
      </c>
    </row>
    <row r="2671" customFormat="false" ht="15" hidden="false" customHeight="false" outlineLevel="0" collapsed="false">
      <c r="A2671" s="0" t="s">
        <v>603</v>
      </c>
      <c r="B2671" s="0" t="s">
        <v>43</v>
      </c>
      <c r="C2671" s="0" t="s">
        <v>44</v>
      </c>
      <c r="D2671" s="0" t="n">
        <v>11</v>
      </c>
      <c r="E2671" s="5" t="n">
        <v>45971.6015277778</v>
      </c>
      <c r="F2671" s="0" t="n">
        <v>4.25</v>
      </c>
      <c r="G2671" s="0" t="n">
        <v>17184</v>
      </c>
      <c r="H2671" s="6" t="s">
        <v>74</v>
      </c>
      <c r="I2671" s="6" t="n">
        <f aca="false">D2671*F2671</f>
        <v>46.75</v>
      </c>
      <c r="J2671" s="6" t="n">
        <f aca="false">HOUR(E2671)</f>
        <v>14</v>
      </c>
      <c r="K2671" s="6" t="n">
        <f aca="false">IF(COUNTIF($A$2:$A2671,A2671)=1,1,0)</f>
        <v>0</v>
      </c>
    </row>
    <row r="2672" customFormat="false" ht="15" hidden="false" customHeight="false" outlineLevel="0" collapsed="false">
      <c r="A2672" s="0" t="s">
        <v>603</v>
      </c>
      <c r="B2672" s="0" t="s">
        <v>63</v>
      </c>
      <c r="C2672" s="0" t="s">
        <v>64</v>
      </c>
      <c r="D2672" s="0" t="n">
        <v>14</v>
      </c>
      <c r="E2672" s="5" t="n">
        <v>45971.6015277778</v>
      </c>
      <c r="F2672" s="0" t="n">
        <v>1.85</v>
      </c>
      <c r="G2672" s="0" t="n">
        <v>17184</v>
      </c>
      <c r="H2672" s="6" t="s">
        <v>74</v>
      </c>
      <c r="I2672" s="6" t="n">
        <f aca="false">D2672*F2672</f>
        <v>25.9</v>
      </c>
      <c r="J2672" s="6" t="n">
        <f aca="false">HOUR(E2672)</f>
        <v>14</v>
      </c>
      <c r="K2672" s="6" t="n">
        <f aca="false">IF(COUNTIF($A$2:$A2672,A2672)=1,1,0)</f>
        <v>0</v>
      </c>
    </row>
    <row r="2673" customFormat="false" ht="15" hidden="false" customHeight="false" outlineLevel="0" collapsed="false">
      <c r="A2673" s="0" t="s">
        <v>603</v>
      </c>
      <c r="B2673" s="0" t="s">
        <v>40</v>
      </c>
      <c r="C2673" s="0" t="s">
        <v>41</v>
      </c>
      <c r="D2673" s="0" t="n">
        <v>10</v>
      </c>
      <c r="E2673" s="5" t="n">
        <v>45971.6015277778</v>
      </c>
      <c r="F2673" s="0" t="n">
        <v>1.06</v>
      </c>
      <c r="G2673" s="0" t="n">
        <v>17184</v>
      </c>
      <c r="H2673" s="6" t="s">
        <v>74</v>
      </c>
      <c r="I2673" s="6" t="n">
        <f aca="false">D2673*F2673</f>
        <v>10.6</v>
      </c>
      <c r="J2673" s="6" t="n">
        <f aca="false">HOUR(E2673)</f>
        <v>14</v>
      </c>
      <c r="K2673" s="6" t="n">
        <f aca="false">IF(COUNTIF($A$2:$A2673,A2673)=1,1,0)</f>
        <v>0</v>
      </c>
    </row>
    <row r="2674" customFormat="false" ht="15" hidden="false" customHeight="false" outlineLevel="0" collapsed="false">
      <c r="A2674" s="0" t="s">
        <v>603</v>
      </c>
      <c r="B2674" s="0" t="s">
        <v>55</v>
      </c>
      <c r="C2674" s="0" t="s">
        <v>56</v>
      </c>
      <c r="D2674" s="0" t="n">
        <v>4</v>
      </c>
      <c r="E2674" s="5" t="n">
        <v>45971.6015277778</v>
      </c>
      <c r="F2674" s="0" t="n">
        <v>1.65</v>
      </c>
      <c r="G2674" s="0" t="n">
        <v>17184</v>
      </c>
      <c r="H2674" s="6" t="s">
        <v>74</v>
      </c>
      <c r="I2674" s="6" t="n">
        <f aca="false">D2674*F2674</f>
        <v>6.6</v>
      </c>
      <c r="J2674" s="6" t="n">
        <f aca="false">HOUR(E2674)</f>
        <v>14</v>
      </c>
      <c r="K2674" s="6" t="n">
        <f aca="false">IF(COUNTIF($A$2:$A2674,A2674)=1,1,0)</f>
        <v>0</v>
      </c>
    </row>
    <row r="2675" customFormat="false" ht="15" hidden="false" customHeight="false" outlineLevel="0" collapsed="false">
      <c r="A2675" s="0" t="s">
        <v>603</v>
      </c>
      <c r="B2675" s="0" t="s">
        <v>79</v>
      </c>
      <c r="C2675" s="0" t="s">
        <v>80</v>
      </c>
      <c r="D2675" s="0" t="n">
        <v>23</v>
      </c>
      <c r="E2675" s="5" t="n">
        <v>45971.6015277778</v>
      </c>
      <c r="F2675" s="0" t="n">
        <v>3.39</v>
      </c>
      <c r="G2675" s="0" t="n">
        <v>17184</v>
      </c>
      <c r="H2675" s="6" t="s">
        <v>74</v>
      </c>
      <c r="I2675" s="6" t="n">
        <f aca="false">D2675*F2675</f>
        <v>77.97</v>
      </c>
      <c r="J2675" s="6" t="n">
        <f aca="false">HOUR(E2675)</f>
        <v>14</v>
      </c>
      <c r="K2675" s="6" t="n">
        <f aca="false">IF(COUNTIF($A$2:$A2675,A2675)=1,1,0)</f>
        <v>0</v>
      </c>
    </row>
    <row r="2676" customFormat="false" ht="15" hidden="false" customHeight="false" outlineLevel="0" collapsed="false">
      <c r="A2676" s="0" t="s">
        <v>604</v>
      </c>
      <c r="B2676" s="0" t="s">
        <v>83</v>
      </c>
      <c r="C2676" s="0" t="s">
        <v>84</v>
      </c>
      <c r="D2676" s="0" t="n">
        <v>6</v>
      </c>
      <c r="E2676" s="5" t="n">
        <v>45971.6083564815</v>
      </c>
      <c r="F2676" s="0" t="n">
        <v>2.95</v>
      </c>
      <c r="G2676" s="0" t="n">
        <v>17185</v>
      </c>
      <c r="H2676" s="6" t="s">
        <v>144</v>
      </c>
      <c r="I2676" s="6" t="n">
        <f aca="false">D2676*F2676</f>
        <v>17.7</v>
      </c>
      <c r="J2676" s="6" t="n">
        <f aca="false">HOUR(E2676)</f>
        <v>14</v>
      </c>
      <c r="K2676" s="6" t="n">
        <f aca="false">IF(COUNTIF($A$2:$A2676,A2676)=1,1,0)</f>
        <v>1</v>
      </c>
    </row>
    <row r="2677" customFormat="false" ht="15" hidden="false" customHeight="false" outlineLevel="0" collapsed="false">
      <c r="A2677" s="0" t="s">
        <v>604</v>
      </c>
      <c r="B2677" s="0" t="s">
        <v>45</v>
      </c>
      <c r="C2677" s="0" t="s">
        <v>46</v>
      </c>
      <c r="D2677" s="0" t="n">
        <v>3</v>
      </c>
      <c r="E2677" s="5" t="n">
        <v>45971.6083564815</v>
      </c>
      <c r="F2677" s="0" t="n">
        <v>2.1</v>
      </c>
      <c r="G2677" s="0" t="n">
        <v>17185</v>
      </c>
      <c r="H2677" s="6" t="s">
        <v>144</v>
      </c>
      <c r="I2677" s="6" t="n">
        <f aca="false">D2677*F2677</f>
        <v>6.3</v>
      </c>
      <c r="J2677" s="6" t="n">
        <f aca="false">HOUR(E2677)</f>
        <v>14</v>
      </c>
      <c r="K2677" s="6" t="n">
        <f aca="false">IF(COUNTIF($A$2:$A2677,A2677)=1,1,0)</f>
        <v>0</v>
      </c>
    </row>
    <row r="2678" customFormat="false" ht="15" hidden="false" customHeight="false" outlineLevel="0" collapsed="false">
      <c r="A2678" s="0" t="s">
        <v>604</v>
      </c>
      <c r="B2678" s="0" t="s">
        <v>131</v>
      </c>
      <c r="C2678" s="0" t="s">
        <v>132</v>
      </c>
      <c r="D2678" s="0" t="n">
        <v>3</v>
      </c>
      <c r="E2678" s="5" t="n">
        <v>45971.6083564815</v>
      </c>
      <c r="F2678" s="0" t="n">
        <v>3.39</v>
      </c>
      <c r="G2678" s="0" t="n">
        <v>17185</v>
      </c>
      <c r="H2678" s="6" t="s">
        <v>144</v>
      </c>
      <c r="I2678" s="6" t="n">
        <f aca="false">D2678*F2678</f>
        <v>10.17</v>
      </c>
      <c r="J2678" s="6" t="n">
        <f aca="false">HOUR(E2678)</f>
        <v>14</v>
      </c>
      <c r="K2678" s="6" t="n">
        <f aca="false">IF(COUNTIF($A$2:$A2678,A2678)=1,1,0)</f>
        <v>0</v>
      </c>
    </row>
    <row r="2679" customFormat="false" ht="15" hidden="false" customHeight="false" outlineLevel="0" collapsed="false">
      <c r="A2679" s="0" t="s">
        <v>604</v>
      </c>
      <c r="B2679" s="0" t="s">
        <v>114</v>
      </c>
      <c r="C2679" s="0" t="s">
        <v>115</v>
      </c>
      <c r="D2679" s="0" t="n">
        <v>23</v>
      </c>
      <c r="E2679" s="5" t="n">
        <v>45971.6083564815</v>
      </c>
      <c r="F2679" s="0" t="n">
        <v>2.08</v>
      </c>
      <c r="G2679" s="0" t="n">
        <v>17185</v>
      </c>
      <c r="H2679" s="6" t="s">
        <v>144</v>
      </c>
      <c r="I2679" s="6" t="n">
        <f aca="false">D2679*F2679</f>
        <v>47.84</v>
      </c>
      <c r="J2679" s="6" t="n">
        <f aca="false">HOUR(E2679)</f>
        <v>14</v>
      </c>
      <c r="K2679" s="6" t="n">
        <f aca="false">IF(COUNTIF($A$2:$A2679,A2679)=1,1,0)</f>
        <v>0</v>
      </c>
    </row>
    <row r="2680" customFormat="false" ht="15" hidden="false" customHeight="false" outlineLevel="0" collapsed="false">
      <c r="A2680" s="0" t="s">
        <v>604</v>
      </c>
      <c r="B2680" s="0" t="s">
        <v>65</v>
      </c>
      <c r="C2680" s="0" t="s">
        <v>66</v>
      </c>
      <c r="D2680" s="0" t="n">
        <v>6</v>
      </c>
      <c r="E2680" s="5" t="n">
        <v>45971.6083564815</v>
      </c>
      <c r="F2680" s="0" t="n">
        <v>1.65</v>
      </c>
      <c r="G2680" s="0" t="n">
        <v>17185</v>
      </c>
      <c r="H2680" s="6" t="s">
        <v>144</v>
      </c>
      <c r="I2680" s="6" t="n">
        <f aca="false">D2680*F2680</f>
        <v>9.9</v>
      </c>
      <c r="J2680" s="6" t="n">
        <f aca="false">HOUR(E2680)</f>
        <v>14</v>
      </c>
      <c r="K2680" s="6" t="n">
        <f aca="false">IF(COUNTIF($A$2:$A2680,A2680)=1,1,0)</f>
        <v>0</v>
      </c>
    </row>
    <row r="2681" customFormat="false" ht="15" hidden="false" customHeight="false" outlineLevel="0" collapsed="false">
      <c r="A2681" s="0" t="s">
        <v>604</v>
      </c>
      <c r="B2681" s="0" t="s">
        <v>79</v>
      </c>
      <c r="C2681" s="0" t="s">
        <v>80</v>
      </c>
      <c r="D2681" s="0" t="n">
        <v>14</v>
      </c>
      <c r="E2681" s="5" t="n">
        <v>45971.6083564815</v>
      </c>
      <c r="F2681" s="0" t="n">
        <v>3.39</v>
      </c>
      <c r="G2681" s="0" t="n">
        <v>17185</v>
      </c>
      <c r="H2681" s="6" t="s">
        <v>144</v>
      </c>
      <c r="I2681" s="6" t="n">
        <f aca="false">D2681*F2681</f>
        <v>47.46</v>
      </c>
      <c r="J2681" s="6" t="n">
        <f aca="false">HOUR(E2681)</f>
        <v>14</v>
      </c>
      <c r="K2681" s="6" t="n">
        <f aca="false">IF(COUNTIF($A$2:$A2681,A2681)=1,1,0)</f>
        <v>0</v>
      </c>
    </row>
    <row r="2682" customFormat="false" ht="15" hidden="false" customHeight="false" outlineLevel="0" collapsed="false">
      <c r="A2682" s="0" t="s">
        <v>604</v>
      </c>
      <c r="B2682" s="0" t="s">
        <v>127</v>
      </c>
      <c r="C2682" s="0" t="s">
        <v>128</v>
      </c>
      <c r="D2682" s="0" t="n">
        <v>22</v>
      </c>
      <c r="E2682" s="5" t="n">
        <v>45971.6083564815</v>
      </c>
      <c r="F2682" s="0" t="n">
        <v>1.45</v>
      </c>
      <c r="G2682" s="0" t="n">
        <v>17185</v>
      </c>
      <c r="H2682" s="6" t="s">
        <v>144</v>
      </c>
      <c r="I2682" s="6" t="n">
        <f aca="false">D2682*F2682</f>
        <v>31.9</v>
      </c>
      <c r="J2682" s="6" t="n">
        <f aca="false">HOUR(E2682)</f>
        <v>14</v>
      </c>
      <c r="K2682" s="6" t="n">
        <f aca="false">IF(COUNTIF($A$2:$A2682,A2682)=1,1,0)</f>
        <v>0</v>
      </c>
    </row>
    <row r="2683" customFormat="false" ht="15" hidden="false" customHeight="false" outlineLevel="0" collapsed="false">
      <c r="A2683" s="0" t="s">
        <v>605</v>
      </c>
      <c r="B2683" s="0" t="s">
        <v>107</v>
      </c>
      <c r="C2683" s="0" t="s">
        <v>108</v>
      </c>
      <c r="D2683" s="0" t="n">
        <v>13</v>
      </c>
      <c r="E2683" s="5" t="n">
        <v>45971.6447916667</v>
      </c>
      <c r="F2683" s="0" t="n">
        <v>3.75</v>
      </c>
      <c r="G2683" s="0" t="n">
        <v>17167</v>
      </c>
      <c r="H2683" s="6" t="s">
        <v>74</v>
      </c>
      <c r="I2683" s="6" t="n">
        <f aca="false">D2683*F2683</f>
        <v>48.75</v>
      </c>
      <c r="J2683" s="6" t="n">
        <f aca="false">HOUR(E2683)</f>
        <v>15</v>
      </c>
      <c r="K2683" s="6" t="n">
        <f aca="false">IF(COUNTIF($A$2:$A2683,A2683)=1,1,0)</f>
        <v>1</v>
      </c>
    </row>
    <row r="2684" customFormat="false" ht="15" hidden="false" customHeight="false" outlineLevel="0" collapsed="false">
      <c r="A2684" s="0" t="s">
        <v>605</v>
      </c>
      <c r="B2684" s="0" t="s">
        <v>91</v>
      </c>
      <c r="C2684" s="0" t="s">
        <v>92</v>
      </c>
      <c r="D2684" s="0" t="n">
        <v>19</v>
      </c>
      <c r="E2684" s="5" t="n">
        <v>45971.6447916667</v>
      </c>
      <c r="F2684" s="0" t="n">
        <v>7.65</v>
      </c>
      <c r="G2684" s="0" t="n">
        <v>17167</v>
      </c>
      <c r="H2684" s="6" t="s">
        <v>74</v>
      </c>
      <c r="I2684" s="6" t="n">
        <f aca="false">D2684*F2684</f>
        <v>145.35</v>
      </c>
      <c r="J2684" s="6" t="n">
        <f aca="false">HOUR(E2684)</f>
        <v>15</v>
      </c>
      <c r="K2684" s="6" t="n">
        <f aca="false">IF(COUNTIF($A$2:$A2684,A2684)=1,1,0)</f>
        <v>0</v>
      </c>
    </row>
    <row r="2685" customFormat="false" ht="15" hidden="false" customHeight="false" outlineLevel="0" collapsed="false">
      <c r="A2685" s="0" t="s">
        <v>605</v>
      </c>
      <c r="B2685" s="0" t="s">
        <v>43</v>
      </c>
      <c r="C2685" s="0" t="s">
        <v>44</v>
      </c>
      <c r="D2685" s="0" t="n">
        <v>1</v>
      </c>
      <c r="E2685" s="5" t="n">
        <v>45971.6447916667</v>
      </c>
      <c r="F2685" s="0" t="n">
        <v>4.25</v>
      </c>
      <c r="G2685" s="0" t="n">
        <v>17167</v>
      </c>
      <c r="H2685" s="6" t="s">
        <v>74</v>
      </c>
      <c r="I2685" s="6" t="n">
        <f aca="false">D2685*F2685</f>
        <v>4.25</v>
      </c>
      <c r="J2685" s="6" t="n">
        <f aca="false">HOUR(E2685)</f>
        <v>15</v>
      </c>
      <c r="K2685" s="6" t="n">
        <f aca="false">IF(COUNTIF($A$2:$A2685,A2685)=1,1,0)</f>
        <v>0</v>
      </c>
    </row>
    <row r="2686" customFormat="false" ht="15" hidden="false" customHeight="false" outlineLevel="0" collapsed="false">
      <c r="A2686" s="0" t="s">
        <v>605</v>
      </c>
      <c r="B2686" s="0" t="s">
        <v>72</v>
      </c>
      <c r="C2686" s="0" t="s">
        <v>73</v>
      </c>
      <c r="D2686" s="0" t="n">
        <v>45</v>
      </c>
      <c r="E2686" s="5" t="n">
        <v>45971.6447916667</v>
      </c>
      <c r="F2686" s="0" t="n">
        <v>4.95</v>
      </c>
      <c r="G2686" s="0" t="n">
        <v>17167</v>
      </c>
      <c r="H2686" s="6" t="s">
        <v>74</v>
      </c>
      <c r="I2686" s="6" t="n">
        <f aca="false">D2686*F2686</f>
        <v>222.75</v>
      </c>
      <c r="J2686" s="6" t="n">
        <f aca="false">HOUR(E2686)</f>
        <v>15</v>
      </c>
      <c r="K2686" s="6" t="n">
        <f aca="false">IF(COUNTIF($A$2:$A2686,A2686)=1,1,0)</f>
        <v>0</v>
      </c>
    </row>
    <row r="2687" customFormat="false" ht="15" hidden="false" customHeight="false" outlineLevel="0" collapsed="false">
      <c r="A2687" s="0" t="s">
        <v>605</v>
      </c>
      <c r="B2687" s="0" t="s">
        <v>137</v>
      </c>
      <c r="C2687" s="0" t="s">
        <v>138</v>
      </c>
      <c r="D2687" s="0" t="n">
        <v>3</v>
      </c>
      <c r="E2687" s="5" t="n">
        <v>45971.6447916667</v>
      </c>
      <c r="F2687" s="0" t="n">
        <v>2.1</v>
      </c>
      <c r="G2687" s="0" t="n">
        <v>17167</v>
      </c>
      <c r="H2687" s="6" t="s">
        <v>74</v>
      </c>
      <c r="I2687" s="6" t="n">
        <f aca="false">D2687*F2687</f>
        <v>6.3</v>
      </c>
      <c r="J2687" s="6" t="n">
        <f aca="false">HOUR(E2687)</f>
        <v>15</v>
      </c>
      <c r="K2687" s="6" t="n">
        <f aca="false">IF(COUNTIF($A$2:$A2687,A2687)=1,1,0)</f>
        <v>0</v>
      </c>
    </row>
    <row r="2688" customFormat="false" ht="15" hidden="false" customHeight="false" outlineLevel="0" collapsed="false">
      <c r="A2688" s="0" t="s">
        <v>606</v>
      </c>
      <c r="B2688" s="0" t="s">
        <v>59</v>
      </c>
      <c r="C2688" s="0" t="s">
        <v>60</v>
      </c>
      <c r="D2688" s="0" t="n">
        <v>20</v>
      </c>
      <c r="E2688" s="5" t="n">
        <v>45971.6627662037</v>
      </c>
      <c r="F2688" s="0" t="n">
        <v>0.42</v>
      </c>
      <c r="G2688" s="0" t="n">
        <v>17109</v>
      </c>
      <c r="H2688" s="6" t="s">
        <v>113</v>
      </c>
      <c r="I2688" s="6" t="n">
        <f aca="false">D2688*F2688</f>
        <v>8.4</v>
      </c>
      <c r="J2688" s="6" t="n">
        <f aca="false">HOUR(E2688)</f>
        <v>15</v>
      </c>
      <c r="K2688" s="6" t="n">
        <f aca="false">IF(COUNTIF($A$2:$A2688,A2688)=1,1,0)</f>
        <v>1</v>
      </c>
    </row>
    <row r="2689" customFormat="false" ht="15" hidden="false" customHeight="false" outlineLevel="0" collapsed="false">
      <c r="A2689" s="0" t="s">
        <v>606</v>
      </c>
      <c r="B2689" s="0" t="s">
        <v>50</v>
      </c>
      <c r="C2689" s="0" t="s">
        <v>51</v>
      </c>
      <c r="D2689" s="0" t="n">
        <v>23</v>
      </c>
      <c r="E2689" s="5" t="n">
        <v>45971.6627662037</v>
      </c>
      <c r="F2689" s="0" t="n">
        <v>5.95</v>
      </c>
      <c r="G2689" s="0" t="n">
        <v>17109</v>
      </c>
      <c r="H2689" s="6" t="s">
        <v>113</v>
      </c>
      <c r="I2689" s="6" t="n">
        <f aca="false">D2689*F2689</f>
        <v>136.85</v>
      </c>
      <c r="J2689" s="6" t="n">
        <f aca="false">HOUR(E2689)</f>
        <v>15</v>
      </c>
      <c r="K2689" s="6" t="n">
        <f aca="false">IF(COUNTIF($A$2:$A2689,A2689)=1,1,0)</f>
        <v>0</v>
      </c>
    </row>
    <row r="2690" customFormat="false" ht="15" hidden="false" customHeight="false" outlineLevel="0" collapsed="false">
      <c r="A2690" s="0" t="s">
        <v>606</v>
      </c>
      <c r="B2690" s="0" t="s">
        <v>140</v>
      </c>
      <c r="C2690" s="0" t="s">
        <v>141</v>
      </c>
      <c r="D2690" s="0" t="n">
        <v>11</v>
      </c>
      <c r="E2690" s="5" t="n">
        <v>45971.6627662037</v>
      </c>
      <c r="F2690" s="0" t="n">
        <v>2.08</v>
      </c>
      <c r="G2690" s="0" t="n">
        <v>17109</v>
      </c>
      <c r="H2690" s="6" t="s">
        <v>113</v>
      </c>
      <c r="I2690" s="6" t="n">
        <f aca="false">D2690*F2690</f>
        <v>22.88</v>
      </c>
      <c r="J2690" s="6" t="n">
        <f aca="false">HOUR(E2690)</f>
        <v>15</v>
      </c>
      <c r="K2690" s="6" t="n">
        <f aca="false">IF(COUNTIF($A$2:$A2690,A2690)=1,1,0)</f>
        <v>0</v>
      </c>
    </row>
    <row r="2691" customFormat="false" ht="15" hidden="false" customHeight="false" outlineLevel="0" collapsed="false">
      <c r="A2691" s="0" t="s">
        <v>607</v>
      </c>
      <c r="B2691" s="0" t="s">
        <v>88</v>
      </c>
      <c r="C2691" s="0" t="s">
        <v>89</v>
      </c>
      <c r="D2691" s="0" t="n">
        <v>8</v>
      </c>
      <c r="E2691" s="5" t="n">
        <v>45971.6652662037</v>
      </c>
      <c r="F2691" s="0" t="n">
        <v>2.75</v>
      </c>
      <c r="G2691" s="0" t="n">
        <v>17162</v>
      </c>
      <c r="H2691" s="6" t="s">
        <v>74</v>
      </c>
      <c r="I2691" s="6" t="n">
        <f aca="false">D2691*F2691</f>
        <v>22</v>
      </c>
      <c r="J2691" s="6" t="n">
        <f aca="false">HOUR(E2691)</f>
        <v>15</v>
      </c>
      <c r="K2691" s="6" t="n">
        <f aca="false">IF(COUNTIF($A$2:$A2691,A2691)=1,1,0)</f>
        <v>1</v>
      </c>
    </row>
    <row r="2692" customFormat="false" ht="15" hidden="false" customHeight="false" outlineLevel="0" collapsed="false">
      <c r="A2692" s="0" t="s">
        <v>607</v>
      </c>
      <c r="B2692" s="0" t="s">
        <v>81</v>
      </c>
      <c r="C2692" s="0" t="s">
        <v>82</v>
      </c>
      <c r="D2692" s="0" t="n">
        <v>13</v>
      </c>
      <c r="E2692" s="5" t="n">
        <v>45971.6652662037</v>
      </c>
      <c r="F2692" s="0" t="n">
        <v>1.65</v>
      </c>
      <c r="G2692" s="0" t="n">
        <v>17162</v>
      </c>
      <c r="H2692" s="6" t="s">
        <v>74</v>
      </c>
      <c r="I2692" s="6" t="n">
        <f aca="false">D2692*F2692</f>
        <v>21.45</v>
      </c>
      <c r="J2692" s="6" t="n">
        <f aca="false">HOUR(E2692)</f>
        <v>15</v>
      </c>
      <c r="K2692" s="6" t="n">
        <f aca="false">IF(COUNTIF($A$2:$A2692,A2692)=1,1,0)</f>
        <v>0</v>
      </c>
    </row>
    <row r="2693" customFormat="false" ht="15" hidden="false" customHeight="false" outlineLevel="0" collapsed="false">
      <c r="A2693" s="0" t="s">
        <v>607</v>
      </c>
      <c r="B2693" s="0" t="s">
        <v>104</v>
      </c>
      <c r="C2693" s="0" t="s">
        <v>105</v>
      </c>
      <c r="D2693" s="0" t="n">
        <v>6</v>
      </c>
      <c r="E2693" s="5" t="n">
        <v>45971.6652662037</v>
      </c>
      <c r="F2693" s="0" t="n">
        <v>1.65</v>
      </c>
      <c r="G2693" s="0" t="n">
        <v>17162</v>
      </c>
      <c r="H2693" s="6" t="s">
        <v>74</v>
      </c>
      <c r="I2693" s="6" t="n">
        <f aca="false">D2693*F2693</f>
        <v>9.9</v>
      </c>
      <c r="J2693" s="6" t="n">
        <f aca="false">HOUR(E2693)</f>
        <v>15</v>
      </c>
      <c r="K2693" s="6" t="n">
        <f aca="false">IF(COUNTIF($A$2:$A2693,A2693)=1,1,0)</f>
        <v>0</v>
      </c>
    </row>
    <row r="2694" customFormat="false" ht="15" hidden="false" customHeight="false" outlineLevel="0" collapsed="false">
      <c r="A2694" s="0" t="s">
        <v>607</v>
      </c>
      <c r="B2694" s="0" t="s">
        <v>95</v>
      </c>
      <c r="C2694" s="0" t="s">
        <v>96</v>
      </c>
      <c r="D2694" s="0" t="n">
        <v>36</v>
      </c>
      <c r="E2694" s="5" t="n">
        <v>45971.6652662037</v>
      </c>
      <c r="F2694" s="0" t="n">
        <v>2.55</v>
      </c>
      <c r="G2694" s="0" t="n">
        <v>17162</v>
      </c>
      <c r="H2694" s="6" t="s">
        <v>74</v>
      </c>
      <c r="I2694" s="6" t="n">
        <f aca="false">D2694*F2694</f>
        <v>91.8</v>
      </c>
      <c r="J2694" s="6" t="n">
        <f aca="false">HOUR(E2694)</f>
        <v>15</v>
      </c>
      <c r="K2694" s="6" t="n">
        <f aca="false">IF(COUNTIF($A$2:$A2694,A2694)=1,1,0)</f>
        <v>0</v>
      </c>
    </row>
    <row r="2695" customFormat="false" ht="15" hidden="false" customHeight="false" outlineLevel="0" collapsed="false">
      <c r="A2695" s="0" t="s">
        <v>608</v>
      </c>
      <c r="B2695" s="0" t="s">
        <v>40</v>
      </c>
      <c r="C2695" s="0" t="s">
        <v>41</v>
      </c>
      <c r="D2695" s="0" t="n">
        <v>5</v>
      </c>
      <c r="E2695" s="5" t="n">
        <v>45971.7300925926</v>
      </c>
      <c r="F2695" s="0" t="n">
        <v>1.06</v>
      </c>
      <c r="G2695" s="0" t="n">
        <v>17096</v>
      </c>
      <c r="H2695" s="6" t="s">
        <v>42</v>
      </c>
      <c r="I2695" s="6" t="n">
        <f aca="false">D2695*F2695</f>
        <v>5.3</v>
      </c>
      <c r="J2695" s="6" t="n">
        <f aca="false">HOUR(E2695)</f>
        <v>17</v>
      </c>
      <c r="K2695" s="6" t="n">
        <f aca="false">IF(COUNTIF($A$2:$A2695,A2695)=1,1,0)</f>
        <v>1</v>
      </c>
    </row>
    <row r="2696" customFormat="false" ht="15" hidden="false" customHeight="false" outlineLevel="0" collapsed="false">
      <c r="A2696" s="0" t="s">
        <v>608</v>
      </c>
      <c r="B2696" s="0" t="s">
        <v>53</v>
      </c>
      <c r="C2696" s="0" t="s">
        <v>54</v>
      </c>
      <c r="D2696" s="0" t="n">
        <v>3</v>
      </c>
      <c r="E2696" s="5" t="n">
        <v>45971.7300925926</v>
      </c>
      <c r="F2696" s="0" t="n">
        <v>2.95</v>
      </c>
      <c r="G2696" s="0" t="n">
        <v>17096</v>
      </c>
      <c r="H2696" s="6" t="s">
        <v>42</v>
      </c>
      <c r="I2696" s="6" t="n">
        <f aca="false">D2696*F2696</f>
        <v>8.85</v>
      </c>
      <c r="J2696" s="6" t="n">
        <f aca="false">HOUR(E2696)</f>
        <v>17</v>
      </c>
      <c r="K2696" s="6" t="n">
        <f aca="false">IF(COUNTIF($A$2:$A2696,A2696)=1,1,0)</f>
        <v>0</v>
      </c>
    </row>
    <row r="2697" customFormat="false" ht="15" hidden="false" customHeight="false" outlineLevel="0" collapsed="false">
      <c r="A2697" s="0" t="s">
        <v>608</v>
      </c>
      <c r="B2697" s="0" t="s">
        <v>114</v>
      </c>
      <c r="C2697" s="0" t="s">
        <v>115</v>
      </c>
      <c r="D2697" s="0" t="n">
        <v>23</v>
      </c>
      <c r="E2697" s="5" t="n">
        <v>45971.7300925926</v>
      </c>
      <c r="F2697" s="0" t="n">
        <v>2.08</v>
      </c>
      <c r="G2697" s="0" t="n">
        <v>17096</v>
      </c>
      <c r="H2697" s="6" t="s">
        <v>42</v>
      </c>
      <c r="I2697" s="6" t="n">
        <f aca="false">D2697*F2697</f>
        <v>47.84</v>
      </c>
      <c r="J2697" s="6" t="n">
        <f aca="false">HOUR(E2697)</f>
        <v>17</v>
      </c>
      <c r="K2697" s="6" t="n">
        <f aca="false">IF(COUNTIF($A$2:$A2697,A2697)=1,1,0)</f>
        <v>0</v>
      </c>
    </row>
    <row r="2698" customFormat="false" ht="15" hidden="false" customHeight="false" outlineLevel="0" collapsed="false">
      <c r="A2698" s="0" t="s">
        <v>608</v>
      </c>
      <c r="B2698" s="0" t="s">
        <v>63</v>
      </c>
      <c r="C2698" s="0" t="s">
        <v>64</v>
      </c>
      <c r="D2698" s="0" t="n">
        <v>1</v>
      </c>
      <c r="E2698" s="5" t="n">
        <v>45971.7300925926</v>
      </c>
      <c r="F2698" s="0" t="n">
        <v>1.85</v>
      </c>
      <c r="G2698" s="0" t="n">
        <v>17096</v>
      </c>
      <c r="H2698" s="6" t="s">
        <v>42</v>
      </c>
      <c r="I2698" s="6" t="n">
        <f aca="false">D2698*F2698</f>
        <v>1.85</v>
      </c>
      <c r="J2698" s="6" t="n">
        <f aca="false">HOUR(E2698)</f>
        <v>17</v>
      </c>
      <c r="K2698" s="6" t="n">
        <f aca="false">IF(COUNTIF($A$2:$A2698,A2698)=1,1,0)</f>
        <v>0</v>
      </c>
    </row>
    <row r="2699" customFormat="false" ht="15" hidden="false" customHeight="false" outlineLevel="0" collapsed="false">
      <c r="A2699" s="0" t="s">
        <v>608</v>
      </c>
      <c r="B2699" s="0" t="s">
        <v>61</v>
      </c>
      <c r="C2699" s="0" t="s">
        <v>62</v>
      </c>
      <c r="D2699" s="0" t="n">
        <v>7</v>
      </c>
      <c r="E2699" s="5" t="n">
        <v>45971.7300925926</v>
      </c>
      <c r="F2699" s="0" t="n">
        <v>1.65</v>
      </c>
      <c r="G2699" s="0" t="n">
        <v>17096</v>
      </c>
      <c r="H2699" s="6" t="s">
        <v>42</v>
      </c>
      <c r="I2699" s="6" t="n">
        <f aca="false">D2699*F2699</f>
        <v>11.55</v>
      </c>
      <c r="J2699" s="6" t="n">
        <f aca="false">HOUR(E2699)</f>
        <v>17</v>
      </c>
      <c r="K2699" s="6" t="n">
        <f aca="false">IF(COUNTIF($A$2:$A2699,A2699)=1,1,0)</f>
        <v>0</v>
      </c>
    </row>
    <row r="2700" customFormat="false" ht="15" hidden="false" customHeight="false" outlineLevel="0" collapsed="false">
      <c r="A2700" s="0" t="s">
        <v>608</v>
      </c>
      <c r="B2700" s="0" t="s">
        <v>131</v>
      </c>
      <c r="C2700" s="0" t="s">
        <v>132</v>
      </c>
      <c r="D2700" s="0" t="n">
        <v>1</v>
      </c>
      <c r="E2700" s="5" t="n">
        <v>45971.7300925926</v>
      </c>
      <c r="F2700" s="0" t="n">
        <v>3.39</v>
      </c>
      <c r="G2700" s="0" t="n">
        <v>17096</v>
      </c>
      <c r="H2700" s="6" t="s">
        <v>42</v>
      </c>
      <c r="I2700" s="6" t="n">
        <f aca="false">D2700*F2700</f>
        <v>3.39</v>
      </c>
      <c r="J2700" s="6" t="n">
        <f aca="false">HOUR(E2700)</f>
        <v>17</v>
      </c>
      <c r="K2700" s="6" t="n">
        <f aca="false">IF(COUNTIF($A$2:$A2700,A2700)=1,1,0)</f>
        <v>0</v>
      </c>
    </row>
    <row r="2701" customFormat="false" ht="15" hidden="false" customHeight="false" outlineLevel="0" collapsed="false">
      <c r="A2701" s="0" t="s">
        <v>608</v>
      </c>
      <c r="B2701" s="0" t="s">
        <v>107</v>
      </c>
      <c r="C2701" s="0" t="s">
        <v>108</v>
      </c>
      <c r="D2701" s="0" t="n">
        <v>21</v>
      </c>
      <c r="E2701" s="5" t="n">
        <v>45971.7300925926</v>
      </c>
      <c r="F2701" s="0" t="n">
        <v>3.75</v>
      </c>
      <c r="G2701" s="0" t="n">
        <v>17096</v>
      </c>
      <c r="H2701" s="6" t="s">
        <v>42</v>
      </c>
      <c r="I2701" s="6" t="n">
        <f aca="false">D2701*F2701</f>
        <v>78.75</v>
      </c>
      <c r="J2701" s="6" t="n">
        <f aca="false">HOUR(E2701)</f>
        <v>17</v>
      </c>
      <c r="K2701" s="6" t="n">
        <f aca="false">IF(COUNTIF($A$2:$A2701,A2701)=1,1,0)</f>
        <v>0</v>
      </c>
    </row>
    <row r="2702" customFormat="false" ht="15" hidden="false" customHeight="false" outlineLevel="0" collapsed="false">
      <c r="A2702" s="0" t="s">
        <v>608</v>
      </c>
      <c r="B2702" s="0" t="s">
        <v>102</v>
      </c>
      <c r="C2702" s="0" t="s">
        <v>103</v>
      </c>
      <c r="D2702" s="0" t="n">
        <v>41</v>
      </c>
      <c r="E2702" s="5" t="n">
        <v>45971.7300925926</v>
      </c>
      <c r="F2702" s="0" t="n">
        <v>8.5</v>
      </c>
      <c r="G2702" s="0" t="n">
        <v>17096</v>
      </c>
      <c r="H2702" s="6" t="s">
        <v>42</v>
      </c>
      <c r="I2702" s="6" t="n">
        <f aca="false">D2702*F2702</f>
        <v>348.5</v>
      </c>
      <c r="J2702" s="6" t="n">
        <f aca="false">HOUR(E2702)</f>
        <v>17</v>
      </c>
      <c r="K2702" s="6" t="n">
        <f aca="false">IF(COUNTIF($A$2:$A2702,A2702)=1,1,0)</f>
        <v>0</v>
      </c>
    </row>
    <row r="2703" customFormat="false" ht="15" hidden="false" customHeight="false" outlineLevel="0" collapsed="false">
      <c r="A2703" s="0" t="s">
        <v>608</v>
      </c>
      <c r="B2703" s="0" t="s">
        <v>118</v>
      </c>
      <c r="C2703" s="0" t="s">
        <v>119</v>
      </c>
      <c r="D2703" s="0" t="n">
        <v>23</v>
      </c>
      <c r="E2703" s="5" t="n">
        <v>45971.7300925926</v>
      </c>
      <c r="F2703" s="0" t="n">
        <v>4.95</v>
      </c>
      <c r="G2703" s="0" t="n">
        <v>17096</v>
      </c>
      <c r="H2703" s="6" t="s">
        <v>42</v>
      </c>
      <c r="I2703" s="6" t="n">
        <f aca="false">D2703*F2703</f>
        <v>113.85</v>
      </c>
      <c r="J2703" s="6" t="n">
        <f aca="false">HOUR(E2703)</f>
        <v>17</v>
      </c>
      <c r="K2703" s="6" t="n">
        <f aca="false">IF(COUNTIF($A$2:$A2703,A2703)=1,1,0)</f>
        <v>0</v>
      </c>
    </row>
    <row r="2704" customFormat="false" ht="15" hidden="false" customHeight="false" outlineLevel="0" collapsed="false">
      <c r="A2704" s="0" t="s">
        <v>608</v>
      </c>
      <c r="B2704" s="0" t="s">
        <v>104</v>
      </c>
      <c r="C2704" s="0" t="s">
        <v>105</v>
      </c>
      <c r="D2704" s="0" t="n">
        <v>15</v>
      </c>
      <c r="E2704" s="5" t="n">
        <v>45971.7300925926</v>
      </c>
      <c r="F2704" s="0" t="n">
        <v>1.65</v>
      </c>
      <c r="G2704" s="0" t="n">
        <v>17096</v>
      </c>
      <c r="H2704" s="6" t="s">
        <v>42</v>
      </c>
      <c r="I2704" s="6" t="n">
        <f aca="false">D2704*F2704</f>
        <v>24.75</v>
      </c>
      <c r="J2704" s="6" t="n">
        <f aca="false">HOUR(E2704)</f>
        <v>17</v>
      </c>
      <c r="K2704" s="6" t="n">
        <f aca="false">IF(COUNTIF($A$2:$A2704,A2704)=1,1,0)</f>
        <v>0</v>
      </c>
    </row>
    <row r="2705" customFormat="false" ht="15" hidden="false" customHeight="false" outlineLevel="0" collapsed="false">
      <c r="A2705" s="0" t="s">
        <v>609</v>
      </c>
      <c r="B2705" s="0" t="s">
        <v>104</v>
      </c>
      <c r="C2705" s="0" t="s">
        <v>105</v>
      </c>
      <c r="D2705" s="0" t="n">
        <v>8</v>
      </c>
      <c r="E2705" s="5" t="n">
        <v>45971.7335763889</v>
      </c>
      <c r="F2705" s="0" t="n">
        <v>1.65</v>
      </c>
      <c r="G2705" s="0" t="n">
        <v>17098</v>
      </c>
      <c r="H2705" s="6" t="s">
        <v>208</v>
      </c>
      <c r="I2705" s="6" t="n">
        <f aca="false">D2705*F2705</f>
        <v>13.2</v>
      </c>
      <c r="J2705" s="6" t="n">
        <f aca="false">HOUR(E2705)</f>
        <v>17</v>
      </c>
      <c r="K2705" s="6" t="n">
        <f aca="false">IF(COUNTIF($A$2:$A2705,A2705)=1,1,0)</f>
        <v>1</v>
      </c>
    </row>
    <row r="2706" customFormat="false" ht="15" hidden="false" customHeight="false" outlineLevel="0" collapsed="false">
      <c r="A2706" s="0" t="s">
        <v>609</v>
      </c>
      <c r="B2706" s="0" t="s">
        <v>102</v>
      </c>
      <c r="D2706" s="0" t="n">
        <v>38</v>
      </c>
      <c r="E2706" s="5" t="n">
        <v>45971.7335763889</v>
      </c>
      <c r="F2706" s="0" t="n">
        <v>8.5</v>
      </c>
      <c r="G2706" s="0" t="n">
        <v>17098</v>
      </c>
      <c r="H2706" s="6" t="s">
        <v>208</v>
      </c>
      <c r="I2706" s="6" t="n">
        <f aca="false">D2706*F2706</f>
        <v>323</v>
      </c>
      <c r="J2706" s="6" t="n">
        <f aca="false">HOUR(E2706)</f>
        <v>17</v>
      </c>
      <c r="K2706" s="6" t="n">
        <f aca="false">IF(COUNTIF($A$2:$A2706,A2706)=1,1,0)</f>
        <v>0</v>
      </c>
    </row>
    <row r="2707" customFormat="false" ht="15" hidden="false" customHeight="false" outlineLevel="0" collapsed="false">
      <c r="A2707" s="0" t="s">
        <v>609</v>
      </c>
      <c r="B2707" s="0" t="s">
        <v>93</v>
      </c>
      <c r="C2707" s="0" t="s">
        <v>94</v>
      </c>
      <c r="D2707" s="0" t="n">
        <v>6</v>
      </c>
      <c r="E2707" s="5" t="n">
        <v>45971.7335763889</v>
      </c>
      <c r="F2707" s="0" t="n">
        <v>1.69</v>
      </c>
      <c r="G2707" s="0" t="n">
        <v>17098</v>
      </c>
      <c r="H2707" s="6" t="s">
        <v>208</v>
      </c>
      <c r="I2707" s="6" t="n">
        <f aca="false">D2707*F2707</f>
        <v>10.14</v>
      </c>
      <c r="J2707" s="6" t="n">
        <f aca="false">HOUR(E2707)</f>
        <v>17</v>
      </c>
      <c r="K2707" s="6" t="n">
        <f aca="false">IF(COUNTIF($A$2:$A2707,A2707)=1,1,0)</f>
        <v>0</v>
      </c>
    </row>
    <row r="2708" customFormat="false" ht="15" hidden="false" customHeight="false" outlineLevel="0" collapsed="false">
      <c r="A2708" s="0" t="s">
        <v>609</v>
      </c>
      <c r="B2708" s="0" t="s">
        <v>77</v>
      </c>
      <c r="C2708" s="0" t="s">
        <v>78</v>
      </c>
      <c r="D2708" s="0" t="n">
        <v>2</v>
      </c>
      <c r="E2708" s="5" t="n">
        <v>45971.7335763889</v>
      </c>
      <c r="F2708" s="0" t="n">
        <v>1.65</v>
      </c>
      <c r="G2708" s="0" t="n">
        <v>17098</v>
      </c>
      <c r="H2708" s="6" t="s">
        <v>208</v>
      </c>
      <c r="I2708" s="6" t="n">
        <f aca="false">D2708*F2708</f>
        <v>3.3</v>
      </c>
      <c r="J2708" s="6" t="n">
        <f aca="false">HOUR(E2708)</f>
        <v>17</v>
      </c>
      <c r="K2708" s="6" t="n">
        <f aca="false">IF(COUNTIF($A$2:$A2708,A2708)=1,1,0)</f>
        <v>0</v>
      </c>
    </row>
    <row r="2709" customFormat="false" ht="15" hidden="false" customHeight="false" outlineLevel="0" collapsed="false">
      <c r="A2709" s="0" t="s">
        <v>609</v>
      </c>
      <c r="B2709" s="0" t="s">
        <v>118</v>
      </c>
      <c r="C2709" s="0" t="s">
        <v>119</v>
      </c>
      <c r="D2709" s="0" t="n">
        <v>38</v>
      </c>
      <c r="E2709" s="5" t="n">
        <v>45971.7335763889</v>
      </c>
      <c r="F2709" s="0" t="n">
        <v>4.95</v>
      </c>
      <c r="G2709" s="0" t="n">
        <v>17098</v>
      </c>
      <c r="H2709" s="6" t="s">
        <v>208</v>
      </c>
      <c r="I2709" s="6" t="n">
        <f aca="false">D2709*F2709</f>
        <v>188.1</v>
      </c>
      <c r="J2709" s="6" t="n">
        <f aca="false">HOUR(E2709)</f>
        <v>17</v>
      </c>
      <c r="K2709" s="6" t="n">
        <f aca="false">IF(COUNTIF($A$2:$A2709,A2709)=1,1,0)</f>
        <v>0</v>
      </c>
    </row>
    <row r="2710" customFormat="false" ht="15" hidden="false" customHeight="false" outlineLevel="0" collapsed="false">
      <c r="A2710" s="0" t="s">
        <v>610</v>
      </c>
      <c r="B2710" s="0" t="s">
        <v>102</v>
      </c>
      <c r="C2710" s="0" t="s">
        <v>103</v>
      </c>
      <c r="D2710" s="0" t="n">
        <v>23</v>
      </c>
      <c r="E2710" s="5" t="n">
        <v>45971.7673032407</v>
      </c>
      <c r="F2710" s="0" t="n">
        <v>8.5</v>
      </c>
      <c r="G2710" s="0" t="n">
        <v>17222</v>
      </c>
      <c r="H2710" s="6" t="s">
        <v>74</v>
      </c>
      <c r="I2710" s="6" t="n">
        <f aca="false">D2710*F2710</f>
        <v>195.5</v>
      </c>
      <c r="J2710" s="6" t="n">
        <f aca="false">HOUR(E2710)</f>
        <v>18</v>
      </c>
      <c r="K2710" s="6" t="n">
        <f aca="false">IF(COUNTIF($A$2:$A2710,A2710)=1,1,0)</f>
        <v>1</v>
      </c>
    </row>
    <row r="2711" customFormat="false" ht="15" hidden="false" customHeight="false" outlineLevel="0" collapsed="false">
      <c r="A2711" s="0" t="s">
        <v>610</v>
      </c>
      <c r="B2711" s="0" t="s">
        <v>93</v>
      </c>
      <c r="C2711" s="0" t="s">
        <v>94</v>
      </c>
      <c r="D2711" s="0" t="n">
        <v>1</v>
      </c>
      <c r="E2711" s="5" t="n">
        <v>45971.7673032407</v>
      </c>
      <c r="F2711" s="0" t="n">
        <v>1.69</v>
      </c>
      <c r="G2711" s="0" t="n">
        <v>17222</v>
      </c>
      <c r="H2711" s="6" t="s">
        <v>74</v>
      </c>
      <c r="I2711" s="6" t="n">
        <f aca="false">D2711*F2711</f>
        <v>1.69</v>
      </c>
      <c r="J2711" s="6" t="n">
        <f aca="false">HOUR(E2711)</f>
        <v>18</v>
      </c>
      <c r="K2711" s="6" t="n">
        <f aca="false">IF(COUNTIF($A$2:$A2711,A2711)=1,1,0)</f>
        <v>0</v>
      </c>
    </row>
    <row r="2712" customFormat="false" ht="15" hidden="false" customHeight="false" outlineLevel="0" collapsed="false">
      <c r="A2712" s="0" t="s">
        <v>610</v>
      </c>
      <c r="B2712" s="0" t="s">
        <v>137</v>
      </c>
      <c r="C2712" s="0" t="s">
        <v>138</v>
      </c>
      <c r="D2712" s="0" t="n">
        <v>1</v>
      </c>
      <c r="E2712" s="5" t="n">
        <v>45971.7673032407</v>
      </c>
      <c r="F2712" s="0" t="n">
        <v>2.1</v>
      </c>
      <c r="G2712" s="0" t="n">
        <v>17222</v>
      </c>
      <c r="H2712" s="6" t="s">
        <v>74</v>
      </c>
      <c r="I2712" s="6" t="n">
        <f aca="false">D2712*F2712</f>
        <v>2.1</v>
      </c>
      <c r="J2712" s="6" t="n">
        <f aca="false">HOUR(E2712)</f>
        <v>18</v>
      </c>
      <c r="K2712" s="6" t="n">
        <f aca="false">IF(COUNTIF($A$2:$A2712,A2712)=1,1,0)</f>
        <v>0</v>
      </c>
    </row>
    <row r="2713" customFormat="false" ht="15" hidden="false" customHeight="false" outlineLevel="0" collapsed="false">
      <c r="A2713" s="0" t="s">
        <v>611</v>
      </c>
      <c r="B2713" s="0" t="s">
        <v>57</v>
      </c>
      <c r="C2713" s="0" t="s">
        <v>58</v>
      </c>
      <c r="D2713" s="0" t="n">
        <v>19</v>
      </c>
      <c r="E2713" s="5" t="n">
        <v>45971.8341782407</v>
      </c>
      <c r="F2713" s="0" t="n">
        <v>2.08</v>
      </c>
      <c r="G2713" s="0" t="n">
        <v>17203</v>
      </c>
      <c r="H2713" s="6" t="s">
        <v>208</v>
      </c>
      <c r="I2713" s="6" t="n">
        <f aca="false">D2713*F2713</f>
        <v>39.52</v>
      </c>
      <c r="J2713" s="6" t="n">
        <f aca="false">HOUR(E2713)</f>
        <v>20</v>
      </c>
      <c r="K2713" s="6" t="n">
        <f aca="false">IF(COUNTIF($A$2:$A2713,A2713)=1,1,0)</f>
        <v>1</v>
      </c>
    </row>
    <row r="2714" customFormat="false" ht="15" hidden="false" customHeight="false" outlineLevel="0" collapsed="false">
      <c r="A2714" s="0" t="s">
        <v>611</v>
      </c>
      <c r="B2714" s="0" t="s">
        <v>121</v>
      </c>
      <c r="C2714" s="0" t="s">
        <v>122</v>
      </c>
      <c r="D2714" s="0" t="n">
        <v>13</v>
      </c>
      <c r="E2714" s="5" t="n">
        <v>45971.8341782407</v>
      </c>
      <c r="F2714" s="0" t="n">
        <v>2.1</v>
      </c>
      <c r="G2714" s="0" t="n">
        <v>17203</v>
      </c>
      <c r="H2714" s="6" t="s">
        <v>208</v>
      </c>
      <c r="I2714" s="6" t="n">
        <f aca="false">D2714*F2714</f>
        <v>27.3</v>
      </c>
      <c r="J2714" s="6" t="n">
        <f aca="false">HOUR(E2714)</f>
        <v>20</v>
      </c>
      <c r="K2714" s="6" t="n">
        <f aca="false">IF(COUNTIF($A$2:$A2714,A2714)=1,1,0)</f>
        <v>0</v>
      </c>
    </row>
    <row r="2715" customFormat="false" ht="15" hidden="false" customHeight="false" outlineLevel="0" collapsed="false">
      <c r="A2715" s="0" t="s">
        <v>612</v>
      </c>
      <c r="B2715" s="0" t="s">
        <v>63</v>
      </c>
      <c r="C2715" s="0" t="s">
        <v>64</v>
      </c>
      <c r="D2715" s="0" t="n">
        <v>2</v>
      </c>
      <c r="E2715" s="5" t="n">
        <v>45971.9102430556</v>
      </c>
      <c r="F2715" s="0" t="n">
        <v>1.85</v>
      </c>
      <c r="G2715" s="0" t="n">
        <v>17065</v>
      </c>
      <c r="H2715" s="6" t="s">
        <v>74</v>
      </c>
      <c r="I2715" s="6" t="n">
        <f aca="false">D2715*F2715</f>
        <v>3.7</v>
      </c>
      <c r="J2715" s="6" t="n">
        <f aca="false">HOUR(E2715)</f>
        <v>21</v>
      </c>
      <c r="K2715" s="6" t="n">
        <f aca="false">IF(COUNTIF($A$2:$A2715,A2715)=1,1,0)</f>
        <v>1</v>
      </c>
    </row>
    <row r="2716" customFormat="false" ht="15" hidden="false" customHeight="false" outlineLevel="0" collapsed="false">
      <c r="A2716" s="0" t="s">
        <v>612</v>
      </c>
      <c r="B2716" s="0" t="s">
        <v>91</v>
      </c>
      <c r="C2716" s="0" t="s">
        <v>92</v>
      </c>
      <c r="D2716" s="0" t="n">
        <v>10</v>
      </c>
      <c r="E2716" s="5" t="n">
        <v>45971.9102430556</v>
      </c>
      <c r="F2716" s="0" t="n">
        <v>7.65</v>
      </c>
      <c r="G2716" s="0" t="n">
        <v>17065</v>
      </c>
      <c r="H2716" s="6" t="s">
        <v>74</v>
      </c>
      <c r="I2716" s="6" t="n">
        <f aca="false">D2716*F2716</f>
        <v>76.5</v>
      </c>
      <c r="J2716" s="6" t="n">
        <f aca="false">HOUR(E2716)</f>
        <v>21</v>
      </c>
      <c r="K2716" s="6" t="n">
        <f aca="false">IF(COUNTIF($A$2:$A2716,A2716)=1,1,0)</f>
        <v>0</v>
      </c>
    </row>
    <row r="2717" customFormat="false" ht="15" hidden="false" customHeight="false" outlineLevel="0" collapsed="false">
      <c r="A2717" s="0" t="s">
        <v>612</v>
      </c>
      <c r="B2717" s="0" t="s">
        <v>127</v>
      </c>
      <c r="C2717" s="0" t="s">
        <v>128</v>
      </c>
      <c r="D2717" s="0" t="n">
        <v>8</v>
      </c>
      <c r="E2717" s="5" t="n">
        <v>45971.9102430556</v>
      </c>
      <c r="F2717" s="0" t="n">
        <v>1.45</v>
      </c>
      <c r="G2717" s="0" t="n">
        <v>17065</v>
      </c>
      <c r="H2717" s="6" t="s">
        <v>74</v>
      </c>
      <c r="I2717" s="6" t="n">
        <f aca="false">D2717*F2717</f>
        <v>11.6</v>
      </c>
      <c r="J2717" s="6" t="n">
        <f aca="false">HOUR(E2717)</f>
        <v>21</v>
      </c>
      <c r="K2717" s="6" t="n">
        <f aca="false">IF(COUNTIF($A$2:$A2717,A2717)=1,1,0)</f>
        <v>0</v>
      </c>
    </row>
    <row r="2718" customFormat="false" ht="15" hidden="false" customHeight="false" outlineLevel="0" collapsed="false">
      <c r="A2718" s="0" t="s">
        <v>612</v>
      </c>
      <c r="B2718" s="0" t="s">
        <v>99</v>
      </c>
      <c r="C2718" s="0" t="s">
        <v>100</v>
      </c>
      <c r="D2718" s="0" t="n">
        <v>8</v>
      </c>
      <c r="E2718" s="5" t="n">
        <v>45971.9102430556</v>
      </c>
      <c r="F2718" s="0" t="n">
        <v>2.08</v>
      </c>
      <c r="G2718" s="0" t="n">
        <v>17065</v>
      </c>
      <c r="H2718" s="6" t="s">
        <v>74</v>
      </c>
      <c r="I2718" s="6" t="n">
        <f aca="false">D2718*F2718</f>
        <v>16.64</v>
      </c>
      <c r="J2718" s="6" t="n">
        <f aca="false">HOUR(E2718)</f>
        <v>21</v>
      </c>
      <c r="K2718" s="6" t="n">
        <f aca="false">IF(COUNTIF($A$2:$A2718,A2718)=1,1,0)</f>
        <v>0</v>
      </c>
    </row>
    <row r="2719" customFormat="false" ht="15" hidden="false" customHeight="false" outlineLevel="0" collapsed="false">
      <c r="A2719" s="0" t="s">
        <v>612</v>
      </c>
      <c r="B2719" s="0" t="s">
        <v>116</v>
      </c>
      <c r="C2719" s="0" t="s">
        <v>117</v>
      </c>
      <c r="D2719" s="0" t="n">
        <v>1</v>
      </c>
      <c r="E2719" s="5" t="n">
        <v>45971.9102430556</v>
      </c>
      <c r="F2719" s="0" t="n">
        <v>1.95</v>
      </c>
      <c r="G2719" s="0" t="n">
        <v>17065</v>
      </c>
      <c r="H2719" s="6" t="s">
        <v>74</v>
      </c>
      <c r="I2719" s="6" t="n">
        <f aca="false">D2719*F2719</f>
        <v>1.95</v>
      </c>
      <c r="J2719" s="6" t="n">
        <f aca="false">HOUR(E2719)</f>
        <v>21</v>
      </c>
      <c r="K2719" s="6" t="n">
        <f aca="false">IF(COUNTIF($A$2:$A2719,A2719)=1,1,0)</f>
        <v>0</v>
      </c>
    </row>
    <row r="2720" customFormat="false" ht="15" hidden="false" customHeight="false" outlineLevel="0" collapsed="false">
      <c r="A2720" s="0" t="s">
        <v>613</v>
      </c>
      <c r="B2720" s="0" t="s">
        <v>43</v>
      </c>
      <c r="C2720" s="0" t="s">
        <v>44</v>
      </c>
      <c r="D2720" s="0" t="n">
        <v>1</v>
      </c>
      <c r="E2720" s="5" t="n">
        <v>45971.9167708333</v>
      </c>
      <c r="F2720" s="0" t="n">
        <v>4.25</v>
      </c>
      <c r="G2720" s="0" t="n">
        <v>17162</v>
      </c>
      <c r="H2720" s="6" t="s">
        <v>74</v>
      </c>
      <c r="I2720" s="6" t="n">
        <f aca="false">D2720*F2720</f>
        <v>4.25</v>
      </c>
      <c r="J2720" s="6" t="n">
        <f aca="false">HOUR(E2720)</f>
        <v>22</v>
      </c>
      <c r="K2720" s="6" t="n">
        <f aca="false">IF(COUNTIF($A$2:$A2720,A2720)=1,1,0)</f>
        <v>1</v>
      </c>
    </row>
    <row r="2721" customFormat="false" ht="15" hidden="false" customHeight="false" outlineLevel="0" collapsed="false">
      <c r="A2721" s="0" t="s">
        <v>613</v>
      </c>
      <c r="B2721" s="0" t="s">
        <v>55</v>
      </c>
      <c r="C2721" s="0" t="s">
        <v>56</v>
      </c>
      <c r="D2721" s="0" t="n">
        <v>5</v>
      </c>
      <c r="E2721" s="5" t="n">
        <v>45971.9167708333</v>
      </c>
      <c r="F2721" s="0" t="n">
        <v>1.65</v>
      </c>
      <c r="G2721" s="0" t="n">
        <v>17162</v>
      </c>
      <c r="H2721" s="6" t="s">
        <v>74</v>
      </c>
      <c r="I2721" s="6" t="n">
        <f aca="false">D2721*F2721</f>
        <v>8.25</v>
      </c>
      <c r="J2721" s="6" t="n">
        <f aca="false">HOUR(E2721)</f>
        <v>22</v>
      </c>
      <c r="K2721" s="6" t="n">
        <f aca="false">IF(COUNTIF($A$2:$A2721,A2721)=1,1,0)</f>
        <v>0</v>
      </c>
    </row>
    <row r="2722" customFormat="false" ht="15" hidden="false" customHeight="false" outlineLevel="0" collapsed="false">
      <c r="A2722" s="0" t="s">
        <v>614</v>
      </c>
      <c r="B2722" s="0" t="s">
        <v>95</v>
      </c>
      <c r="C2722" s="0" t="s">
        <v>96</v>
      </c>
      <c r="D2722" s="0" t="n">
        <v>45</v>
      </c>
      <c r="E2722" s="5" t="n">
        <v>45972.372037037</v>
      </c>
      <c r="F2722" s="0" t="n">
        <v>2.55</v>
      </c>
      <c r="G2722" s="0" t="n">
        <v>17097</v>
      </c>
      <c r="H2722" s="6" t="s">
        <v>74</v>
      </c>
      <c r="I2722" s="6" t="n">
        <f aca="false">D2722*F2722</f>
        <v>114.75</v>
      </c>
      <c r="J2722" s="6" t="n">
        <f aca="false">HOUR(E2722)</f>
        <v>8</v>
      </c>
      <c r="K2722" s="6" t="n">
        <f aca="false">IF(COUNTIF($A$2:$A2722,A2722)=1,1,0)</f>
        <v>1</v>
      </c>
    </row>
    <row r="2723" customFormat="false" ht="15" hidden="false" customHeight="false" outlineLevel="0" collapsed="false">
      <c r="A2723" s="0" t="s">
        <v>614</v>
      </c>
      <c r="B2723" s="0" t="s">
        <v>131</v>
      </c>
      <c r="C2723" s="0" t="s">
        <v>132</v>
      </c>
      <c r="D2723" s="0" t="n">
        <v>13</v>
      </c>
      <c r="E2723" s="5" t="n">
        <v>45972.372037037</v>
      </c>
      <c r="F2723" s="0" t="n">
        <v>3.39</v>
      </c>
      <c r="G2723" s="0" t="n">
        <v>17097</v>
      </c>
      <c r="H2723" s="6" t="s">
        <v>74</v>
      </c>
      <c r="I2723" s="6" t="n">
        <f aca="false">D2723*F2723</f>
        <v>44.07</v>
      </c>
      <c r="J2723" s="6" t="n">
        <f aca="false">HOUR(E2723)</f>
        <v>8</v>
      </c>
      <c r="K2723" s="6" t="n">
        <f aca="false">IF(COUNTIF($A$2:$A2723,A2723)=1,1,0)</f>
        <v>0</v>
      </c>
    </row>
    <row r="2724" customFormat="false" ht="15" hidden="false" customHeight="false" outlineLevel="0" collapsed="false">
      <c r="A2724" s="0" t="s">
        <v>614</v>
      </c>
      <c r="B2724" s="0" t="s">
        <v>63</v>
      </c>
      <c r="C2724" s="0" t="s">
        <v>64</v>
      </c>
      <c r="D2724" s="0" t="n">
        <v>5</v>
      </c>
      <c r="E2724" s="5" t="n">
        <v>45972.372037037</v>
      </c>
      <c r="F2724" s="0" t="n">
        <v>1.85</v>
      </c>
      <c r="G2724" s="0" t="n">
        <v>17097</v>
      </c>
      <c r="H2724" s="6" t="s">
        <v>74</v>
      </c>
      <c r="I2724" s="6" t="n">
        <f aca="false">D2724*F2724</f>
        <v>9.25</v>
      </c>
      <c r="J2724" s="6" t="n">
        <f aca="false">HOUR(E2724)</f>
        <v>8</v>
      </c>
      <c r="K2724" s="6" t="n">
        <f aca="false">IF(COUNTIF($A$2:$A2724,A2724)=1,1,0)</f>
        <v>0</v>
      </c>
    </row>
    <row r="2725" customFormat="false" ht="15" hidden="false" customHeight="false" outlineLevel="0" collapsed="false">
      <c r="A2725" s="0" t="s">
        <v>614</v>
      </c>
      <c r="B2725" s="0" t="s">
        <v>88</v>
      </c>
      <c r="C2725" s="0" t="s">
        <v>89</v>
      </c>
      <c r="D2725" s="0" t="n">
        <v>19</v>
      </c>
      <c r="E2725" s="5" t="n">
        <v>45972.372037037</v>
      </c>
      <c r="F2725" s="0" t="n">
        <v>2.75</v>
      </c>
      <c r="G2725" s="0" t="n">
        <v>17097</v>
      </c>
      <c r="H2725" s="6" t="s">
        <v>74</v>
      </c>
      <c r="I2725" s="6" t="n">
        <f aca="false">D2725*F2725</f>
        <v>52.25</v>
      </c>
      <c r="J2725" s="6" t="n">
        <f aca="false">HOUR(E2725)</f>
        <v>8</v>
      </c>
      <c r="K2725" s="6" t="n">
        <f aca="false">IF(COUNTIF($A$2:$A2725,A2725)=1,1,0)</f>
        <v>0</v>
      </c>
    </row>
    <row r="2726" customFormat="false" ht="15" hidden="false" customHeight="false" outlineLevel="0" collapsed="false">
      <c r="A2726" s="0" t="s">
        <v>614</v>
      </c>
      <c r="B2726" s="0" t="s">
        <v>77</v>
      </c>
      <c r="C2726" s="0" t="s">
        <v>78</v>
      </c>
      <c r="D2726" s="0" t="n">
        <v>10</v>
      </c>
      <c r="E2726" s="5" t="n">
        <v>45972.372037037</v>
      </c>
      <c r="F2726" s="0" t="n">
        <v>1.65</v>
      </c>
      <c r="G2726" s="0" t="n">
        <v>17097</v>
      </c>
      <c r="H2726" s="6" t="s">
        <v>74</v>
      </c>
      <c r="I2726" s="6" t="n">
        <f aca="false">D2726*F2726</f>
        <v>16.5</v>
      </c>
      <c r="J2726" s="6" t="n">
        <f aca="false">HOUR(E2726)</f>
        <v>8</v>
      </c>
      <c r="K2726" s="6" t="n">
        <f aca="false">IF(COUNTIF($A$2:$A2726,A2726)=1,1,0)</f>
        <v>0</v>
      </c>
    </row>
    <row r="2727" customFormat="false" ht="15" hidden="false" customHeight="false" outlineLevel="0" collapsed="false">
      <c r="A2727" s="0" t="s">
        <v>614</v>
      </c>
      <c r="B2727" s="0" t="s">
        <v>55</v>
      </c>
      <c r="C2727" s="0" t="s">
        <v>56</v>
      </c>
      <c r="D2727" s="0" t="n">
        <v>6</v>
      </c>
      <c r="E2727" s="5" t="n">
        <v>45972.372037037</v>
      </c>
      <c r="F2727" s="0" t="n">
        <v>1.65</v>
      </c>
      <c r="G2727" s="0" t="n">
        <v>17097</v>
      </c>
      <c r="H2727" s="6" t="s">
        <v>74</v>
      </c>
      <c r="I2727" s="6" t="n">
        <f aca="false">D2727*F2727</f>
        <v>9.9</v>
      </c>
      <c r="J2727" s="6" t="n">
        <f aca="false">HOUR(E2727)</f>
        <v>8</v>
      </c>
      <c r="K2727" s="6" t="n">
        <f aca="false">IF(COUNTIF($A$2:$A2727,A2727)=1,1,0)</f>
        <v>0</v>
      </c>
    </row>
    <row r="2728" customFormat="false" ht="15" hidden="false" customHeight="false" outlineLevel="0" collapsed="false">
      <c r="A2728" s="0" t="s">
        <v>615</v>
      </c>
      <c r="B2728" s="0" t="s">
        <v>69</v>
      </c>
      <c r="C2728" s="0" t="s">
        <v>70</v>
      </c>
      <c r="D2728" s="0" t="n">
        <v>20</v>
      </c>
      <c r="E2728" s="5" t="n">
        <v>45972.4640046296</v>
      </c>
      <c r="F2728" s="0" t="n">
        <v>2.08</v>
      </c>
      <c r="G2728" s="0" t="n">
        <v>17249</v>
      </c>
      <c r="H2728" s="6" t="s">
        <v>113</v>
      </c>
      <c r="I2728" s="6" t="n">
        <f aca="false">D2728*F2728</f>
        <v>41.6</v>
      </c>
      <c r="J2728" s="6" t="n">
        <f aca="false">HOUR(E2728)</f>
        <v>11</v>
      </c>
      <c r="K2728" s="6" t="n">
        <f aca="false">IF(COUNTIF($A$2:$A2728,A2728)=1,1,0)</f>
        <v>1</v>
      </c>
    </row>
    <row r="2729" customFormat="false" ht="15" hidden="false" customHeight="false" outlineLevel="0" collapsed="false">
      <c r="A2729" s="0" t="s">
        <v>615</v>
      </c>
      <c r="B2729" s="0" t="s">
        <v>116</v>
      </c>
      <c r="C2729" s="0" t="s">
        <v>117</v>
      </c>
      <c r="D2729" s="0" t="n">
        <v>20</v>
      </c>
      <c r="E2729" s="5" t="n">
        <v>45972.4640046296</v>
      </c>
      <c r="F2729" s="0" t="n">
        <v>1.95</v>
      </c>
      <c r="G2729" s="0" t="n">
        <v>17249</v>
      </c>
      <c r="H2729" s="6" t="s">
        <v>113</v>
      </c>
      <c r="I2729" s="6" t="n">
        <f aca="false">D2729*F2729</f>
        <v>39</v>
      </c>
      <c r="J2729" s="6" t="n">
        <f aca="false">HOUR(E2729)</f>
        <v>11</v>
      </c>
      <c r="K2729" s="6" t="n">
        <f aca="false">IF(COUNTIF($A$2:$A2729,A2729)=1,1,0)</f>
        <v>0</v>
      </c>
    </row>
    <row r="2730" customFormat="false" ht="15" hidden="false" customHeight="false" outlineLevel="0" collapsed="false">
      <c r="A2730" s="0" t="s">
        <v>615</v>
      </c>
      <c r="B2730" s="0" t="s">
        <v>47</v>
      </c>
      <c r="C2730" s="0" t="s">
        <v>48</v>
      </c>
      <c r="D2730" s="0" t="n">
        <v>42</v>
      </c>
      <c r="E2730" s="5" t="n">
        <v>45972.4640046296</v>
      </c>
      <c r="F2730" s="0" t="n">
        <v>12.75</v>
      </c>
      <c r="G2730" s="0" t="n">
        <v>17249</v>
      </c>
      <c r="H2730" s="6" t="s">
        <v>113</v>
      </c>
      <c r="I2730" s="6" t="n">
        <f aca="false">D2730*F2730</f>
        <v>535.5</v>
      </c>
      <c r="J2730" s="6" t="n">
        <f aca="false">HOUR(E2730)</f>
        <v>11</v>
      </c>
      <c r="K2730" s="6" t="n">
        <f aca="false">IF(COUNTIF($A$2:$A2730,A2730)=1,1,0)</f>
        <v>0</v>
      </c>
    </row>
    <row r="2731" customFormat="false" ht="15" hidden="false" customHeight="false" outlineLevel="0" collapsed="false">
      <c r="A2731" s="0" t="s">
        <v>615</v>
      </c>
      <c r="B2731" s="0" t="s">
        <v>59</v>
      </c>
      <c r="C2731" s="0" t="s">
        <v>60</v>
      </c>
      <c r="D2731" s="0" t="n">
        <v>19</v>
      </c>
      <c r="E2731" s="5" t="n">
        <v>45972.4640046296</v>
      </c>
      <c r="F2731" s="0" t="n">
        <v>0.42</v>
      </c>
      <c r="G2731" s="0" t="n">
        <v>17249</v>
      </c>
      <c r="H2731" s="6" t="s">
        <v>113</v>
      </c>
      <c r="I2731" s="6" t="n">
        <f aca="false">D2731*F2731</f>
        <v>7.98</v>
      </c>
      <c r="J2731" s="6" t="n">
        <f aca="false">HOUR(E2731)</f>
        <v>11</v>
      </c>
      <c r="K2731" s="6" t="n">
        <f aca="false">IF(COUNTIF($A$2:$A2731,A2731)=1,1,0)</f>
        <v>0</v>
      </c>
    </row>
    <row r="2732" customFormat="false" ht="15" hidden="false" customHeight="false" outlineLevel="0" collapsed="false">
      <c r="A2732" s="0" t="s">
        <v>615</v>
      </c>
      <c r="B2732" s="0" t="s">
        <v>137</v>
      </c>
      <c r="C2732" s="0" t="s">
        <v>138</v>
      </c>
      <c r="D2732" s="0" t="n">
        <v>23</v>
      </c>
      <c r="E2732" s="5" t="n">
        <v>45972.4640046296</v>
      </c>
      <c r="F2732" s="0" t="n">
        <v>2.1</v>
      </c>
      <c r="G2732" s="0" t="n">
        <v>17249</v>
      </c>
      <c r="H2732" s="6" t="s">
        <v>113</v>
      </c>
      <c r="I2732" s="6" t="n">
        <f aca="false">D2732*F2732</f>
        <v>48.3</v>
      </c>
      <c r="J2732" s="6" t="n">
        <f aca="false">HOUR(E2732)</f>
        <v>11</v>
      </c>
      <c r="K2732" s="6" t="n">
        <f aca="false">IF(COUNTIF($A$2:$A2732,A2732)=1,1,0)</f>
        <v>0</v>
      </c>
    </row>
    <row r="2733" customFormat="false" ht="15" hidden="false" customHeight="false" outlineLevel="0" collapsed="false">
      <c r="A2733" s="0" t="s">
        <v>615</v>
      </c>
      <c r="B2733" s="0" t="s">
        <v>81</v>
      </c>
      <c r="C2733" s="0" t="s">
        <v>82</v>
      </c>
      <c r="D2733" s="0" t="n">
        <v>6</v>
      </c>
      <c r="E2733" s="5" t="n">
        <v>45972.4640046296</v>
      </c>
      <c r="F2733" s="0" t="n">
        <v>1.65</v>
      </c>
      <c r="G2733" s="0" t="n">
        <v>17249</v>
      </c>
      <c r="H2733" s="6" t="s">
        <v>113</v>
      </c>
      <c r="I2733" s="6" t="n">
        <f aca="false">D2733*F2733</f>
        <v>9.9</v>
      </c>
      <c r="J2733" s="6" t="n">
        <f aca="false">HOUR(E2733)</f>
        <v>11</v>
      </c>
      <c r="K2733" s="6" t="n">
        <f aca="false">IF(COUNTIF($A$2:$A2733,A2733)=1,1,0)</f>
        <v>0</v>
      </c>
    </row>
    <row r="2734" customFormat="false" ht="15" hidden="false" customHeight="false" outlineLevel="0" collapsed="false">
      <c r="A2734" s="0" t="s">
        <v>616</v>
      </c>
      <c r="B2734" s="0" t="s">
        <v>83</v>
      </c>
      <c r="C2734" s="0" t="s">
        <v>84</v>
      </c>
      <c r="D2734" s="0" t="n">
        <v>20</v>
      </c>
      <c r="E2734" s="5" t="n">
        <v>45972.4667361111</v>
      </c>
      <c r="F2734" s="0" t="n">
        <v>2.95</v>
      </c>
      <c r="G2734" s="0" t="n">
        <v>17109</v>
      </c>
      <c r="H2734" s="6" t="s">
        <v>74</v>
      </c>
      <c r="I2734" s="6" t="n">
        <f aca="false">D2734*F2734</f>
        <v>59</v>
      </c>
      <c r="J2734" s="6" t="n">
        <f aca="false">HOUR(E2734)</f>
        <v>11</v>
      </c>
      <c r="K2734" s="6" t="n">
        <f aca="false">IF(COUNTIF($A$2:$A2734,A2734)=1,1,0)</f>
        <v>1</v>
      </c>
    </row>
    <row r="2735" customFormat="false" ht="15" hidden="false" customHeight="false" outlineLevel="0" collapsed="false">
      <c r="A2735" s="0" t="s">
        <v>616</v>
      </c>
      <c r="B2735" s="0" t="s">
        <v>140</v>
      </c>
      <c r="C2735" s="0" t="s">
        <v>141</v>
      </c>
      <c r="D2735" s="0" t="n">
        <v>13</v>
      </c>
      <c r="E2735" s="5" t="n">
        <v>45972.4667361111</v>
      </c>
      <c r="F2735" s="0" t="n">
        <v>2.08</v>
      </c>
      <c r="G2735" s="0" t="n">
        <v>17109</v>
      </c>
      <c r="H2735" s="6" t="s">
        <v>74</v>
      </c>
      <c r="I2735" s="6" t="n">
        <f aca="false">D2735*F2735</f>
        <v>27.04</v>
      </c>
      <c r="J2735" s="6" t="n">
        <f aca="false">HOUR(E2735)</f>
        <v>11</v>
      </c>
      <c r="K2735" s="6" t="n">
        <f aca="false">IF(COUNTIF($A$2:$A2735,A2735)=1,1,0)</f>
        <v>0</v>
      </c>
    </row>
    <row r="2736" customFormat="false" ht="15" hidden="false" customHeight="false" outlineLevel="0" collapsed="false">
      <c r="A2736" s="0" t="s">
        <v>616</v>
      </c>
      <c r="B2736" s="0" t="s">
        <v>134</v>
      </c>
      <c r="C2736" s="0" t="s">
        <v>135</v>
      </c>
      <c r="D2736" s="0" t="n">
        <v>12</v>
      </c>
      <c r="E2736" s="5" t="n">
        <v>45972.4667361111</v>
      </c>
      <c r="F2736" s="0" t="n">
        <v>5.95</v>
      </c>
      <c r="G2736" s="0" t="n">
        <v>17109</v>
      </c>
      <c r="H2736" s="6" t="s">
        <v>74</v>
      </c>
      <c r="I2736" s="6" t="n">
        <f aca="false">D2736*F2736</f>
        <v>71.4</v>
      </c>
      <c r="J2736" s="6" t="n">
        <f aca="false">HOUR(E2736)</f>
        <v>11</v>
      </c>
      <c r="K2736" s="6" t="n">
        <f aca="false">IF(COUNTIF($A$2:$A2736,A2736)=1,1,0)</f>
        <v>0</v>
      </c>
    </row>
    <row r="2737" customFormat="false" ht="15" hidden="false" customHeight="false" outlineLevel="0" collapsed="false">
      <c r="A2737" s="0" t="s">
        <v>616</v>
      </c>
      <c r="B2737" s="0" t="s">
        <v>53</v>
      </c>
      <c r="C2737" s="0" t="s">
        <v>54</v>
      </c>
      <c r="D2737" s="0" t="n">
        <v>5</v>
      </c>
      <c r="E2737" s="5" t="n">
        <v>45972.4667361111</v>
      </c>
      <c r="F2737" s="0" t="n">
        <v>2.95</v>
      </c>
      <c r="G2737" s="0" t="n">
        <v>17109</v>
      </c>
      <c r="H2737" s="6" t="s">
        <v>74</v>
      </c>
      <c r="I2737" s="6" t="n">
        <f aca="false">D2737*F2737</f>
        <v>14.75</v>
      </c>
      <c r="J2737" s="6" t="n">
        <f aca="false">HOUR(E2737)</f>
        <v>11</v>
      </c>
      <c r="K2737" s="6" t="n">
        <f aca="false">IF(COUNTIF($A$2:$A2737,A2737)=1,1,0)</f>
        <v>0</v>
      </c>
    </row>
    <row r="2738" customFormat="false" ht="15" hidden="false" customHeight="false" outlineLevel="0" collapsed="false">
      <c r="A2738" s="0" t="s">
        <v>616</v>
      </c>
      <c r="B2738" s="0" t="s">
        <v>86</v>
      </c>
      <c r="C2738" s="0" t="s">
        <v>87</v>
      </c>
      <c r="D2738" s="0" t="n">
        <v>21</v>
      </c>
      <c r="E2738" s="5" t="n">
        <v>45972.4667361111</v>
      </c>
      <c r="F2738" s="0" t="n">
        <v>4.25</v>
      </c>
      <c r="G2738" s="0" t="n">
        <v>17109</v>
      </c>
      <c r="H2738" s="6" t="s">
        <v>74</v>
      </c>
      <c r="I2738" s="6" t="n">
        <f aca="false">D2738*F2738</f>
        <v>89.25</v>
      </c>
      <c r="J2738" s="6" t="n">
        <f aca="false">HOUR(E2738)</f>
        <v>11</v>
      </c>
      <c r="K2738" s="6" t="n">
        <f aca="false">IF(COUNTIF($A$2:$A2738,A2738)=1,1,0)</f>
        <v>0</v>
      </c>
    </row>
    <row r="2739" customFormat="false" ht="15" hidden="false" customHeight="false" outlineLevel="0" collapsed="false">
      <c r="A2739" s="0" t="s">
        <v>616</v>
      </c>
      <c r="B2739" s="0" t="s">
        <v>104</v>
      </c>
      <c r="C2739" s="0" t="s">
        <v>105</v>
      </c>
      <c r="D2739" s="0" t="n">
        <v>10</v>
      </c>
      <c r="E2739" s="5" t="n">
        <v>45972.4667361111</v>
      </c>
      <c r="F2739" s="0" t="n">
        <v>1.65</v>
      </c>
      <c r="G2739" s="0" t="n">
        <v>17109</v>
      </c>
      <c r="H2739" s="6" t="s">
        <v>74</v>
      </c>
      <c r="I2739" s="6" t="n">
        <f aca="false">D2739*F2739</f>
        <v>16.5</v>
      </c>
      <c r="J2739" s="6" t="n">
        <f aca="false">HOUR(E2739)</f>
        <v>11</v>
      </c>
      <c r="K2739" s="6" t="n">
        <f aca="false">IF(COUNTIF($A$2:$A2739,A2739)=1,1,0)</f>
        <v>0</v>
      </c>
    </row>
    <row r="2740" customFormat="false" ht="15" hidden="false" customHeight="false" outlineLevel="0" collapsed="false">
      <c r="A2740" s="0" t="s">
        <v>616</v>
      </c>
      <c r="B2740" s="0" t="s">
        <v>127</v>
      </c>
      <c r="C2740" s="0" t="s">
        <v>128</v>
      </c>
      <c r="D2740" s="0" t="n">
        <v>3</v>
      </c>
      <c r="E2740" s="5" t="n">
        <v>45972.4667361111</v>
      </c>
      <c r="F2740" s="0" t="n">
        <v>1.45</v>
      </c>
      <c r="G2740" s="0" t="n">
        <v>17109</v>
      </c>
      <c r="H2740" s="6" t="s">
        <v>74</v>
      </c>
      <c r="I2740" s="6" t="n">
        <f aca="false">D2740*F2740</f>
        <v>4.35</v>
      </c>
      <c r="J2740" s="6" t="n">
        <f aca="false">HOUR(E2740)</f>
        <v>11</v>
      </c>
      <c r="K2740" s="6" t="n">
        <f aca="false">IF(COUNTIF($A$2:$A2740,A2740)=1,1,0)</f>
        <v>0</v>
      </c>
    </row>
    <row r="2741" customFormat="false" ht="15" hidden="false" customHeight="false" outlineLevel="0" collapsed="false">
      <c r="A2741" s="0" t="s">
        <v>617</v>
      </c>
      <c r="B2741" s="0" t="s">
        <v>43</v>
      </c>
      <c r="C2741" s="0" t="s">
        <v>44</v>
      </c>
      <c r="D2741" s="0" t="n">
        <v>19</v>
      </c>
      <c r="E2741" s="5" t="n">
        <v>45972.5376967593</v>
      </c>
      <c r="F2741" s="0" t="n">
        <v>4.25</v>
      </c>
      <c r="G2741" s="0" t="n">
        <v>17214</v>
      </c>
      <c r="H2741" s="6" t="s">
        <v>74</v>
      </c>
      <c r="I2741" s="6" t="n">
        <f aca="false">D2741*F2741</f>
        <v>80.75</v>
      </c>
      <c r="J2741" s="6" t="n">
        <f aca="false">HOUR(E2741)</f>
        <v>12</v>
      </c>
      <c r="K2741" s="6" t="n">
        <f aca="false">IF(COUNTIF($A$2:$A2741,A2741)=1,1,0)</f>
        <v>1</v>
      </c>
    </row>
    <row r="2742" customFormat="false" ht="15" hidden="false" customHeight="false" outlineLevel="0" collapsed="false">
      <c r="A2742" s="0" t="s">
        <v>617</v>
      </c>
      <c r="B2742" s="0" t="s">
        <v>93</v>
      </c>
      <c r="C2742" s="0" t="s">
        <v>94</v>
      </c>
      <c r="D2742" s="0" t="n">
        <v>4</v>
      </c>
      <c r="E2742" s="5" t="n">
        <v>45972.5376967593</v>
      </c>
      <c r="F2742" s="0" t="n">
        <v>1.69</v>
      </c>
      <c r="G2742" s="0" t="n">
        <v>17214</v>
      </c>
      <c r="H2742" s="6" t="s">
        <v>74</v>
      </c>
      <c r="I2742" s="6" t="n">
        <f aca="false">D2742*F2742</f>
        <v>6.76</v>
      </c>
      <c r="J2742" s="6" t="n">
        <f aca="false">HOUR(E2742)</f>
        <v>12</v>
      </c>
      <c r="K2742" s="6" t="n">
        <f aca="false">IF(COUNTIF($A$2:$A2742,A2742)=1,1,0)</f>
        <v>0</v>
      </c>
    </row>
    <row r="2743" customFormat="false" ht="15" hidden="false" customHeight="false" outlineLevel="0" collapsed="false">
      <c r="A2743" s="0" t="s">
        <v>618</v>
      </c>
      <c r="B2743" s="0" t="s">
        <v>53</v>
      </c>
      <c r="C2743" s="0" t="s">
        <v>54</v>
      </c>
      <c r="D2743" s="0" t="n">
        <v>7</v>
      </c>
      <c r="E2743" s="5" t="n">
        <v>45972.5663194444</v>
      </c>
      <c r="F2743" s="0" t="n">
        <v>2.95</v>
      </c>
      <c r="G2743" s="0" t="n">
        <v>17147</v>
      </c>
      <c r="H2743" s="6" t="s">
        <v>74</v>
      </c>
      <c r="I2743" s="6" t="n">
        <f aca="false">D2743*F2743</f>
        <v>20.65</v>
      </c>
      <c r="J2743" s="6" t="n">
        <f aca="false">HOUR(E2743)</f>
        <v>13</v>
      </c>
      <c r="K2743" s="6" t="n">
        <f aca="false">IF(COUNTIF($A$2:$A2743,A2743)=1,1,0)</f>
        <v>1</v>
      </c>
    </row>
    <row r="2744" customFormat="false" ht="15" hidden="false" customHeight="false" outlineLevel="0" collapsed="false">
      <c r="A2744" s="0" t="s">
        <v>619</v>
      </c>
      <c r="B2744" s="0" t="s">
        <v>75</v>
      </c>
      <c r="C2744" s="0" t="s">
        <v>76</v>
      </c>
      <c r="D2744" s="0" t="n">
        <v>13</v>
      </c>
      <c r="E2744" s="5" t="n">
        <v>45972.6352893519</v>
      </c>
      <c r="F2744" s="0" t="n">
        <v>3.39</v>
      </c>
      <c r="G2744" s="0" t="n">
        <v>17211</v>
      </c>
      <c r="H2744" s="6" t="s">
        <v>74</v>
      </c>
      <c r="I2744" s="6" t="n">
        <f aca="false">D2744*F2744</f>
        <v>44.07</v>
      </c>
      <c r="J2744" s="6" t="n">
        <f aca="false">HOUR(E2744)</f>
        <v>15</v>
      </c>
      <c r="K2744" s="6" t="n">
        <f aca="false">IF(COUNTIF($A$2:$A2744,A2744)=1,1,0)</f>
        <v>1</v>
      </c>
    </row>
    <row r="2745" customFormat="false" ht="15" hidden="false" customHeight="false" outlineLevel="0" collapsed="false">
      <c r="A2745" s="0" t="s">
        <v>619</v>
      </c>
      <c r="B2745" s="0" t="s">
        <v>59</v>
      </c>
      <c r="C2745" s="0" t="s">
        <v>60</v>
      </c>
      <c r="D2745" s="0" t="n">
        <v>20</v>
      </c>
      <c r="E2745" s="5" t="n">
        <v>45972.6352893519</v>
      </c>
      <c r="F2745" s="0" t="n">
        <v>0.42</v>
      </c>
      <c r="G2745" s="0" t="n">
        <v>17211</v>
      </c>
      <c r="H2745" s="6" t="s">
        <v>74</v>
      </c>
      <c r="I2745" s="6" t="n">
        <f aca="false">D2745*F2745</f>
        <v>8.4</v>
      </c>
      <c r="J2745" s="6" t="n">
        <f aca="false">HOUR(E2745)</f>
        <v>15</v>
      </c>
      <c r="K2745" s="6" t="n">
        <f aca="false">IF(COUNTIF($A$2:$A2745,A2745)=1,1,0)</f>
        <v>0</v>
      </c>
    </row>
    <row r="2746" customFormat="false" ht="15" hidden="false" customHeight="false" outlineLevel="0" collapsed="false">
      <c r="A2746" s="0" t="s">
        <v>619</v>
      </c>
      <c r="B2746" s="0" t="s">
        <v>69</v>
      </c>
      <c r="C2746" s="0" t="s">
        <v>70</v>
      </c>
      <c r="D2746" s="0" t="n">
        <v>33</v>
      </c>
      <c r="E2746" s="5" t="n">
        <v>45972.6352893519</v>
      </c>
      <c r="F2746" s="0" t="n">
        <v>2.08</v>
      </c>
      <c r="G2746" s="0" t="n">
        <v>17211</v>
      </c>
      <c r="H2746" s="6" t="s">
        <v>74</v>
      </c>
      <c r="I2746" s="6" t="n">
        <f aca="false">D2746*F2746</f>
        <v>68.64</v>
      </c>
      <c r="J2746" s="6" t="n">
        <f aca="false">HOUR(E2746)</f>
        <v>15</v>
      </c>
      <c r="K2746" s="6" t="n">
        <f aca="false">IF(COUNTIF($A$2:$A2746,A2746)=1,1,0)</f>
        <v>0</v>
      </c>
    </row>
    <row r="2747" customFormat="false" ht="15" hidden="false" customHeight="false" outlineLevel="0" collapsed="false">
      <c r="A2747" s="0" t="s">
        <v>619</v>
      </c>
      <c r="B2747" s="0" t="s">
        <v>83</v>
      </c>
      <c r="C2747" s="0" t="s">
        <v>84</v>
      </c>
      <c r="D2747" s="0" t="n">
        <v>15</v>
      </c>
      <c r="E2747" s="5" t="n">
        <v>45972.6352893519</v>
      </c>
      <c r="F2747" s="0" t="n">
        <v>2.95</v>
      </c>
      <c r="G2747" s="0" t="n">
        <v>17211</v>
      </c>
      <c r="H2747" s="6" t="s">
        <v>74</v>
      </c>
      <c r="I2747" s="6" t="n">
        <f aca="false">D2747*F2747</f>
        <v>44.25</v>
      </c>
      <c r="J2747" s="6" t="n">
        <f aca="false">HOUR(E2747)</f>
        <v>15</v>
      </c>
      <c r="K2747" s="6" t="n">
        <f aca="false">IF(COUNTIF($A$2:$A2747,A2747)=1,1,0)</f>
        <v>0</v>
      </c>
    </row>
    <row r="2748" customFormat="false" ht="15" hidden="false" customHeight="false" outlineLevel="0" collapsed="false">
      <c r="A2748" s="0" t="s">
        <v>620</v>
      </c>
      <c r="B2748" s="0" t="s">
        <v>137</v>
      </c>
      <c r="C2748" s="0" t="s">
        <v>138</v>
      </c>
      <c r="D2748" s="0" t="n">
        <v>1</v>
      </c>
      <c r="E2748" s="5" t="n">
        <v>45972.6834027778</v>
      </c>
      <c r="F2748" s="0" t="n">
        <v>2.1</v>
      </c>
      <c r="G2748" s="0" t="n">
        <v>17004</v>
      </c>
      <c r="H2748" s="6" t="s">
        <v>42</v>
      </c>
      <c r="I2748" s="6" t="n">
        <f aca="false">D2748*F2748</f>
        <v>2.1</v>
      </c>
      <c r="J2748" s="6" t="n">
        <f aca="false">HOUR(E2748)</f>
        <v>16</v>
      </c>
      <c r="K2748" s="6" t="n">
        <f aca="false">IF(COUNTIF($A$2:$A2748,A2748)=1,1,0)</f>
        <v>1</v>
      </c>
    </row>
    <row r="2749" customFormat="false" ht="15" hidden="false" customHeight="false" outlineLevel="0" collapsed="false">
      <c r="A2749" s="0" t="s">
        <v>621</v>
      </c>
      <c r="B2749" s="0" t="s">
        <v>83</v>
      </c>
      <c r="C2749" s="0" t="s">
        <v>84</v>
      </c>
      <c r="D2749" s="0" t="n">
        <v>21</v>
      </c>
      <c r="E2749" s="5" t="n">
        <v>45972.7187847222</v>
      </c>
      <c r="F2749" s="0" t="n">
        <v>2.95</v>
      </c>
      <c r="G2749" s="0" t="n">
        <v>17250</v>
      </c>
      <c r="H2749" s="6" t="s">
        <v>74</v>
      </c>
      <c r="I2749" s="6" t="n">
        <f aca="false">D2749*F2749</f>
        <v>61.95</v>
      </c>
      <c r="J2749" s="6" t="n">
        <f aca="false">HOUR(E2749)</f>
        <v>17</v>
      </c>
      <c r="K2749" s="6" t="n">
        <f aca="false">IF(COUNTIF($A$2:$A2749,A2749)=1,1,0)</f>
        <v>1</v>
      </c>
    </row>
    <row r="2750" customFormat="false" ht="15" hidden="false" customHeight="false" outlineLevel="0" collapsed="false">
      <c r="A2750" s="0" t="s">
        <v>621</v>
      </c>
      <c r="B2750" s="0" t="s">
        <v>116</v>
      </c>
      <c r="C2750" s="0" t="s">
        <v>117</v>
      </c>
      <c r="D2750" s="0" t="n">
        <v>12</v>
      </c>
      <c r="E2750" s="5" t="n">
        <v>45972.7187847222</v>
      </c>
      <c r="F2750" s="0" t="n">
        <v>1.95</v>
      </c>
      <c r="G2750" s="0" t="n">
        <v>17250</v>
      </c>
      <c r="H2750" s="6" t="s">
        <v>74</v>
      </c>
      <c r="I2750" s="6" t="n">
        <f aca="false">D2750*F2750</f>
        <v>23.4</v>
      </c>
      <c r="J2750" s="6" t="n">
        <f aca="false">HOUR(E2750)</f>
        <v>17</v>
      </c>
      <c r="K2750" s="6" t="n">
        <f aca="false">IF(COUNTIF($A$2:$A2750,A2750)=1,1,0)</f>
        <v>0</v>
      </c>
    </row>
    <row r="2751" customFormat="false" ht="15" hidden="false" customHeight="false" outlineLevel="0" collapsed="false">
      <c r="A2751" s="0" t="s">
        <v>621</v>
      </c>
      <c r="B2751" s="0" t="s">
        <v>75</v>
      </c>
      <c r="C2751" s="0" t="s">
        <v>76</v>
      </c>
      <c r="D2751" s="0" t="n">
        <v>15</v>
      </c>
      <c r="E2751" s="5" t="n">
        <v>45972.7187847222</v>
      </c>
      <c r="F2751" s="0" t="n">
        <v>3.39</v>
      </c>
      <c r="G2751" s="0" t="n">
        <v>17250</v>
      </c>
      <c r="H2751" s="6" t="s">
        <v>74</v>
      </c>
      <c r="I2751" s="6" t="n">
        <f aca="false">D2751*F2751</f>
        <v>50.85</v>
      </c>
      <c r="J2751" s="6" t="n">
        <f aca="false">HOUR(E2751)</f>
        <v>17</v>
      </c>
      <c r="K2751" s="6" t="n">
        <f aca="false">IF(COUNTIF($A$2:$A2751,A2751)=1,1,0)</f>
        <v>0</v>
      </c>
    </row>
    <row r="2752" customFormat="false" ht="15" hidden="false" customHeight="false" outlineLevel="0" collapsed="false">
      <c r="A2752" s="0" t="s">
        <v>621</v>
      </c>
      <c r="B2752" s="0" t="s">
        <v>91</v>
      </c>
      <c r="C2752" s="0" t="s">
        <v>92</v>
      </c>
      <c r="D2752" s="0" t="n">
        <v>13</v>
      </c>
      <c r="E2752" s="5" t="n">
        <v>45972.7187847222</v>
      </c>
      <c r="F2752" s="0" t="n">
        <v>7.65</v>
      </c>
      <c r="G2752" s="0" t="n">
        <v>17250</v>
      </c>
      <c r="H2752" s="6" t="s">
        <v>74</v>
      </c>
      <c r="I2752" s="6" t="n">
        <f aca="false">D2752*F2752</f>
        <v>99.45</v>
      </c>
      <c r="J2752" s="6" t="n">
        <f aca="false">HOUR(E2752)</f>
        <v>17</v>
      </c>
      <c r="K2752" s="6" t="n">
        <f aca="false">IF(COUNTIF($A$2:$A2752,A2752)=1,1,0)</f>
        <v>0</v>
      </c>
    </row>
    <row r="2753" customFormat="false" ht="15" hidden="false" customHeight="false" outlineLevel="0" collapsed="false">
      <c r="A2753" s="0" t="s">
        <v>622</v>
      </c>
      <c r="B2753" s="0" t="s">
        <v>47</v>
      </c>
      <c r="C2753" s="0" t="s">
        <v>48</v>
      </c>
      <c r="D2753" s="0" t="n">
        <v>8</v>
      </c>
      <c r="E2753" s="5" t="n">
        <v>45972.7331018519</v>
      </c>
      <c r="F2753" s="0" t="n">
        <v>12.75</v>
      </c>
      <c r="G2753" s="0" t="n">
        <v>17202</v>
      </c>
      <c r="H2753" s="6" t="s">
        <v>74</v>
      </c>
      <c r="I2753" s="6" t="n">
        <f aca="false">D2753*F2753</f>
        <v>102</v>
      </c>
      <c r="J2753" s="6" t="n">
        <f aca="false">HOUR(E2753)</f>
        <v>17</v>
      </c>
      <c r="K2753" s="6" t="n">
        <f aca="false">IF(COUNTIF($A$2:$A2753,A2753)=1,1,0)</f>
        <v>1</v>
      </c>
    </row>
    <row r="2754" customFormat="false" ht="15" hidden="false" customHeight="false" outlineLevel="0" collapsed="false">
      <c r="A2754" s="0" t="s">
        <v>622</v>
      </c>
      <c r="B2754" s="0" t="s">
        <v>86</v>
      </c>
      <c r="C2754" s="0" t="s">
        <v>87</v>
      </c>
      <c r="D2754" s="0" t="n">
        <v>9</v>
      </c>
      <c r="E2754" s="5" t="n">
        <v>45972.7331018519</v>
      </c>
      <c r="F2754" s="0" t="n">
        <v>4.25</v>
      </c>
      <c r="G2754" s="0" t="n">
        <v>17202</v>
      </c>
      <c r="H2754" s="6" t="s">
        <v>74</v>
      </c>
      <c r="I2754" s="6" t="n">
        <f aca="false">D2754*F2754</f>
        <v>38.25</v>
      </c>
      <c r="J2754" s="6" t="n">
        <f aca="false">HOUR(E2754)</f>
        <v>17</v>
      </c>
      <c r="K2754" s="6" t="n">
        <f aca="false">IF(COUNTIF($A$2:$A2754,A2754)=1,1,0)</f>
        <v>0</v>
      </c>
    </row>
    <row r="2755" customFormat="false" ht="15" hidden="false" customHeight="false" outlineLevel="0" collapsed="false">
      <c r="A2755" s="0" t="s">
        <v>622</v>
      </c>
      <c r="B2755" s="0" t="s">
        <v>63</v>
      </c>
      <c r="D2755" s="0" t="n">
        <v>21</v>
      </c>
      <c r="E2755" s="5" t="n">
        <v>45972.7331018519</v>
      </c>
      <c r="F2755" s="0" t="n">
        <v>1.85</v>
      </c>
      <c r="G2755" s="0" t="n">
        <v>17202</v>
      </c>
      <c r="H2755" s="6" t="s">
        <v>74</v>
      </c>
      <c r="I2755" s="6" t="n">
        <f aca="false">D2755*F2755</f>
        <v>38.85</v>
      </c>
      <c r="J2755" s="6" t="n">
        <f aca="false">HOUR(E2755)</f>
        <v>17</v>
      </c>
      <c r="K2755" s="6" t="n">
        <f aca="false">IF(COUNTIF($A$2:$A2755,A2755)=1,1,0)</f>
        <v>0</v>
      </c>
    </row>
    <row r="2756" customFormat="false" ht="15" hidden="false" customHeight="false" outlineLevel="0" collapsed="false">
      <c r="A2756" s="0" t="s">
        <v>622</v>
      </c>
      <c r="B2756" s="0" t="s">
        <v>140</v>
      </c>
      <c r="C2756" s="0" t="s">
        <v>141</v>
      </c>
      <c r="D2756" s="0" t="n">
        <v>7</v>
      </c>
      <c r="E2756" s="5" t="n">
        <v>45972.7331018519</v>
      </c>
      <c r="F2756" s="0" t="n">
        <v>2.08</v>
      </c>
      <c r="G2756" s="0" t="n">
        <v>17202</v>
      </c>
      <c r="H2756" s="6" t="s">
        <v>74</v>
      </c>
      <c r="I2756" s="6" t="n">
        <f aca="false">D2756*F2756</f>
        <v>14.56</v>
      </c>
      <c r="J2756" s="6" t="n">
        <f aca="false">HOUR(E2756)</f>
        <v>17</v>
      </c>
      <c r="K2756" s="6" t="n">
        <f aca="false">IF(COUNTIF($A$2:$A2756,A2756)=1,1,0)</f>
        <v>0</v>
      </c>
    </row>
    <row r="2757" customFormat="false" ht="15" hidden="false" customHeight="false" outlineLevel="0" collapsed="false">
      <c r="A2757" s="0" t="s">
        <v>622</v>
      </c>
      <c r="B2757" s="0" t="s">
        <v>137</v>
      </c>
      <c r="C2757" s="0" t="s">
        <v>138</v>
      </c>
      <c r="D2757" s="0" t="n">
        <v>20</v>
      </c>
      <c r="E2757" s="5" t="n">
        <v>45972.7331018519</v>
      </c>
      <c r="F2757" s="0" t="n">
        <v>2.1</v>
      </c>
      <c r="G2757" s="0" t="n">
        <v>17202</v>
      </c>
      <c r="H2757" s="6" t="s">
        <v>74</v>
      </c>
      <c r="I2757" s="6" t="n">
        <f aca="false">D2757*F2757</f>
        <v>42</v>
      </c>
      <c r="J2757" s="6" t="n">
        <f aca="false">HOUR(E2757)</f>
        <v>17</v>
      </c>
      <c r="K2757" s="6" t="n">
        <f aca="false">IF(COUNTIF($A$2:$A2757,A2757)=1,1,0)</f>
        <v>0</v>
      </c>
    </row>
    <row r="2758" customFormat="false" ht="15" hidden="false" customHeight="false" outlineLevel="0" collapsed="false">
      <c r="A2758" s="0" t="s">
        <v>622</v>
      </c>
      <c r="B2758" s="0" t="s">
        <v>45</v>
      </c>
      <c r="C2758" s="0" t="s">
        <v>46</v>
      </c>
      <c r="D2758" s="0" t="n">
        <v>8</v>
      </c>
      <c r="E2758" s="5" t="n">
        <v>45972.7331018519</v>
      </c>
      <c r="F2758" s="0" t="n">
        <v>2.1</v>
      </c>
      <c r="G2758" s="0" t="n">
        <v>17202</v>
      </c>
      <c r="H2758" s="6" t="s">
        <v>74</v>
      </c>
      <c r="I2758" s="6" t="n">
        <f aca="false">D2758*F2758</f>
        <v>16.8</v>
      </c>
      <c r="J2758" s="6" t="n">
        <f aca="false">HOUR(E2758)</f>
        <v>17</v>
      </c>
      <c r="K2758" s="6" t="n">
        <f aca="false">IF(COUNTIF($A$2:$A2758,A2758)=1,1,0)</f>
        <v>0</v>
      </c>
    </row>
    <row r="2759" customFormat="false" ht="15" hidden="false" customHeight="false" outlineLevel="0" collapsed="false">
      <c r="A2759" s="0" t="s">
        <v>622</v>
      </c>
      <c r="B2759" s="0" t="s">
        <v>59</v>
      </c>
      <c r="C2759" s="0" t="s">
        <v>60</v>
      </c>
      <c r="D2759" s="0" t="n">
        <v>13</v>
      </c>
      <c r="E2759" s="5" t="n">
        <v>45972.7331018519</v>
      </c>
      <c r="F2759" s="0" t="n">
        <v>0.42</v>
      </c>
      <c r="G2759" s="0" t="n">
        <v>17202</v>
      </c>
      <c r="H2759" s="6" t="s">
        <v>74</v>
      </c>
      <c r="I2759" s="6" t="n">
        <f aca="false">D2759*F2759</f>
        <v>5.46</v>
      </c>
      <c r="J2759" s="6" t="n">
        <f aca="false">HOUR(E2759)</f>
        <v>17</v>
      </c>
      <c r="K2759" s="6" t="n">
        <f aca="false">IF(COUNTIF($A$2:$A2759,A2759)=1,1,0)</f>
        <v>0</v>
      </c>
    </row>
    <row r="2760" customFormat="false" ht="15" hidden="false" customHeight="false" outlineLevel="0" collapsed="false">
      <c r="A2760" s="0" t="s">
        <v>623</v>
      </c>
      <c r="B2760" s="0" t="s">
        <v>109</v>
      </c>
      <c r="C2760" s="0" t="s">
        <v>110</v>
      </c>
      <c r="D2760" s="0" t="n">
        <v>4</v>
      </c>
      <c r="E2760" s="5" t="n">
        <v>45972.8268518519</v>
      </c>
      <c r="F2760" s="0" t="n">
        <v>0.85</v>
      </c>
      <c r="G2760" s="0" t="n">
        <v>17121</v>
      </c>
      <c r="H2760" s="6" t="s">
        <v>74</v>
      </c>
      <c r="I2760" s="6" t="n">
        <f aca="false">D2760*F2760</f>
        <v>3.4</v>
      </c>
      <c r="J2760" s="6" t="n">
        <f aca="false">HOUR(E2760)</f>
        <v>19</v>
      </c>
      <c r="K2760" s="6" t="n">
        <f aca="false">IF(COUNTIF($A$2:$A2760,A2760)=1,1,0)</f>
        <v>1</v>
      </c>
    </row>
    <row r="2761" customFormat="false" ht="15" hidden="false" customHeight="false" outlineLevel="0" collapsed="false">
      <c r="A2761" s="0" t="s">
        <v>623</v>
      </c>
      <c r="B2761" s="0" t="s">
        <v>83</v>
      </c>
      <c r="C2761" s="0" t="s">
        <v>84</v>
      </c>
      <c r="D2761" s="0" t="n">
        <v>3</v>
      </c>
      <c r="E2761" s="5" t="n">
        <v>45972.8268518519</v>
      </c>
      <c r="F2761" s="0" t="n">
        <v>2.95</v>
      </c>
      <c r="G2761" s="0" t="n">
        <v>17121</v>
      </c>
      <c r="H2761" s="6" t="s">
        <v>74</v>
      </c>
      <c r="I2761" s="6" t="n">
        <f aca="false">D2761*F2761</f>
        <v>8.85</v>
      </c>
      <c r="J2761" s="6" t="n">
        <f aca="false">HOUR(E2761)</f>
        <v>19</v>
      </c>
      <c r="K2761" s="6" t="n">
        <f aca="false">IF(COUNTIF($A$2:$A2761,A2761)=1,1,0)</f>
        <v>0</v>
      </c>
    </row>
    <row r="2762" customFormat="false" ht="15" hidden="false" customHeight="false" outlineLevel="0" collapsed="false">
      <c r="A2762" s="0" t="s">
        <v>623</v>
      </c>
      <c r="B2762" s="0" t="s">
        <v>125</v>
      </c>
      <c r="C2762" s="0" t="s">
        <v>126</v>
      </c>
      <c r="D2762" s="0" t="n">
        <v>5</v>
      </c>
      <c r="E2762" s="5" t="n">
        <v>45972.8268518519</v>
      </c>
      <c r="F2762" s="0" t="n">
        <v>1.25</v>
      </c>
      <c r="G2762" s="0" t="n">
        <v>17121</v>
      </c>
      <c r="H2762" s="6" t="s">
        <v>74</v>
      </c>
      <c r="I2762" s="6" t="n">
        <f aca="false">D2762*F2762</f>
        <v>6.25</v>
      </c>
      <c r="J2762" s="6" t="n">
        <f aca="false">HOUR(E2762)</f>
        <v>19</v>
      </c>
      <c r="K2762" s="6" t="n">
        <f aca="false">IF(COUNTIF($A$2:$A2762,A2762)=1,1,0)</f>
        <v>0</v>
      </c>
    </row>
    <row r="2763" customFormat="false" ht="15" hidden="false" customHeight="false" outlineLevel="0" collapsed="false">
      <c r="A2763" s="0" t="s">
        <v>623</v>
      </c>
      <c r="B2763" s="0" t="s">
        <v>79</v>
      </c>
      <c r="C2763" s="0" t="s">
        <v>80</v>
      </c>
      <c r="D2763" s="0" t="n">
        <v>15</v>
      </c>
      <c r="E2763" s="5" t="n">
        <v>45972.8268518519</v>
      </c>
      <c r="F2763" s="0" t="n">
        <v>3.39</v>
      </c>
      <c r="G2763" s="0" t="n">
        <v>17121</v>
      </c>
      <c r="H2763" s="6" t="s">
        <v>74</v>
      </c>
      <c r="I2763" s="6" t="n">
        <f aca="false">D2763*F2763</f>
        <v>50.85</v>
      </c>
      <c r="J2763" s="6" t="n">
        <f aca="false">HOUR(E2763)</f>
        <v>19</v>
      </c>
      <c r="K2763" s="6" t="n">
        <f aca="false">IF(COUNTIF($A$2:$A2763,A2763)=1,1,0)</f>
        <v>0</v>
      </c>
    </row>
    <row r="2764" customFormat="false" ht="15" hidden="false" customHeight="false" outlineLevel="0" collapsed="false">
      <c r="A2764" s="0" t="s">
        <v>624</v>
      </c>
      <c r="B2764" s="0" t="s">
        <v>65</v>
      </c>
      <c r="C2764" s="0" t="s">
        <v>66</v>
      </c>
      <c r="D2764" s="0" t="n">
        <v>15</v>
      </c>
      <c r="E2764" s="5" t="n">
        <v>45972.8630439815</v>
      </c>
      <c r="F2764" s="0" t="n">
        <v>1.65</v>
      </c>
      <c r="H2764" s="6" t="s">
        <v>113</v>
      </c>
      <c r="I2764" s="6" t="n">
        <f aca="false">D2764*F2764</f>
        <v>24.75</v>
      </c>
      <c r="J2764" s="6" t="n">
        <f aca="false">HOUR(E2764)</f>
        <v>20</v>
      </c>
      <c r="K2764" s="6" t="n">
        <f aca="false">IF(COUNTIF($A$2:$A2764,A2764)=1,1,0)</f>
        <v>1</v>
      </c>
    </row>
    <row r="2765" customFormat="false" ht="15" hidden="false" customHeight="false" outlineLevel="0" collapsed="false">
      <c r="A2765" s="0" t="s">
        <v>624</v>
      </c>
      <c r="B2765" s="0" t="s">
        <v>83</v>
      </c>
      <c r="C2765" s="0" t="s">
        <v>84</v>
      </c>
      <c r="D2765" s="0" t="n">
        <v>22</v>
      </c>
      <c r="E2765" s="5" t="n">
        <v>45972.8630439815</v>
      </c>
      <c r="F2765" s="0" t="n">
        <v>2.95</v>
      </c>
      <c r="H2765" s="6" t="s">
        <v>113</v>
      </c>
      <c r="I2765" s="6" t="n">
        <f aca="false">D2765*F2765</f>
        <v>64.9</v>
      </c>
      <c r="J2765" s="6" t="n">
        <f aca="false">HOUR(E2765)</f>
        <v>20</v>
      </c>
      <c r="K2765" s="6" t="n">
        <f aca="false">IF(COUNTIF($A$2:$A2765,A2765)=1,1,0)</f>
        <v>0</v>
      </c>
    </row>
    <row r="2766" customFormat="false" ht="15" hidden="false" customHeight="false" outlineLevel="0" collapsed="false">
      <c r="A2766" s="0" t="s">
        <v>624</v>
      </c>
      <c r="B2766" s="0" t="s">
        <v>145</v>
      </c>
      <c r="C2766" s="0" t="s">
        <v>146</v>
      </c>
      <c r="D2766" s="0" t="n">
        <v>22</v>
      </c>
      <c r="E2766" s="5" t="n">
        <v>45972.8630439815</v>
      </c>
      <c r="F2766" s="0" t="n">
        <v>1.85</v>
      </c>
      <c r="H2766" s="6" t="s">
        <v>113</v>
      </c>
      <c r="I2766" s="6" t="n">
        <f aca="false">D2766*F2766</f>
        <v>40.7</v>
      </c>
      <c r="J2766" s="6" t="n">
        <f aca="false">HOUR(E2766)</f>
        <v>20</v>
      </c>
      <c r="K2766" s="6" t="n">
        <f aca="false">IF(COUNTIF($A$2:$A2766,A2766)=1,1,0)</f>
        <v>0</v>
      </c>
    </row>
    <row r="2767" customFormat="false" ht="15" hidden="false" customHeight="false" outlineLevel="0" collapsed="false">
      <c r="A2767" s="0" t="s">
        <v>624</v>
      </c>
      <c r="B2767" s="0" t="s">
        <v>86</v>
      </c>
      <c r="C2767" s="0" t="s">
        <v>87</v>
      </c>
      <c r="D2767" s="0" t="n">
        <v>21</v>
      </c>
      <c r="E2767" s="5" t="n">
        <v>45972.8630439815</v>
      </c>
      <c r="F2767" s="0" t="n">
        <v>4.25</v>
      </c>
      <c r="H2767" s="6" t="s">
        <v>113</v>
      </c>
      <c r="I2767" s="6" t="n">
        <f aca="false">D2767*F2767</f>
        <v>89.25</v>
      </c>
      <c r="J2767" s="6" t="n">
        <f aca="false">HOUR(E2767)</f>
        <v>20</v>
      </c>
      <c r="K2767" s="6" t="n">
        <f aca="false">IF(COUNTIF($A$2:$A2767,A2767)=1,1,0)</f>
        <v>0</v>
      </c>
    </row>
    <row r="2768" customFormat="false" ht="15" hidden="false" customHeight="false" outlineLevel="0" collapsed="false">
      <c r="A2768" s="0" t="s">
        <v>624</v>
      </c>
      <c r="B2768" s="0" t="s">
        <v>104</v>
      </c>
      <c r="C2768" s="0" t="s">
        <v>105</v>
      </c>
      <c r="D2768" s="0" t="n">
        <v>4</v>
      </c>
      <c r="E2768" s="5" t="n">
        <v>45972.8630439815</v>
      </c>
      <c r="F2768" s="0" t="n">
        <v>1.65</v>
      </c>
      <c r="H2768" s="6" t="s">
        <v>113</v>
      </c>
      <c r="I2768" s="6" t="n">
        <f aca="false">D2768*F2768</f>
        <v>6.6</v>
      </c>
      <c r="J2768" s="6" t="n">
        <f aca="false">HOUR(E2768)</f>
        <v>20</v>
      </c>
      <c r="K2768" s="6" t="n">
        <f aca="false">IF(COUNTIF($A$2:$A2768,A2768)=1,1,0)</f>
        <v>0</v>
      </c>
    </row>
    <row r="2769" customFormat="false" ht="15" hidden="false" customHeight="false" outlineLevel="0" collapsed="false">
      <c r="A2769" s="0" t="s">
        <v>624</v>
      </c>
      <c r="B2769" s="0" t="s">
        <v>79</v>
      </c>
      <c r="C2769" s="0" t="s">
        <v>80</v>
      </c>
      <c r="D2769" s="0" t="n">
        <v>15</v>
      </c>
      <c r="E2769" s="5" t="n">
        <v>45972.8630439815</v>
      </c>
      <c r="F2769" s="0" t="n">
        <v>3.39</v>
      </c>
      <c r="H2769" s="6" t="s">
        <v>113</v>
      </c>
      <c r="I2769" s="6" t="n">
        <f aca="false">D2769*F2769</f>
        <v>50.85</v>
      </c>
      <c r="J2769" s="6" t="n">
        <f aca="false">HOUR(E2769)</f>
        <v>20</v>
      </c>
      <c r="K2769" s="6" t="n">
        <f aca="false">IF(COUNTIF($A$2:$A2769,A2769)=1,1,0)</f>
        <v>0</v>
      </c>
    </row>
    <row r="2770" customFormat="false" ht="15" hidden="false" customHeight="false" outlineLevel="0" collapsed="false">
      <c r="A2770" s="0" t="s">
        <v>624</v>
      </c>
      <c r="B2770" s="0" t="s">
        <v>77</v>
      </c>
      <c r="C2770" s="0" t="s">
        <v>78</v>
      </c>
      <c r="D2770" s="0" t="n">
        <v>22</v>
      </c>
      <c r="E2770" s="5" t="n">
        <v>45972.8630439815</v>
      </c>
      <c r="F2770" s="0" t="n">
        <v>1.65</v>
      </c>
      <c r="H2770" s="6" t="s">
        <v>113</v>
      </c>
      <c r="I2770" s="6" t="n">
        <f aca="false">D2770*F2770</f>
        <v>36.3</v>
      </c>
      <c r="J2770" s="6" t="n">
        <f aca="false">HOUR(E2770)</f>
        <v>20</v>
      </c>
      <c r="K2770" s="6" t="n">
        <f aca="false">IF(COUNTIF($A$2:$A2770,A2770)=1,1,0)</f>
        <v>0</v>
      </c>
    </row>
    <row r="2771" customFormat="false" ht="15" hidden="false" customHeight="false" outlineLevel="0" collapsed="false">
      <c r="A2771" s="0" t="s">
        <v>624</v>
      </c>
      <c r="B2771" s="0" t="s">
        <v>121</v>
      </c>
      <c r="C2771" s="0" t="s">
        <v>122</v>
      </c>
      <c r="D2771" s="0" t="n">
        <v>7</v>
      </c>
      <c r="E2771" s="5" t="n">
        <v>45972.8630439815</v>
      </c>
      <c r="F2771" s="0" t="n">
        <v>2.1</v>
      </c>
      <c r="H2771" s="6" t="s">
        <v>113</v>
      </c>
      <c r="I2771" s="6" t="n">
        <f aca="false">D2771*F2771</f>
        <v>14.7</v>
      </c>
      <c r="J2771" s="6" t="n">
        <f aca="false">HOUR(E2771)</f>
        <v>20</v>
      </c>
      <c r="K2771" s="6" t="n">
        <f aca="false">IF(COUNTIF($A$2:$A2771,A2771)=1,1,0)</f>
        <v>0</v>
      </c>
    </row>
    <row r="2772" customFormat="false" ht="15" hidden="false" customHeight="false" outlineLevel="0" collapsed="false">
      <c r="A2772" s="0" t="s">
        <v>624</v>
      </c>
      <c r="B2772" s="0" t="s">
        <v>134</v>
      </c>
      <c r="C2772" s="0" t="s">
        <v>135</v>
      </c>
      <c r="D2772" s="0" t="n">
        <v>13</v>
      </c>
      <c r="E2772" s="5" t="n">
        <v>45972.8630439815</v>
      </c>
      <c r="F2772" s="0" t="n">
        <v>5.95</v>
      </c>
      <c r="H2772" s="6" t="s">
        <v>113</v>
      </c>
      <c r="I2772" s="6" t="n">
        <f aca="false">D2772*F2772</f>
        <v>77.35</v>
      </c>
      <c r="J2772" s="6" t="n">
        <f aca="false">HOUR(E2772)</f>
        <v>20</v>
      </c>
      <c r="K2772" s="6" t="n">
        <f aca="false">IF(COUNTIF($A$2:$A2772,A2772)=1,1,0)</f>
        <v>0</v>
      </c>
    </row>
    <row r="2773" customFormat="false" ht="15" hidden="false" customHeight="false" outlineLevel="0" collapsed="false">
      <c r="A2773" s="0" t="s">
        <v>625</v>
      </c>
      <c r="B2773" s="0" t="s">
        <v>121</v>
      </c>
      <c r="C2773" s="0" t="s">
        <v>122</v>
      </c>
      <c r="D2773" s="0" t="n">
        <v>17</v>
      </c>
      <c r="E2773" s="5" t="n">
        <v>45973.0754282407</v>
      </c>
      <c r="F2773" s="0" t="n">
        <v>2.1</v>
      </c>
      <c r="G2773" s="0" t="n">
        <v>17050</v>
      </c>
      <c r="H2773" s="6" t="s">
        <v>74</v>
      </c>
      <c r="I2773" s="6" t="n">
        <f aca="false">D2773*F2773</f>
        <v>35.7</v>
      </c>
      <c r="J2773" s="6" t="n">
        <f aca="false">HOUR(E2773)</f>
        <v>1</v>
      </c>
      <c r="K2773" s="6" t="n">
        <f aca="false">IF(COUNTIF($A$2:$A2773,A2773)=1,1,0)</f>
        <v>1</v>
      </c>
    </row>
    <row r="2774" customFormat="false" ht="15" hidden="false" customHeight="false" outlineLevel="0" collapsed="false">
      <c r="A2774" s="0" t="s">
        <v>625</v>
      </c>
      <c r="B2774" s="0" t="s">
        <v>53</v>
      </c>
      <c r="C2774" s="0" t="s">
        <v>54</v>
      </c>
      <c r="D2774" s="0" t="n">
        <v>14</v>
      </c>
      <c r="E2774" s="5" t="n">
        <v>45973.0754282407</v>
      </c>
      <c r="F2774" s="0" t="n">
        <v>2.95</v>
      </c>
      <c r="G2774" s="0" t="n">
        <v>17050</v>
      </c>
      <c r="H2774" s="6" t="s">
        <v>74</v>
      </c>
      <c r="I2774" s="6" t="n">
        <f aca="false">D2774*F2774</f>
        <v>41.3</v>
      </c>
      <c r="J2774" s="6" t="n">
        <f aca="false">HOUR(E2774)</f>
        <v>1</v>
      </c>
      <c r="K2774" s="6" t="n">
        <f aca="false">IF(COUNTIF($A$2:$A2774,A2774)=1,1,0)</f>
        <v>0</v>
      </c>
    </row>
    <row r="2775" customFormat="false" ht="15" hidden="false" customHeight="false" outlineLevel="0" collapsed="false">
      <c r="A2775" s="0" t="s">
        <v>625</v>
      </c>
      <c r="B2775" s="0" t="s">
        <v>127</v>
      </c>
      <c r="C2775" s="0" t="s">
        <v>128</v>
      </c>
      <c r="D2775" s="0" t="n">
        <v>6</v>
      </c>
      <c r="E2775" s="5" t="n">
        <v>45973.0754282407</v>
      </c>
      <c r="F2775" s="0" t="n">
        <v>1.45</v>
      </c>
      <c r="G2775" s="0" t="n">
        <v>17050</v>
      </c>
      <c r="H2775" s="6" t="s">
        <v>74</v>
      </c>
      <c r="I2775" s="6" t="n">
        <f aca="false">D2775*F2775</f>
        <v>8.7</v>
      </c>
      <c r="J2775" s="6" t="n">
        <f aca="false">HOUR(E2775)</f>
        <v>1</v>
      </c>
      <c r="K2775" s="6" t="n">
        <f aca="false">IF(COUNTIF($A$2:$A2775,A2775)=1,1,0)</f>
        <v>0</v>
      </c>
    </row>
    <row r="2776" customFormat="false" ht="15" hidden="false" customHeight="false" outlineLevel="0" collapsed="false">
      <c r="A2776" s="0" t="s">
        <v>625</v>
      </c>
      <c r="B2776" s="0" t="s">
        <v>45</v>
      </c>
      <c r="C2776" s="0" t="s">
        <v>46</v>
      </c>
      <c r="D2776" s="0" t="n">
        <v>17</v>
      </c>
      <c r="E2776" s="5" t="n">
        <v>45973.0754282407</v>
      </c>
      <c r="F2776" s="0" t="n">
        <v>2.1</v>
      </c>
      <c r="G2776" s="0" t="n">
        <v>17050</v>
      </c>
      <c r="H2776" s="6" t="s">
        <v>74</v>
      </c>
      <c r="I2776" s="6" t="n">
        <f aca="false">D2776*F2776</f>
        <v>35.7</v>
      </c>
      <c r="J2776" s="6" t="n">
        <f aca="false">HOUR(E2776)</f>
        <v>1</v>
      </c>
      <c r="K2776" s="6" t="n">
        <f aca="false">IF(COUNTIF($A$2:$A2776,A2776)=1,1,0)</f>
        <v>0</v>
      </c>
    </row>
    <row r="2777" customFormat="false" ht="15" hidden="false" customHeight="false" outlineLevel="0" collapsed="false">
      <c r="A2777" s="0" t="s">
        <v>625</v>
      </c>
      <c r="B2777" s="0" t="s">
        <v>109</v>
      </c>
      <c r="C2777" s="0" t="s">
        <v>110</v>
      </c>
      <c r="D2777" s="0" t="n">
        <v>21</v>
      </c>
      <c r="E2777" s="5" t="n">
        <v>45973.0754282407</v>
      </c>
      <c r="F2777" s="0" t="n">
        <v>0.85</v>
      </c>
      <c r="G2777" s="0" t="n">
        <v>17050</v>
      </c>
      <c r="H2777" s="6" t="s">
        <v>74</v>
      </c>
      <c r="I2777" s="6" t="n">
        <f aca="false">D2777*F2777</f>
        <v>17.85</v>
      </c>
      <c r="J2777" s="6" t="n">
        <f aca="false">HOUR(E2777)</f>
        <v>1</v>
      </c>
      <c r="K2777" s="6" t="n">
        <f aca="false">IF(COUNTIF($A$2:$A2777,A2777)=1,1,0)</f>
        <v>0</v>
      </c>
    </row>
    <row r="2778" customFormat="false" ht="15" hidden="false" customHeight="false" outlineLevel="0" collapsed="false">
      <c r="A2778" s="0" t="s">
        <v>626</v>
      </c>
      <c r="B2778" s="0" t="s">
        <v>55</v>
      </c>
      <c r="C2778" s="0" t="s">
        <v>56</v>
      </c>
      <c r="D2778" s="0" t="n">
        <v>13</v>
      </c>
      <c r="E2778" s="5" t="n">
        <v>45973.2911458333</v>
      </c>
      <c r="F2778" s="0" t="n">
        <v>1.65</v>
      </c>
      <c r="G2778" s="0" t="n">
        <v>17023</v>
      </c>
      <c r="H2778" s="6" t="s">
        <v>74</v>
      </c>
      <c r="I2778" s="6" t="n">
        <f aca="false">D2778*F2778</f>
        <v>21.45</v>
      </c>
      <c r="J2778" s="6" t="n">
        <f aca="false">HOUR(E2778)</f>
        <v>6</v>
      </c>
      <c r="K2778" s="6" t="n">
        <f aca="false">IF(COUNTIF($A$2:$A2778,A2778)=1,1,0)</f>
        <v>1</v>
      </c>
    </row>
    <row r="2779" customFormat="false" ht="15" hidden="false" customHeight="false" outlineLevel="0" collapsed="false">
      <c r="A2779" s="0" t="s">
        <v>627</v>
      </c>
      <c r="B2779" s="0" t="s">
        <v>81</v>
      </c>
      <c r="C2779" s="0" t="s">
        <v>82</v>
      </c>
      <c r="D2779" s="0" t="n">
        <v>21</v>
      </c>
      <c r="E2779" s="5" t="n">
        <v>45973.3002199074</v>
      </c>
      <c r="F2779" s="0" t="n">
        <v>1.65</v>
      </c>
      <c r="H2779" s="6" t="s">
        <v>74</v>
      </c>
      <c r="I2779" s="6" t="n">
        <f aca="false">D2779*F2779</f>
        <v>34.65</v>
      </c>
      <c r="J2779" s="6" t="n">
        <f aca="false">HOUR(E2779)</f>
        <v>7</v>
      </c>
      <c r="K2779" s="6" t="n">
        <f aca="false">IF(COUNTIF($A$2:$A2779,A2779)=1,1,0)</f>
        <v>1</v>
      </c>
    </row>
    <row r="2780" customFormat="false" ht="15" hidden="false" customHeight="false" outlineLevel="0" collapsed="false">
      <c r="A2780" s="0" t="s">
        <v>627</v>
      </c>
      <c r="B2780" s="0" t="s">
        <v>93</v>
      </c>
      <c r="C2780" s="0" t="s">
        <v>94</v>
      </c>
      <c r="D2780" s="0" t="n">
        <v>1</v>
      </c>
      <c r="E2780" s="5" t="n">
        <v>45973.3002199074</v>
      </c>
      <c r="F2780" s="0" t="n">
        <v>1.69</v>
      </c>
      <c r="H2780" s="6" t="s">
        <v>74</v>
      </c>
      <c r="I2780" s="6" t="n">
        <f aca="false">D2780*F2780</f>
        <v>1.69</v>
      </c>
      <c r="J2780" s="6" t="n">
        <f aca="false">HOUR(E2780)</f>
        <v>7</v>
      </c>
      <c r="K2780" s="6" t="n">
        <f aca="false">IF(COUNTIF($A$2:$A2780,A2780)=1,1,0)</f>
        <v>0</v>
      </c>
    </row>
    <row r="2781" customFormat="false" ht="15" hidden="false" customHeight="false" outlineLevel="0" collapsed="false">
      <c r="A2781" s="0" t="s">
        <v>628</v>
      </c>
      <c r="B2781" s="0" t="s">
        <v>88</v>
      </c>
      <c r="C2781" s="0" t="s">
        <v>89</v>
      </c>
      <c r="D2781" s="0" t="n">
        <v>4</v>
      </c>
      <c r="E2781" s="5" t="n">
        <v>45973.3040162037</v>
      </c>
      <c r="F2781" s="0" t="n">
        <v>2.75</v>
      </c>
      <c r="G2781" s="0" t="n">
        <v>17002</v>
      </c>
      <c r="H2781" s="6" t="s">
        <v>74</v>
      </c>
      <c r="I2781" s="6" t="n">
        <f aca="false">D2781*F2781</f>
        <v>11</v>
      </c>
      <c r="J2781" s="6" t="n">
        <f aca="false">HOUR(E2781)</f>
        <v>7</v>
      </c>
      <c r="K2781" s="6" t="n">
        <f aca="false">IF(COUNTIF($A$2:$A2781,A2781)=1,1,0)</f>
        <v>1</v>
      </c>
    </row>
    <row r="2782" customFormat="false" ht="15" hidden="false" customHeight="false" outlineLevel="0" collapsed="false">
      <c r="A2782" s="0" t="s">
        <v>628</v>
      </c>
      <c r="B2782" s="0" t="s">
        <v>83</v>
      </c>
      <c r="C2782" s="0" t="s">
        <v>84</v>
      </c>
      <c r="D2782" s="0" t="n">
        <v>12</v>
      </c>
      <c r="E2782" s="5" t="n">
        <v>45973.3040162037</v>
      </c>
      <c r="F2782" s="0" t="n">
        <v>2.95</v>
      </c>
      <c r="G2782" s="0" t="n">
        <v>17002</v>
      </c>
      <c r="H2782" s="6" t="s">
        <v>74</v>
      </c>
      <c r="I2782" s="6" t="n">
        <f aca="false">D2782*F2782</f>
        <v>35.4</v>
      </c>
      <c r="J2782" s="6" t="n">
        <f aca="false">HOUR(E2782)</f>
        <v>7</v>
      </c>
      <c r="K2782" s="6" t="n">
        <f aca="false">IF(COUNTIF($A$2:$A2782,A2782)=1,1,0)</f>
        <v>0</v>
      </c>
    </row>
    <row r="2783" customFormat="false" ht="15" hidden="false" customHeight="false" outlineLevel="0" collapsed="false">
      <c r="A2783" s="0" t="s">
        <v>629</v>
      </c>
      <c r="B2783" s="0" t="s">
        <v>116</v>
      </c>
      <c r="C2783" s="0" t="s">
        <v>117</v>
      </c>
      <c r="D2783" s="0" t="n">
        <v>8</v>
      </c>
      <c r="E2783" s="5" t="n">
        <v>45973.3232638889</v>
      </c>
      <c r="F2783" s="0" t="n">
        <v>1.95</v>
      </c>
      <c r="G2783" s="0" t="n">
        <v>17080</v>
      </c>
      <c r="H2783" s="6" t="s">
        <v>144</v>
      </c>
      <c r="I2783" s="6" t="n">
        <f aca="false">D2783*F2783</f>
        <v>15.6</v>
      </c>
      <c r="J2783" s="6" t="n">
        <f aca="false">HOUR(E2783)</f>
        <v>7</v>
      </c>
      <c r="K2783" s="6" t="n">
        <f aca="false">IF(COUNTIF($A$2:$A2783,A2783)=1,1,0)</f>
        <v>1</v>
      </c>
    </row>
    <row r="2784" customFormat="false" ht="15" hidden="false" customHeight="false" outlineLevel="0" collapsed="false">
      <c r="A2784" s="0" t="s">
        <v>629</v>
      </c>
      <c r="B2784" s="0" t="s">
        <v>107</v>
      </c>
      <c r="C2784" s="0" t="s">
        <v>108</v>
      </c>
      <c r="D2784" s="0" t="n">
        <v>24</v>
      </c>
      <c r="E2784" s="5" t="n">
        <v>45973.3232638889</v>
      </c>
      <c r="F2784" s="0" t="n">
        <v>3.75</v>
      </c>
      <c r="G2784" s="0" t="n">
        <v>17080</v>
      </c>
      <c r="H2784" s="6" t="s">
        <v>144</v>
      </c>
      <c r="I2784" s="6" t="n">
        <f aca="false">D2784*F2784</f>
        <v>90</v>
      </c>
      <c r="J2784" s="6" t="n">
        <f aca="false">HOUR(E2784)</f>
        <v>7</v>
      </c>
      <c r="K2784" s="6" t="n">
        <f aca="false">IF(COUNTIF($A$2:$A2784,A2784)=1,1,0)</f>
        <v>0</v>
      </c>
    </row>
    <row r="2785" customFormat="false" ht="15" hidden="false" customHeight="false" outlineLevel="0" collapsed="false">
      <c r="A2785" s="0" t="s">
        <v>629</v>
      </c>
      <c r="B2785" s="0" t="s">
        <v>61</v>
      </c>
      <c r="C2785" s="0" t="s">
        <v>62</v>
      </c>
      <c r="D2785" s="0" t="n">
        <v>2</v>
      </c>
      <c r="E2785" s="5" t="n">
        <v>45973.3232638889</v>
      </c>
      <c r="F2785" s="0" t="n">
        <v>1.65</v>
      </c>
      <c r="G2785" s="0" t="n">
        <v>17080</v>
      </c>
      <c r="H2785" s="6" t="s">
        <v>144</v>
      </c>
      <c r="I2785" s="6" t="n">
        <f aca="false">D2785*F2785</f>
        <v>3.3</v>
      </c>
      <c r="J2785" s="6" t="n">
        <f aca="false">HOUR(E2785)</f>
        <v>7</v>
      </c>
      <c r="K2785" s="6" t="n">
        <f aca="false">IF(COUNTIF($A$2:$A2785,A2785)=1,1,0)</f>
        <v>0</v>
      </c>
    </row>
    <row r="2786" customFormat="false" ht="15" hidden="false" customHeight="false" outlineLevel="0" collapsed="false">
      <c r="A2786" s="0" t="s">
        <v>629</v>
      </c>
      <c r="B2786" s="0" t="s">
        <v>125</v>
      </c>
      <c r="C2786" s="0" t="s">
        <v>126</v>
      </c>
      <c r="D2786" s="0" t="n">
        <v>6</v>
      </c>
      <c r="E2786" s="5" t="n">
        <v>45973.3232638889</v>
      </c>
      <c r="F2786" s="0" t="n">
        <v>1.25</v>
      </c>
      <c r="G2786" s="0" t="n">
        <v>17080</v>
      </c>
      <c r="H2786" s="6" t="s">
        <v>144</v>
      </c>
      <c r="I2786" s="6" t="n">
        <f aca="false">D2786*F2786</f>
        <v>7.5</v>
      </c>
      <c r="J2786" s="6" t="n">
        <f aca="false">HOUR(E2786)</f>
        <v>7</v>
      </c>
      <c r="K2786" s="6" t="n">
        <f aca="false">IF(COUNTIF($A$2:$A2786,A2786)=1,1,0)</f>
        <v>0</v>
      </c>
    </row>
    <row r="2787" customFormat="false" ht="15" hidden="false" customHeight="false" outlineLevel="0" collapsed="false">
      <c r="A2787" s="0" t="s">
        <v>629</v>
      </c>
      <c r="B2787" s="0" t="s">
        <v>131</v>
      </c>
      <c r="C2787" s="0" t="s">
        <v>132</v>
      </c>
      <c r="D2787" s="0" t="n">
        <v>2</v>
      </c>
      <c r="E2787" s="5" t="n">
        <v>45973.3232638889</v>
      </c>
      <c r="F2787" s="0" t="n">
        <v>3.39</v>
      </c>
      <c r="G2787" s="0" t="n">
        <v>17080</v>
      </c>
      <c r="H2787" s="6" t="s">
        <v>144</v>
      </c>
      <c r="I2787" s="6" t="n">
        <f aca="false">D2787*F2787</f>
        <v>6.78</v>
      </c>
      <c r="J2787" s="6" t="n">
        <f aca="false">HOUR(E2787)</f>
        <v>7</v>
      </c>
      <c r="K2787" s="6" t="n">
        <f aca="false">IF(COUNTIF($A$2:$A2787,A2787)=1,1,0)</f>
        <v>0</v>
      </c>
    </row>
    <row r="2788" customFormat="false" ht="15" hidden="false" customHeight="false" outlineLevel="0" collapsed="false">
      <c r="A2788" s="0" t="s">
        <v>629</v>
      </c>
      <c r="B2788" s="0" t="s">
        <v>83</v>
      </c>
      <c r="C2788" s="0" t="s">
        <v>84</v>
      </c>
      <c r="D2788" s="0" t="n">
        <v>3</v>
      </c>
      <c r="E2788" s="5" t="n">
        <v>45973.3232638889</v>
      </c>
      <c r="F2788" s="0" t="n">
        <v>2.95</v>
      </c>
      <c r="G2788" s="0" t="n">
        <v>17080</v>
      </c>
      <c r="H2788" s="6" t="s">
        <v>144</v>
      </c>
      <c r="I2788" s="6" t="n">
        <f aca="false">D2788*F2788</f>
        <v>8.85</v>
      </c>
      <c r="J2788" s="6" t="n">
        <f aca="false">HOUR(E2788)</f>
        <v>7</v>
      </c>
      <c r="K2788" s="6" t="n">
        <f aca="false">IF(COUNTIF($A$2:$A2788,A2788)=1,1,0)</f>
        <v>0</v>
      </c>
    </row>
    <row r="2789" customFormat="false" ht="15" hidden="false" customHeight="false" outlineLevel="0" collapsed="false">
      <c r="A2789" s="0" t="s">
        <v>629</v>
      </c>
      <c r="B2789" s="0" t="s">
        <v>140</v>
      </c>
      <c r="C2789" s="0" t="s">
        <v>141</v>
      </c>
      <c r="D2789" s="0" t="n">
        <v>6</v>
      </c>
      <c r="E2789" s="5" t="n">
        <v>45973.3232638889</v>
      </c>
      <c r="F2789" s="0" t="n">
        <v>2.08</v>
      </c>
      <c r="G2789" s="0" t="n">
        <v>17080</v>
      </c>
      <c r="H2789" s="6" t="s">
        <v>144</v>
      </c>
      <c r="I2789" s="6" t="n">
        <f aca="false">D2789*F2789</f>
        <v>12.48</v>
      </c>
      <c r="J2789" s="6" t="n">
        <f aca="false">HOUR(E2789)</f>
        <v>7</v>
      </c>
      <c r="K2789" s="6" t="n">
        <f aca="false">IF(COUNTIF($A$2:$A2789,A2789)=1,1,0)</f>
        <v>0</v>
      </c>
    </row>
    <row r="2790" customFormat="false" ht="15" hidden="false" customHeight="false" outlineLevel="0" collapsed="false">
      <c r="A2790" s="0" t="s">
        <v>630</v>
      </c>
      <c r="B2790" s="0" t="s">
        <v>99</v>
      </c>
      <c r="C2790" s="0" t="s">
        <v>100</v>
      </c>
      <c r="D2790" s="0" t="n">
        <v>18</v>
      </c>
      <c r="E2790" s="5" t="n">
        <v>45973.5562847222</v>
      </c>
      <c r="F2790" s="0" t="n">
        <v>2.08</v>
      </c>
      <c r="G2790" s="0" t="n">
        <v>17025</v>
      </c>
      <c r="H2790" s="6" t="s">
        <v>113</v>
      </c>
      <c r="I2790" s="6" t="n">
        <f aca="false">D2790*F2790</f>
        <v>37.44</v>
      </c>
      <c r="J2790" s="6" t="n">
        <f aca="false">HOUR(E2790)</f>
        <v>13</v>
      </c>
      <c r="K2790" s="6" t="n">
        <f aca="false">IF(COUNTIF($A$2:$A2790,A2790)=1,1,0)</f>
        <v>1</v>
      </c>
    </row>
    <row r="2791" customFormat="false" ht="15" hidden="false" customHeight="false" outlineLevel="0" collapsed="false">
      <c r="A2791" s="0" t="s">
        <v>630</v>
      </c>
      <c r="B2791" s="0" t="s">
        <v>91</v>
      </c>
      <c r="C2791" s="0" t="s">
        <v>92</v>
      </c>
      <c r="D2791" s="0" t="n">
        <v>21</v>
      </c>
      <c r="E2791" s="5" t="n">
        <v>45973.5562847222</v>
      </c>
      <c r="F2791" s="0" t="n">
        <v>7.65</v>
      </c>
      <c r="G2791" s="0" t="n">
        <v>17025</v>
      </c>
      <c r="H2791" s="6" t="s">
        <v>113</v>
      </c>
      <c r="I2791" s="6" t="n">
        <f aca="false">D2791*F2791</f>
        <v>160.65</v>
      </c>
      <c r="J2791" s="6" t="n">
        <f aca="false">HOUR(E2791)</f>
        <v>13</v>
      </c>
      <c r="K2791" s="6" t="n">
        <f aca="false">IF(COUNTIF($A$2:$A2791,A2791)=1,1,0)</f>
        <v>0</v>
      </c>
    </row>
    <row r="2792" customFormat="false" ht="15" hidden="false" customHeight="false" outlineLevel="0" collapsed="false">
      <c r="A2792" s="0" t="s">
        <v>630</v>
      </c>
      <c r="B2792" s="0" t="s">
        <v>118</v>
      </c>
      <c r="C2792" s="0" t="s">
        <v>119</v>
      </c>
      <c r="D2792" s="0" t="n">
        <v>12</v>
      </c>
      <c r="E2792" s="5" t="n">
        <v>45973.5562847222</v>
      </c>
      <c r="F2792" s="0" t="n">
        <v>4.95</v>
      </c>
      <c r="G2792" s="0" t="n">
        <v>17025</v>
      </c>
      <c r="H2792" s="6" t="s">
        <v>113</v>
      </c>
      <c r="I2792" s="6" t="n">
        <f aca="false">D2792*F2792</f>
        <v>59.4</v>
      </c>
      <c r="J2792" s="6" t="n">
        <f aca="false">HOUR(E2792)</f>
        <v>13</v>
      </c>
      <c r="K2792" s="6" t="n">
        <f aca="false">IF(COUNTIF($A$2:$A2792,A2792)=1,1,0)</f>
        <v>0</v>
      </c>
    </row>
    <row r="2793" customFormat="false" ht="15" hidden="false" customHeight="false" outlineLevel="0" collapsed="false">
      <c r="A2793" s="0" t="s">
        <v>630</v>
      </c>
      <c r="B2793" s="0" t="s">
        <v>116</v>
      </c>
      <c r="C2793" s="0" t="s">
        <v>117</v>
      </c>
      <c r="D2793" s="0" t="n">
        <v>24</v>
      </c>
      <c r="E2793" s="5" t="n">
        <v>45973.5562847222</v>
      </c>
      <c r="F2793" s="0" t="n">
        <v>1.95</v>
      </c>
      <c r="G2793" s="0" t="n">
        <v>17025</v>
      </c>
      <c r="H2793" s="6" t="s">
        <v>113</v>
      </c>
      <c r="I2793" s="6" t="n">
        <f aca="false">D2793*F2793</f>
        <v>46.8</v>
      </c>
      <c r="J2793" s="6" t="n">
        <f aca="false">HOUR(E2793)</f>
        <v>13</v>
      </c>
      <c r="K2793" s="6" t="n">
        <f aca="false">IF(COUNTIF($A$2:$A2793,A2793)=1,1,0)</f>
        <v>0</v>
      </c>
    </row>
    <row r="2794" customFormat="false" ht="15" hidden="false" customHeight="false" outlineLevel="0" collapsed="false">
      <c r="A2794" s="0" t="s">
        <v>630</v>
      </c>
      <c r="B2794" s="0" t="s">
        <v>47</v>
      </c>
      <c r="C2794" s="0" t="s">
        <v>48</v>
      </c>
      <c r="D2794" s="0" t="n">
        <v>12</v>
      </c>
      <c r="E2794" s="5" t="n">
        <v>45973.5562847222</v>
      </c>
      <c r="F2794" s="0" t="n">
        <v>12.75</v>
      </c>
      <c r="G2794" s="0" t="n">
        <v>17025</v>
      </c>
      <c r="H2794" s="6" t="s">
        <v>113</v>
      </c>
      <c r="I2794" s="6" t="n">
        <f aca="false">D2794*F2794</f>
        <v>153</v>
      </c>
      <c r="J2794" s="6" t="n">
        <f aca="false">HOUR(E2794)</f>
        <v>13</v>
      </c>
      <c r="K2794" s="6" t="n">
        <f aca="false">IF(COUNTIF($A$2:$A2794,A2794)=1,1,0)</f>
        <v>0</v>
      </c>
    </row>
    <row r="2795" customFormat="false" ht="15" hidden="false" customHeight="false" outlineLevel="0" collapsed="false">
      <c r="A2795" s="0" t="s">
        <v>630</v>
      </c>
      <c r="B2795" s="0" t="s">
        <v>134</v>
      </c>
      <c r="C2795" s="0" t="s">
        <v>135</v>
      </c>
      <c r="D2795" s="0" t="n">
        <v>1</v>
      </c>
      <c r="E2795" s="5" t="n">
        <v>45973.5562847222</v>
      </c>
      <c r="F2795" s="0" t="n">
        <v>5.95</v>
      </c>
      <c r="G2795" s="0" t="n">
        <v>17025</v>
      </c>
      <c r="H2795" s="6" t="s">
        <v>113</v>
      </c>
      <c r="I2795" s="6" t="n">
        <f aca="false">D2795*F2795</f>
        <v>5.95</v>
      </c>
      <c r="J2795" s="6" t="n">
        <f aca="false">HOUR(E2795)</f>
        <v>13</v>
      </c>
      <c r="K2795" s="6" t="n">
        <f aca="false">IF(COUNTIF($A$2:$A2795,A2795)=1,1,0)</f>
        <v>0</v>
      </c>
    </row>
    <row r="2796" customFormat="false" ht="15" hidden="false" customHeight="false" outlineLevel="0" collapsed="false">
      <c r="A2796" s="0" t="s">
        <v>630</v>
      </c>
      <c r="B2796" s="0" t="s">
        <v>72</v>
      </c>
      <c r="C2796" s="0" t="s">
        <v>73</v>
      </c>
      <c r="D2796" s="0" t="n">
        <v>17</v>
      </c>
      <c r="E2796" s="5" t="n">
        <v>45973.5562847222</v>
      </c>
      <c r="F2796" s="0" t="n">
        <v>4.95</v>
      </c>
      <c r="G2796" s="0" t="n">
        <v>17025</v>
      </c>
      <c r="H2796" s="6" t="s">
        <v>113</v>
      </c>
      <c r="I2796" s="6" t="n">
        <f aca="false">D2796*F2796</f>
        <v>84.15</v>
      </c>
      <c r="J2796" s="6" t="n">
        <f aca="false">HOUR(E2796)</f>
        <v>13</v>
      </c>
      <c r="K2796" s="6" t="n">
        <f aca="false">IF(COUNTIF($A$2:$A2796,A2796)=1,1,0)</f>
        <v>0</v>
      </c>
    </row>
    <row r="2797" customFormat="false" ht="15" hidden="false" customHeight="false" outlineLevel="0" collapsed="false">
      <c r="A2797" s="0" t="s">
        <v>631</v>
      </c>
      <c r="B2797" s="0" t="s">
        <v>47</v>
      </c>
      <c r="C2797" s="0" t="s">
        <v>48</v>
      </c>
      <c r="D2797" s="0" t="n">
        <v>25</v>
      </c>
      <c r="E2797" s="5" t="n">
        <v>45973.6466087963</v>
      </c>
      <c r="F2797" s="0" t="n">
        <v>12.75</v>
      </c>
      <c r="G2797" s="0" t="n">
        <v>17202</v>
      </c>
      <c r="H2797" s="6" t="s">
        <v>74</v>
      </c>
      <c r="I2797" s="6" t="n">
        <f aca="false">D2797*F2797</f>
        <v>318.75</v>
      </c>
      <c r="J2797" s="6" t="n">
        <f aca="false">HOUR(E2797)</f>
        <v>15</v>
      </c>
      <c r="K2797" s="6" t="n">
        <f aca="false">IF(COUNTIF($A$2:$A2797,A2797)=1,1,0)</f>
        <v>1</v>
      </c>
    </row>
    <row r="2798" customFormat="false" ht="15" hidden="false" customHeight="false" outlineLevel="0" collapsed="false">
      <c r="A2798" s="0" t="s">
        <v>631</v>
      </c>
      <c r="B2798" s="0" t="s">
        <v>43</v>
      </c>
      <c r="C2798" s="0" t="s">
        <v>44</v>
      </c>
      <c r="D2798" s="0" t="n">
        <v>13</v>
      </c>
      <c r="E2798" s="5" t="n">
        <v>45973.6466087963</v>
      </c>
      <c r="F2798" s="0" t="n">
        <v>4.25</v>
      </c>
      <c r="G2798" s="0" t="n">
        <v>17202</v>
      </c>
      <c r="H2798" s="6" t="s">
        <v>74</v>
      </c>
      <c r="I2798" s="6" t="n">
        <f aca="false">D2798*F2798</f>
        <v>55.25</v>
      </c>
      <c r="J2798" s="6" t="n">
        <f aca="false">HOUR(E2798)</f>
        <v>15</v>
      </c>
      <c r="K2798" s="6" t="n">
        <f aca="false">IF(COUNTIF($A$2:$A2798,A2798)=1,1,0)</f>
        <v>0</v>
      </c>
    </row>
    <row r="2799" customFormat="false" ht="15" hidden="false" customHeight="false" outlineLevel="0" collapsed="false">
      <c r="A2799" s="0" t="s">
        <v>631</v>
      </c>
      <c r="B2799" s="0" t="s">
        <v>86</v>
      </c>
      <c r="C2799" s="0" t="s">
        <v>87</v>
      </c>
      <c r="D2799" s="0" t="n">
        <v>7</v>
      </c>
      <c r="E2799" s="5" t="n">
        <v>45973.6466087963</v>
      </c>
      <c r="F2799" s="0" t="n">
        <v>4.25</v>
      </c>
      <c r="G2799" s="0" t="n">
        <v>17202</v>
      </c>
      <c r="H2799" s="6" t="s">
        <v>74</v>
      </c>
      <c r="I2799" s="6" t="n">
        <f aca="false">D2799*F2799</f>
        <v>29.75</v>
      </c>
      <c r="J2799" s="6" t="n">
        <f aca="false">HOUR(E2799)</f>
        <v>15</v>
      </c>
      <c r="K2799" s="6" t="n">
        <f aca="false">IF(COUNTIF($A$2:$A2799,A2799)=1,1,0)</f>
        <v>0</v>
      </c>
    </row>
    <row r="2800" customFormat="false" ht="15" hidden="false" customHeight="false" outlineLevel="0" collapsed="false">
      <c r="A2800" s="0" t="s">
        <v>631</v>
      </c>
      <c r="B2800" s="0" t="s">
        <v>114</v>
      </c>
      <c r="C2800" s="0" t="s">
        <v>115</v>
      </c>
      <c r="D2800" s="0" t="n">
        <v>4</v>
      </c>
      <c r="E2800" s="5" t="n">
        <v>45973.6466087963</v>
      </c>
      <c r="F2800" s="0" t="n">
        <v>2.08</v>
      </c>
      <c r="G2800" s="0" t="n">
        <v>17202</v>
      </c>
      <c r="H2800" s="6" t="s">
        <v>74</v>
      </c>
      <c r="I2800" s="6" t="n">
        <f aca="false">D2800*F2800</f>
        <v>8.32</v>
      </c>
      <c r="J2800" s="6" t="n">
        <f aca="false">HOUR(E2800)</f>
        <v>15</v>
      </c>
      <c r="K2800" s="6" t="n">
        <f aca="false">IF(COUNTIF($A$2:$A2800,A2800)=1,1,0)</f>
        <v>0</v>
      </c>
    </row>
    <row r="2801" customFormat="false" ht="15" hidden="false" customHeight="false" outlineLevel="0" collapsed="false">
      <c r="A2801" s="0" t="s">
        <v>631</v>
      </c>
      <c r="B2801" s="0" t="s">
        <v>50</v>
      </c>
      <c r="C2801" s="0" t="s">
        <v>51</v>
      </c>
      <c r="D2801" s="0" t="n">
        <v>7</v>
      </c>
      <c r="E2801" s="5" t="n">
        <v>45973.6466087963</v>
      </c>
      <c r="F2801" s="0" t="n">
        <v>5.95</v>
      </c>
      <c r="G2801" s="0" t="n">
        <v>17202</v>
      </c>
      <c r="H2801" s="6" t="s">
        <v>74</v>
      </c>
      <c r="I2801" s="6" t="n">
        <f aca="false">D2801*F2801</f>
        <v>41.65</v>
      </c>
      <c r="J2801" s="6" t="n">
        <f aca="false">HOUR(E2801)</f>
        <v>15</v>
      </c>
      <c r="K2801" s="6" t="n">
        <f aca="false">IF(COUNTIF($A$2:$A2801,A2801)=1,1,0)</f>
        <v>0</v>
      </c>
    </row>
    <row r="2802" customFormat="false" ht="15" hidden="false" customHeight="false" outlineLevel="0" collapsed="false">
      <c r="A2802" s="0" t="s">
        <v>631</v>
      </c>
      <c r="B2802" s="0" t="s">
        <v>93</v>
      </c>
      <c r="C2802" s="0" t="s">
        <v>94</v>
      </c>
      <c r="D2802" s="0" t="n">
        <v>1</v>
      </c>
      <c r="E2802" s="5" t="n">
        <v>45973.6466087963</v>
      </c>
      <c r="F2802" s="0" t="n">
        <v>1.69</v>
      </c>
      <c r="G2802" s="0" t="n">
        <v>17202</v>
      </c>
      <c r="H2802" s="6" t="s">
        <v>74</v>
      </c>
      <c r="I2802" s="6" t="n">
        <f aca="false">D2802*F2802</f>
        <v>1.69</v>
      </c>
      <c r="J2802" s="6" t="n">
        <f aca="false">HOUR(E2802)</f>
        <v>15</v>
      </c>
      <c r="K2802" s="6" t="n">
        <f aca="false">IF(COUNTIF($A$2:$A2802,A2802)=1,1,0)</f>
        <v>0</v>
      </c>
    </row>
    <row r="2803" customFormat="false" ht="15" hidden="false" customHeight="false" outlineLevel="0" collapsed="false">
      <c r="A2803" s="0" t="s">
        <v>631</v>
      </c>
      <c r="B2803" s="0" t="s">
        <v>59</v>
      </c>
      <c r="C2803" s="0" t="s">
        <v>60</v>
      </c>
      <c r="D2803" s="0" t="n">
        <v>17</v>
      </c>
      <c r="E2803" s="5" t="n">
        <v>45973.6466087963</v>
      </c>
      <c r="F2803" s="0" t="n">
        <v>0.42</v>
      </c>
      <c r="G2803" s="0" t="n">
        <v>17202</v>
      </c>
      <c r="H2803" s="6" t="s">
        <v>74</v>
      </c>
      <c r="I2803" s="6" t="n">
        <f aca="false">D2803*F2803</f>
        <v>7.14</v>
      </c>
      <c r="J2803" s="6" t="n">
        <f aca="false">HOUR(E2803)</f>
        <v>15</v>
      </c>
      <c r="K2803" s="6" t="n">
        <f aca="false">IF(COUNTIF($A$2:$A2803,A2803)=1,1,0)</f>
        <v>0</v>
      </c>
    </row>
    <row r="2804" customFormat="false" ht="15" hidden="false" customHeight="false" outlineLevel="0" collapsed="false">
      <c r="A2804" s="0" t="s">
        <v>631</v>
      </c>
      <c r="B2804" s="0" t="s">
        <v>118</v>
      </c>
      <c r="C2804" s="0" t="s">
        <v>119</v>
      </c>
      <c r="D2804" s="0" t="n">
        <v>6</v>
      </c>
      <c r="E2804" s="5" t="n">
        <v>45973.6466087963</v>
      </c>
      <c r="F2804" s="0" t="n">
        <v>4.95</v>
      </c>
      <c r="G2804" s="0" t="n">
        <v>17202</v>
      </c>
      <c r="H2804" s="6" t="s">
        <v>74</v>
      </c>
      <c r="I2804" s="6" t="n">
        <f aca="false">D2804*F2804</f>
        <v>29.7</v>
      </c>
      <c r="J2804" s="6" t="n">
        <f aca="false">HOUR(E2804)</f>
        <v>15</v>
      </c>
      <c r="K2804" s="6" t="n">
        <f aca="false">IF(COUNTIF($A$2:$A2804,A2804)=1,1,0)</f>
        <v>0</v>
      </c>
    </row>
    <row r="2805" customFormat="false" ht="15" hidden="false" customHeight="false" outlineLevel="0" collapsed="false">
      <c r="A2805" s="0" t="s">
        <v>631</v>
      </c>
      <c r="B2805" s="0" t="s">
        <v>125</v>
      </c>
      <c r="C2805" s="0" t="s">
        <v>126</v>
      </c>
      <c r="D2805" s="0" t="n">
        <v>16</v>
      </c>
      <c r="E2805" s="5" t="n">
        <v>45973.6466087963</v>
      </c>
      <c r="F2805" s="0" t="n">
        <v>1.25</v>
      </c>
      <c r="G2805" s="0" t="n">
        <v>17202</v>
      </c>
      <c r="H2805" s="6" t="s">
        <v>74</v>
      </c>
      <c r="I2805" s="6" t="n">
        <f aca="false">D2805*F2805</f>
        <v>20</v>
      </c>
      <c r="J2805" s="6" t="n">
        <f aca="false">HOUR(E2805)</f>
        <v>15</v>
      </c>
      <c r="K2805" s="6" t="n">
        <f aca="false">IF(COUNTIF($A$2:$A2805,A2805)=1,1,0)</f>
        <v>0</v>
      </c>
    </row>
    <row r="2806" customFormat="false" ht="15" hidden="false" customHeight="false" outlineLevel="0" collapsed="false">
      <c r="A2806" s="0" t="s">
        <v>632</v>
      </c>
      <c r="B2806" s="0" t="s">
        <v>81</v>
      </c>
      <c r="C2806" s="0" t="s">
        <v>82</v>
      </c>
      <c r="D2806" s="0" t="n">
        <v>9</v>
      </c>
      <c r="E2806" s="5" t="n">
        <v>45973.7026273148</v>
      </c>
      <c r="F2806" s="0" t="n">
        <v>1.65</v>
      </c>
      <c r="G2806" s="0" t="n">
        <v>17003</v>
      </c>
      <c r="H2806" s="6" t="s">
        <v>74</v>
      </c>
      <c r="I2806" s="6" t="n">
        <f aca="false">D2806*F2806</f>
        <v>14.85</v>
      </c>
      <c r="J2806" s="6" t="n">
        <f aca="false">HOUR(E2806)</f>
        <v>16</v>
      </c>
      <c r="K2806" s="6" t="n">
        <f aca="false">IF(COUNTIF($A$2:$A2806,A2806)=1,1,0)</f>
        <v>1</v>
      </c>
    </row>
    <row r="2807" customFormat="false" ht="15" hidden="false" customHeight="false" outlineLevel="0" collapsed="false">
      <c r="A2807" s="0" t="s">
        <v>632</v>
      </c>
      <c r="B2807" s="0" t="s">
        <v>79</v>
      </c>
      <c r="C2807" s="0" t="s">
        <v>80</v>
      </c>
      <c r="D2807" s="0" t="n">
        <v>6</v>
      </c>
      <c r="E2807" s="5" t="n">
        <v>45973.7026273148</v>
      </c>
      <c r="F2807" s="0" t="n">
        <v>3.39</v>
      </c>
      <c r="G2807" s="0" t="n">
        <v>17003</v>
      </c>
      <c r="H2807" s="6" t="s">
        <v>74</v>
      </c>
      <c r="I2807" s="6" t="n">
        <f aca="false">D2807*F2807</f>
        <v>20.34</v>
      </c>
      <c r="J2807" s="6" t="n">
        <f aca="false">HOUR(E2807)</f>
        <v>16</v>
      </c>
      <c r="K2807" s="6" t="n">
        <f aca="false">IF(COUNTIF($A$2:$A2807,A2807)=1,1,0)</f>
        <v>0</v>
      </c>
    </row>
    <row r="2808" customFormat="false" ht="15" hidden="false" customHeight="false" outlineLevel="0" collapsed="false">
      <c r="A2808" s="0" t="s">
        <v>632</v>
      </c>
      <c r="B2808" s="0" t="s">
        <v>47</v>
      </c>
      <c r="C2808" s="0" t="s">
        <v>48</v>
      </c>
      <c r="D2808" s="0" t="n">
        <v>18</v>
      </c>
      <c r="E2808" s="5" t="n">
        <v>45973.7026273148</v>
      </c>
      <c r="F2808" s="0" t="n">
        <v>12.75</v>
      </c>
      <c r="G2808" s="0" t="n">
        <v>17003</v>
      </c>
      <c r="H2808" s="6" t="s">
        <v>74</v>
      </c>
      <c r="I2808" s="6" t="n">
        <f aca="false">D2808*F2808</f>
        <v>229.5</v>
      </c>
      <c r="J2808" s="6" t="n">
        <f aca="false">HOUR(E2808)</f>
        <v>16</v>
      </c>
      <c r="K2808" s="6" t="n">
        <f aca="false">IF(COUNTIF($A$2:$A2808,A2808)=1,1,0)</f>
        <v>0</v>
      </c>
    </row>
    <row r="2809" customFormat="false" ht="15" hidden="false" customHeight="false" outlineLevel="0" collapsed="false">
      <c r="A2809" s="0" t="s">
        <v>632</v>
      </c>
      <c r="B2809" s="0" t="s">
        <v>63</v>
      </c>
      <c r="C2809" s="0" t="s">
        <v>64</v>
      </c>
      <c r="D2809" s="0" t="n">
        <v>11</v>
      </c>
      <c r="E2809" s="5" t="n">
        <v>45973.7026273148</v>
      </c>
      <c r="F2809" s="0" t="n">
        <v>1.85</v>
      </c>
      <c r="G2809" s="0" t="n">
        <v>17003</v>
      </c>
      <c r="H2809" s="6" t="s">
        <v>74</v>
      </c>
      <c r="I2809" s="6" t="n">
        <f aca="false">D2809*F2809</f>
        <v>20.35</v>
      </c>
      <c r="J2809" s="6" t="n">
        <f aca="false">HOUR(E2809)</f>
        <v>16</v>
      </c>
      <c r="K2809" s="6" t="n">
        <f aca="false">IF(COUNTIF($A$2:$A2809,A2809)=1,1,0)</f>
        <v>0</v>
      </c>
    </row>
    <row r="2810" customFormat="false" ht="15" hidden="false" customHeight="false" outlineLevel="0" collapsed="false">
      <c r="A2810" s="0" t="s">
        <v>632</v>
      </c>
      <c r="B2810" s="0" t="s">
        <v>95</v>
      </c>
      <c r="C2810" s="0" t="s">
        <v>96</v>
      </c>
      <c r="D2810" s="0" t="n">
        <v>18</v>
      </c>
      <c r="E2810" s="5" t="n">
        <v>45973.7026273148</v>
      </c>
      <c r="F2810" s="0" t="n">
        <v>2.55</v>
      </c>
      <c r="G2810" s="0" t="n">
        <v>17003</v>
      </c>
      <c r="H2810" s="6" t="s">
        <v>74</v>
      </c>
      <c r="I2810" s="6" t="n">
        <f aca="false">D2810*F2810</f>
        <v>45.9</v>
      </c>
      <c r="J2810" s="6" t="n">
        <f aca="false">HOUR(E2810)</f>
        <v>16</v>
      </c>
      <c r="K2810" s="6" t="n">
        <f aca="false">IF(COUNTIF($A$2:$A2810,A2810)=1,1,0)</f>
        <v>0</v>
      </c>
    </row>
    <row r="2811" customFormat="false" ht="15" hidden="false" customHeight="false" outlineLevel="0" collapsed="false">
      <c r="A2811" s="0" t="s">
        <v>632</v>
      </c>
      <c r="B2811" s="0" t="s">
        <v>75</v>
      </c>
      <c r="C2811" s="0" t="s">
        <v>76</v>
      </c>
      <c r="D2811" s="0" t="n">
        <v>12</v>
      </c>
      <c r="E2811" s="5" t="n">
        <v>45973.7026273148</v>
      </c>
      <c r="F2811" s="0" t="n">
        <v>3.39</v>
      </c>
      <c r="G2811" s="0" t="n">
        <v>17003</v>
      </c>
      <c r="H2811" s="6" t="s">
        <v>74</v>
      </c>
      <c r="I2811" s="6" t="n">
        <f aca="false">D2811*F2811</f>
        <v>40.68</v>
      </c>
      <c r="J2811" s="6" t="n">
        <f aca="false">HOUR(E2811)</f>
        <v>16</v>
      </c>
      <c r="K2811" s="6" t="n">
        <f aca="false">IF(COUNTIF($A$2:$A2811,A2811)=1,1,0)</f>
        <v>0</v>
      </c>
    </row>
    <row r="2812" customFormat="false" ht="15" hidden="false" customHeight="false" outlineLevel="0" collapsed="false">
      <c r="A2812" s="0" t="s">
        <v>633</v>
      </c>
      <c r="B2812" s="0" t="s">
        <v>137</v>
      </c>
      <c r="C2812" s="0" t="s">
        <v>138</v>
      </c>
      <c r="D2812" s="0" t="n">
        <v>8</v>
      </c>
      <c r="E2812" s="5" t="n">
        <v>45973.8461689815</v>
      </c>
      <c r="F2812" s="0" t="n">
        <v>2.1</v>
      </c>
      <c r="G2812" s="0" t="n">
        <v>17068</v>
      </c>
      <c r="H2812" s="6" t="s">
        <v>42</v>
      </c>
      <c r="I2812" s="6" t="n">
        <f aca="false">D2812*F2812</f>
        <v>16.8</v>
      </c>
      <c r="J2812" s="6" t="n">
        <f aca="false">HOUR(E2812)</f>
        <v>20</v>
      </c>
      <c r="K2812" s="6" t="n">
        <f aca="false">IF(COUNTIF($A$2:$A2812,A2812)=1,1,0)</f>
        <v>1</v>
      </c>
    </row>
    <row r="2813" customFormat="false" ht="15" hidden="false" customHeight="false" outlineLevel="0" collapsed="false">
      <c r="A2813" s="0" t="s">
        <v>633</v>
      </c>
      <c r="B2813" s="0" t="s">
        <v>99</v>
      </c>
      <c r="C2813" s="0" t="s">
        <v>100</v>
      </c>
      <c r="D2813" s="0" t="n">
        <v>14</v>
      </c>
      <c r="E2813" s="5" t="n">
        <v>45973.8461689815</v>
      </c>
      <c r="F2813" s="0" t="n">
        <v>2.08</v>
      </c>
      <c r="G2813" s="0" t="n">
        <v>17068</v>
      </c>
      <c r="H2813" s="6" t="s">
        <v>42</v>
      </c>
      <c r="I2813" s="6" t="n">
        <f aca="false">D2813*F2813</f>
        <v>29.12</v>
      </c>
      <c r="J2813" s="6" t="n">
        <f aca="false">HOUR(E2813)</f>
        <v>20</v>
      </c>
      <c r="K2813" s="6" t="n">
        <f aca="false">IF(COUNTIF($A$2:$A2813,A2813)=1,1,0)</f>
        <v>0</v>
      </c>
    </row>
    <row r="2814" customFormat="false" ht="15" hidden="false" customHeight="false" outlineLevel="0" collapsed="false">
      <c r="A2814" s="0" t="s">
        <v>633</v>
      </c>
      <c r="B2814" s="0" t="s">
        <v>121</v>
      </c>
      <c r="C2814" s="0" t="s">
        <v>122</v>
      </c>
      <c r="D2814" s="0" t="n">
        <v>3</v>
      </c>
      <c r="E2814" s="5" t="n">
        <v>45973.8461689815</v>
      </c>
      <c r="F2814" s="0" t="n">
        <v>2.1</v>
      </c>
      <c r="G2814" s="0" t="n">
        <v>17068</v>
      </c>
      <c r="H2814" s="6" t="s">
        <v>42</v>
      </c>
      <c r="I2814" s="6" t="n">
        <f aca="false">D2814*F2814</f>
        <v>6.3</v>
      </c>
      <c r="J2814" s="6" t="n">
        <f aca="false">HOUR(E2814)</f>
        <v>20</v>
      </c>
      <c r="K2814" s="6" t="n">
        <f aca="false">IF(COUNTIF($A$2:$A2814,A2814)=1,1,0)</f>
        <v>0</v>
      </c>
    </row>
    <row r="2815" customFormat="false" ht="15" hidden="false" customHeight="false" outlineLevel="0" collapsed="false">
      <c r="A2815" s="0" t="s">
        <v>633</v>
      </c>
      <c r="B2815" s="0" t="s">
        <v>55</v>
      </c>
      <c r="C2815" s="0" t="s">
        <v>56</v>
      </c>
      <c r="D2815" s="0" t="n">
        <v>5</v>
      </c>
      <c r="E2815" s="5" t="n">
        <v>45973.8461689815</v>
      </c>
      <c r="F2815" s="0" t="n">
        <v>1.65</v>
      </c>
      <c r="G2815" s="0" t="n">
        <v>17068</v>
      </c>
      <c r="H2815" s="6" t="s">
        <v>42</v>
      </c>
      <c r="I2815" s="6" t="n">
        <f aca="false">D2815*F2815</f>
        <v>8.25</v>
      </c>
      <c r="J2815" s="6" t="n">
        <f aca="false">HOUR(E2815)</f>
        <v>20</v>
      </c>
      <c r="K2815" s="6" t="n">
        <f aca="false">IF(COUNTIF($A$2:$A2815,A2815)=1,1,0)</f>
        <v>0</v>
      </c>
    </row>
    <row r="2816" customFormat="false" ht="15" hidden="false" customHeight="false" outlineLevel="0" collapsed="false">
      <c r="A2816" s="0" t="s">
        <v>633</v>
      </c>
      <c r="B2816" s="0" t="s">
        <v>116</v>
      </c>
      <c r="C2816" s="0" t="s">
        <v>117</v>
      </c>
      <c r="D2816" s="0" t="n">
        <v>4</v>
      </c>
      <c r="E2816" s="5" t="n">
        <v>45973.8461689815</v>
      </c>
      <c r="F2816" s="0" t="n">
        <v>1.95</v>
      </c>
      <c r="G2816" s="0" t="n">
        <v>17068</v>
      </c>
      <c r="H2816" s="6" t="s">
        <v>42</v>
      </c>
      <c r="I2816" s="6" t="n">
        <f aca="false">D2816*F2816</f>
        <v>7.8</v>
      </c>
      <c r="J2816" s="6" t="n">
        <f aca="false">HOUR(E2816)</f>
        <v>20</v>
      </c>
      <c r="K2816" s="6" t="n">
        <f aca="false">IF(COUNTIF($A$2:$A2816,A2816)=1,1,0)</f>
        <v>0</v>
      </c>
    </row>
    <row r="2817" customFormat="false" ht="15" hidden="false" customHeight="false" outlineLevel="0" collapsed="false">
      <c r="A2817" s="0" t="s">
        <v>633</v>
      </c>
      <c r="B2817" s="0" t="s">
        <v>107</v>
      </c>
      <c r="C2817" s="0" t="s">
        <v>108</v>
      </c>
      <c r="D2817" s="0" t="n">
        <v>7</v>
      </c>
      <c r="E2817" s="5" t="n">
        <v>45973.8461689815</v>
      </c>
      <c r="F2817" s="0" t="n">
        <v>3.75</v>
      </c>
      <c r="G2817" s="0" t="n">
        <v>17068</v>
      </c>
      <c r="H2817" s="6" t="s">
        <v>42</v>
      </c>
      <c r="I2817" s="6" t="n">
        <f aca="false">D2817*F2817</f>
        <v>26.25</v>
      </c>
      <c r="J2817" s="6" t="n">
        <f aca="false">HOUR(E2817)</f>
        <v>20</v>
      </c>
      <c r="K2817" s="6" t="n">
        <f aca="false">IF(COUNTIF($A$2:$A2817,A2817)=1,1,0)</f>
        <v>0</v>
      </c>
    </row>
    <row r="2818" customFormat="false" ht="15" hidden="false" customHeight="false" outlineLevel="0" collapsed="false">
      <c r="A2818" s="0" t="s">
        <v>633</v>
      </c>
      <c r="B2818" s="0" t="s">
        <v>50</v>
      </c>
      <c r="D2818" s="0" t="n">
        <v>11</v>
      </c>
      <c r="E2818" s="5" t="n">
        <v>45973.8461689815</v>
      </c>
      <c r="F2818" s="0" t="n">
        <v>5.95</v>
      </c>
      <c r="G2818" s="0" t="n">
        <v>17068</v>
      </c>
      <c r="H2818" s="6" t="s">
        <v>42</v>
      </c>
      <c r="I2818" s="6" t="n">
        <f aca="false">D2818*F2818</f>
        <v>65.45</v>
      </c>
      <c r="J2818" s="6" t="n">
        <f aca="false">HOUR(E2818)</f>
        <v>20</v>
      </c>
      <c r="K2818" s="6" t="n">
        <f aca="false">IF(COUNTIF($A$2:$A2818,A2818)=1,1,0)</f>
        <v>0</v>
      </c>
    </row>
    <row r="2819" customFormat="false" ht="15" hidden="false" customHeight="false" outlineLevel="0" collapsed="false">
      <c r="A2819" s="0" t="s">
        <v>633</v>
      </c>
      <c r="B2819" s="0" t="s">
        <v>63</v>
      </c>
      <c r="C2819" s="0" t="s">
        <v>64</v>
      </c>
      <c r="D2819" s="0" t="n">
        <v>21</v>
      </c>
      <c r="E2819" s="5" t="n">
        <v>45973.8461689815</v>
      </c>
      <c r="F2819" s="0" t="n">
        <v>1.85</v>
      </c>
      <c r="G2819" s="0" t="n">
        <v>17068</v>
      </c>
      <c r="H2819" s="6" t="s">
        <v>42</v>
      </c>
      <c r="I2819" s="6" t="n">
        <f aca="false">D2819*F2819</f>
        <v>38.85</v>
      </c>
      <c r="J2819" s="6" t="n">
        <f aca="false">HOUR(E2819)</f>
        <v>20</v>
      </c>
      <c r="K2819" s="6" t="n">
        <f aca="false">IF(COUNTIF($A$2:$A2819,A2819)=1,1,0)</f>
        <v>0</v>
      </c>
    </row>
    <row r="2820" customFormat="false" ht="15" hidden="false" customHeight="false" outlineLevel="0" collapsed="false">
      <c r="A2820" s="0" t="s">
        <v>633</v>
      </c>
      <c r="B2820" s="0" t="s">
        <v>65</v>
      </c>
      <c r="C2820" s="0" t="s">
        <v>66</v>
      </c>
      <c r="D2820" s="0" t="n">
        <v>19</v>
      </c>
      <c r="E2820" s="5" t="n">
        <v>45973.8461689815</v>
      </c>
      <c r="F2820" s="0" t="n">
        <v>1.65</v>
      </c>
      <c r="G2820" s="0" t="n">
        <v>17068</v>
      </c>
      <c r="H2820" s="6" t="s">
        <v>42</v>
      </c>
      <c r="I2820" s="6" t="n">
        <f aca="false">D2820*F2820</f>
        <v>31.35</v>
      </c>
      <c r="J2820" s="6" t="n">
        <f aca="false">HOUR(E2820)</f>
        <v>20</v>
      </c>
      <c r="K2820" s="6" t="n">
        <f aca="false">IF(COUNTIF($A$2:$A2820,A2820)=1,1,0)</f>
        <v>0</v>
      </c>
    </row>
    <row r="2821" customFormat="false" ht="15" hidden="false" customHeight="false" outlineLevel="0" collapsed="false">
      <c r="A2821" s="0" t="s">
        <v>634</v>
      </c>
      <c r="B2821" s="0" t="s">
        <v>83</v>
      </c>
      <c r="C2821" s="0" t="s">
        <v>84</v>
      </c>
      <c r="D2821" s="0" t="n">
        <v>13</v>
      </c>
      <c r="E2821" s="5" t="n">
        <v>45973.9421296296</v>
      </c>
      <c r="F2821" s="0" t="n">
        <v>2.95</v>
      </c>
      <c r="G2821" s="0" t="n">
        <v>17200</v>
      </c>
      <c r="H2821" s="6" t="s">
        <v>151</v>
      </c>
      <c r="I2821" s="6" t="n">
        <f aca="false">D2821*F2821</f>
        <v>38.35</v>
      </c>
      <c r="J2821" s="6" t="n">
        <f aca="false">HOUR(E2821)</f>
        <v>22</v>
      </c>
      <c r="K2821" s="6" t="n">
        <f aca="false">IF(COUNTIF($A$2:$A2821,A2821)=1,1,0)</f>
        <v>1</v>
      </c>
    </row>
    <row r="2822" customFormat="false" ht="15" hidden="false" customHeight="false" outlineLevel="0" collapsed="false">
      <c r="A2822" s="0" t="s">
        <v>634</v>
      </c>
      <c r="B2822" s="0" t="s">
        <v>69</v>
      </c>
      <c r="C2822" s="0" t="s">
        <v>70</v>
      </c>
      <c r="D2822" s="0" t="n">
        <v>44</v>
      </c>
      <c r="E2822" s="5" t="n">
        <v>45973.9421296296</v>
      </c>
      <c r="F2822" s="0" t="n">
        <v>2.08</v>
      </c>
      <c r="G2822" s="0" t="n">
        <v>17200</v>
      </c>
      <c r="H2822" s="6" t="s">
        <v>151</v>
      </c>
      <c r="I2822" s="6" t="n">
        <f aca="false">D2822*F2822</f>
        <v>91.52</v>
      </c>
      <c r="J2822" s="6" t="n">
        <f aca="false">HOUR(E2822)</f>
        <v>22</v>
      </c>
      <c r="K2822" s="6" t="n">
        <f aca="false">IF(COUNTIF($A$2:$A2822,A2822)=1,1,0)</f>
        <v>0</v>
      </c>
    </row>
    <row r="2823" customFormat="false" ht="15" hidden="false" customHeight="false" outlineLevel="0" collapsed="false">
      <c r="A2823" s="0" t="s">
        <v>634</v>
      </c>
      <c r="B2823" s="0" t="s">
        <v>107</v>
      </c>
      <c r="C2823" s="0" t="s">
        <v>108</v>
      </c>
      <c r="D2823" s="0" t="n">
        <v>6</v>
      </c>
      <c r="E2823" s="5" t="n">
        <v>45973.9421296296</v>
      </c>
      <c r="F2823" s="0" t="n">
        <v>3.75</v>
      </c>
      <c r="G2823" s="0" t="n">
        <v>17200</v>
      </c>
      <c r="H2823" s="6" t="s">
        <v>151</v>
      </c>
      <c r="I2823" s="6" t="n">
        <f aca="false">D2823*F2823</f>
        <v>22.5</v>
      </c>
      <c r="J2823" s="6" t="n">
        <f aca="false">HOUR(E2823)</f>
        <v>22</v>
      </c>
      <c r="K2823" s="6" t="n">
        <f aca="false">IF(COUNTIF($A$2:$A2823,A2823)=1,1,0)</f>
        <v>0</v>
      </c>
    </row>
    <row r="2824" customFormat="false" ht="15" hidden="false" customHeight="false" outlineLevel="0" collapsed="false">
      <c r="A2824" s="0" t="s">
        <v>634</v>
      </c>
      <c r="B2824" s="0" t="s">
        <v>77</v>
      </c>
      <c r="C2824" s="0" t="s">
        <v>78</v>
      </c>
      <c r="D2824" s="0" t="n">
        <v>6</v>
      </c>
      <c r="E2824" s="5" t="n">
        <v>45973.9421296296</v>
      </c>
      <c r="F2824" s="0" t="n">
        <v>1.65</v>
      </c>
      <c r="G2824" s="0" t="n">
        <v>17200</v>
      </c>
      <c r="H2824" s="6" t="s">
        <v>151</v>
      </c>
      <c r="I2824" s="6" t="n">
        <f aca="false">D2824*F2824</f>
        <v>9.9</v>
      </c>
      <c r="J2824" s="6" t="n">
        <f aca="false">HOUR(E2824)</f>
        <v>22</v>
      </c>
      <c r="K2824" s="6" t="n">
        <f aca="false">IF(COUNTIF($A$2:$A2824,A2824)=1,1,0)</f>
        <v>0</v>
      </c>
    </row>
    <row r="2825" customFormat="false" ht="15" hidden="false" customHeight="false" outlineLevel="0" collapsed="false">
      <c r="A2825" s="0" t="s">
        <v>634</v>
      </c>
      <c r="B2825" s="0" t="s">
        <v>118</v>
      </c>
      <c r="C2825" s="0" t="s">
        <v>119</v>
      </c>
      <c r="D2825" s="0" t="n">
        <v>25</v>
      </c>
      <c r="E2825" s="5" t="n">
        <v>45973.9421296296</v>
      </c>
      <c r="F2825" s="0" t="n">
        <v>4.95</v>
      </c>
      <c r="G2825" s="0" t="n">
        <v>17200</v>
      </c>
      <c r="H2825" s="6" t="s">
        <v>151</v>
      </c>
      <c r="I2825" s="6" t="n">
        <f aca="false">D2825*F2825</f>
        <v>123.75</v>
      </c>
      <c r="J2825" s="6" t="n">
        <f aca="false">HOUR(E2825)</f>
        <v>22</v>
      </c>
      <c r="K2825" s="6" t="n">
        <f aca="false">IF(COUNTIF($A$2:$A2825,A2825)=1,1,0)</f>
        <v>0</v>
      </c>
    </row>
    <row r="2826" customFormat="false" ht="15" hidden="false" customHeight="false" outlineLevel="0" collapsed="false">
      <c r="A2826" s="0" t="s">
        <v>634</v>
      </c>
      <c r="B2826" s="0" t="s">
        <v>45</v>
      </c>
      <c r="C2826" s="0" t="s">
        <v>46</v>
      </c>
      <c r="D2826" s="0" t="n">
        <v>19</v>
      </c>
      <c r="E2826" s="5" t="n">
        <v>45973.9421296296</v>
      </c>
      <c r="F2826" s="0" t="n">
        <v>2.1</v>
      </c>
      <c r="G2826" s="0" t="n">
        <v>17200</v>
      </c>
      <c r="H2826" s="6" t="s">
        <v>151</v>
      </c>
      <c r="I2826" s="6" t="n">
        <f aca="false">D2826*F2826</f>
        <v>39.9</v>
      </c>
      <c r="J2826" s="6" t="n">
        <f aca="false">HOUR(E2826)</f>
        <v>22</v>
      </c>
      <c r="K2826" s="6" t="n">
        <f aca="false">IF(COUNTIF($A$2:$A2826,A2826)=1,1,0)</f>
        <v>0</v>
      </c>
    </row>
    <row r="2827" customFormat="false" ht="15" hidden="false" customHeight="false" outlineLevel="0" collapsed="false">
      <c r="A2827" s="0" t="s">
        <v>634</v>
      </c>
      <c r="B2827" s="0" t="s">
        <v>75</v>
      </c>
      <c r="C2827" s="0" t="s">
        <v>76</v>
      </c>
      <c r="D2827" s="0" t="n">
        <v>4</v>
      </c>
      <c r="E2827" s="5" t="n">
        <v>45973.9421296296</v>
      </c>
      <c r="F2827" s="0" t="n">
        <v>3.39</v>
      </c>
      <c r="G2827" s="0" t="n">
        <v>17200</v>
      </c>
      <c r="H2827" s="6" t="s">
        <v>151</v>
      </c>
      <c r="I2827" s="6" t="n">
        <f aca="false">D2827*F2827</f>
        <v>13.56</v>
      </c>
      <c r="J2827" s="6" t="n">
        <f aca="false">HOUR(E2827)</f>
        <v>22</v>
      </c>
      <c r="K2827" s="6" t="n">
        <f aca="false">IF(COUNTIF($A$2:$A2827,A2827)=1,1,0)</f>
        <v>0</v>
      </c>
    </row>
    <row r="2828" customFormat="false" ht="15" hidden="false" customHeight="false" outlineLevel="0" collapsed="false">
      <c r="A2828" s="0" t="s">
        <v>635</v>
      </c>
      <c r="B2828" s="0" t="s">
        <v>102</v>
      </c>
      <c r="C2828" s="0" t="s">
        <v>103</v>
      </c>
      <c r="D2828" s="0" t="n">
        <v>34</v>
      </c>
      <c r="E2828" s="5" t="n">
        <v>45974.0494560185</v>
      </c>
      <c r="F2828" s="0" t="n">
        <v>8.5</v>
      </c>
      <c r="G2828" s="0" t="n">
        <v>17072</v>
      </c>
      <c r="H2828" s="6" t="s">
        <v>74</v>
      </c>
      <c r="I2828" s="6" t="n">
        <f aca="false">D2828*F2828</f>
        <v>289</v>
      </c>
      <c r="J2828" s="6" t="n">
        <f aca="false">HOUR(E2828)</f>
        <v>1</v>
      </c>
      <c r="K2828" s="6" t="n">
        <f aca="false">IF(COUNTIF($A$2:$A2828,A2828)=1,1,0)</f>
        <v>1</v>
      </c>
    </row>
    <row r="2829" customFormat="false" ht="15" hidden="false" customHeight="false" outlineLevel="0" collapsed="false">
      <c r="A2829" s="0" t="s">
        <v>636</v>
      </c>
      <c r="B2829" s="0" t="s">
        <v>61</v>
      </c>
      <c r="C2829" s="0" t="s">
        <v>62</v>
      </c>
      <c r="D2829" s="0" t="n">
        <v>19</v>
      </c>
      <c r="E2829" s="5" t="n">
        <v>45974.267337963</v>
      </c>
      <c r="F2829" s="0" t="n">
        <v>1.65</v>
      </c>
      <c r="G2829" s="0" t="n">
        <v>17223</v>
      </c>
      <c r="H2829" s="6" t="s">
        <v>263</v>
      </c>
      <c r="I2829" s="6" t="n">
        <f aca="false">D2829*F2829</f>
        <v>31.35</v>
      </c>
      <c r="J2829" s="6" t="n">
        <f aca="false">HOUR(E2829)</f>
        <v>6</v>
      </c>
      <c r="K2829" s="6" t="n">
        <f aca="false">IF(COUNTIF($A$2:$A2829,A2829)=1,1,0)</f>
        <v>1</v>
      </c>
    </row>
    <row r="2830" customFormat="false" ht="15" hidden="false" customHeight="false" outlineLevel="0" collapsed="false">
      <c r="A2830" s="0" t="s">
        <v>636</v>
      </c>
      <c r="B2830" s="0" t="s">
        <v>63</v>
      </c>
      <c r="C2830" s="0" t="s">
        <v>64</v>
      </c>
      <c r="D2830" s="0" t="n">
        <v>24</v>
      </c>
      <c r="E2830" s="5" t="n">
        <v>45974.267337963</v>
      </c>
      <c r="F2830" s="0" t="n">
        <v>1.85</v>
      </c>
      <c r="G2830" s="0" t="n">
        <v>17223</v>
      </c>
      <c r="H2830" s="6" t="s">
        <v>263</v>
      </c>
      <c r="I2830" s="6" t="n">
        <f aca="false">D2830*F2830</f>
        <v>44.4</v>
      </c>
      <c r="J2830" s="6" t="n">
        <f aca="false">HOUR(E2830)</f>
        <v>6</v>
      </c>
      <c r="K2830" s="6" t="n">
        <f aca="false">IF(COUNTIF($A$2:$A2830,A2830)=1,1,0)</f>
        <v>0</v>
      </c>
    </row>
    <row r="2831" customFormat="false" ht="15" hidden="false" customHeight="false" outlineLevel="0" collapsed="false">
      <c r="A2831" s="0" t="s">
        <v>636</v>
      </c>
      <c r="B2831" s="0" t="s">
        <v>55</v>
      </c>
      <c r="C2831" s="0" t="s">
        <v>56</v>
      </c>
      <c r="D2831" s="0" t="n">
        <v>19</v>
      </c>
      <c r="E2831" s="5" t="n">
        <v>45974.267337963</v>
      </c>
      <c r="F2831" s="0" t="n">
        <v>1.65</v>
      </c>
      <c r="G2831" s="0" t="n">
        <v>17223</v>
      </c>
      <c r="H2831" s="6" t="s">
        <v>263</v>
      </c>
      <c r="I2831" s="6" t="n">
        <f aca="false">D2831*F2831</f>
        <v>31.35</v>
      </c>
      <c r="J2831" s="6" t="n">
        <f aca="false">HOUR(E2831)</f>
        <v>6</v>
      </c>
      <c r="K2831" s="6" t="n">
        <f aca="false">IF(COUNTIF($A$2:$A2831,A2831)=1,1,0)</f>
        <v>0</v>
      </c>
    </row>
    <row r="2832" customFormat="false" ht="15" hidden="false" customHeight="false" outlineLevel="0" collapsed="false">
      <c r="A2832" s="0" t="s">
        <v>636</v>
      </c>
      <c r="B2832" s="0" t="s">
        <v>59</v>
      </c>
      <c r="C2832" s="0" t="s">
        <v>60</v>
      </c>
      <c r="D2832" s="0" t="n">
        <v>3</v>
      </c>
      <c r="E2832" s="5" t="n">
        <v>45974.267337963</v>
      </c>
      <c r="F2832" s="0" t="n">
        <v>0.42</v>
      </c>
      <c r="G2832" s="0" t="n">
        <v>17223</v>
      </c>
      <c r="H2832" s="6" t="s">
        <v>263</v>
      </c>
      <c r="I2832" s="6" t="n">
        <f aca="false">D2832*F2832</f>
        <v>1.26</v>
      </c>
      <c r="J2832" s="6" t="n">
        <f aca="false">HOUR(E2832)</f>
        <v>6</v>
      </c>
      <c r="K2832" s="6" t="n">
        <f aca="false">IF(COUNTIF($A$2:$A2832,A2832)=1,1,0)</f>
        <v>0</v>
      </c>
    </row>
    <row r="2833" customFormat="false" ht="15" hidden="false" customHeight="false" outlineLevel="0" collapsed="false">
      <c r="A2833" s="0" t="s">
        <v>637</v>
      </c>
      <c r="B2833" s="0" t="s">
        <v>140</v>
      </c>
      <c r="C2833" s="0" t="s">
        <v>141</v>
      </c>
      <c r="D2833" s="0" t="n">
        <v>9</v>
      </c>
      <c r="E2833" s="5" t="n">
        <v>45974.3837268519</v>
      </c>
      <c r="F2833" s="0" t="n">
        <v>2.08</v>
      </c>
      <c r="H2833" s="6" t="s">
        <v>74</v>
      </c>
      <c r="I2833" s="6" t="n">
        <f aca="false">D2833*F2833</f>
        <v>18.72</v>
      </c>
      <c r="J2833" s="6" t="n">
        <f aca="false">HOUR(E2833)</f>
        <v>9</v>
      </c>
      <c r="K2833" s="6" t="n">
        <f aca="false">IF(COUNTIF($A$2:$A2833,A2833)=1,1,0)</f>
        <v>1</v>
      </c>
    </row>
    <row r="2834" customFormat="false" ht="15" hidden="false" customHeight="false" outlineLevel="0" collapsed="false">
      <c r="A2834" s="0" t="s">
        <v>638</v>
      </c>
      <c r="B2834" s="0" t="s">
        <v>121</v>
      </c>
      <c r="C2834" s="0" t="s">
        <v>122</v>
      </c>
      <c r="D2834" s="0" t="n">
        <v>19</v>
      </c>
      <c r="E2834" s="5" t="n">
        <v>45974.3982986111</v>
      </c>
      <c r="F2834" s="0" t="n">
        <v>2.1</v>
      </c>
      <c r="G2834" s="0" t="n">
        <v>17127</v>
      </c>
      <c r="H2834" s="6" t="s">
        <v>151</v>
      </c>
      <c r="I2834" s="6" t="n">
        <f aca="false">D2834*F2834</f>
        <v>39.9</v>
      </c>
      <c r="J2834" s="6" t="n">
        <f aca="false">HOUR(E2834)</f>
        <v>9</v>
      </c>
      <c r="K2834" s="6" t="n">
        <f aca="false">IF(COUNTIF($A$2:$A2834,A2834)=1,1,0)</f>
        <v>1</v>
      </c>
    </row>
    <row r="2835" customFormat="false" ht="15" hidden="false" customHeight="false" outlineLevel="0" collapsed="false">
      <c r="A2835" s="0" t="s">
        <v>638</v>
      </c>
      <c r="B2835" s="0" t="s">
        <v>69</v>
      </c>
      <c r="C2835" s="0" t="s">
        <v>70</v>
      </c>
      <c r="D2835" s="0" t="n">
        <v>26</v>
      </c>
      <c r="E2835" s="5" t="n">
        <v>45974.3982986111</v>
      </c>
      <c r="F2835" s="0" t="n">
        <v>2.08</v>
      </c>
      <c r="G2835" s="0" t="n">
        <v>17127</v>
      </c>
      <c r="H2835" s="6" t="s">
        <v>151</v>
      </c>
      <c r="I2835" s="6" t="n">
        <f aca="false">D2835*F2835</f>
        <v>54.08</v>
      </c>
      <c r="J2835" s="6" t="n">
        <f aca="false">HOUR(E2835)</f>
        <v>9</v>
      </c>
      <c r="K2835" s="6" t="n">
        <f aca="false">IF(COUNTIF($A$2:$A2835,A2835)=1,1,0)</f>
        <v>0</v>
      </c>
    </row>
    <row r="2836" customFormat="false" ht="15" hidden="false" customHeight="false" outlineLevel="0" collapsed="false">
      <c r="A2836" s="0" t="s">
        <v>638</v>
      </c>
      <c r="B2836" s="0" t="s">
        <v>93</v>
      </c>
      <c r="C2836" s="0" t="s">
        <v>94</v>
      </c>
      <c r="D2836" s="0" t="n">
        <v>9</v>
      </c>
      <c r="E2836" s="5" t="n">
        <v>45974.3982986111</v>
      </c>
      <c r="F2836" s="0" t="n">
        <v>1.69</v>
      </c>
      <c r="G2836" s="0" t="n">
        <v>17127</v>
      </c>
      <c r="H2836" s="6" t="s">
        <v>151</v>
      </c>
      <c r="I2836" s="6" t="n">
        <f aca="false">D2836*F2836</f>
        <v>15.21</v>
      </c>
      <c r="J2836" s="6" t="n">
        <f aca="false">HOUR(E2836)</f>
        <v>9</v>
      </c>
      <c r="K2836" s="6" t="n">
        <f aca="false">IF(COUNTIF($A$2:$A2836,A2836)=1,1,0)</f>
        <v>0</v>
      </c>
    </row>
    <row r="2837" customFormat="false" ht="15" hidden="false" customHeight="false" outlineLevel="0" collapsed="false">
      <c r="A2837" s="0" t="s">
        <v>638</v>
      </c>
      <c r="B2837" s="0" t="s">
        <v>81</v>
      </c>
      <c r="C2837" s="0" t="s">
        <v>82</v>
      </c>
      <c r="D2837" s="0" t="n">
        <v>8</v>
      </c>
      <c r="E2837" s="5" t="n">
        <v>45974.3982986111</v>
      </c>
      <c r="F2837" s="0" t="n">
        <v>1.65</v>
      </c>
      <c r="G2837" s="0" t="n">
        <v>17127</v>
      </c>
      <c r="H2837" s="6" t="s">
        <v>151</v>
      </c>
      <c r="I2837" s="6" t="n">
        <f aca="false">D2837*F2837</f>
        <v>13.2</v>
      </c>
      <c r="J2837" s="6" t="n">
        <f aca="false">HOUR(E2837)</f>
        <v>9</v>
      </c>
      <c r="K2837" s="6" t="n">
        <f aca="false">IF(COUNTIF($A$2:$A2837,A2837)=1,1,0)</f>
        <v>0</v>
      </c>
    </row>
    <row r="2838" customFormat="false" ht="15" hidden="false" customHeight="false" outlineLevel="0" collapsed="false">
      <c r="A2838" s="0" t="s">
        <v>638</v>
      </c>
      <c r="B2838" s="0" t="s">
        <v>47</v>
      </c>
      <c r="C2838" s="0" t="s">
        <v>48</v>
      </c>
      <c r="D2838" s="0" t="n">
        <v>16</v>
      </c>
      <c r="E2838" s="5" t="n">
        <v>45974.3982986111</v>
      </c>
      <c r="F2838" s="0" t="n">
        <v>12.75</v>
      </c>
      <c r="G2838" s="0" t="n">
        <v>17127</v>
      </c>
      <c r="H2838" s="6" t="s">
        <v>151</v>
      </c>
      <c r="I2838" s="6" t="n">
        <f aca="false">D2838*F2838</f>
        <v>204</v>
      </c>
      <c r="J2838" s="6" t="n">
        <f aca="false">HOUR(E2838)</f>
        <v>9</v>
      </c>
      <c r="K2838" s="6" t="n">
        <f aca="false">IF(COUNTIF($A$2:$A2838,A2838)=1,1,0)</f>
        <v>0</v>
      </c>
    </row>
    <row r="2839" customFormat="false" ht="15" hidden="false" customHeight="false" outlineLevel="0" collapsed="false">
      <c r="A2839" s="0" t="s">
        <v>638</v>
      </c>
      <c r="B2839" s="0" t="s">
        <v>40</v>
      </c>
      <c r="C2839" s="0" t="s">
        <v>41</v>
      </c>
      <c r="D2839" s="0" t="n">
        <v>16</v>
      </c>
      <c r="E2839" s="5" t="n">
        <v>45974.3982986111</v>
      </c>
      <c r="F2839" s="0" t="n">
        <v>1.06</v>
      </c>
      <c r="G2839" s="0" t="n">
        <v>17127</v>
      </c>
      <c r="H2839" s="6" t="s">
        <v>151</v>
      </c>
      <c r="I2839" s="6" t="n">
        <f aca="false">D2839*F2839</f>
        <v>16.96</v>
      </c>
      <c r="J2839" s="6" t="n">
        <f aca="false">HOUR(E2839)</f>
        <v>9</v>
      </c>
      <c r="K2839" s="6" t="n">
        <f aca="false">IF(COUNTIF($A$2:$A2839,A2839)=1,1,0)</f>
        <v>0</v>
      </c>
    </row>
    <row r="2840" customFormat="false" ht="15" hidden="false" customHeight="false" outlineLevel="0" collapsed="false">
      <c r="A2840" s="0" t="s">
        <v>638</v>
      </c>
      <c r="B2840" s="0" t="s">
        <v>131</v>
      </c>
      <c r="C2840" s="0" t="s">
        <v>132</v>
      </c>
      <c r="D2840" s="0" t="n">
        <v>13</v>
      </c>
      <c r="E2840" s="5" t="n">
        <v>45974.3982986111</v>
      </c>
      <c r="F2840" s="0" t="n">
        <v>3.39</v>
      </c>
      <c r="G2840" s="0" t="n">
        <v>17127</v>
      </c>
      <c r="H2840" s="6" t="s">
        <v>151</v>
      </c>
      <c r="I2840" s="6" t="n">
        <f aca="false">D2840*F2840</f>
        <v>44.07</v>
      </c>
      <c r="J2840" s="6" t="n">
        <f aca="false">HOUR(E2840)</f>
        <v>9</v>
      </c>
      <c r="K2840" s="6" t="n">
        <f aca="false">IF(COUNTIF($A$2:$A2840,A2840)=1,1,0)</f>
        <v>0</v>
      </c>
    </row>
    <row r="2841" customFormat="false" ht="15" hidden="false" customHeight="false" outlineLevel="0" collapsed="false">
      <c r="A2841" s="0" t="s">
        <v>638</v>
      </c>
      <c r="B2841" s="0" t="s">
        <v>95</v>
      </c>
      <c r="C2841" s="0" t="s">
        <v>96</v>
      </c>
      <c r="D2841" s="0" t="n">
        <v>11</v>
      </c>
      <c r="E2841" s="5" t="n">
        <v>45974.3982986111</v>
      </c>
      <c r="F2841" s="0" t="n">
        <v>2.55</v>
      </c>
      <c r="G2841" s="0" t="n">
        <v>17127</v>
      </c>
      <c r="H2841" s="6" t="s">
        <v>151</v>
      </c>
      <c r="I2841" s="6" t="n">
        <f aca="false">D2841*F2841</f>
        <v>28.05</v>
      </c>
      <c r="J2841" s="6" t="n">
        <f aca="false">HOUR(E2841)</f>
        <v>9</v>
      </c>
      <c r="K2841" s="6" t="n">
        <f aca="false">IF(COUNTIF($A$2:$A2841,A2841)=1,1,0)</f>
        <v>0</v>
      </c>
    </row>
    <row r="2842" customFormat="false" ht="15" hidden="false" customHeight="false" outlineLevel="0" collapsed="false">
      <c r="A2842" s="0" t="s">
        <v>639</v>
      </c>
      <c r="B2842" s="0" t="s">
        <v>116</v>
      </c>
      <c r="C2842" s="0" t="s">
        <v>117</v>
      </c>
      <c r="D2842" s="0" t="n">
        <v>22</v>
      </c>
      <c r="E2842" s="5" t="n">
        <v>45974.4961111111</v>
      </c>
      <c r="F2842" s="0" t="n">
        <v>1.95</v>
      </c>
      <c r="G2842" s="0" t="n">
        <v>17206</v>
      </c>
      <c r="H2842" s="6" t="s">
        <v>113</v>
      </c>
      <c r="I2842" s="6" t="n">
        <f aca="false">D2842*F2842</f>
        <v>42.9</v>
      </c>
      <c r="J2842" s="6" t="n">
        <f aca="false">HOUR(E2842)</f>
        <v>11</v>
      </c>
      <c r="K2842" s="6" t="n">
        <f aca="false">IF(COUNTIF($A$2:$A2842,A2842)=1,1,0)</f>
        <v>1</v>
      </c>
    </row>
    <row r="2843" customFormat="false" ht="15" hidden="false" customHeight="false" outlineLevel="0" collapsed="false">
      <c r="A2843" s="0" t="s">
        <v>639</v>
      </c>
      <c r="B2843" s="0" t="s">
        <v>83</v>
      </c>
      <c r="C2843" s="0" t="s">
        <v>84</v>
      </c>
      <c r="D2843" s="0" t="n">
        <v>16</v>
      </c>
      <c r="E2843" s="5" t="n">
        <v>45974.4961111111</v>
      </c>
      <c r="F2843" s="0" t="n">
        <v>2.95</v>
      </c>
      <c r="G2843" s="0" t="n">
        <v>17206</v>
      </c>
      <c r="H2843" s="6" t="s">
        <v>113</v>
      </c>
      <c r="I2843" s="6" t="n">
        <f aca="false">D2843*F2843</f>
        <v>47.2</v>
      </c>
      <c r="J2843" s="6" t="n">
        <f aca="false">HOUR(E2843)</f>
        <v>11</v>
      </c>
      <c r="K2843" s="6" t="n">
        <f aca="false">IF(COUNTIF($A$2:$A2843,A2843)=1,1,0)</f>
        <v>0</v>
      </c>
    </row>
    <row r="2844" customFormat="false" ht="15" hidden="false" customHeight="false" outlineLevel="0" collapsed="false">
      <c r="A2844" s="0" t="s">
        <v>639</v>
      </c>
      <c r="B2844" s="0" t="s">
        <v>107</v>
      </c>
      <c r="C2844" s="0" t="s">
        <v>108</v>
      </c>
      <c r="D2844" s="0" t="n">
        <v>24</v>
      </c>
      <c r="E2844" s="5" t="n">
        <v>45974.4961111111</v>
      </c>
      <c r="F2844" s="0" t="n">
        <v>3.75</v>
      </c>
      <c r="G2844" s="0" t="n">
        <v>17206</v>
      </c>
      <c r="H2844" s="6" t="s">
        <v>113</v>
      </c>
      <c r="I2844" s="6" t="n">
        <f aca="false">D2844*F2844</f>
        <v>90</v>
      </c>
      <c r="J2844" s="6" t="n">
        <f aca="false">HOUR(E2844)</f>
        <v>11</v>
      </c>
      <c r="K2844" s="6" t="n">
        <f aca="false">IF(COUNTIF($A$2:$A2844,A2844)=1,1,0)</f>
        <v>0</v>
      </c>
    </row>
    <row r="2845" customFormat="false" ht="15" hidden="false" customHeight="false" outlineLevel="0" collapsed="false">
      <c r="A2845" s="0" t="s">
        <v>639</v>
      </c>
      <c r="B2845" s="0" t="s">
        <v>121</v>
      </c>
      <c r="C2845" s="0" t="s">
        <v>122</v>
      </c>
      <c r="D2845" s="0" t="n">
        <v>24</v>
      </c>
      <c r="E2845" s="5" t="n">
        <v>45974.4961111111</v>
      </c>
      <c r="F2845" s="0" t="n">
        <v>2.1</v>
      </c>
      <c r="G2845" s="0" t="n">
        <v>17206</v>
      </c>
      <c r="H2845" s="6" t="s">
        <v>113</v>
      </c>
      <c r="I2845" s="6" t="n">
        <f aca="false">D2845*F2845</f>
        <v>50.4</v>
      </c>
      <c r="J2845" s="6" t="n">
        <f aca="false">HOUR(E2845)</f>
        <v>11</v>
      </c>
      <c r="K2845" s="6" t="n">
        <f aca="false">IF(COUNTIF($A$2:$A2845,A2845)=1,1,0)</f>
        <v>0</v>
      </c>
    </row>
    <row r="2846" customFormat="false" ht="15" hidden="false" customHeight="false" outlineLevel="0" collapsed="false">
      <c r="A2846" s="0" t="s">
        <v>640</v>
      </c>
      <c r="B2846" s="0" t="s">
        <v>116</v>
      </c>
      <c r="C2846" s="0" t="s">
        <v>117</v>
      </c>
      <c r="D2846" s="0" t="n">
        <v>11</v>
      </c>
      <c r="E2846" s="5" t="n">
        <v>45974.5276157407</v>
      </c>
      <c r="F2846" s="0" t="n">
        <v>1.95</v>
      </c>
      <c r="G2846" s="0" t="n">
        <v>17132</v>
      </c>
      <c r="H2846" s="6" t="s">
        <v>113</v>
      </c>
      <c r="I2846" s="6" t="n">
        <f aca="false">D2846*F2846</f>
        <v>21.45</v>
      </c>
      <c r="J2846" s="6" t="n">
        <f aca="false">HOUR(E2846)</f>
        <v>12</v>
      </c>
      <c r="K2846" s="6" t="n">
        <f aca="false">IF(COUNTIF($A$2:$A2846,A2846)=1,1,0)</f>
        <v>1</v>
      </c>
    </row>
    <row r="2847" customFormat="false" ht="15" hidden="false" customHeight="false" outlineLevel="0" collapsed="false">
      <c r="A2847" s="0" t="s">
        <v>640</v>
      </c>
      <c r="B2847" s="0" t="s">
        <v>81</v>
      </c>
      <c r="C2847" s="0" t="s">
        <v>82</v>
      </c>
      <c r="D2847" s="0" t="n">
        <v>14</v>
      </c>
      <c r="E2847" s="5" t="n">
        <v>45974.5276157407</v>
      </c>
      <c r="F2847" s="0" t="n">
        <v>1.65</v>
      </c>
      <c r="G2847" s="0" t="n">
        <v>17132</v>
      </c>
      <c r="H2847" s="6" t="s">
        <v>113</v>
      </c>
      <c r="I2847" s="6" t="n">
        <f aca="false">D2847*F2847</f>
        <v>23.1</v>
      </c>
      <c r="J2847" s="6" t="n">
        <f aca="false">HOUR(E2847)</f>
        <v>12</v>
      </c>
      <c r="K2847" s="6" t="n">
        <f aca="false">IF(COUNTIF($A$2:$A2847,A2847)=1,1,0)</f>
        <v>0</v>
      </c>
    </row>
    <row r="2848" customFormat="false" ht="15" hidden="false" customHeight="false" outlineLevel="0" collapsed="false">
      <c r="A2848" s="0" t="s">
        <v>640</v>
      </c>
      <c r="B2848" s="0" t="s">
        <v>63</v>
      </c>
      <c r="C2848" s="0" t="s">
        <v>64</v>
      </c>
      <c r="D2848" s="0" t="n">
        <v>8</v>
      </c>
      <c r="E2848" s="5" t="n">
        <v>45974.5276157407</v>
      </c>
      <c r="F2848" s="0" t="n">
        <v>1.85</v>
      </c>
      <c r="G2848" s="0" t="n">
        <v>17132</v>
      </c>
      <c r="H2848" s="6" t="s">
        <v>113</v>
      </c>
      <c r="I2848" s="6" t="n">
        <f aca="false">D2848*F2848</f>
        <v>14.8</v>
      </c>
      <c r="J2848" s="6" t="n">
        <f aca="false">HOUR(E2848)</f>
        <v>12</v>
      </c>
      <c r="K2848" s="6" t="n">
        <f aca="false">IF(COUNTIF($A$2:$A2848,A2848)=1,1,0)</f>
        <v>0</v>
      </c>
    </row>
    <row r="2849" customFormat="false" ht="15" hidden="false" customHeight="false" outlineLevel="0" collapsed="false">
      <c r="A2849" s="0" t="s">
        <v>640</v>
      </c>
      <c r="B2849" s="0" t="s">
        <v>104</v>
      </c>
      <c r="C2849" s="0" t="s">
        <v>105</v>
      </c>
      <c r="D2849" s="0" t="n">
        <v>8</v>
      </c>
      <c r="E2849" s="5" t="n">
        <v>45974.5276157407</v>
      </c>
      <c r="F2849" s="0" t="n">
        <v>1.65</v>
      </c>
      <c r="G2849" s="0" t="n">
        <v>17132</v>
      </c>
      <c r="H2849" s="6" t="s">
        <v>113</v>
      </c>
      <c r="I2849" s="6" t="n">
        <f aca="false">D2849*F2849</f>
        <v>13.2</v>
      </c>
      <c r="J2849" s="6" t="n">
        <f aca="false">HOUR(E2849)</f>
        <v>12</v>
      </c>
      <c r="K2849" s="6" t="n">
        <f aca="false">IF(COUNTIF($A$2:$A2849,A2849)=1,1,0)</f>
        <v>0</v>
      </c>
    </row>
    <row r="2850" customFormat="false" ht="15" hidden="false" customHeight="false" outlineLevel="0" collapsed="false">
      <c r="A2850" s="0" t="s">
        <v>640</v>
      </c>
      <c r="B2850" s="0" t="s">
        <v>65</v>
      </c>
      <c r="C2850" s="0" t="s">
        <v>66</v>
      </c>
      <c r="D2850" s="0" t="n">
        <v>5</v>
      </c>
      <c r="E2850" s="5" t="n">
        <v>45974.5276157407</v>
      </c>
      <c r="F2850" s="0" t="n">
        <v>1.65</v>
      </c>
      <c r="G2850" s="0" t="n">
        <v>17132</v>
      </c>
      <c r="H2850" s="6" t="s">
        <v>113</v>
      </c>
      <c r="I2850" s="6" t="n">
        <f aca="false">D2850*F2850</f>
        <v>8.25</v>
      </c>
      <c r="J2850" s="6" t="n">
        <f aca="false">HOUR(E2850)</f>
        <v>12</v>
      </c>
      <c r="K2850" s="6" t="n">
        <f aca="false">IF(COUNTIF($A$2:$A2850,A2850)=1,1,0)</f>
        <v>0</v>
      </c>
    </row>
    <row r="2851" customFormat="false" ht="15" hidden="false" customHeight="false" outlineLevel="0" collapsed="false">
      <c r="A2851" s="0" t="s">
        <v>640</v>
      </c>
      <c r="B2851" s="0" t="s">
        <v>114</v>
      </c>
      <c r="C2851" s="0" t="s">
        <v>115</v>
      </c>
      <c r="D2851" s="0" t="n">
        <v>9</v>
      </c>
      <c r="E2851" s="5" t="n">
        <v>45974.5276157407</v>
      </c>
      <c r="F2851" s="0" t="n">
        <v>2.08</v>
      </c>
      <c r="G2851" s="0" t="n">
        <v>17132</v>
      </c>
      <c r="H2851" s="6" t="s">
        <v>113</v>
      </c>
      <c r="I2851" s="6" t="n">
        <f aca="false">D2851*F2851</f>
        <v>18.72</v>
      </c>
      <c r="J2851" s="6" t="n">
        <f aca="false">HOUR(E2851)</f>
        <v>12</v>
      </c>
      <c r="K2851" s="6" t="n">
        <f aca="false">IF(COUNTIF($A$2:$A2851,A2851)=1,1,0)</f>
        <v>0</v>
      </c>
    </row>
    <row r="2852" customFormat="false" ht="15" hidden="false" customHeight="false" outlineLevel="0" collapsed="false">
      <c r="A2852" s="0" t="s">
        <v>640</v>
      </c>
      <c r="B2852" s="0" t="s">
        <v>93</v>
      </c>
      <c r="C2852" s="0" t="s">
        <v>94</v>
      </c>
      <c r="D2852" s="0" t="n">
        <v>10</v>
      </c>
      <c r="E2852" s="5" t="n">
        <v>45974.5276157407</v>
      </c>
      <c r="F2852" s="0" t="n">
        <v>1.69</v>
      </c>
      <c r="G2852" s="0" t="n">
        <v>17132</v>
      </c>
      <c r="H2852" s="6" t="s">
        <v>113</v>
      </c>
      <c r="I2852" s="6" t="n">
        <f aca="false">D2852*F2852</f>
        <v>16.9</v>
      </c>
      <c r="J2852" s="6" t="n">
        <f aca="false">HOUR(E2852)</f>
        <v>12</v>
      </c>
      <c r="K2852" s="6" t="n">
        <f aca="false">IF(COUNTIF($A$2:$A2852,A2852)=1,1,0)</f>
        <v>0</v>
      </c>
    </row>
    <row r="2853" customFormat="false" ht="15" hidden="false" customHeight="false" outlineLevel="0" collapsed="false">
      <c r="A2853" s="0" t="s">
        <v>640</v>
      </c>
      <c r="B2853" s="0" t="s">
        <v>53</v>
      </c>
      <c r="C2853" s="0" t="s">
        <v>54</v>
      </c>
      <c r="D2853" s="0" t="n">
        <v>2</v>
      </c>
      <c r="E2853" s="5" t="n">
        <v>45974.5276157407</v>
      </c>
      <c r="F2853" s="0" t="n">
        <v>2.95</v>
      </c>
      <c r="G2853" s="0" t="n">
        <v>17132</v>
      </c>
      <c r="H2853" s="6" t="s">
        <v>113</v>
      </c>
      <c r="I2853" s="6" t="n">
        <f aca="false">D2853*F2853</f>
        <v>5.9</v>
      </c>
      <c r="J2853" s="6" t="n">
        <f aca="false">HOUR(E2853)</f>
        <v>12</v>
      </c>
      <c r="K2853" s="6" t="n">
        <f aca="false">IF(COUNTIF($A$2:$A2853,A2853)=1,1,0)</f>
        <v>0</v>
      </c>
    </row>
    <row r="2854" customFormat="false" ht="15" hidden="false" customHeight="false" outlineLevel="0" collapsed="false">
      <c r="A2854" s="0" t="s">
        <v>640</v>
      </c>
      <c r="B2854" s="0" t="s">
        <v>140</v>
      </c>
      <c r="C2854" s="0" t="s">
        <v>141</v>
      </c>
      <c r="D2854" s="0" t="n">
        <v>24</v>
      </c>
      <c r="E2854" s="5" t="n">
        <v>45974.5276157407</v>
      </c>
      <c r="F2854" s="0" t="n">
        <v>2.08</v>
      </c>
      <c r="G2854" s="0" t="n">
        <v>17132</v>
      </c>
      <c r="H2854" s="6" t="s">
        <v>113</v>
      </c>
      <c r="I2854" s="6" t="n">
        <f aca="false">D2854*F2854</f>
        <v>49.92</v>
      </c>
      <c r="J2854" s="6" t="n">
        <f aca="false">HOUR(E2854)</f>
        <v>12</v>
      </c>
      <c r="K2854" s="6" t="n">
        <f aca="false">IF(COUNTIF($A$2:$A2854,A2854)=1,1,0)</f>
        <v>0</v>
      </c>
    </row>
    <row r="2855" customFormat="false" ht="15" hidden="false" customHeight="false" outlineLevel="0" collapsed="false">
      <c r="A2855" s="0" t="s">
        <v>640</v>
      </c>
      <c r="B2855" s="0" t="s">
        <v>99</v>
      </c>
      <c r="C2855" s="0" t="s">
        <v>100</v>
      </c>
      <c r="D2855" s="0" t="n">
        <v>10</v>
      </c>
      <c r="E2855" s="5" t="n">
        <v>45974.5276157407</v>
      </c>
      <c r="F2855" s="0" t="n">
        <v>2.08</v>
      </c>
      <c r="G2855" s="0" t="n">
        <v>17132</v>
      </c>
      <c r="H2855" s="6" t="s">
        <v>113</v>
      </c>
      <c r="I2855" s="6" t="n">
        <f aca="false">D2855*F2855</f>
        <v>20.8</v>
      </c>
      <c r="J2855" s="6" t="n">
        <f aca="false">HOUR(E2855)</f>
        <v>12</v>
      </c>
      <c r="K2855" s="6" t="n">
        <f aca="false">IF(COUNTIF($A$2:$A2855,A2855)=1,1,0)</f>
        <v>0</v>
      </c>
    </row>
    <row r="2856" customFormat="false" ht="15" hidden="false" customHeight="false" outlineLevel="0" collapsed="false">
      <c r="A2856" s="0" t="s">
        <v>641</v>
      </c>
      <c r="B2856" s="0" t="s">
        <v>45</v>
      </c>
      <c r="C2856" s="0" t="s">
        <v>46</v>
      </c>
      <c r="D2856" s="0" t="n">
        <v>7</v>
      </c>
      <c r="E2856" s="5" t="n">
        <v>45974.5297106481</v>
      </c>
      <c r="F2856" s="0" t="n">
        <v>2.1</v>
      </c>
      <c r="G2856" s="0" t="n">
        <v>17127</v>
      </c>
      <c r="H2856" s="6" t="s">
        <v>208</v>
      </c>
      <c r="I2856" s="6" t="n">
        <f aca="false">D2856*F2856</f>
        <v>14.7</v>
      </c>
      <c r="J2856" s="6" t="n">
        <f aca="false">HOUR(E2856)</f>
        <v>12</v>
      </c>
      <c r="K2856" s="6" t="n">
        <f aca="false">IF(COUNTIF($A$2:$A2856,A2856)=1,1,0)</f>
        <v>1</v>
      </c>
    </row>
    <row r="2857" customFormat="false" ht="15" hidden="false" customHeight="false" outlineLevel="0" collapsed="false">
      <c r="A2857" s="0" t="s">
        <v>641</v>
      </c>
      <c r="B2857" s="0" t="s">
        <v>88</v>
      </c>
      <c r="C2857" s="0" t="s">
        <v>89</v>
      </c>
      <c r="D2857" s="0" t="n">
        <v>22</v>
      </c>
      <c r="E2857" s="5" t="n">
        <v>45974.5297106481</v>
      </c>
      <c r="F2857" s="0" t="n">
        <v>2.75</v>
      </c>
      <c r="G2857" s="0" t="n">
        <v>17127</v>
      </c>
      <c r="H2857" s="6" t="s">
        <v>208</v>
      </c>
      <c r="I2857" s="6" t="n">
        <f aca="false">D2857*F2857</f>
        <v>60.5</v>
      </c>
      <c r="J2857" s="6" t="n">
        <f aca="false">HOUR(E2857)</f>
        <v>12</v>
      </c>
      <c r="K2857" s="6" t="n">
        <f aca="false">IF(COUNTIF($A$2:$A2857,A2857)=1,1,0)</f>
        <v>0</v>
      </c>
    </row>
    <row r="2858" customFormat="false" ht="15" hidden="false" customHeight="false" outlineLevel="0" collapsed="false">
      <c r="A2858" s="0" t="s">
        <v>641</v>
      </c>
      <c r="B2858" s="0" t="s">
        <v>61</v>
      </c>
      <c r="C2858" s="0" t="s">
        <v>62</v>
      </c>
      <c r="D2858" s="0" t="n">
        <v>21</v>
      </c>
      <c r="E2858" s="5" t="n">
        <v>45974.5297106481</v>
      </c>
      <c r="F2858" s="0" t="n">
        <v>1.65</v>
      </c>
      <c r="G2858" s="0" t="n">
        <v>17127</v>
      </c>
      <c r="H2858" s="6" t="s">
        <v>208</v>
      </c>
      <c r="I2858" s="6" t="n">
        <f aca="false">D2858*F2858</f>
        <v>34.65</v>
      </c>
      <c r="J2858" s="6" t="n">
        <f aca="false">HOUR(E2858)</f>
        <v>12</v>
      </c>
      <c r="K2858" s="6" t="n">
        <f aca="false">IF(COUNTIF($A$2:$A2858,A2858)=1,1,0)</f>
        <v>0</v>
      </c>
    </row>
    <row r="2859" customFormat="false" ht="15" hidden="false" customHeight="false" outlineLevel="0" collapsed="false">
      <c r="A2859" s="0" t="s">
        <v>641</v>
      </c>
      <c r="B2859" s="0" t="s">
        <v>116</v>
      </c>
      <c r="C2859" s="0" t="s">
        <v>117</v>
      </c>
      <c r="D2859" s="0" t="n">
        <v>14</v>
      </c>
      <c r="E2859" s="5" t="n">
        <v>45974.5297106481</v>
      </c>
      <c r="F2859" s="0" t="n">
        <v>1.95</v>
      </c>
      <c r="G2859" s="0" t="n">
        <v>17127</v>
      </c>
      <c r="H2859" s="6" t="s">
        <v>208</v>
      </c>
      <c r="I2859" s="6" t="n">
        <f aca="false">D2859*F2859</f>
        <v>27.3</v>
      </c>
      <c r="J2859" s="6" t="n">
        <f aca="false">HOUR(E2859)</f>
        <v>12</v>
      </c>
      <c r="K2859" s="6" t="n">
        <f aca="false">IF(COUNTIF($A$2:$A2859,A2859)=1,1,0)</f>
        <v>0</v>
      </c>
    </row>
    <row r="2860" customFormat="false" ht="15" hidden="false" customHeight="false" outlineLevel="0" collapsed="false">
      <c r="A2860" s="0" t="s">
        <v>642</v>
      </c>
      <c r="B2860" s="0" t="s">
        <v>91</v>
      </c>
      <c r="C2860" s="0" t="s">
        <v>92</v>
      </c>
      <c r="D2860" s="0" t="n">
        <v>12</v>
      </c>
      <c r="E2860" s="5" t="n">
        <v>45974.5339814815</v>
      </c>
      <c r="F2860" s="0" t="n">
        <v>7.65</v>
      </c>
      <c r="G2860" s="0" t="n">
        <v>17215</v>
      </c>
      <c r="H2860" s="6" t="s">
        <v>208</v>
      </c>
      <c r="I2860" s="6" t="n">
        <f aca="false">D2860*F2860</f>
        <v>91.8</v>
      </c>
      <c r="J2860" s="6" t="n">
        <f aca="false">HOUR(E2860)</f>
        <v>12</v>
      </c>
      <c r="K2860" s="6" t="n">
        <f aca="false">IF(COUNTIF($A$2:$A2860,A2860)=1,1,0)</f>
        <v>1</v>
      </c>
    </row>
    <row r="2861" customFormat="false" ht="15" hidden="false" customHeight="false" outlineLevel="0" collapsed="false">
      <c r="A2861" s="0" t="s">
        <v>642</v>
      </c>
      <c r="B2861" s="0" t="s">
        <v>83</v>
      </c>
      <c r="C2861" s="0" t="s">
        <v>84</v>
      </c>
      <c r="D2861" s="0" t="n">
        <v>3</v>
      </c>
      <c r="E2861" s="5" t="n">
        <v>45974.5339814815</v>
      </c>
      <c r="F2861" s="0" t="n">
        <v>2.95</v>
      </c>
      <c r="G2861" s="0" t="n">
        <v>17215</v>
      </c>
      <c r="H2861" s="6" t="s">
        <v>208</v>
      </c>
      <c r="I2861" s="6" t="n">
        <f aca="false">D2861*F2861</f>
        <v>8.85</v>
      </c>
      <c r="J2861" s="6" t="n">
        <f aca="false">HOUR(E2861)</f>
        <v>12</v>
      </c>
      <c r="K2861" s="6" t="n">
        <f aca="false">IF(COUNTIF($A$2:$A2861,A2861)=1,1,0)</f>
        <v>0</v>
      </c>
    </row>
    <row r="2862" customFormat="false" ht="15" hidden="false" customHeight="false" outlineLevel="0" collapsed="false">
      <c r="A2862" s="0" t="s">
        <v>642</v>
      </c>
      <c r="B2862" s="0" t="s">
        <v>79</v>
      </c>
      <c r="C2862" s="0" t="s">
        <v>80</v>
      </c>
      <c r="D2862" s="0" t="n">
        <v>21</v>
      </c>
      <c r="E2862" s="5" t="n">
        <v>45974.5339814815</v>
      </c>
      <c r="F2862" s="0" t="n">
        <v>3.39</v>
      </c>
      <c r="G2862" s="0" t="n">
        <v>17215</v>
      </c>
      <c r="H2862" s="6" t="s">
        <v>208</v>
      </c>
      <c r="I2862" s="6" t="n">
        <f aca="false">D2862*F2862</f>
        <v>71.19</v>
      </c>
      <c r="J2862" s="6" t="n">
        <f aca="false">HOUR(E2862)</f>
        <v>12</v>
      </c>
      <c r="K2862" s="6" t="n">
        <f aca="false">IF(COUNTIF($A$2:$A2862,A2862)=1,1,0)</f>
        <v>0</v>
      </c>
    </row>
    <row r="2863" customFormat="false" ht="15" hidden="false" customHeight="false" outlineLevel="0" collapsed="false">
      <c r="A2863" s="0" t="s">
        <v>642</v>
      </c>
      <c r="B2863" s="0" t="s">
        <v>77</v>
      </c>
      <c r="C2863" s="0" t="s">
        <v>78</v>
      </c>
      <c r="D2863" s="0" t="n">
        <v>1</v>
      </c>
      <c r="E2863" s="5" t="n">
        <v>45974.5339814815</v>
      </c>
      <c r="F2863" s="0" t="n">
        <v>1.65</v>
      </c>
      <c r="G2863" s="0" t="n">
        <v>17215</v>
      </c>
      <c r="H2863" s="6" t="s">
        <v>208</v>
      </c>
      <c r="I2863" s="6" t="n">
        <f aca="false">D2863*F2863</f>
        <v>1.65</v>
      </c>
      <c r="J2863" s="6" t="n">
        <f aca="false">HOUR(E2863)</f>
        <v>12</v>
      </c>
      <c r="K2863" s="6" t="n">
        <f aca="false">IF(COUNTIF($A$2:$A2863,A2863)=1,1,0)</f>
        <v>0</v>
      </c>
    </row>
    <row r="2864" customFormat="false" ht="15" hidden="false" customHeight="false" outlineLevel="0" collapsed="false">
      <c r="A2864" s="0" t="s">
        <v>642</v>
      </c>
      <c r="B2864" s="0" t="s">
        <v>131</v>
      </c>
      <c r="C2864" s="0" t="s">
        <v>132</v>
      </c>
      <c r="D2864" s="0" t="n">
        <v>7</v>
      </c>
      <c r="E2864" s="5" t="n">
        <v>45974.5339814815</v>
      </c>
      <c r="F2864" s="0" t="n">
        <v>3.39</v>
      </c>
      <c r="G2864" s="0" t="n">
        <v>17215</v>
      </c>
      <c r="H2864" s="6" t="s">
        <v>208</v>
      </c>
      <c r="I2864" s="6" t="n">
        <f aca="false">D2864*F2864</f>
        <v>23.73</v>
      </c>
      <c r="J2864" s="6" t="n">
        <f aca="false">HOUR(E2864)</f>
        <v>12</v>
      </c>
      <c r="K2864" s="6" t="n">
        <f aca="false">IF(COUNTIF($A$2:$A2864,A2864)=1,1,0)</f>
        <v>0</v>
      </c>
    </row>
    <row r="2865" customFormat="false" ht="15" hidden="false" customHeight="false" outlineLevel="0" collapsed="false">
      <c r="A2865" s="0" t="s">
        <v>643</v>
      </c>
      <c r="B2865" s="0" t="s">
        <v>86</v>
      </c>
      <c r="C2865" s="0" t="s">
        <v>87</v>
      </c>
      <c r="D2865" s="0" t="n">
        <v>20</v>
      </c>
      <c r="E2865" s="5" t="n">
        <v>45974.5349768519</v>
      </c>
      <c r="F2865" s="0" t="n">
        <v>4.25</v>
      </c>
      <c r="G2865" s="0" t="n">
        <v>17136</v>
      </c>
      <c r="H2865" s="6" t="s">
        <v>144</v>
      </c>
      <c r="I2865" s="6" t="n">
        <f aca="false">D2865*F2865</f>
        <v>85</v>
      </c>
      <c r="J2865" s="6" t="n">
        <f aca="false">HOUR(E2865)</f>
        <v>12</v>
      </c>
      <c r="K2865" s="6" t="n">
        <f aca="false">IF(COUNTIF($A$2:$A2865,A2865)=1,1,0)</f>
        <v>1</v>
      </c>
    </row>
    <row r="2866" customFormat="false" ht="15" hidden="false" customHeight="false" outlineLevel="0" collapsed="false">
      <c r="A2866" s="0" t="s">
        <v>643</v>
      </c>
      <c r="B2866" s="0" t="s">
        <v>114</v>
      </c>
      <c r="C2866" s="0" t="s">
        <v>115</v>
      </c>
      <c r="D2866" s="0" t="n">
        <v>4</v>
      </c>
      <c r="E2866" s="5" t="n">
        <v>45974.5349768519</v>
      </c>
      <c r="F2866" s="0" t="n">
        <v>2.08</v>
      </c>
      <c r="G2866" s="0" t="n">
        <v>17136</v>
      </c>
      <c r="H2866" s="6" t="s">
        <v>144</v>
      </c>
      <c r="I2866" s="6" t="n">
        <f aca="false">D2866*F2866</f>
        <v>8.32</v>
      </c>
      <c r="J2866" s="6" t="n">
        <f aca="false">HOUR(E2866)</f>
        <v>12</v>
      </c>
      <c r="K2866" s="6" t="n">
        <f aca="false">IF(COUNTIF($A$2:$A2866,A2866)=1,1,0)</f>
        <v>0</v>
      </c>
    </row>
    <row r="2867" customFormat="false" ht="15" hidden="false" customHeight="false" outlineLevel="0" collapsed="false">
      <c r="A2867" s="0" t="s">
        <v>643</v>
      </c>
      <c r="B2867" s="0" t="s">
        <v>40</v>
      </c>
      <c r="C2867" s="0" t="s">
        <v>41</v>
      </c>
      <c r="D2867" s="0" t="n">
        <v>15</v>
      </c>
      <c r="E2867" s="5" t="n">
        <v>45974.5349768519</v>
      </c>
      <c r="F2867" s="0" t="n">
        <v>1.06</v>
      </c>
      <c r="G2867" s="0" t="n">
        <v>17136</v>
      </c>
      <c r="H2867" s="6" t="s">
        <v>144</v>
      </c>
      <c r="I2867" s="6" t="n">
        <f aca="false">D2867*F2867</f>
        <v>15.9</v>
      </c>
      <c r="J2867" s="6" t="n">
        <f aca="false">HOUR(E2867)</f>
        <v>12</v>
      </c>
      <c r="K2867" s="6" t="n">
        <f aca="false">IF(COUNTIF($A$2:$A2867,A2867)=1,1,0)</f>
        <v>0</v>
      </c>
    </row>
    <row r="2868" customFormat="false" ht="15" hidden="false" customHeight="false" outlineLevel="0" collapsed="false">
      <c r="A2868" s="0" t="s">
        <v>644</v>
      </c>
      <c r="B2868" s="0" t="s">
        <v>134</v>
      </c>
      <c r="C2868" s="0" t="s">
        <v>135</v>
      </c>
      <c r="D2868" s="0" t="n">
        <v>5</v>
      </c>
      <c r="E2868" s="5" t="n">
        <v>45974.5565625</v>
      </c>
      <c r="F2868" s="0" t="n">
        <v>5.95</v>
      </c>
      <c r="G2868" s="0" t="n">
        <v>17046</v>
      </c>
      <c r="H2868" s="6" t="s">
        <v>68</v>
      </c>
      <c r="I2868" s="6" t="n">
        <f aca="false">D2868*F2868</f>
        <v>29.75</v>
      </c>
      <c r="J2868" s="6" t="n">
        <f aca="false">HOUR(E2868)</f>
        <v>13</v>
      </c>
      <c r="K2868" s="6" t="n">
        <f aca="false">IF(COUNTIF($A$2:$A2868,A2868)=1,1,0)</f>
        <v>1</v>
      </c>
    </row>
    <row r="2869" customFormat="false" ht="15" hidden="false" customHeight="false" outlineLevel="0" collapsed="false">
      <c r="A2869" s="0" t="s">
        <v>644</v>
      </c>
      <c r="B2869" s="0" t="s">
        <v>137</v>
      </c>
      <c r="C2869" s="0" t="s">
        <v>138</v>
      </c>
      <c r="D2869" s="0" t="n">
        <v>23</v>
      </c>
      <c r="E2869" s="5" t="n">
        <v>45974.5565625</v>
      </c>
      <c r="F2869" s="0" t="n">
        <v>2.1</v>
      </c>
      <c r="G2869" s="0" t="n">
        <v>17046</v>
      </c>
      <c r="H2869" s="6" t="s">
        <v>68</v>
      </c>
      <c r="I2869" s="6" t="n">
        <f aca="false">D2869*F2869</f>
        <v>48.3</v>
      </c>
      <c r="J2869" s="6" t="n">
        <f aca="false">HOUR(E2869)</f>
        <v>13</v>
      </c>
      <c r="K2869" s="6" t="n">
        <f aca="false">IF(COUNTIF($A$2:$A2869,A2869)=1,1,0)</f>
        <v>0</v>
      </c>
    </row>
    <row r="2870" customFormat="false" ht="15" hidden="false" customHeight="false" outlineLevel="0" collapsed="false">
      <c r="A2870" s="0" t="s">
        <v>644</v>
      </c>
      <c r="B2870" s="0" t="s">
        <v>47</v>
      </c>
      <c r="C2870" s="0" t="s">
        <v>48</v>
      </c>
      <c r="D2870" s="0" t="n">
        <v>18</v>
      </c>
      <c r="E2870" s="5" t="n">
        <v>45974.5565625</v>
      </c>
      <c r="F2870" s="0" t="n">
        <v>12.75</v>
      </c>
      <c r="G2870" s="0" t="n">
        <v>17046</v>
      </c>
      <c r="H2870" s="6" t="s">
        <v>68</v>
      </c>
      <c r="I2870" s="6" t="n">
        <f aca="false">D2870*F2870</f>
        <v>229.5</v>
      </c>
      <c r="J2870" s="6" t="n">
        <f aca="false">HOUR(E2870)</f>
        <v>13</v>
      </c>
      <c r="K2870" s="6" t="n">
        <f aca="false">IF(COUNTIF($A$2:$A2870,A2870)=1,1,0)</f>
        <v>0</v>
      </c>
    </row>
    <row r="2871" customFormat="false" ht="15" hidden="false" customHeight="false" outlineLevel="0" collapsed="false">
      <c r="A2871" s="0" t="s">
        <v>644</v>
      </c>
      <c r="B2871" s="0" t="s">
        <v>109</v>
      </c>
      <c r="C2871" s="0" t="s">
        <v>110</v>
      </c>
      <c r="D2871" s="0" t="n">
        <v>3</v>
      </c>
      <c r="E2871" s="5" t="n">
        <v>45974.5565625</v>
      </c>
      <c r="F2871" s="0" t="n">
        <v>0.85</v>
      </c>
      <c r="G2871" s="0" t="n">
        <v>17046</v>
      </c>
      <c r="H2871" s="6" t="s">
        <v>68</v>
      </c>
      <c r="I2871" s="6" t="n">
        <f aca="false">D2871*F2871</f>
        <v>2.55</v>
      </c>
      <c r="J2871" s="6" t="n">
        <f aca="false">HOUR(E2871)</f>
        <v>13</v>
      </c>
      <c r="K2871" s="6" t="n">
        <f aca="false">IF(COUNTIF($A$2:$A2871,A2871)=1,1,0)</f>
        <v>0</v>
      </c>
    </row>
    <row r="2872" customFormat="false" ht="15" hidden="false" customHeight="false" outlineLevel="0" collapsed="false">
      <c r="A2872" s="0" t="s">
        <v>644</v>
      </c>
      <c r="B2872" s="0" t="s">
        <v>131</v>
      </c>
      <c r="C2872" s="0" t="s">
        <v>132</v>
      </c>
      <c r="D2872" s="0" t="n">
        <v>20</v>
      </c>
      <c r="E2872" s="5" t="n">
        <v>45974.5565625</v>
      </c>
      <c r="F2872" s="0" t="n">
        <v>3.39</v>
      </c>
      <c r="G2872" s="0" t="n">
        <v>17046</v>
      </c>
      <c r="H2872" s="6" t="s">
        <v>68</v>
      </c>
      <c r="I2872" s="6" t="n">
        <f aca="false">D2872*F2872</f>
        <v>67.8</v>
      </c>
      <c r="J2872" s="6" t="n">
        <f aca="false">HOUR(E2872)</f>
        <v>13</v>
      </c>
      <c r="K2872" s="6" t="n">
        <f aca="false">IF(COUNTIF($A$2:$A2872,A2872)=1,1,0)</f>
        <v>0</v>
      </c>
    </row>
    <row r="2873" customFormat="false" ht="15" hidden="false" customHeight="false" outlineLevel="0" collapsed="false">
      <c r="A2873" s="0" t="s">
        <v>644</v>
      </c>
      <c r="B2873" s="0" t="s">
        <v>104</v>
      </c>
      <c r="C2873" s="0" t="s">
        <v>105</v>
      </c>
      <c r="D2873" s="0" t="n">
        <v>18</v>
      </c>
      <c r="E2873" s="5" t="n">
        <v>45974.5565625</v>
      </c>
      <c r="F2873" s="0" t="n">
        <v>1.65</v>
      </c>
      <c r="G2873" s="0" t="n">
        <v>17046</v>
      </c>
      <c r="H2873" s="6" t="s">
        <v>68</v>
      </c>
      <c r="I2873" s="6" t="n">
        <f aca="false">D2873*F2873</f>
        <v>29.7</v>
      </c>
      <c r="J2873" s="6" t="n">
        <f aca="false">HOUR(E2873)</f>
        <v>13</v>
      </c>
      <c r="K2873" s="6" t="n">
        <f aca="false">IF(COUNTIF($A$2:$A2873,A2873)=1,1,0)</f>
        <v>0</v>
      </c>
    </row>
    <row r="2874" customFormat="false" ht="15" hidden="false" customHeight="false" outlineLevel="0" collapsed="false">
      <c r="A2874" s="0" t="s">
        <v>644</v>
      </c>
      <c r="B2874" s="0" t="s">
        <v>45</v>
      </c>
      <c r="C2874" s="0" t="s">
        <v>46</v>
      </c>
      <c r="D2874" s="0" t="n">
        <v>3</v>
      </c>
      <c r="E2874" s="5" t="n">
        <v>45974.5565625</v>
      </c>
      <c r="F2874" s="0" t="n">
        <v>2.1</v>
      </c>
      <c r="G2874" s="0" t="n">
        <v>17046</v>
      </c>
      <c r="H2874" s="6" t="s">
        <v>68</v>
      </c>
      <c r="I2874" s="6" t="n">
        <f aca="false">D2874*F2874</f>
        <v>6.3</v>
      </c>
      <c r="J2874" s="6" t="n">
        <f aca="false">HOUR(E2874)</f>
        <v>13</v>
      </c>
      <c r="K2874" s="6" t="n">
        <f aca="false">IF(COUNTIF($A$2:$A2874,A2874)=1,1,0)</f>
        <v>0</v>
      </c>
    </row>
    <row r="2875" customFormat="false" ht="15" hidden="false" customHeight="false" outlineLevel="0" collapsed="false">
      <c r="A2875" s="0" t="s">
        <v>644</v>
      </c>
      <c r="B2875" s="0" t="s">
        <v>102</v>
      </c>
      <c r="C2875" s="0" t="s">
        <v>103</v>
      </c>
      <c r="D2875" s="0" t="n">
        <v>16</v>
      </c>
      <c r="E2875" s="5" t="n">
        <v>45974.5565625</v>
      </c>
      <c r="F2875" s="0" t="n">
        <v>8.5</v>
      </c>
      <c r="G2875" s="0" t="n">
        <v>17046</v>
      </c>
      <c r="H2875" s="6" t="s">
        <v>68</v>
      </c>
      <c r="I2875" s="6" t="n">
        <f aca="false">D2875*F2875</f>
        <v>136</v>
      </c>
      <c r="J2875" s="6" t="n">
        <f aca="false">HOUR(E2875)</f>
        <v>13</v>
      </c>
      <c r="K2875" s="6" t="n">
        <f aca="false">IF(COUNTIF($A$2:$A2875,A2875)=1,1,0)</f>
        <v>0</v>
      </c>
    </row>
    <row r="2876" customFormat="false" ht="15" hidden="false" customHeight="false" outlineLevel="0" collapsed="false">
      <c r="A2876" s="0" t="s">
        <v>644</v>
      </c>
      <c r="B2876" s="0" t="s">
        <v>69</v>
      </c>
      <c r="C2876" s="0" t="s">
        <v>70</v>
      </c>
      <c r="D2876" s="0" t="n">
        <v>7</v>
      </c>
      <c r="E2876" s="5" t="n">
        <v>45974.5565625</v>
      </c>
      <c r="F2876" s="0" t="n">
        <v>2.08</v>
      </c>
      <c r="G2876" s="0" t="n">
        <v>17046</v>
      </c>
      <c r="H2876" s="6" t="s">
        <v>68</v>
      </c>
      <c r="I2876" s="6" t="n">
        <f aca="false">D2876*F2876</f>
        <v>14.56</v>
      </c>
      <c r="J2876" s="6" t="n">
        <f aca="false">HOUR(E2876)</f>
        <v>13</v>
      </c>
      <c r="K2876" s="6" t="n">
        <f aca="false">IF(COUNTIF($A$2:$A2876,A2876)=1,1,0)</f>
        <v>0</v>
      </c>
    </row>
    <row r="2877" customFormat="false" ht="15" hidden="false" customHeight="false" outlineLevel="0" collapsed="false">
      <c r="A2877" s="0" t="s">
        <v>644</v>
      </c>
      <c r="B2877" s="0" t="s">
        <v>140</v>
      </c>
      <c r="C2877" s="0" t="s">
        <v>141</v>
      </c>
      <c r="D2877" s="0" t="n">
        <v>21</v>
      </c>
      <c r="E2877" s="5" t="n">
        <v>45974.5565625</v>
      </c>
      <c r="F2877" s="0" t="n">
        <v>2.08</v>
      </c>
      <c r="G2877" s="0" t="n">
        <v>17046</v>
      </c>
      <c r="H2877" s="6" t="s">
        <v>68</v>
      </c>
      <c r="I2877" s="6" t="n">
        <f aca="false">D2877*F2877</f>
        <v>43.68</v>
      </c>
      <c r="J2877" s="6" t="n">
        <f aca="false">HOUR(E2877)</f>
        <v>13</v>
      </c>
      <c r="K2877" s="6" t="n">
        <f aca="false">IF(COUNTIF($A$2:$A2877,A2877)=1,1,0)</f>
        <v>0</v>
      </c>
    </row>
    <row r="2878" customFormat="false" ht="15" hidden="false" customHeight="false" outlineLevel="0" collapsed="false">
      <c r="A2878" s="0" t="s">
        <v>645</v>
      </c>
      <c r="B2878" s="0" t="s">
        <v>114</v>
      </c>
      <c r="C2878" s="0" t="s">
        <v>115</v>
      </c>
      <c r="D2878" s="0" t="n">
        <v>12</v>
      </c>
      <c r="E2878" s="5" t="n">
        <v>45974.5798611111</v>
      </c>
      <c r="F2878" s="0" t="n">
        <v>2.08</v>
      </c>
      <c r="G2878" s="0" t="n">
        <v>17076</v>
      </c>
      <c r="H2878" s="6" t="s">
        <v>74</v>
      </c>
      <c r="I2878" s="6" t="n">
        <f aca="false">D2878*F2878</f>
        <v>24.96</v>
      </c>
      <c r="J2878" s="6" t="n">
        <f aca="false">HOUR(E2878)</f>
        <v>13</v>
      </c>
      <c r="K2878" s="6" t="n">
        <f aca="false">IF(COUNTIF($A$2:$A2878,A2878)=1,1,0)</f>
        <v>1</v>
      </c>
    </row>
    <row r="2879" customFormat="false" ht="15" hidden="false" customHeight="false" outlineLevel="0" collapsed="false">
      <c r="A2879" s="0" t="s">
        <v>645</v>
      </c>
      <c r="B2879" s="0" t="s">
        <v>118</v>
      </c>
      <c r="C2879" s="0" t="s">
        <v>119</v>
      </c>
      <c r="D2879" s="0" t="n">
        <v>14</v>
      </c>
      <c r="E2879" s="5" t="n">
        <v>45974.5798611111</v>
      </c>
      <c r="F2879" s="0" t="n">
        <v>4.95</v>
      </c>
      <c r="G2879" s="0" t="n">
        <v>17076</v>
      </c>
      <c r="H2879" s="6" t="s">
        <v>74</v>
      </c>
      <c r="I2879" s="6" t="n">
        <f aca="false">D2879*F2879</f>
        <v>69.3</v>
      </c>
      <c r="J2879" s="6" t="n">
        <f aca="false">HOUR(E2879)</f>
        <v>13</v>
      </c>
      <c r="K2879" s="6" t="n">
        <f aca="false">IF(COUNTIF($A$2:$A2879,A2879)=1,1,0)</f>
        <v>0</v>
      </c>
    </row>
    <row r="2880" customFormat="false" ht="15" hidden="false" customHeight="false" outlineLevel="0" collapsed="false">
      <c r="A2880" s="0" t="s">
        <v>645</v>
      </c>
      <c r="B2880" s="0" t="s">
        <v>79</v>
      </c>
      <c r="C2880" s="0" t="s">
        <v>80</v>
      </c>
      <c r="D2880" s="0" t="n">
        <v>23</v>
      </c>
      <c r="E2880" s="5" t="n">
        <v>45974.5798611111</v>
      </c>
      <c r="F2880" s="0" t="n">
        <v>3.39</v>
      </c>
      <c r="G2880" s="0" t="n">
        <v>17076</v>
      </c>
      <c r="H2880" s="6" t="s">
        <v>74</v>
      </c>
      <c r="I2880" s="6" t="n">
        <f aca="false">D2880*F2880</f>
        <v>77.97</v>
      </c>
      <c r="J2880" s="6" t="n">
        <f aca="false">HOUR(E2880)</f>
        <v>13</v>
      </c>
      <c r="K2880" s="6" t="n">
        <f aca="false">IF(COUNTIF($A$2:$A2880,A2880)=1,1,0)</f>
        <v>0</v>
      </c>
    </row>
    <row r="2881" customFormat="false" ht="15" hidden="false" customHeight="false" outlineLevel="0" collapsed="false">
      <c r="A2881" s="0" t="s">
        <v>645</v>
      </c>
      <c r="B2881" s="0" t="s">
        <v>107</v>
      </c>
      <c r="C2881" s="0" t="s">
        <v>108</v>
      </c>
      <c r="D2881" s="0" t="n">
        <v>1</v>
      </c>
      <c r="E2881" s="5" t="n">
        <v>45974.5798611111</v>
      </c>
      <c r="F2881" s="0" t="n">
        <v>3.75</v>
      </c>
      <c r="G2881" s="0" t="n">
        <v>17076</v>
      </c>
      <c r="H2881" s="6" t="s">
        <v>74</v>
      </c>
      <c r="I2881" s="6" t="n">
        <f aca="false">D2881*F2881</f>
        <v>3.75</v>
      </c>
      <c r="J2881" s="6" t="n">
        <f aca="false">HOUR(E2881)</f>
        <v>13</v>
      </c>
      <c r="K2881" s="6" t="n">
        <f aca="false">IF(COUNTIF($A$2:$A2881,A2881)=1,1,0)</f>
        <v>0</v>
      </c>
    </row>
    <row r="2882" customFormat="false" ht="15" hidden="false" customHeight="false" outlineLevel="0" collapsed="false">
      <c r="A2882" s="0" t="s">
        <v>645</v>
      </c>
      <c r="B2882" s="0" t="s">
        <v>145</v>
      </c>
      <c r="C2882" s="0" t="s">
        <v>146</v>
      </c>
      <c r="D2882" s="0" t="n">
        <v>12</v>
      </c>
      <c r="E2882" s="5" t="n">
        <v>45974.5798611111</v>
      </c>
      <c r="F2882" s="0" t="n">
        <v>1.85</v>
      </c>
      <c r="G2882" s="0" t="n">
        <v>17076</v>
      </c>
      <c r="H2882" s="6" t="s">
        <v>74</v>
      </c>
      <c r="I2882" s="6" t="n">
        <f aca="false">D2882*F2882</f>
        <v>22.2</v>
      </c>
      <c r="J2882" s="6" t="n">
        <f aca="false">HOUR(E2882)</f>
        <v>13</v>
      </c>
      <c r="K2882" s="6" t="n">
        <f aca="false">IF(COUNTIF($A$2:$A2882,A2882)=1,1,0)</f>
        <v>0</v>
      </c>
    </row>
    <row r="2883" customFormat="false" ht="15" hidden="false" customHeight="false" outlineLevel="0" collapsed="false">
      <c r="A2883" s="0" t="s">
        <v>645</v>
      </c>
      <c r="B2883" s="0" t="s">
        <v>69</v>
      </c>
      <c r="D2883" s="0" t="n">
        <v>48</v>
      </c>
      <c r="E2883" s="5" t="n">
        <v>45974.5798611111</v>
      </c>
      <c r="F2883" s="0" t="n">
        <v>2.08</v>
      </c>
      <c r="G2883" s="0" t="n">
        <v>17076</v>
      </c>
      <c r="H2883" s="6" t="s">
        <v>74</v>
      </c>
      <c r="I2883" s="6" t="n">
        <f aca="false">D2883*F2883</f>
        <v>99.84</v>
      </c>
      <c r="J2883" s="6" t="n">
        <f aca="false">HOUR(E2883)</f>
        <v>13</v>
      </c>
      <c r="K2883" s="6" t="n">
        <f aca="false">IF(COUNTIF($A$2:$A2883,A2883)=1,1,0)</f>
        <v>0</v>
      </c>
    </row>
    <row r="2884" customFormat="false" ht="15" hidden="false" customHeight="false" outlineLevel="0" collapsed="false">
      <c r="A2884" s="0" t="s">
        <v>645</v>
      </c>
      <c r="B2884" s="0" t="s">
        <v>61</v>
      </c>
      <c r="C2884" s="0" t="s">
        <v>62</v>
      </c>
      <c r="D2884" s="0" t="n">
        <v>21</v>
      </c>
      <c r="E2884" s="5" t="n">
        <v>45974.5798611111</v>
      </c>
      <c r="F2884" s="0" t="n">
        <v>1.65</v>
      </c>
      <c r="G2884" s="0" t="n">
        <v>17076</v>
      </c>
      <c r="H2884" s="6" t="s">
        <v>74</v>
      </c>
      <c r="I2884" s="6" t="n">
        <f aca="false">D2884*F2884</f>
        <v>34.65</v>
      </c>
      <c r="J2884" s="6" t="n">
        <f aca="false">HOUR(E2884)</f>
        <v>13</v>
      </c>
      <c r="K2884" s="6" t="n">
        <f aca="false">IF(COUNTIF($A$2:$A2884,A2884)=1,1,0)</f>
        <v>0</v>
      </c>
    </row>
    <row r="2885" customFormat="false" ht="15" hidden="false" customHeight="false" outlineLevel="0" collapsed="false">
      <c r="A2885" s="0" t="s">
        <v>645</v>
      </c>
      <c r="B2885" s="0" t="s">
        <v>75</v>
      </c>
      <c r="C2885" s="0" t="s">
        <v>76</v>
      </c>
      <c r="D2885" s="0" t="n">
        <v>18</v>
      </c>
      <c r="E2885" s="5" t="n">
        <v>45974.5798611111</v>
      </c>
      <c r="F2885" s="0" t="n">
        <v>3.39</v>
      </c>
      <c r="G2885" s="0" t="n">
        <v>17076</v>
      </c>
      <c r="H2885" s="6" t="s">
        <v>74</v>
      </c>
      <c r="I2885" s="6" t="n">
        <f aca="false">D2885*F2885</f>
        <v>61.02</v>
      </c>
      <c r="J2885" s="6" t="n">
        <f aca="false">HOUR(E2885)</f>
        <v>13</v>
      </c>
      <c r="K2885" s="6" t="n">
        <f aca="false">IF(COUNTIF($A$2:$A2885,A2885)=1,1,0)</f>
        <v>0</v>
      </c>
    </row>
    <row r="2886" customFormat="false" ht="15" hidden="false" customHeight="false" outlineLevel="0" collapsed="false">
      <c r="A2886" s="0" t="s">
        <v>645</v>
      </c>
      <c r="B2886" s="0" t="s">
        <v>47</v>
      </c>
      <c r="C2886" s="0" t="s">
        <v>48</v>
      </c>
      <c r="D2886" s="0" t="n">
        <v>18</v>
      </c>
      <c r="E2886" s="5" t="n">
        <v>45974.5798611111</v>
      </c>
      <c r="F2886" s="0" t="n">
        <v>12.75</v>
      </c>
      <c r="G2886" s="0" t="n">
        <v>17076</v>
      </c>
      <c r="H2886" s="6" t="s">
        <v>74</v>
      </c>
      <c r="I2886" s="6" t="n">
        <f aca="false">D2886*F2886</f>
        <v>229.5</v>
      </c>
      <c r="J2886" s="6" t="n">
        <f aca="false">HOUR(E2886)</f>
        <v>13</v>
      </c>
      <c r="K2886" s="6" t="n">
        <f aca="false">IF(COUNTIF($A$2:$A2886,A2886)=1,1,0)</f>
        <v>0</v>
      </c>
    </row>
    <row r="2887" customFormat="false" ht="15" hidden="false" customHeight="false" outlineLevel="0" collapsed="false">
      <c r="A2887" s="0" t="s">
        <v>645</v>
      </c>
      <c r="B2887" s="0" t="s">
        <v>72</v>
      </c>
      <c r="C2887" s="0" t="s">
        <v>73</v>
      </c>
      <c r="D2887" s="0" t="n">
        <v>35</v>
      </c>
      <c r="E2887" s="5" t="n">
        <v>45974.5798611111</v>
      </c>
      <c r="F2887" s="0" t="n">
        <v>4.95</v>
      </c>
      <c r="G2887" s="0" t="n">
        <v>17076</v>
      </c>
      <c r="H2887" s="6" t="s">
        <v>74</v>
      </c>
      <c r="I2887" s="6" t="n">
        <f aca="false">D2887*F2887</f>
        <v>173.25</v>
      </c>
      <c r="J2887" s="6" t="n">
        <f aca="false">HOUR(E2887)</f>
        <v>13</v>
      </c>
      <c r="K2887" s="6" t="n">
        <f aca="false">IF(COUNTIF($A$2:$A2887,A2887)=1,1,0)</f>
        <v>0</v>
      </c>
    </row>
    <row r="2888" customFormat="false" ht="15" hidden="false" customHeight="false" outlineLevel="0" collapsed="false">
      <c r="A2888" s="0" t="s">
        <v>646</v>
      </c>
      <c r="B2888" s="0" t="s">
        <v>104</v>
      </c>
      <c r="C2888" s="0" t="s">
        <v>105</v>
      </c>
      <c r="D2888" s="0" t="n">
        <v>3</v>
      </c>
      <c r="E2888" s="5" t="n">
        <v>45974.7252893519</v>
      </c>
      <c r="F2888" s="0" t="n">
        <v>1.65</v>
      </c>
      <c r="G2888" s="0" t="n">
        <v>17259</v>
      </c>
      <c r="H2888" s="6" t="s">
        <v>74</v>
      </c>
      <c r="I2888" s="6" t="n">
        <f aca="false">D2888*F2888</f>
        <v>4.95</v>
      </c>
      <c r="J2888" s="6" t="n">
        <f aca="false">HOUR(E2888)</f>
        <v>17</v>
      </c>
      <c r="K2888" s="6" t="n">
        <f aca="false">IF(COUNTIF($A$2:$A2888,A2888)=1,1,0)</f>
        <v>1</v>
      </c>
    </row>
    <row r="2889" customFormat="false" ht="15" hidden="false" customHeight="false" outlineLevel="0" collapsed="false">
      <c r="A2889" s="0" t="s">
        <v>646</v>
      </c>
      <c r="B2889" s="0" t="s">
        <v>109</v>
      </c>
      <c r="C2889" s="0" t="s">
        <v>110</v>
      </c>
      <c r="D2889" s="0" t="n">
        <v>4</v>
      </c>
      <c r="E2889" s="5" t="n">
        <v>45974.7252893519</v>
      </c>
      <c r="F2889" s="0" t="n">
        <v>0.85</v>
      </c>
      <c r="G2889" s="0" t="n">
        <v>17259</v>
      </c>
      <c r="H2889" s="6" t="s">
        <v>74</v>
      </c>
      <c r="I2889" s="6" t="n">
        <f aca="false">D2889*F2889</f>
        <v>3.4</v>
      </c>
      <c r="J2889" s="6" t="n">
        <f aca="false">HOUR(E2889)</f>
        <v>17</v>
      </c>
      <c r="K2889" s="6" t="n">
        <f aca="false">IF(COUNTIF($A$2:$A2889,A2889)=1,1,0)</f>
        <v>0</v>
      </c>
    </row>
    <row r="2890" customFormat="false" ht="15" hidden="false" customHeight="false" outlineLevel="0" collapsed="false">
      <c r="A2890" s="0" t="s">
        <v>646</v>
      </c>
      <c r="B2890" s="0" t="s">
        <v>107</v>
      </c>
      <c r="C2890" s="0" t="s">
        <v>108</v>
      </c>
      <c r="D2890" s="0" t="n">
        <v>3</v>
      </c>
      <c r="E2890" s="5" t="n">
        <v>45974.7252893519</v>
      </c>
      <c r="F2890" s="0" t="n">
        <v>3.75</v>
      </c>
      <c r="G2890" s="0" t="n">
        <v>17259</v>
      </c>
      <c r="H2890" s="6" t="s">
        <v>74</v>
      </c>
      <c r="I2890" s="6" t="n">
        <f aca="false">D2890*F2890</f>
        <v>11.25</v>
      </c>
      <c r="J2890" s="6" t="n">
        <f aca="false">HOUR(E2890)</f>
        <v>17</v>
      </c>
      <c r="K2890" s="6" t="n">
        <f aca="false">IF(COUNTIF($A$2:$A2890,A2890)=1,1,0)</f>
        <v>0</v>
      </c>
    </row>
    <row r="2891" customFormat="false" ht="15" hidden="false" customHeight="false" outlineLevel="0" collapsed="false">
      <c r="A2891" s="0" t="s">
        <v>647</v>
      </c>
      <c r="B2891" s="0" t="s">
        <v>69</v>
      </c>
      <c r="C2891" s="0" t="s">
        <v>70</v>
      </c>
      <c r="D2891" s="0" t="n">
        <v>44</v>
      </c>
      <c r="E2891" s="5" t="n">
        <v>45974.8533564815</v>
      </c>
      <c r="F2891" s="0" t="n">
        <v>2.08</v>
      </c>
      <c r="G2891" s="0" t="n">
        <v>17220</v>
      </c>
      <c r="H2891" s="6" t="s">
        <v>74</v>
      </c>
      <c r="I2891" s="6" t="n">
        <f aca="false">D2891*F2891</f>
        <v>91.52</v>
      </c>
      <c r="J2891" s="6" t="n">
        <f aca="false">HOUR(E2891)</f>
        <v>20</v>
      </c>
      <c r="K2891" s="6" t="n">
        <f aca="false">IF(COUNTIF($A$2:$A2891,A2891)=1,1,0)</f>
        <v>1</v>
      </c>
    </row>
    <row r="2892" customFormat="false" ht="15" hidden="false" customHeight="false" outlineLevel="0" collapsed="false">
      <c r="A2892" s="0" t="s">
        <v>648</v>
      </c>
      <c r="B2892" s="0" t="s">
        <v>93</v>
      </c>
      <c r="C2892" s="0" t="s">
        <v>94</v>
      </c>
      <c r="D2892" s="0" t="n">
        <v>20</v>
      </c>
      <c r="E2892" s="5" t="n">
        <v>45975.3908101852</v>
      </c>
      <c r="F2892" s="0" t="n">
        <v>1.69</v>
      </c>
      <c r="G2892" s="0" t="n">
        <v>17120</v>
      </c>
      <c r="H2892" s="6" t="s">
        <v>98</v>
      </c>
      <c r="I2892" s="6" t="n">
        <f aca="false">D2892*F2892</f>
        <v>33.8</v>
      </c>
      <c r="J2892" s="6" t="n">
        <f aca="false">HOUR(E2892)</f>
        <v>9</v>
      </c>
      <c r="K2892" s="6" t="n">
        <f aca="false">IF(COUNTIF($A$2:$A2892,A2892)=1,1,0)</f>
        <v>1</v>
      </c>
    </row>
    <row r="2893" customFormat="false" ht="15" hidden="false" customHeight="false" outlineLevel="0" collapsed="false">
      <c r="A2893" s="0" t="s">
        <v>648</v>
      </c>
      <c r="B2893" s="0" t="s">
        <v>55</v>
      </c>
      <c r="C2893" s="0" t="s">
        <v>56</v>
      </c>
      <c r="D2893" s="0" t="n">
        <v>21</v>
      </c>
      <c r="E2893" s="5" t="n">
        <v>45975.3908101852</v>
      </c>
      <c r="F2893" s="0" t="n">
        <v>1.65</v>
      </c>
      <c r="G2893" s="0" t="n">
        <v>17120</v>
      </c>
      <c r="H2893" s="6" t="s">
        <v>98</v>
      </c>
      <c r="I2893" s="6" t="n">
        <f aca="false">D2893*F2893</f>
        <v>34.65</v>
      </c>
      <c r="J2893" s="6" t="n">
        <f aca="false">HOUR(E2893)</f>
        <v>9</v>
      </c>
      <c r="K2893" s="6" t="n">
        <f aca="false">IF(COUNTIF($A$2:$A2893,A2893)=1,1,0)</f>
        <v>0</v>
      </c>
    </row>
    <row r="2894" customFormat="false" ht="15" hidden="false" customHeight="false" outlineLevel="0" collapsed="false">
      <c r="A2894" s="0" t="s">
        <v>649</v>
      </c>
      <c r="B2894" s="0" t="s">
        <v>43</v>
      </c>
      <c r="C2894" s="0" t="s">
        <v>44</v>
      </c>
      <c r="D2894" s="0" t="n">
        <v>4</v>
      </c>
      <c r="E2894" s="5" t="n">
        <v>45975.7322569444</v>
      </c>
      <c r="F2894" s="0" t="n">
        <v>4.25</v>
      </c>
      <c r="G2894" s="0" t="n">
        <v>17174</v>
      </c>
      <c r="H2894" s="6" t="s">
        <v>74</v>
      </c>
      <c r="I2894" s="6" t="n">
        <f aca="false">D2894*F2894</f>
        <v>17</v>
      </c>
      <c r="J2894" s="6" t="n">
        <f aca="false">HOUR(E2894)</f>
        <v>17</v>
      </c>
      <c r="K2894" s="6" t="n">
        <f aca="false">IF(COUNTIF($A$2:$A2894,A2894)=1,1,0)</f>
        <v>1</v>
      </c>
    </row>
    <row r="2895" customFormat="false" ht="15" hidden="false" customHeight="false" outlineLevel="0" collapsed="false">
      <c r="A2895" s="0" t="s">
        <v>650</v>
      </c>
      <c r="B2895" s="0" t="s">
        <v>79</v>
      </c>
      <c r="C2895" s="0" t="s">
        <v>80</v>
      </c>
      <c r="D2895" s="0" t="n">
        <v>14</v>
      </c>
      <c r="E2895" s="5" t="n">
        <v>45975.8334606482</v>
      </c>
      <c r="F2895" s="0" t="n">
        <v>3.39</v>
      </c>
      <c r="G2895" s="0" t="n">
        <v>17035</v>
      </c>
      <c r="H2895" s="6" t="s">
        <v>68</v>
      </c>
      <c r="I2895" s="6" t="n">
        <f aca="false">D2895*F2895</f>
        <v>47.46</v>
      </c>
      <c r="J2895" s="6" t="n">
        <f aca="false">HOUR(E2895)</f>
        <v>20</v>
      </c>
      <c r="K2895" s="6" t="n">
        <f aca="false">IF(COUNTIF($A$2:$A2895,A2895)=1,1,0)</f>
        <v>1</v>
      </c>
    </row>
    <row r="2896" customFormat="false" ht="15" hidden="false" customHeight="false" outlineLevel="0" collapsed="false">
      <c r="A2896" s="0" t="s">
        <v>650</v>
      </c>
      <c r="B2896" s="0" t="s">
        <v>91</v>
      </c>
      <c r="C2896" s="0" t="s">
        <v>92</v>
      </c>
      <c r="D2896" s="0" t="n">
        <v>6</v>
      </c>
      <c r="E2896" s="5" t="n">
        <v>45975.8334606482</v>
      </c>
      <c r="F2896" s="0" t="n">
        <v>7.65</v>
      </c>
      <c r="G2896" s="0" t="n">
        <v>17035</v>
      </c>
      <c r="H2896" s="6" t="s">
        <v>68</v>
      </c>
      <c r="I2896" s="6" t="n">
        <f aca="false">D2896*F2896</f>
        <v>45.9</v>
      </c>
      <c r="J2896" s="6" t="n">
        <f aca="false">HOUR(E2896)</f>
        <v>20</v>
      </c>
      <c r="K2896" s="6" t="n">
        <f aca="false">IF(COUNTIF($A$2:$A2896,A2896)=1,1,0)</f>
        <v>0</v>
      </c>
    </row>
    <row r="2897" customFormat="false" ht="15" hidden="false" customHeight="false" outlineLevel="0" collapsed="false">
      <c r="A2897" s="0" t="s">
        <v>650</v>
      </c>
      <c r="B2897" s="0" t="s">
        <v>53</v>
      </c>
      <c r="C2897" s="0" t="s">
        <v>54</v>
      </c>
      <c r="D2897" s="0" t="n">
        <v>24</v>
      </c>
      <c r="E2897" s="5" t="n">
        <v>45975.8334606482</v>
      </c>
      <c r="F2897" s="0" t="n">
        <v>2.95</v>
      </c>
      <c r="G2897" s="0" t="n">
        <v>17035</v>
      </c>
      <c r="H2897" s="6" t="s">
        <v>68</v>
      </c>
      <c r="I2897" s="6" t="n">
        <f aca="false">D2897*F2897</f>
        <v>70.8</v>
      </c>
      <c r="J2897" s="6" t="n">
        <f aca="false">HOUR(E2897)</f>
        <v>20</v>
      </c>
      <c r="K2897" s="6" t="n">
        <f aca="false">IF(COUNTIF($A$2:$A2897,A2897)=1,1,0)</f>
        <v>0</v>
      </c>
    </row>
    <row r="2898" customFormat="false" ht="15" hidden="false" customHeight="false" outlineLevel="0" collapsed="false">
      <c r="A2898" s="0" t="s">
        <v>651</v>
      </c>
      <c r="B2898" s="0" t="s">
        <v>72</v>
      </c>
      <c r="C2898" s="0" t="s">
        <v>73</v>
      </c>
      <c r="D2898" s="0" t="n">
        <v>19</v>
      </c>
      <c r="E2898" s="5" t="n">
        <v>45976.4819791667</v>
      </c>
      <c r="F2898" s="0" t="n">
        <v>4.95</v>
      </c>
      <c r="G2898" s="0" t="n">
        <v>17091</v>
      </c>
      <c r="H2898" s="6" t="s">
        <v>188</v>
      </c>
      <c r="I2898" s="6" t="n">
        <f aca="false">D2898*F2898</f>
        <v>94.05</v>
      </c>
      <c r="J2898" s="6" t="n">
        <f aca="false">HOUR(E2898)</f>
        <v>11</v>
      </c>
      <c r="K2898" s="6" t="n">
        <f aca="false">IF(COUNTIF($A$2:$A2898,A2898)=1,1,0)</f>
        <v>1</v>
      </c>
    </row>
    <row r="2899" customFormat="false" ht="15" hidden="false" customHeight="false" outlineLevel="0" collapsed="false">
      <c r="A2899" s="0" t="s">
        <v>651</v>
      </c>
      <c r="B2899" s="0" t="s">
        <v>88</v>
      </c>
      <c r="C2899" s="0" t="s">
        <v>89</v>
      </c>
      <c r="D2899" s="0" t="n">
        <v>20</v>
      </c>
      <c r="E2899" s="5" t="n">
        <v>45976.4819791667</v>
      </c>
      <c r="F2899" s="0" t="n">
        <v>2.75</v>
      </c>
      <c r="G2899" s="0" t="n">
        <v>17091</v>
      </c>
      <c r="H2899" s="6" t="s">
        <v>188</v>
      </c>
      <c r="I2899" s="6" t="n">
        <f aca="false">D2899*F2899</f>
        <v>55</v>
      </c>
      <c r="J2899" s="6" t="n">
        <f aca="false">HOUR(E2899)</f>
        <v>11</v>
      </c>
      <c r="K2899" s="6" t="n">
        <f aca="false">IF(COUNTIF($A$2:$A2899,A2899)=1,1,0)</f>
        <v>0</v>
      </c>
    </row>
    <row r="2900" customFormat="false" ht="15" hidden="false" customHeight="false" outlineLevel="0" collapsed="false">
      <c r="A2900" s="0" t="s">
        <v>651</v>
      </c>
      <c r="B2900" s="0" t="s">
        <v>45</v>
      </c>
      <c r="D2900" s="0" t="n">
        <v>13</v>
      </c>
      <c r="E2900" s="5" t="n">
        <v>45976.4819791667</v>
      </c>
      <c r="F2900" s="0" t="n">
        <v>2.1</v>
      </c>
      <c r="G2900" s="0" t="n">
        <v>17091</v>
      </c>
      <c r="H2900" s="6" t="s">
        <v>188</v>
      </c>
      <c r="I2900" s="6" t="n">
        <f aca="false">D2900*F2900</f>
        <v>27.3</v>
      </c>
      <c r="J2900" s="6" t="n">
        <f aca="false">HOUR(E2900)</f>
        <v>11</v>
      </c>
      <c r="K2900" s="6" t="n">
        <f aca="false">IF(COUNTIF($A$2:$A2900,A2900)=1,1,0)</f>
        <v>0</v>
      </c>
    </row>
    <row r="2901" customFormat="false" ht="15" hidden="false" customHeight="false" outlineLevel="0" collapsed="false">
      <c r="A2901" s="0" t="s">
        <v>651</v>
      </c>
      <c r="B2901" s="0" t="s">
        <v>86</v>
      </c>
      <c r="C2901" s="0" t="s">
        <v>87</v>
      </c>
      <c r="D2901" s="0" t="n">
        <v>23</v>
      </c>
      <c r="E2901" s="5" t="n">
        <v>45976.4819791667</v>
      </c>
      <c r="F2901" s="0" t="n">
        <v>4.25</v>
      </c>
      <c r="G2901" s="0" t="n">
        <v>17091</v>
      </c>
      <c r="H2901" s="6" t="s">
        <v>188</v>
      </c>
      <c r="I2901" s="6" t="n">
        <f aca="false">D2901*F2901</f>
        <v>97.75</v>
      </c>
      <c r="J2901" s="6" t="n">
        <f aca="false">HOUR(E2901)</f>
        <v>11</v>
      </c>
      <c r="K2901" s="6" t="n">
        <f aca="false">IF(COUNTIF($A$2:$A2901,A2901)=1,1,0)</f>
        <v>0</v>
      </c>
    </row>
    <row r="2902" customFormat="false" ht="15" hidden="false" customHeight="false" outlineLevel="0" collapsed="false">
      <c r="A2902" s="0" t="s">
        <v>651</v>
      </c>
      <c r="B2902" s="0" t="s">
        <v>50</v>
      </c>
      <c r="C2902" s="0" t="s">
        <v>51</v>
      </c>
      <c r="D2902" s="0" t="n">
        <v>10</v>
      </c>
      <c r="E2902" s="5" t="n">
        <v>45976.4819791667</v>
      </c>
      <c r="F2902" s="0" t="n">
        <v>5.95</v>
      </c>
      <c r="G2902" s="0" t="n">
        <v>17091</v>
      </c>
      <c r="H2902" s="6" t="s">
        <v>188</v>
      </c>
      <c r="I2902" s="6" t="n">
        <f aca="false">D2902*F2902</f>
        <v>59.5</v>
      </c>
      <c r="J2902" s="6" t="n">
        <f aca="false">HOUR(E2902)</f>
        <v>11</v>
      </c>
      <c r="K2902" s="6" t="n">
        <f aca="false">IF(COUNTIF($A$2:$A2902,A2902)=1,1,0)</f>
        <v>0</v>
      </c>
    </row>
    <row r="2903" customFormat="false" ht="15" hidden="false" customHeight="false" outlineLevel="0" collapsed="false">
      <c r="A2903" s="0" t="s">
        <v>651</v>
      </c>
      <c r="B2903" s="0" t="s">
        <v>140</v>
      </c>
      <c r="C2903" s="0" t="s">
        <v>141</v>
      </c>
      <c r="D2903" s="0" t="n">
        <v>13</v>
      </c>
      <c r="E2903" s="5" t="n">
        <v>45976.4819791667</v>
      </c>
      <c r="F2903" s="0" t="n">
        <v>2.08</v>
      </c>
      <c r="G2903" s="0" t="n">
        <v>17091</v>
      </c>
      <c r="H2903" s="6" t="s">
        <v>188</v>
      </c>
      <c r="I2903" s="6" t="n">
        <f aca="false">D2903*F2903</f>
        <v>27.04</v>
      </c>
      <c r="J2903" s="6" t="n">
        <f aca="false">HOUR(E2903)</f>
        <v>11</v>
      </c>
      <c r="K2903" s="6" t="n">
        <f aca="false">IF(COUNTIF($A$2:$A2903,A2903)=1,1,0)</f>
        <v>0</v>
      </c>
    </row>
    <row r="2904" customFormat="false" ht="15" hidden="false" customHeight="false" outlineLevel="0" collapsed="false">
      <c r="A2904" s="0" t="s">
        <v>651</v>
      </c>
      <c r="B2904" s="0" t="s">
        <v>59</v>
      </c>
      <c r="C2904" s="0" t="s">
        <v>60</v>
      </c>
      <c r="D2904" s="0" t="n">
        <v>11</v>
      </c>
      <c r="E2904" s="5" t="n">
        <v>45976.4819791667</v>
      </c>
      <c r="F2904" s="0" t="n">
        <v>0.42</v>
      </c>
      <c r="G2904" s="0" t="n">
        <v>17091</v>
      </c>
      <c r="H2904" s="6" t="s">
        <v>188</v>
      </c>
      <c r="I2904" s="6" t="n">
        <f aca="false">D2904*F2904</f>
        <v>4.62</v>
      </c>
      <c r="J2904" s="6" t="n">
        <f aca="false">HOUR(E2904)</f>
        <v>11</v>
      </c>
      <c r="K2904" s="6" t="n">
        <f aca="false">IF(COUNTIF($A$2:$A2904,A2904)=1,1,0)</f>
        <v>0</v>
      </c>
    </row>
    <row r="2905" customFormat="false" ht="15" hidden="false" customHeight="false" outlineLevel="0" collapsed="false">
      <c r="A2905" s="0" t="s">
        <v>651</v>
      </c>
      <c r="B2905" s="0" t="s">
        <v>75</v>
      </c>
      <c r="C2905" s="0" t="s">
        <v>76</v>
      </c>
      <c r="D2905" s="0" t="n">
        <v>12</v>
      </c>
      <c r="E2905" s="5" t="n">
        <v>45976.4819791667</v>
      </c>
      <c r="F2905" s="0" t="n">
        <v>3.39</v>
      </c>
      <c r="G2905" s="0" t="n">
        <v>17091</v>
      </c>
      <c r="H2905" s="6" t="s">
        <v>188</v>
      </c>
      <c r="I2905" s="6" t="n">
        <f aca="false">D2905*F2905</f>
        <v>40.68</v>
      </c>
      <c r="J2905" s="6" t="n">
        <f aca="false">HOUR(E2905)</f>
        <v>11</v>
      </c>
      <c r="K2905" s="6" t="n">
        <f aca="false">IF(COUNTIF($A$2:$A2905,A2905)=1,1,0)</f>
        <v>0</v>
      </c>
    </row>
    <row r="2906" customFormat="false" ht="15" hidden="false" customHeight="false" outlineLevel="0" collapsed="false">
      <c r="A2906" s="0" t="s">
        <v>651</v>
      </c>
      <c r="B2906" s="0" t="s">
        <v>137</v>
      </c>
      <c r="D2906" s="0" t="n">
        <v>8</v>
      </c>
      <c r="E2906" s="5" t="n">
        <v>45976.4819791667</v>
      </c>
      <c r="F2906" s="0" t="n">
        <v>2.1</v>
      </c>
      <c r="G2906" s="0" t="n">
        <v>17091</v>
      </c>
      <c r="H2906" s="6" t="s">
        <v>188</v>
      </c>
      <c r="I2906" s="6" t="n">
        <f aca="false">D2906*F2906</f>
        <v>16.8</v>
      </c>
      <c r="J2906" s="6" t="n">
        <f aca="false">HOUR(E2906)</f>
        <v>11</v>
      </c>
      <c r="K2906" s="6" t="n">
        <f aca="false">IF(COUNTIF($A$2:$A2906,A2906)=1,1,0)</f>
        <v>0</v>
      </c>
    </row>
    <row r="2907" customFormat="false" ht="15" hidden="false" customHeight="false" outlineLevel="0" collapsed="false">
      <c r="A2907" s="0" t="s">
        <v>652</v>
      </c>
      <c r="B2907" s="0" t="s">
        <v>65</v>
      </c>
      <c r="C2907" s="0" t="s">
        <v>66</v>
      </c>
      <c r="D2907" s="0" t="n">
        <v>9</v>
      </c>
      <c r="E2907" s="5" t="n">
        <v>45976.6750578704</v>
      </c>
      <c r="F2907" s="0" t="n">
        <v>1.65</v>
      </c>
      <c r="G2907" s="0" t="n">
        <v>17113</v>
      </c>
      <c r="H2907" s="6" t="s">
        <v>151</v>
      </c>
      <c r="I2907" s="6" t="n">
        <f aca="false">D2907*F2907</f>
        <v>14.85</v>
      </c>
      <c r="J2907" s="6" t="n">
        <f aca="false">HOUR(E2907)</f>
        <v>16</v>
      </c>
      <c r="K2907" s="6" t="n">
        <f aca="false">IF(COUNTIF($A$2:$A2907,A2907)=1,1,0)</f>
        <v>1</v>
      </c>
    </row>
    <row r="2908" customFormat="false" ht="15" hidden="false" customHeight="false" outlineLevel="0" collapsed="false">
      <c r="A2908" s="0" t="s">
        <v>652</v>
      </c>
      <c r="B2908" s="0" t="s">
        <v>88</v>
      </c>
      <c r="C2908" s="0" t="s">
        <v>89</v>
      </c>
      <c r="D2908" s="0" t="n">
        <v>21</v>
      </c>
      <c r="E2908" s="5" t="n">
        <v>45976.6750578704</v>
      </c>
      <c r="F2908" s="0" t="n">
        <v>2.75</v>
      </c>
      <c r="G2908" s="0" t="n">
        <v>17113</v>
      </c>
      <c r="H2908" s="6" t="s">
        <v>151</v>
      </c>
      <c r="I2908" s="6" t="n">
        <f aca="false">D2908*F2908</f>
        <v>57.75</v>
      </c>
      <c r="J2908" s="6" t="n">
        <f aca="false">HOUR(E2908)</f>
        <v>16</v>
      </c>
      <c r="K2908" s="6" t="n">
        <f aca="false">IF(COUNTIF($A$2:$A2908,A2908)=1,1,0)</f>
        <v>0</v>
      </c>
    </row>
    <row r="2909" customFormat="false" ht="15" hidden="false" customHeight="false" outlineLevel="0" collapsed="false">
      <c r="A2909" s="0" t="s">
        <v>652</v>
      </c>
      <c r="B2909" s="0" t="s">
        <v>72</v>
      </c>
      <c r="C2909" s="0" t="s">
        <v>73</v>
      </c>
      <c r="D2909" s="0" t="n">
        <v>6</v>
      </c>
      <c r="E2909" s="5" t="n">
        <v>45976.6750578704</v>
      </c>
      <c r="F2909" s="0" t="n">
        <v>4.95</v>
      </c>
      <c r="G2909" s="0" t="n">
        <v>17113</v>
      </c>
      <c r="H2909" s="6" t="s">
        <v>151</v>
      </c>
      <c r="I2909" s="6" t="n">
        <f aca="false">D2909*F2909</f>
        <v>29.7</v>
      </c>
      <c r="J2909" s="6" t="n">
        <f aca="false">HOUR(E2909)</f>
        <v>16</v>
      </c>
      <c r="K2909" s="6" t="n">
        <f aca="false">IF(COUNTIF($A$2:$A2909,A2909)=1,1,0)</f>
        <v>0</v>
      </c>
    </row>
    <row r="2910" customFormat="false" ht="15" hidden="false" customHeight="false" outlineLevel="0" collapsed="false">
      <c r="A2910" s="0" t="s">
        <v>652</v>
      </c>
      <c r="B2910" s="0" t="s">
        <v>109</v>
      </c>
      <c r="C2910" s="0" t="s">
        <v>110</v>
      </c>
      <c r="D2910" s="0" t="n">
        <v>23</v>
      </c>
      <c r="E2910" s="5" t="n">
        <v>45976.6750578704</v>
      </c>
      <c r="F2910" s="0" t="n">
        <v>0.85</v>
      </c>
      <c r="G2910" s="0" t="n">
        <v>17113</v>
      </c>
      <c r="H2910" s="6" t="s">
        <v>151</v>
      </c>
      <c r="I2910" s="6" t="n">
        <f aca="false">D2910*F2910</f>
        <v>19.55</v>
      </c>
      <c r="J2910" s="6" t="n">
        <f aca="false">HOUR(E2910)</f>
        <v>16</v>
      </c>
      <c r="K2910" s="6" t="n">
        <f aca="false">IF(COUNTIF($A$2:$A2910,A2910)=1,1,0)</f>
        <v>0</v>
      </c>
    </row>
    <row r="2911" customFormat="false" ht="15" hidden="false" customHeight="false" outlineLevel="0" collapsed="false">
      <c r="A2911" s="0" t="s">
        <v>653</v>
      </c>
      <c r="B2911" s="0" t="s">
        <v>57</v>
      </c>
      <c r="C2911" s="0" t="s">
        <v>58</v>
      </c>
      <c r="D2911" s="0" t="n">
        <v>4</v>
      </c>
      <c r="E2911" s="5" t="n">
        <v>45976.7692476852</v>
      </c>
      <c r="F2911" s="0" t="n">
        <v>2.08</v>
      </c>
      <c r="G2911" s="0" t="n">
        <v>17195</v>
      </c>
      <c r="H2911" s="6" t="s">
        <v>74</v>
      </c>
      <c r="I2911" s="6" t="n">
        <f aca="false">D2911*F2911</f>
        <v>8.32</v>
      </c>
      <c r="J2911" s="6" t="n">
        <f aca="false">HOUR(E2911)</f>
        <v>18</v>
      </c>
      <c r="K2911" s="6" t="n">
        <f aca="false">IF(COUNTIF($A$2:$A2911,A2911)=1,1,0)</f>
        <v>1</v>
      </c>
    </row>
    <row r="2912" customFormat="false" ht="15" hidden="false" customHeight="false" outlineLevel="0" collapsed="false">
      <c r="A2912" s="0" t="s">
        <v>653</v>
      </c>
      <c r="B2912" s="0" t="s">
        <v>75</v>
      </c>
      <c r="C2912" s="0" t="s">
        <v>76</v>
      </c>
      <c r="D2912" s="0" t="n">
        <v>1</v>
      </c>
      <c r="E2912" s="5" t="n">
        <v>45976.7692476852</v>
      </c>
      <c r="F2912" s="0" t="n">
        <v>3.39</v>
      </c>
      <c r="G2912" s="0" t="n">
        <v>17195</v>
      </c>
      <c r="H2912" s="6" t="s">
        <v>74</v>
      </c>
      <c r="I2912" s="6" t="n">
        <f aca="false">D2912*F2912</f>
        <v>3.39</v>
      </c>
      <c r="J2912" s="6" t="n">
        <f aca="false">HOUR(E2912)</f>
        <v>18</v>
      </c>
      <c r="K2912" s="6" t="n">
        <f aca="false">IF(COUNTIF($A$2:$A2912,A2912)=1,1,0)</f>
        <v>0</v>
      </c>
    </row>
    <row r="2913" customFormat="false" ht="15" hidden="false" customHeight="false" outlineLevel="0" collapsed="false">
      <c r="A2913" s="0" t="s">
        <v>653</v>
      </c>
      <c r="B2913" s="0" t="s">
        <v>118</v>
      </c>
      <c r="C2913" s="0" t="s">
        <v>119</v>
      </c>
      <c r="D2913" s="0" t="n">
        <v>42</v>
      </c>
      <c r="E2913" s="5" t="n">
        <v>45976.7692476852</v>
      </c>
      <c r="F2913" s="0" t="n">
        <v>4.95</v>
      </c>
      <c r="G2913" s="0" t="n">
        <v>17195</v>
      </c>
      <c r="H2913" s="6" t="s">
        <v>74</v>
      </c>
      <c r="I2913" s="6" t="n">
        <f aca="false">D2913*F2913</f>
        <v>207.9</v>
      </c>
      <c r="J2913" s="6" t="n">
        <f aca="false">HOUR(E2913)</f>
        <v>18</v>
      </c>
      <c r="K2913" s="6" t="n">
        <f aca="false">IF(COUNTIF($A$2:$A2913,A2913)=1,1,0)</f>
        <v>0</v>
      </c>
    </row>
    <row r="2914" customFormat="false" ht="15" hidden="false" customHeight="false" outlineLevel="0" collapsed="false">
      <c r="A2914" s="0" t="s">
        <v>653</v>
      </c>
      <c r="B2914" s="0" t="s">
        <v>69</v>
      </c>
      <c r="C2914" s="0" t="s">
        <v>70</v>
      </c>
      <c r="D2914" s="0" t="n">
        <v>22</v>
      </c>
      <c r="E2914" s="5" t="n">
        <v>45976.7692476852</v>
      </c>
      <c r="F2914" s="0" t="n">
        <v>2.08</v>
      </c>
      <c r="G2914" s="0" t="n">
        <v>17195</v>
      </c>
      <c r="H2914" s="6" t="s">
        <v>74</v>
      </c>
      <c r="I2914" s="6" t="n">
        <f aca="false">D2914*F2914</f>
        <v>45.76</v>
      </c>
      <c r="J2914" s="6" t="n">
        <f aca="false">HOUR(E2914)</f>
        <v>18</v>
      </c>
      <c r="K2914" s="6" t="n">
        <f aca="false">IF(COUNTIF($A$2:$A2914,A2914)=1,1,0)</f>
        <v>0</v>
      </c>
    </row>
    <row r="2915" customFormat="false" ht="15" hidden="false" customHeight="false" outlineLevel="0" collapsed="false">
      <c r="A2915" s="0" t="s">
        <v>653</v>
      </c>
      <c r="B2915" s="0" t="s">
        <v>134</v>
      </c>
      <c r="C2915" s="0" t="s">
        <v>135</v>
      </c>
      <c r="D2915" s="0" t="n">
        <v>13</v>
      </c>
      <c r="E2915" s="5" t="n">
        <v>45976.7692476852</v>
      </c>
      <c r="F2915" s="0" t="n">
        <v>5.95</v>
      </c>
      <c r="G2915" s="0" t="n">
        <v>17195</v>
      </c>
      <c r="H2915" s="6" t="s">
        <v>74</v>
      </c>
      <c r="I2915" s="6" t="n">
        <f aca="false">D2915*F2915</f>
        <v>77.35</v>
      </c>
      <c r="J2915" s="6" t="n">
        <f aca="false">HOUR(E2915)</f>
        <v>18</v>
      </c>
      <c r="K2915" s="6" t="n">
        <f aca="false">IF(COUNTIF($A$2:$A2915,A2915)=1,1,0)</f>
        <v>0</v>
      </c>
    </row>
    <row r="2916" customFormat="false" ht="15" hidden="false" customHeight="false" outlineLevel="0" collapsed="false">
      <c r="A2916" s="0" t="s">
        <v>653</v>
      </c>
      <c r="B2916" s="0" t="s">
        <v>121</v>
      </c>
      <c r="C2916" s="0" t="s">
        <v>122</v>
      </c>
      <c r="D2916" s="0" t="n">
        <v>11</v>
      </c>
      <c r="E2916" s="5" t="n">
        <v>45976.7692476852</v>
      </c>
      <c r="F2916" s="0" t="n">
        <v>2.1</v>
      </c>
      <c r="G2916" s="0" t="n">
        <v>17195</v>
      </c>
      <c r="H2916" s="6" t="s">
        <v>74</v>
      </c>
      <c r="I2916" s="6" t="n">
        <f aca="false">D2916*F2916</f>
        <v>23.1</v>
      </c>
      <c r="J2916" s="6" t="n">
        <f aca="false">HOUR(E2916)</f>
        <v>18</v>
      </c>
      <c r="K2916" s="6" t="n">
        <f aca="false">IF(COUNTIF($A$2:$A2916,A2916)=1,1,0)</f>
        <v>0</v>
      </c>
    </row>
    <row r="2917" customFormat="false" ht="15" hidden="false" customHeight="false" outlineLevel="0" collapsed="false">
      <c r="A2917" s="0" t="s">
        <v>653</v>
      </c>
      <c r="B2917" s="0" t="s">
        <v>91</v>
      </c>
      <c r="C2917" s="0" t="s">
        <v>92</v>
      </c>
      <c r="D2917" s="0" t="n">
        <v>13</v>
      </c>
      <c r="E2917" s="5" t="n">
        <v>45976.7692476852</v>
      </c>
      <c r="F2917" s="0" t="n">
        <v>7.65</v>
      </c>
      <c r="G2917" s="0" t="n">
        <v>17195</v>
      </c>
      <c r="H2917" s="6" t="s">
        <v>74</v>
      </c>
      <c r="I2917" s="6" t="n">
        <f aca="false">D2917*F2917</f>
        <v>99.45</v>
      </c>
      <c r="J2917" s="6" t="n">
        <f aca="false">HOUR(E2917)</f>
        <v>18</v>
      </c>
      <c r="K2917" s="6" t="n">
        <f aca="false">IF(COUNTIF($A$2:$A2917,A2917)=1,1,0)</f>
        <v>0</v>
      </c>
    </row>
    <row r="2918" customFormat="false" ht="15" hidden="false" customHeight="false" outlineLevel="0" collapsed="false">
      <c r="A2918" s="0" t="s">
        <v>653</v>
      </c>
      <c r="B2918" s="0" t="s">
        <v>83</v>
      </c>
      <c r="C2918" s="0" t="s">
        <v>84</v>
      </c>
      <c r="D2918" s="0" t="n">
        <v>20</v>
      </c>
      <c r="E2918" s="5" t="n">
        <v>45976.7692476852</v>
      </c>
      <c r="F2918" s="0" t="n">
        <v>2.95</v>
      </c>
      <c r="G2918" s="0" t="n">
        <v>17195</v>
      </c>
      <c r="H2918" s="6" t="s">
        <v>74</v>
      </c>
      <c r="I2918" s="6" t="n">
        <f aca="false">D2918*F2918</f>
        <v>59</v>
      </c>
      <c r="J2918" s="6" t="n">
        <f aca="false">HOUR(E2918)</f>
        <v>18</v>
      </c>
      <c r="K2918" s="6" t="n">
        <f aca="false">IF(COUNTIF($A$2:$A2918,A2918)=1,1,0)</f>
        <v>0</v>
      </c>
    </row>
    <row r="2919" customFormat="false" ht="15" hidden="false" customHeight="false" outlineLevel="0" collapsed="false">
      <c r="A2919" s="0" t="s">
        <v>654</v>
      </c>
      <c r="B2919" s="0" t="s">
        <v>45</v>
      </c>
      <c r="C2919" s="0" t="s">
        <v>46</v>
      </c>
      <c r="D2919" s="0" t="n">
        <v>11</v>
      </c>
      <c r="E2919" s="5" t="n">
        <v>45976.7943518519</v>
      </c>
      <c r="F2919" s="0" t="n">
        <v>2.1</v>
      </c>
      <c r="G2919" s="0" t="n">
        <v>17055</v>
      </c>
      <c r="H2919" s="6" t="s">
        <v>42</v>
      </c>
      <c r="I2919" s="6" t="n">
        <f aca="false">D2919*F2919</f>
        <v>23.1</v>
      </c>
      <c r="J2919" s="6" t="n">
        <f aca="false">HOUR(E2919)</f>
        <v>19</v>
      </c>
      <c r="K2919" s="6" t="n">
        <f aca="false">IF(COUNTIF($A$2:$A2919,A2919)=1,1,0)</f>
        <v>1</v>
      </c>
    </row>
    <row r="2920" customFormat="false" ht="15" hidden="false" customHeight="false" outlineLevel="0" collapsed="false">
      <c r="A2920" s="0" t="s">
        <v>654</v>
      </c>
      <c r="B2920" s="0" t="s">
        <v>93</v>
      </c>
      <c r="C2920" s="0" t="s">
        <v>94</v>
      </c>
      <c r="D2920" s="0" t="n">
        <v>15</v>
      </c>
      <c r="E2920" s="5" t="n">
        <v>45976.7943518519</v>
      </c>
      <c r="F2920" s="0" t="n">
        <v>1.69</v>
      </c>
      <c r="G2920" s="0" t="n">
        <v>17055</v>
      </c>
      <c r="H2920" s="6" t="s">
        <v>42</v>
      </c>
      <c r="I2920" s="6" t="n">
        <f aca="false">D2920*F2920</f>
        <v>25.35</v>
      </c>
      <c r="J2920" s="6" t="n">
        <f aca="false">HOUR(E2920)</f>
        <v>19</v>
      </c>
      <c r="K2920" s="6" t="n">
        <f aca="false">IF(COUNTIF($A$2:$A2920,A2920)=1,1,0)</f>
        <v>0</v>
      </c>
    </row>
    <row r="2921" customFormat="false" ht="15" hidden="false" customHeight="false" outlineLevel="0" collapsed="false">
      <c r="A2921" s="0" t="s">
        <v>654</v>
      </c>
      <c r="B2921" s="0" t="s">
        <v>55</v>
      </c>
      <c r="C2921" s="0" t="s">
        <v>56</v>
      </c>
      <c r="D2921" s="0" t="n">
        <v>18</v>
      </c>
      <c r="E2921" s="5" t="n">
        <v>45976.7943518519</v>
      </c>
      <c r="F2921" s="0" t="n">
        <v>1.65</v>
      </c>
      <c r="G2921" s="0" t="n">
        <v>17055</v>
      </c>
      <c r="H2921" s="6" t="s">
        <v>42</v>
      </c>
      <c r="I2921" s="6" t="n">
        <f aca="false">D2921*F2921</f>
        <v>29.7</v>
      </c>
      <c r="J2921" s="6" t="n">
        <f aca="false">HOUR(E2921)</f>
        <v>19</v>
      </c>
      <c r="K2921" s="6" t="n">
        <f aca="false">IF(COUNTIF($A$2:$A2921,A2921)=1,1,0)</f>
        <v>0</v>
      </c>
    </row>
    <row r="2922" customFormat="false" ht="15" hidden="false" customHeight="false" outlineLevel="0" collapsed="false">
      <c r="A2922" s="0" t="s">
        <v>654</v>
      </c>
      <c r="B2922" s="0" t="s">
        <v>81</v>
      </c>
      <c r="C2922" s="0" t="s">
        <v>82</v>
      </c>
      <c r="D2922" s="0" t="n">
        <v>1</v>
      </c>
      <c r="E2922" s="5" t="n">
        <v>45976.7943518519</v>
      </c>
      <c r="F2922" s="0" t="n">
        <v>1.65</v>
      </c>
      <c r="G2922" s="0" t="n">
        <v>17055</v>
      </c>
      <c r="H2922" s="6" t="s">
        <v>42</v>
      </c>
      <c r="I2922" s="6" t="n">
        <f aca="false">D2922*F2922</f>
        <v>1.65</v>
      </c>
      <c r="J2922" s="6" t="n">
        <f aca="false">HOUR(E2922)</f>
        <v>19</v>
      </c>
      <c r="K2922" s="6" t="n">
        <f aca="false">IF(COUNTIF($A$2:$A2922,A2922)=1,1,0)</f>
        <v>0</v>
      </c>
    </row>
    <row r="2923" customFormat="false" ht="15" hidden="false" customHeight="false" outlineLevel="0" collapsed="false">
      <c r="A2923" s="0" t="s">
        <v>654</v>
      </c>
      <c r="B2923" s="0" t="s">
        <v>109</v>
      </c>
      <c r="C2923" s="0" t="s">
        <v>110</v>
      </c>
      <c r="D2923" s="0" t="n">
        <v>2</v>
      </c>
      <c r="E2923" s="5" t="n">
        <v>45976.7943518519</v>
      </c>
      <c r="F2923" s="0" t="n">
        <v>0.85</v>
      </c>
      <c r="G2923" s="0" t="n">
        <v>17055</v>
      </c>
      <c r="H2923" s="6" t="s">
        <v>42</v>
      </c>
      <c r="I2923" s="6" t="n">
        <f aca="false">D2923*F2923</f>
        <v>1.7</v>
      </c>
      <c r="J2923" s="6" t="n">
        <f aca="false">HOUR(E2923)</f>
        <v>19</v>
      </c>
      <c r="K2923" s="6" t="n">
        <f aca="false">IF(COUNTIF($A$2:$A2923,A2923)=1,1,0)</f>
        <v>0</v>
      </c>
    </row>
    <row r="2924" customFormat="false" ht="15" hidden="false" customHeight="false" outlineLevel="0" collapsed="false">
      <c r="A2924" s="0" t="s">
        <v>654</v>
      </c>
      <c r="B2924" s="0" t="s">
        <v>61</v>
      </c>
      <c r="C2924" s="0" t="s">
        <v>62</v>
      </c>
      <c r="D2924" s="0" t="n">
        <v>17</v>
      </c>
      <c r="E2924" s="5" t="n">
        <v>45976.7943518519</v>
      </c>
      <c r="F2924" s="0" t="n">
        <v>1.65</v>
      </c>
      <c r="G2924" s="0" t="n">
        <v>17055</v>
      </c>
      <c r="H2924" s="6" t="s">
        <v>42</v>
      </c>
      <c r="I2924" s="6" t="n">
        <f aca="false">D2924*F2924</f>
        <v>28.05</v>
      </c>
      <c r="J2924" s="6" t="n">
        <f aca="false">HOUR(E2924)</f>
        <v>19</v>
      </c>
      <c r="K2924" s="6" t="n">
        <f aca="false">IF(COUNTIF($A$2:$A2924,A2924)=1,1,0)</f>
        <v>0</v>
      </c>
    </row>
    <row r="2925" customFormat="false" ht="15" hidden="false" customHeight="false" outlineLevel="0" collapsed="false">
      <c r="A2925" s="0" t="s">
        <v>654</v>
      </c>
      <c r="B2925" s="0" t="s">
        <v>53</v>
      </c>
      <c r="C2925" s="0" t="s">
        <v>54</v>
      </c>
      <c r="D2925" s="0" t="n">
        <v>16</v>
      </c>
      <c r="E2925" s="5" t="n">
        <v>45976.7943518519</v>
      </c>
      <c r="F2925" s="0" t="n">
        <v>2.95</v>
      </c>
      <c r="G2925" s="0" t="n">
        <v>17055</v>
      </c>
      <c r="H2925" s="6" t="s">
        <v>42</v>
      </c>
      <c r="I2925" s="6" t="n">
        <f aca="false">D2925*F2925</f>
        <v>47.2</v>
      </c>
      <c r="J2925" s="6" t="n">
        <f aca="false">HOUR(E2925)</f>
        <v>19</v>
      </c>
      <c r="K2925" s="6" t="n">
        <f aca="false">IF(COUNTIF($A$2:$A2925,A2925)=1,1,0)</f>
        <v>0</v>
      </c>
    </row>
    <row r="2926" customFormat="false" ht="15" hidden="false" customHeight="false" outlineLevel="0" collapsed="false">
      <c r="A2926" s="0" t="s">
        <v>654</v>
      </c>
      <c r="B2926" s="0" t="s">
        <v>127</v>
      </c>
      <c r="C2926" s="0" t="s">
        <v>128</v>
      </c>
      <c r="D2926" s="0" t="n">
        <v>10</v>
      </c>
      <c r="E2926" s="5" t="n">
        <v>45976.7943518519</v>
      </c>
      <c r="F2926" s="0" t="n">
        <v>1.45</v>
      </c>
      <c r="G2926" s="0" t="n">
        <v>17055</v>
      </c>
      <c r="H2926" s="6" t="s">
        <v>42</v>
      </c>
      <c r="I2926" s="6" t="n">
        <f aca="false">D2926*F2926</f>
        <v>14.5</v>
      </c>
      <c r="J2926" s="6" t="n">
        <f aca="false">HOUR(E2926)</f>
        <v>19</v>
      </c>
      <c r="K2926" s="6" t="n">
        <f aca="false">IF(COUNTIF($A$2:$A2926,A2926)=1,1,0)</f>
        <v>0</v>
      </c>
    </row>
    <row r="2927" customFormat="false" ht="15" hidden="false" customHeight="false" outlineLevel="0" collapsed="false">
      <c r="A2927" s="0" t="s">
        <v>655</v>
      </c>
      <c r="B2927" s="0" t="s">
        <v>104</v>
      </c>
      <c r="C2927" s="0" t="s">
        <v>105</v>
      </c>
      <c r="D2927" s="0" t="n">
        <v>8</v>
      </c>
      <c r="E2927" s="5" t="n">
        <v>45976.8229166667</v>
      </c>
      <c r="F2927" s="0" t="n">
        <v>1.65</v>
      </c>
      <c r="G2927" s="0" t="n">
        <v>17034</v>
      </c>
      <c r="H2927" s="6" t="s">
        <v>74</v>
      </c>
      <c r="I2927" s="6" t="n">
        <f aca="false">D2927*F2927</f>
        <v>13.2</v>
      </c>
      <c r="J2927" s="6" t="n">
        <f aca="false">HOUR(E2927)</f>
        <v>19</v>
      </c>
      <c r="K2927" s="6" t="n">
        <f aca="false">IF(COUNTIF($A$2:$A2927,A2927)=1,1,0)</f>
        <v>1</v>
      </c>
    </row>
    <row r="2928" customFormat="false" ht="15" hidden="false" customHeight="false" outlineLevel="0" collapsed="false">
      <c r="A2928" s="0" t="s">
        <v>655</v>
      </c>
      <c r="B2928" s="0" t="s">
        <v>102</v>
      </c>
      <c r="C2928" s="0" t="s">
        <v>103</v>
      </c>
      <c r="D2928" s="0" t="n">
        <v>31</v>
      </c>
      <c r="E2928" s="5" t="n">
        <v>45976.8229166667</v>
      </c>
      <c r="F2928" s="0" t="n">
        <v>8.5</v>
      </c>
      <c r="G2928" s="0" t="n">
        <v>17034</v>
      </c>
      <c r="H2928" s="6" t="s">
        <v>74</v>
      </c>
      <c r="I2928" s="6" t="n">
        <f aca="false">D2928*F2928</f>
        <v>263.5</v>
      </c>
      <c r="J2928" s="6" t="n">
        <f aca="false">HOUR(E2928)</f>
        <v>19</v>
      </c>
      <c r="K2928" s="6" t="n">
        <f aca="false">IF(COUNTIF($A$2:$A2928,A2928)=1,1,0)</f>
        <v>0</v>
      </c>
    </row>
    <row r="2929" customFormat="false" ht="15" hidden="false" customHeight="false" outlineLevel="0" collapsed="false">
      <c r="A2929" s="0" t="s">
        <v>655</v>
      </c>
      <c r="B2929" s="0" t="s">
        <v>116</v>
      </c>
      <c r="C2929" s="0" t="s">
        <v>117</v>
      </c>
      <c r="D2929" s="0" t="n">
        <v>17</v>
      </c>
      <c r="E2929" s="5" t="n">
        <v>45976.8229166667</v>
      </c>
      <c r="F2929" s="0" t="n">
        <v>1.95</v>
      </c>
      <c r="G2929" s="0" t="n">
        <v>17034</v>
      </c>
      <c r="H2929" s="6" t="s">
        <v>74</v>
      </c>
      <c r="I2929" s="6" t="n">
        <f aca="false">D2929*F2929</f>
        <v>33.15</v>
      </c>
      <c r="J2929" s="6" t="n">
        <f aca="false">HOUR(E2929)</f>
        <v>19</v>
      </c>
      <c r="K2929" s="6" t="n">
        <f aca="false">IF(COUNTIF($A$2:$A2929,A2929)=1,1,0)</f>
        <v>0</v>
      </c>
    </row>
    <row r="2930" customFormat="false" ht="15" hidden="false" customHeight="false" outlineLevel="0" collapsed="false">
      <c r="A2930" s="0" t="s">
        <v>655</v>
      </c>
      <c r="B2930" s="0" t="s">
        <v>59</v>
      </c>
      <c r="C2930" s="0" t="s">
        <v>60</v>
      </c>
      <c r="D2930" s="0" t="n">
        <v>3</v>
      </c>
      <c r="E2930" s="5" t="n">
        <v>45976.8229166667</v>
      </c>
      <c r="F2930" s="0" t="n">
        <v>0.42</v>
      </c>
      <c r="G2930" s="0" t="n">
        <v>17034</v>
      </c>
      <c r="H2930" s="6" t="s">
        <v>74</v>
      </c>
      <c r="I2930" s="6" t="n">
        <f aca="false">D2930*F2930</f>
        <v>1.26</v>
      </c>
      <c r="J2930" s="6" t="n">
        <f aca="false">HOUR(E2930)</f>
        <v>19</v>
      </c>
      <c r="K2930" s="6" t="n">
        <f aca="false">IF(COUNTIF($A$2:$A2930,A2930)=1,1,0)</f>
        <v>0</v>
      </c>
    </row>
    <row r="2931" customFormat="false" ht="15" hidden="false" customHeight="false" outlineLevel="0" collapsed="false">
      <c r="A2931" s="0" t="s">
        <v>655</v>
      </c>
      <c r="B2931" s="0" t="s">
        <v>121</v>
      </c>
      <c r="C2931" s="0" t="s">
        <v>122</v>
      </c>
      <c r="D2931" s="0" t="n">
        <v>12</v>
      </c>
      <c r="E2931" s="5" t="n">
        <v>45976.8229166667</v>
      </c>
      <c r="F2931" s="0" t="n">
        <v>2.1</v>
      </c>
      <c r="G2931" s="0" t="n">
        <v>17034</v>
      </c>
      <c r="H2931" s="6" t="s">
        <v>74</v>
      </c>
      <c r="I2931" s="6" t="n">
        <f aca="false">D2931*F2931</f>
        <v>25.2</v>
      </c>
      <c r="J2931" s="6" t="n">
        <f aca="false">HOUR(E2931)</f>
        <v>19</v>
      </c>
      <c r="K2931" s="6" t="n">
        <f aca="false">IF(COUNTIF($A$2:$A2931,A2931)=1,1,0)</f>
        <v>0</v>
      </c>
    </row>
    <row r="2932" customFormat="false" ht="15" hidden="false" customHeight="false" outlineLevel="0" collapsed="false">
      <c r="A2932" s="0" t="s">
        <v>655</v>
      </c>
      <c r="B2932" s="0" t="s">
        <v>55</v>
      </c>
      <c r="C2932" s="0" t="s">
        <v>56</v>
      </c>
      <c r="D2932" s="0" t="n">
        <v>1</v>
      </c>
      <c r="E2932" s="5" t="n">
        <v>45976.8229166667</v>
      </c>
      <c r="F2932" s="0" t="n">
        <v>1.65</v>
      </c>
      <c r="G2932" s="0" t="n">
        <v>17034</v>
      </c>
      <c r="H2932" s="6" t="s">
        <v>74</v>
      </c>
      <c r="I2932" s="6" t="n">
        <f aca="false">D2932*F2932</f>
        <v>1.65</v>
      </c>
      <c r="J2932" s="6" t="n">
        <f aca="false">HOUR(E2932)</f>
        <v>19</v>
      </c>
      <c r="K2932" s="6" t="n">
        <f aca="false">IF(COUNTIF($A$2:$A2932,A2932)=1,1,0)</f>
        <v>0</v>
      </c>
    </row>
    <row r="2933" customFormat="false" ht="15" hidden="false" customHeight="false" outlineLevel="0" collapsed="false">
      <c r="A2933" s="0" t="s">
        <v>655</v>
      </c>
      <c r="B2933" s="0" t="s">
        <v>99</v>
      </c>
      <c r="C2933" s="0" t="s">
        <v>100</v>
      </c>
      <c r="D2933" s="0" t="n">
        <v>23</v>
      </c>
      <c r="E2933" s="5" t="n">
        <v>45976.8229166667</v>
      </c>
      <c r="F2933" s="0" t="n">
        <v>2.08</v>
      </c>
      <c r="G2933" s="0" t="n">
        <v>17034</v>
      </c>
      <c r="H2933" s="6" t="s">
        <v>74</v>
      </c>
      <c r="I2933" s="6" t="n">
        <f aca="false">D2933*F2933</f>
        <v>47.84</v>
      </c>
      <c r="J2933" s="6" t="n">
        <f aca="false">HOUR(E2933)</f>
        <v>19</v>
      </c>
      <c r="K2933" s="6" t="n">
        <f aca="false">IF(COUNTIF($A$2:$A2933,A2933)=1,1,0)</f>
        <v>0</v>
      </c>
    </row>
    <row r="2934" customFormat="false" ht="15" hidden="false" customHeight="false" outlineLevel="0" collapsed="false">
      <c r="A2934" s="0" t="s">
        <v>655</v>
      </c>
      <c r="B2934" s="0" t="s">
        <v>107</v>
      </c>
      <c r="C2934" s="0" t="s">
        <v>108</v>
      </c>
      <c r="D2934" s="0" t="n">
        <v>24</v>
      </c>
      <c r="E2934" s="5" t="n">
        <v>45976.8229166667</v>
      </c>
      <c r="F2934" s="0" t="n">
        <v>3.75</v>
      </c>
      <c r="G2934" s="0" t="n">
        <v>17034</v>
      </c>
      <c r="H2934" s="6" t="s">
        <v>74</v>
      </c>
      <c r="I2934" s="6" t="n">
        <f aca="false">D2934*F2934</f>
        <v>90</v>
      </c>
      <c r="J2934" s="6" t="n">
        <f aca="false">HOUR(E2934)</f>
        <v>19</v>
      </c>
      <c r="K2934" s="6" t="n">
        <f aca="false">IF(COUNTIF($A$2:$A2934,A2934)=1,1,0)</f>
        <v>0</v>
      </c>
    </row>
    <row r="2935" customFormat="false" ht="15" hidden="false" customHeight="false" outlineLevel="0" collapsed="false">
      <c r="A2935" s="0" t="s">
        <v>655</v>
      </c>
      <c r="B2935" s="0" t="s">
        <v>88</v>
      </c>
      <c r="C2935" s="0" t="s">
        <v>89</v>
      </c>
      <c r="D2935" s="0" t="n">
        <v>8</v>
      </c>
      <c r="E2935" s="5" t="n">
        <v>45976.8229166667</v>
      </c>
      <c r="F2935" s="0" t="n">
        <v>2.75</v>
      </c>
      <c r="G2935" s="0" t="n">
        <v>17034</v>
      </c>
      <c r="H2935" s="6" t="s">
        <v>74</v>
      </c>
      <c r="I2935" s="6" t="n">
        <f aca="false">D2935*F2935</f>
        <v>22</v>
      </c>
      <c r="J2935" s="6" t="n">
        <f aca="false">HOUR(E2935)</f>
        <v>19</v>
      </c>
      <c r="K2935" s="6" t="n">
        <f aca="false">IF(COUNTIF($A$2:$A2935,A2935)=1,1,0)</f>
        <v>0</v>
      </c>
    </row>
    <row r="2936" customFormat="false" ht="15" hidden="false" customHeight="false" outlineLevel="0" collapsed="false">
      <c r="A2936" s="0" t="s">
        <v>655</v>
      </c>
      <c r="B2936" s="0" t="s">
        <v>69</v>
      </c>
      <c r="C2936" s="0" t="s">
        <v>70</v>
      </c>
      <c r="D2936" s="0" t="n">
        <v>15</v>
      </c>
      <c r="E2936" s="5" t="n">
        <v>45976.8229166667</v>
      </c>
      <c r="F2936" s="0" t="n">
        <v>2.08</v>
      </c>
      <c r="G2936" s="0" t="n">
        <v>17034</v>
      </c>
      <c r="H2936" s="6" t="s">
        <v>74</v>
      </c>
      <c r="I2936" s="6" t="n">
        <f aca="false">D2936*F2936</f>
        <v>31.2</v>
      </c>
      <c r="J2936" s="6" t="n">
        <f aca="false">HOUR(E2936)</f>
        <v>19</v>
      </c>
      <c r="K2936" s="6" t="n">
        <f aca="false">IF(COUNTIF($A$2:$A2936,A2936)=1,1,0)</f>
        <v>0</v>
      </c>
    </row>
    <row r="2937" customFormat="false" ht="15" hidden="false" customHeight="false" outlineLevel="0" collapsed="false">
      <c r="A2937" s="0" t="s">
        <v>656</v>
      </c>
      <c r="B2937" s="0" t="s">
        <v>81</v>
      </c>
      <c r="C2937" s="0" t="s">
        <v>82</v>
      </c>
      <c r="D2937" s="0" t="n">
        <v>6</v>
      </c>
      <c r="E2937" s="5" t="n">
        <v>45977.0250694445</v>
      </c>
      <c r="F2937" s="0" t="n">
        <v>1.65</v>
      </c>
      <c r="G2937" s="0" t="n">
        <v>17223</v>
      </c>
      <c r="H2937" s="6" t="s">
        <v>144</v>
      </c>
      <c r="I2937" s="6" t="n">
        <f aca="false">D2937*F2937</f>
        <v>9.9</v>
      </c>
      <c r="J2937" s="6" t="n">
        <f aca="false">HOUR(E2937)</f>
        <v>0</v>
      </c>
      <c r="K2937" s="6" t="n">
        <f aca="false">IF(COUNTIF($A$2:$A2937,A2937)=1,1,0)</f>
        <v>1</v>
      </c>
    </row>
    <row r="2938" customFormat="false" ht="15" hidden="false" customHeight="false" outlineLevel="0" collapsed="false">
      <c r="A2938" s="0" t="s">
        <v>656</v>
      </c>
      <c r="B2938" s="0" t="s">
        <v>99</v>
      </c>
      <c r="C2938" s="0" t="s">
        <v>100</v>
      </c>
      <c r="D2938" s="0" t="n">
        <v>23</v>
      </c>
      <c r="E2938" s="5" t="n">
        <v>45977.0250694445</v>
      </c>
      <c r="F2938" s="0" t="n">
        <v>2.08</v>
      </c>
      <c r="G2938" s="0" t="n">
        <v>17223</v>
      </c>
      <c r="H2938" s="6" t="s">
        <v>144</v>
      </c>
      <c r="I2938" s="6" t="n">
        <f aca="false">D2938*F2938</f>
        <v>47.84</v>
      </c>
      <c r="J2938" s="6" t="n">
        <f aca="false">HOUR(E2938)</f>
        <v>0</v>
      </c>
      <c r="K2938" s="6" t="n">
        <f aca="false">IF(COUNTIF($A$2:$A2938,A2938)=1,1,0)</f>
        <v>0</v>
      </c>
    </row>
    <row r="2939" customFormat="false" ht="15" hidden="false" customHeight="false" outlineLevel="0" collapsed="false">
      <c r="A2939" s="0" t="s">
        <v>656</v>
      </c>
      <c r="B2939" s="0" t="s">
        <v>72</v>
      </c>
      <c r="C2939" s="0" t="s">
        <v>73</v>
      </c>
      <c r="D2939" s="0" t="n">
        <v>42</v>
      </c>
      <c r="E2939" s="5" t="n">
        <v>45977.0250694445</v>
      </c>
      <c r="F2939" s="0" t="n">
        <v>4.95</v>
      </c>
      <c r="G2939" s="0" t="n">
        <v>17223</v>
      </c>
      <c r="H2939" s="6" t="s">
        <v>144</v>
      </c>
      <c r="I2939" s="6" t="n">
        <f aca="false">D2939*F2939</f>
        <v>207.9</v>
      </c>
      <c r="J2939" s="6" t="n">
        <f aca="false">HOUR(E2939)</f>
        <v>0</v>
      </c>
      <c r="K2939" s="6" t="n">
        <f aca="false">IF(COUNTIF($A$2:$A2939,A2939)=1,1,0)</f>
        <v>0</v>
      </c>
    </row>
    <row r="2940" customFormat="false" ht="15" hidden="false" customHeight="false" outlineLevel="0" collapsed="false">
      <c r="A2940" s="0" t="s">
        <v>656</v>
      </c>
      <c r="B2940" s="0" t="s">
        <v>77</v>
      </c>
      <c r="C2940" s="0" t="s">
        <v>78</v>
      </c>
      <c r="D2940" s="0" t="n">
        <v>24</v>
      </c>
      <c r="E2940" s="5" t="n">
        <v>45977.0250694445</v>
      </c>
      <c r="F2940" s="0" t="n">
        <v>1.65</v>
      </c>
      <c r="G2940" s="0" t="n">
        <v>17223</v>
      </c>
      <c r="H2940" s="6" t="s">
        <v>144</v>
      </c>
      <c r="I2940" s="6" t="n">
        <f aca="false">D2940*F2940</f>
        <v>39.6</v>
      </c>
      <c r="J2940" s="6" t="n">
        <f aca="false">HOUR(E2940)</f>
        <v>0</v>
      </c>
      <c r="K2940" s="6" t="n">
        <f aca="false">IF(COUNTIF($A$2:$A2940,A2940)=1,1,0)</f>
        <v>0</v>
      </c>
    </row>
    <row r="2941" customFormat="false" ht="15" hidden="false" customHeight="false" outlineLevel="0" collapsed="false">
      <c r="A2941" s="0" t="s">
        <v>657</v>
      </c>
      <c r="B2941" s="0" t="s">
        <v>83</v>
      </c>
      <c r="C2941" s="0" t="s">
        <v>84</v>
      </c>
      <c r="D2941" s="0" t="n">
        <v>8</v>
      </c>
      <c r="E2941" s="5" t="n">
        <v>45977.372650463</v>
      </c>
      <c r="F2941" s="0" t="n">
        <v>2.95</v>
      </c>
      <c r="G2941" s="0" t="n">
        <v>17047</v>
      </c>
      <c r="H2941" s="6" t="s">
        <v>74</v>
      </c>
      <c r="I2941" s="6" t="n">
        <f aca="false">D2941*F2941</f>
        <v>23.6</v>
      </c>
      <c r="J2941" s="6" t="n">
        <f aca="false">HOUR(E2941)</f>
        <v>8</v>
      </c>
      <c r="K2941" s="6" t="n">
        <f aca="false">IF(COUNTIF($A$2:$A2941,A2941)=1,1,0)</f>
        <v>1</v>
      </c>
    </row>
    <row r="2942" customFormat="false" ht="15" hidden="false" customHeight="false" outlineLevel="0" collapsed="false">
      <c r="A2942" s="0" t="s">
        <v>657</v>
      </c>
      <c r="B2942" s="0" t="s">
        <v>137</v>
      </c>
      <c r="C2942" s="0" t="s">
        <v>138</v>
      </c>
      <c r="D2942" s="0" t="n">
        <v>20</v>
      </c>
      <c r="E2942" s="5" t="n">
        <v>45977.372650463</v>
      </c>
      <c r="F2942" s="0" t="n">
        <v>2.1</v>
      </c>
      <c r="G2942" s="0" t="n">
        <v>17047</v>
      </c>
      <c r="H2942" s="6" t="s">
        <v>74</v>
      </c>
      <c r="I2942" s="6" t="n">
        <f aca="false">D2942*F2942</f>
        <v>42</v>
      </c>
      <c r="J2942" s="6" t="n">
        <f aca="false">HOUR(E2942)</f>
        <v>8</v>
      </c>
      <c r="K2942" s="6" t="n">
        <f aca="false">IF(COUNTIF($A$2:$A2942,A2942)=1,1,0)</f>
        <v>0</v>
      </c>
    </row>
    <row r="2943" customFormat="false" ht="15" hidden="false" customHeight="false" outlineLevel="0" collapsed="false">
      <c r="A2943" s="0" t="s">
        <v>657</v>
      </c>
      <c r="B2943" s="0" t="s">
        <v>109</v>
      </c>
      <c r="C2943" s="0" t="s">
        <v>110</v>
      </c>
      <c r="D2943" s="0" t="n">
        <v>21</v>
      </c>
      <c r="E2943" s="5" t="n">
        <v>45977.372650463</v>
      </c>
      <c r="F2943" s="0" t="n">
        <v>0.85</v>
      </c>
      <c r="G2943" s="0" t="n">
        <v>17047</v>
      </c>
      <c r="H2943" s="6" t="s">
        <v>74</v>
      </c>
      <c r="I2943" s="6" t="n">
        <f aca="false">D2943*F2943</f>
        <v>17.85</v>
      </c>
      <c r="J2943" s="6" t="n">
        <f aca="false">HOUR(E2943)</f>
        <v>8</v>
      </c>
      <c r="K2943" s="6" t="n">
        <f aca="false">IF(COUNTIF($A$2:$A2943,A2943)=1,1,0)</f>
        <v>0</v>
      </c>
    </row>
    <row r="2944" customFormat="false" ht="15" hidden="false" customHeight="false" outlineLevel="0" collapsed="false">
      <c r="A2944" s="0" t="s">
        <v>657</v>
      </c>
      <c r="B2944" s="0" t="s">
        <v>125</v>
      </c>
      <c r="C2944" s="0" t="s">
        <v>126</v>
      </c>
      <c r="D2944" s="0" t="n">
        <v>2</v>
      </c>
      <c r="E2944" s="5" t="n">
        <v>45977.372650463</v>
      </c>
      <c r="F2944" s="0" t="n">
        <v>1.25</v>
      </c>
      <c r="G2944" s="0" t="n">
        <v>17047</v>
      </c>
      <c r="H2944" s="6" t="s">
        <v>74</v>
      </c>
      <c r="I2944" s="6" t="n">
        <f aca="false">D2944*F2944</f>
        <v>2.5</v>
      </c>
      <c r="J2944" s="6" t="n">
        <f aca="false">HOUR(E2944)</f>
        <v>8</v>
      </c>
      <c r="K2944" s="6" t="n">
        <f aca="false">IF(COUNTIF($A$2:$A2944,A2944)=1,1,0)</f>
        <v>0</v>
      </c>
    </row>
    <row r="2945" customFormat="false" ht="15" hidden="false" customHeight="false" outlineLevel="0" collapsed="false">
      <c r="A2945" s="0" t="s">
        <v>657</v>
      </c>
      <c r="B2945" s="0" t="s">
        <v>45</v>
      </c>
      <c r="C2945" s="0" t="s">
        <v>46</v>
      </c>
      <c r="D2945" s="0" t="n">
        <v>11</v>
      </c>
      <c r="E2945" s="5" t="n">
        <v>45977.372650463</v>
      </c>
      <c r="F2945" s="0" t="n">
        <v>2.1</v>
      </c>
      <c r="G2945" s="0" t="n">
        <v>17047</v>
      </c>
      <c r="H2945" s="6" t="s">
        <v>74</v>
      </c>
      <c r="I2945" s="6" t="n">
        <f aca="false">D2945*F2945</f>
        <v>23.1</v>
      </c>
      <c r="J2945" s="6" t="n">
        <f aca="false">HOUR(E2945)</f>
        <v>8</v>
      </c>
      <c r="K2945" s="6" t="n">
        <f aca="false">IF(COUNTIF($A$2:$A2945,A2945)=1,1,0)</f>
        <v>0</v>
      </c>
    </row>
    <row r="2946" customFormat="false" ht="15" hidden="false" customHeight="false" outlineLevel="0" collapsed="false">
      <c r="A2946" s="0" t="s">
        <v>657</v>
      </c>
      <c r="B2946" s="0" t="s">
        <v>75</v>
      </c>
      <c r="C2946" s="0" t="s">
        <v>76</v>
      </c>
      <c r="D2946" s="0" t="n">
        <v>14</v>
      </c>
      <c r="E2946" s="5" t="n">
        <v>45977.372650463</v>
      </c>
      <c r="F2946" s="0" t="n">
        <v>3.39</v>
      </c>
      <c r="G2946" s="0" t="n">
        <v>17047</v>
      </c>
      <c r="H2946" s="6" t="s">
        <v>74</v>
      </c>
      <c r="I2946" s="6" t="n">
        <f aca="false">D2946*F2946</f>
        <v>47.46</v>
      </c>
      <c r="J2946" s="6" t="n">
        <f aca="false">HOUR(E2946)</f>
        <v>8</v>
      </c>
      <c r="K2946" s="6" t="n">
        <f aca="false">IF(COUNTIF($A$2:$A2946,A2946)=1,1,0)</f>
        <v>0</v>
      </c>
    </row>
    <row r="2947" customFormat="false" ht="15" hidden="false" customHeight="false" outlineLevel="0" collapsed="false">
      <c r="A2947" s="0" t="s">
        <v>657</v>
      </c>
      <c r="B2947" s="0" t="s">
        <v>57</v>
      </c>
      <c r="C2947" s="0" t="s">
        <v>58</v>
      </c>
      <c r="D2947" s="0" t="n">
        <v>17</v>
      </c>
      <c r="E2947" s="5" t="n">
        <v>45977.372650463</v>
      </c>
      <c r="F2947" s="0" t="n">
        <v>2.08</v>
      </c>
      <c r="G2947" s="0" t="n">
        <v>17047</v>
      </c>
      <c r="H2947" s="6" t="s">
        <v>74</v>
      </c>
      <c r="I2947" s="6" t="n">
        <f aca="false">D2947*F2947</f>
        <v>35.36</v>
      </c>
      <c r="J2947" s="6" t="n">
        <f aca="false">HOUR(E2947)</f>
        <v>8</v>
      </c>
      <c r="K2947" s="6" t="n">
        <f aca="false">IF(COUNTIF($A$2:$A2947,A2947)=1,1,0)</f>
        <v>0</v>
      </c>
    </row>
    <row r="2948" customFormat="false" ht="15" hidden="false" customHeight="false" outlineLevel="0" collapsed="false">
      <c r="A2948" s="0" t="s">
        <v>657</v>
      </c>
      <c r="B2948" s="0" t="s">
        <v>118</v>
      </c>
      <c r="C2948" s="0" t="s">
        <v>119</v>
      </c>
      <c r="D2948" s="0" t="n">
        <v>42</v>
      </c>
      <c r="E2948" s="5" t="n">
        <v>45977.372650463</v>
      </c>
      <c r="F2948" s="0" t="n">
        <v>4.95</v>
      </c>
      <c r="G2948" s="0" t="n">
        <v>17047</v>
      </c>
      <c r="H2948" s="6" t="s">
        <v>74</v>
      </c>
      <c r="I2948" s="6" t="n">
        <f aca="false">D2948*F2948</f>
        <v>207.9</v>
      </c>
      <c r="J2948" s="6" t="n">
        <f aca="false">HOUR(E2948)</f>
        <v>8</v>
      </c>
      <c r="K2948" s="6" t="n">
        <f aca="false">IF(COUNTIF($A$2:$A2948,A2948)=1,1,0)</f>
        <v>0</v>
      </c>
    </row>
    <row r="2949" customFormat="false" ht="15" hidden="false" customHeight="false" outlineLevel="0" collapsed="false">
      <c r="A2949" s="0" t="s">
        <v>657</v>
      </c>
      <c r="B2949" s="0" t="s">
        <v>140</v>
      </c>
      <c r="C2949" s="0" t="s">
        <v>141</v>
      </c>
      <c r="D2949" s="0" t="n">
        <v>4</v>
      </c>
      <c r="E2949" s="5" t="n">
        <v>45977.372650463</v>
      </c>
      <c r="F2949" s="0" t="n">
        <v>2.08</v>
      </c>
      <c r="G2949" s="0" t="n">
        <v>17047</v>
      </c>
      <c r="H2949" s="6" t="s">
        <v>74</v>
      </c>
      <c r="I2949" s="6" t="n">
        <f aca="false">D2949*F2949</f>
        <v>8.32</v>
      </c>
      <c r="J2949" s="6" t="n">
        <f aca="false">HOUR(E2949)</f>
        <v>8</v>
      </c>
      <c r="K2949" s="6" t="n">
        <f aca="false">IF(COUNTIF($A$2:$A2949,A2949)=1,1,0)</f>
        <v>0</v>
      </c>
    </row>
    <row r="2950" customFormat="false" ht="15" hidden="false" customHeight="false" outlineLevel="0" collapsed="false">
      <c r="A2950" s="0" t="s">
        <v>657</v>
      </c>
      <c r="B2950" s="0" t="s">
        <v>86</v>
      </c>
      <c r="C2950" s="0" t="s">
        <v>87</v>
      </c>
      <c r="D2950" s="0" t="n">
        <v>13</v>
      </c>
      <c r="E2950" s="5" t="n">
        <v>45977.372650463</v>
      </c>
      <c r="F2950" s="0" t="n">
        <v>4.25</v>
      </c>
      <c r="G2950" s="0" t="n">
        <v>17047</v>
      </c>
      <c r="H2950" s="6" t="s">
        <v>74</v>
      </c>
      <c r="I2950" s="6" t="n">
        <f aca="false">D2950*F2950</f>
        <v>55.25</v>
      </c>
      <c r="J2950" s="6" t="n">
        <f aca="false">HOUR(E2950)</f>
        <v>8</v>
      </c>
      <c r="K2950" s="6" t="n">
        <f aca="false">IF(COUNTIF($A$2:$A2950,A2950)=1,1,0)</f>
        <v>0</v>
      </c>
    </row>
    <row r="2951" customFormat="false" ht="15" hidden="false" customHeight="false" outlineLevel="0" collapsed="false">
      <c r="A2951" s="0" t="s">
        <v>658</v>
      </c>
      <c r="B2951" s="0" t="s">
        <v>65</v>
      </c>
      <c r="C2951" s="0" t="s">
        <v>66</v>
      </c>
      <c r="D2951" s="0" t="n">
        <v>12</v>
      </c>
      <c r="E2951" s="5" t="n">
        <v>45977.3805208333</v>
      </c>
      <c r="F2951" s="0" t="n">
        <v>1.65</v>
      </c>
      <c r="G2951" s="0" t="n">
        <v>17042</v>
      </c>
      <c r="H2951" s="6" t="s">
        <v>74</v>
      </c>
      <c r="I2951" s="6" t="n">
        <f aca="false">D2951*F2951</f>
        <v>19.8</v>
      </c>
      <c r="J2951" s="6" t="n">
        <f aca="false">HOUR(E2951)</f>
        <v>9</v>
      </c>
      <c r="K2951" s="6" t="n">
        <f aca="false">IF(COUNTIF($A$2:$A2951,A2951)=1,1,0)</f>
        <v>1</v>
      </c>
    </row>
    <row r="2952" customFormat="false" ht="15" hidden="false" customHeight="false" outlineLevel="0" collapsed="false">
      <c r="A2952" s="0" t="s">
        <v>658</v>
      </c>
      <c r="B2952" s="0" t="s">
        <v>107</v>
      </c>
      <c r="C2952" s="0" t="s">
        <v>108</v>
      </c>
      <c r="D2952" s="0" t="n">
        <v>24</v>
      </c>
      <c r="E2952" s="5" t="n">
        <v>45977.3805208333</v>
      </c>
      <c r="F2952" s="0" t="n">
        <v>3.75</v>
      </c>
      <c r="G2952" s="0" t="n">
        <v>17042</v>
      </c>
      <c r="H2952" s="6" t="s">
        <v>74</v>
      </c>
      <c r="I2952" s="6" t="n">
        <f aca="false">D2952*F2952</f>
        <v>90</v>
      </c>
      <c r="J2952" s="6" t="n">
        <f aca="false">HOUR(E2952)</f>
        <v>9</v>
      </c>
      <c r="K2952" s="6" t="n">
        <f aca="false">IF(COUNTIF($A$2:$A2952,A2952)=1,1,0)</f>
        <v>0</v>
      </c>
    </row>
    <row r="2953" customFormat="false" ht="15" hidden="false" customHeight="false" outlineLevel="0" collapsed="false">
      <c r="A2953" s="0" t="s">
        <v>658</v>
      </c>
      <c r="B2953" s="0" t="s">
        <v>83</v>
      </c>
      <c r="C2953" s="0" t="s">
        <v>84</v>
      </c>
      <c r="D2953" s="0" t="n">
        <v>21</v>
      </c>
      <c r="E2953" s="5" t="n">
        <v>45977.3805208333</v>
      </c>
      <c r="F2953" s="0" t="n">
        <v>2.95</v>
      </c>
      <c r="G2953" s="0" t="n">
        <v>17042</v>
      </c>
      <c r="H2953" s="6" t="s">
        <v>74</v>
      </c>
      <c r="I2953" s="6" t="n">
        <f aca="false">D2953*F2953</f>
        <v>61.95</v>
      </c>
      <c r="J2953" s="6" t="n">
        <f aca="false">HOUR(E2953)</f>
        <v>9</v>
      </c>
      <c r="K2953" s="6" t="n">
        <f aca="false">IF(COUNTIF($A$2:$A2953,A2953)=1,1,0)</f>
        <v>0</v>
      </c>
    </row>
    <row r="2954" customFormat="false" ht="15" hidden="false" customHeight="false" outlineLevel="0" collapsed="false">
      <c r="A2954" s="0" t="s">
        <v>659</v>
      </c>
      <c r="B2954" s="0" t="s">
        <v>81</v>
      </c>
      <c r="C2954" s="0" t="s">
        <v>82</v>
      </c>
      <c r="D2954" s="0" t="n">
        <v>17</v>
      </c>
      <c r="E2954" s="5" t="n">
        <v>45977.4358912037</v>
      </c>
      <c r="F2954" s="0" t="n">
        <v>1.65</v>
      </c>
      <c r="G2954" s="0" t="n">
        <v>17116</v>
      </c>
      <c r="H2954" s="6" t="s">
        <v>42</v>
      </c>
      <c r="I2954" s="6" t="n">
        <f aca="false">D2954*F2954</f>
        <v>28.05</v>
      </c>
      <c r="J2954" s="6" t="n">
        <f aca="false">HOUR(E2954)</f>
        <v>10</v>
      </c>
      <c r="K2954" s="6" t="n">
        <f aca="false">IF(COUNTIF($A$2:$A2954,A2954)=1,1,0)</f>
        <v>1</v>
      </c>
    </row>
    <row r="2955" customFormat="false" ht="15" hidden="false" customHeight="false" outlineLevel="0" collapsed="false">
      <c r="A2955" s="0" t="s">
        <v>659</v>
      </c>
      <c r="B2955" s="0" t="s">
        <v>134</v>
      </c>
      <c r="C2955" s="0" t="s">
        <v>135</v>
      </c>
      <c r="D2955" s="0" t="n">
        <v>17</v>
      </c>
      <c r="E2955" s="5" t="n">
        <v>45977.4358912037</v>
      </c>
      <c r="F2955" s="0" t="n">
        <v>5.95</v>
      </c>
      <c r="G2955" s="0" t="n">
        <v>17116</v>
      </c>
      <c r="H2955" s="6" t="s">
        <v>42</v>
      </c>
      <c r="I2955" s="6" t="n">
        <f aca="false">D2955*F2955</f>
        <v>101.15</v>
      </c>
      <c r="J2955" s="6" t="n">
        <f aca="false">HOUR(E2955)</f>
        <v>10</v>
      </c>
      <c r="K2955" s="6" t="n">
        <f aca="false">IF(COUNTIF($A$2:$A2955,A2955)=1,1,0)</f>
        <v>0</v>
      </c>
    </row>
    <row r="2956" customFormat="false" ht="15" hidden="false" customHeight="false" outlineLevel="0" collapsed="false">
      <c r="A2956" s="0" t="s">
        <v>659</v>
      </c>
      <c r="B2956" s="0" t="s">
        <v>63</v>
      </c>
      <c r="C2956" s="0" t="s">
        <v>64</v>
      </c>
      <c r="D2956" s="0" t="n">
        <v>3</v>
      </c>
      <c r="E2956" s="5" t="n">
        <v>45977.4358912037</v>
      </c>
      <c r="F2956" s="0" t="n">
        <v>1.85</v>
      </c>
      <c r="G2956" s="0" t="n">
        <v>17116</v>
      </c>
      <c r="H2956" s="6" t="s">
        <v>42</v>
      </c>
      <c r="I2956" s="6" t="n">
        <f aca="false">D2956*F2956</f>
        <v>5.55</v>
      </c>
      <c r="J2956" s="6" t="n">
        <f aca="false">HOUR(E2956)</f>
        <v>10</v>
      </c>
      <c r="K2956" s="6" t="n">
        <f aca="false">IF(COUNTIF($A$2:$A2956,A2956)=1,1,0)</f>
        <v>0</v>
      </c>
    </row>
    <row r="2957" customFormat="false" ht="15" hidden="false" customHeight="false" outlineLevel="0" collapsed="false">
      <c r="A2957" s="0" t="s">
        <v>659</v>
      </c>
      <c r="B2957" s="0" t="s">
        <v>116</v>
      </c>
      <c r="C2957" s="0" t="s">
        <v>117</v>
      </c>
      <c r="D2957" s="0" t="n">
        <v>17</v>
      </c>
      <c r="E2957" s="5" t="n">
        <v>45977.4358912037</v>
      </c>
      <c r="F2957" s="0" t="n">
        <v>1.95</v>
      </c>
      <c r="G2957" s="0" t="n">
        <v>17116</v>
      </c>
      <c r="H2957" s="6" t="s">
        <v>42</v>
      </c>
      <c r="I2957" s="6" t="n">
        <f aca="false">D2957*F2957</f>
        <v>33.15</v>
      </c>
      <c r="J2957" s="6" t="n">
        <f aca="false">HOUR(E2957)</f>
        <v>10</v>
      </c>
      <c r="K2957" s="6" t="n">
        <f aca="false">IF(COUNTIF($A$2:$A2957,A2957)=1,1,0)</f>
        <v>0</v>
      </c>
    </row>
    <row r="2958" customFormat="false" ht="15" hidden="false" customHeight="false" outlineLevel="0" collapsed="false">
      <c r="A2958" s="0" t="s">
        <v>659</v>
      </c>
      <c r="B2958" s="0" t="s">
        <v>61</v>
      </c>
      <c r="C2958" s="0" t="s">
        <v>62</v>
      </c>
      <c r="D2958" s="0" t="n">
        <v>22</v>
      </c>
      <c r="E2958" s="5" t="n">
        <v>45977.4358912037</v>
      </c>
      <c r="F2958" s="0" t="n">
        <v>1.65</v>
      </c>
      <c r="G2958" s="0" t="n">
        <v>17116</v>
      </c>
      <c r="H2958" s="6" t="s">
        <v>42</v>
      </c>
      <c r="I2958" s="6" t="n">
        <f aca="false">D2958*F2958</f>
        <v>36.3</v>
      </c>
      <c r="J2958" s="6" t="n">
        <f aca="false">HOUR(E2958)</f>
        <v>10</v>
      </c>
      <c r="K2958" s="6" t="n">
        <f aca="false">IF(COUNTIF($A$2:$A2958,A2958)=1,1,0)</f>
        <v>0</v>
      </c>
    </row>
    <row r="2959" customFormat="false" ht="15" hidden="false" customHeight="false" outlineLevel="0" collapsed="false">
      <c r="A2959" s="0" t="s">
        <v>659</v>
      </c>
      <c r="B2959" s="0" t="s">
        <v>145</v>
      </c>
      <c r="C2959" s="0" t="s">
        <v>146</v>
      </c>
      <c r="D2959" s="0" t="n">
        <v>1</v>
      </c>
      <c r="E2959" s="5" t="n">
        <v>45977.4358912037</v>
      </c>
      <c r="F2959" s="0" t="n">
        <v>1.85</v>
      </c>
      <c r="G2959" s="0" t="n">
        <v>17116</v>
      </c>
      <c r="H2959" s="6" t="s">
        <v>42</v>
      </c>
      <c r="I2959" s="6" t="n">
        <f aca="false">D2959*F2959</f>
        <v>1.85</v>
      </c>
      <c r="J2959" s="6" t="n">
        <f aca="false">HOUR(E2959)</f>
        <v>10</v>
      </c>
      <c r="K2959" s="6" t="n">
        <f aca="false">IF(COUNTIF($A$2:$A2959,A2959)=1,1,0)</f>
        <v>0</v>
      </c>
    </row>
    <row r="2960" customFormat="false" ht="15" hidden="false" customHeight="false" outlineLevel="0" collapsed="false">
      <c r="A2960" s="0" t="s">
        <v>659</v>
      </c>
      <c r="B2960" s="0" t="s">
        <v>57</v>
      </c>
      <c r="C2960" s="0" t="s">
        <v>58</v>
      </c>
      <c r="D2960" s="0" t="n">
        <v>5</v>
      </c>
      <c r="E2960" s="5" t="n">
        <v>45977.4358912037</v>
      </c>
      <c r="F2960" s="0" t="n">
        <v>2.08</v>
      </c>
      <c r="G2960" s="0" t="n">
        <v>17116</v>
      </c>
      <c r="H2960" s="6" t="s">
        <v>42</v>
      </c>
      <c r="I2960" s="6" t="n">
        <f aca="false">D2960*F2960</f>
        <v>10.4</v>
      </c>
      <c r="J2960" s="6" t="n">
        <f aca="false">HOUR(E2960)</f>
        <v>10</v>
      </c>
      <c r="K2960" s="6" t="n">
        <f aca="false">IF(COUNTIF($A$2:$A2960,A2960)=1,1,0)</f>
        <v>0</v>
      </c>
    </row>
    <row r="2961" customFormat="false" ht="15" hidden="false" customHeight="false" outlineLevel="0" collapsed="false">
      <c r="A2961" s="0" t="s">
        <v>659</v>
      </c>
      <c r="B2961" s="0" t="s">
        <v>47</v>
      </c>
      <c r="C2961" s="0" t="s">
        <v>48</v>
      </c>
      <c r="D2961" s="0" t="n">
        <v>28</v>
      </c>
      <c r="E2961" s="5" t="n">
        <v>45977.4358912037</v>
      </c>
      <c r="F2961" s="0" t="n">
        <v>12.75</v>
      </c>
      <c r="G2961" s="0" t="n">
        <v>17116</v>
      </c>
      <c r="H2961" s="6" t="s">
        <v>42</v>
      </c>
      <c r="I2961" s="6" t="n">
        <f aca="false">D2961*F2961</f>
        <v>357</v>
      </c>
      <c r="J2961" s="6" t="n">
        <f aca="false">HOUR(E2961)</f>
        <v>10</v>
      </c>
      <c r="K2961" s="6" t="n">
        <f aca="false">IF(COUNTIF($A$2:$A2961,A2961)=1,1,0)</f>
        <v>0</v>
      </c>
    </row>
    <row r="2962" customFormat="false" ht="15" hidden="false" customHeight="false" outlineLevel="0" collapsed="false">
      <c r="A2962" s="0" t="s">
        <v>660</v>
      </c>
      <c r="B2962" s="0" t="s">
        <v>102</v>
      </c>
      <c r="C2962" s="0" t="s">
        <v>103</v>
      </c>
      <c r="D2962" s="0" t="n">
        <v>42</v>
      </c>
      <c r="E2962" s="5" t="n">
        <v>45977.4741782407</v>
      </c>
      <c r="F2962" s="0" t="n">
        <v>8.5</v>
      </c>
      <c r="G2962" s="0" t="n">
        <v>17087</v>
      </c>
      <c r="H2962" s="6" t="s">
        <v>113</v>
      </c>
      <c r="I2962" s="6" t="n">
        <f aca="false">D2962*F2962</f>
        <v>357</v>
      </c>
      <c r="J2962" s="6" t="n">
        <f aca="false">HOUR(E2962)</f>
        <v>11</v>
      </c>
      <c r="K2962" s="6" t="n">
        <f aca="false">IF(COUNTIF($A$2:$A2962,A2962)=1,1,0)</f>
        <v>1</v>
      </c>
    </row>
    <row r="2963" customFormat="false" ht="15" hidden="false" customHeight="false" outlineLevel="0" collapsed="false">
      <c r="A2963" s="0" t="s">
        <v>661</v>
      </c>
      <c r="B2963" s="0" t="s">
        <v>50</v>
      </c>
      <c r="C2963" s="0" t="s">
        <v>51</v>
      </c>
      <c r="D2963" s="0" t="n">
        <v>19</v>
      </c>
      <c r="E2963" s="5" t="n">
        <v>45977.4890625</v>
      </c>
      <c r="F2963" s="0" t="n">
        <v>5.95</v>
      </c>
      <c r="G2963" s="0" t="n">
        <v>17157</v>
      </c>
      <c r="H2963" s="6" t="s">
        <v>42</v>
      </c>
      <c r="I2963" s="6" t="n">
        <f aca="false">D2963*F2963</f>
        <v>113.05</v>
      </c>
      <c r="J2963" s="6" t="n">
        <f aca="false">HOUR(E2963)</f>
        <v>11</v>
      </c>
      <c r="K2963" s="6" t="n">
        <f aca="false">IF(COUNTIF($A$2:$A2963,A2963)=1,1,0)</f>
        <v>1</v>
      </c>
    </row>
    <row r="2964" customFormat="false" ht="15" hidden="false" customHeight="false" outlineLevel="0" collapsed="false">
      <c r="A2964" s="0" t="s">
        <v>661</v>
      </c>
      <c r="B2964" s="0" t="s">
        <v>59</v>
      </c>
      <c r="C2964" s="0" t="s">
        <v>60</v>
      </c>
      <c r="D2964" s="0" t="n">
        <v>16</v>
      </c>
      <c r="E2964" s="5" t="n">
        <v>45977.4890625</v>
      </c>
      <c r="F2964" s="0" t="n">
        <v>0.42</v>
      </c>
      <c r="G2964" s="0" t="n">
        <v>17157</v>
      </c>
      <c r="H2964" s="6" t="s">
        <v>42</v>
      </c>
      <c r="I2964" s="6" t="n">
        <f aca="false">D2964*F2964</f>
        <v>6.72</v>
      </c>
      <c r="J2964" s="6" t="n">
        <f aca="false">HOUR(E2964)</f>
        <v>11</v>
      </c>
      <c r="K2964" s="6" t="n">
        <f aca="false">IF(COUNTIF($A$2:$A2964,A2964)=1,1,0)</f>
        <v>0</v>
      </c>
    </row>
    <row r="2965" customFormat="false" ht="15" hidden="false" customHeight="false" outlineLevel="0" collapsed="false">
      <c r="A2965" s="0" t="s">
        <v>661</v>
      </c>
      <c r="B2965" s="0" t="s">
        <v>43</v>
      </c>
      <c r="C2965" s="0" t="s">
        <v>44</v>
      </c>
      <c r="D2965" s="0" t="n">
        <v>13</v>
      </c>
      <c r="E2965" s="5" t="n">
        <v>45977.4890625</v>
      </c>
      <c r="F2965" s="0" t="n">
        <v>4.25</v>
      </c>
      <c r="G2965" s="0" t="n">
        <v>17157</v>
      </c>
      <c r="H2965" s="6" t="s">
        <v>42</v>
      </c>
      <c r="I2965" s="6" t="n">
        <f aca="false">D2965*F2965</f>
        <v>55.25</v>
      </c>
      <c r="J2965" s="6" t="n">
        <f aca="false">HOUR(E2965)</f>
        <v>11</v>
      </c>
      <c r="K2965" s="6" t="n">
        <f aca="false">IF(COUNTIF($A$2:$A2965,A2965)=1,1,0)</f>
        <v>0</v>
      </c>
    </row>
    <row r="2966" customFormat="false" ht="15" hidden="false" customHeight="false" outlineLevel="0" collapsed="false">
      <c r="A2966" s="0" t="s">
        <v>661</v>
      </c>
      <c r="B2966" s="0" t="s">
        <v>63</v>
      </c>
      <c r="C2966" s="0" t="s">
        <v>64</v>
      </c>
      <c r="D2966" s="0" t="n">
        <v>1</v>
      </c>
      <c r="E2966" s="5" t="n">
        <v>45977.4890625</v>
      </c>
      <c r="F2966" s="0" t="n">
        <v>1.85</v>
      </c>
      <c r="G2966" s="0" t="n">
        <v>17157</v>
      </c>
      <c r="H2966" s="6" t="s">
        <v>42</v>
      </c>
      <c r="I2966" s="6" t="n">
        <f aca="false">D2966*F2966</f>
        <v>1.85</v>
      </c>
      <c r="J2966" s="6" t="n">
        <f aca="false">HOUR(E2966)</f>
        <v>11</v>
      </c>
      <c r="K2966" s="6" t="n">
        <f aca="false">IF(COUNTIF($A$2:$A2966,A2966)=1,1,0)</f>
        <v>0</v>
      </c>
    </row>
    <row r="2967" customFormat="false" ht="15" hidden="false" customHeight="false" outlineLevel="0" collapsed="false">
      <c r="A2967" s="0" t="s">
        <v>661</v>
      </c>
      <c r="B2967" s="0" t="s">
        <v>109</v>
      </c>
      <c r="C2967" s="0" t="s">
        <v>110</v>
      </c>
      <c r="D2967" s="0" t="n">
        <v>9</v>
      </c>
      <c r="E2967" s="5" t="n">
        <v>45977.4890625</v>
      </c>
      <c r="F2967" s="0" t="n">
        <v>0.85</v>
      </c>
      <c r="G2967" s="0" t="n">
        <v>17157</v>
      </c>
      <c r="H2967" s="6" t="s">
        <v>42</v>
      </c>
      <c r="I2967" s="6" t="n">
        <f aca="false">D2967*F2967</f>
        <v>7.65</v>
      </c>
      <c r="J2967" s="6" t="n">
        <f aca="false">HOUR(E2967)</f>
        <v>11</v>
      </c>
      <c r="K2967" s="6" t="n">
        <f aca="false">IF(COUNTIF($A$2:$A2967,A2967)=1,1,0)</f>
        <v>0</v>
      </c>
    </row>
    <row r="2968" customFormat="false" ht="15" hidden="false" customHeight="false" outlineLevel="0" collapsed="false">
      <c r="A2968" s="0" t="s">
        <v>662</v>
      </c>
      <c r="B2968" s="0" t="s">
        <v>116</v>
      </c>
      <c r="C2968" s="0" t="s">
        <v>117</v>
      </c>
      <c r="D2968" s="0" t="n">
        <v>7</v>
      </c>
      <c r="E2968" s="5" t="n">
        <v>45977.5284375</v>
      </c>
      <c r="F2968" s="0" t="n">
        <v>1.95</v>
      </c>
      <c r="G2968" s="0" t="n">
        <v>17090</v>
      </c>
      <c r="H2968" s="6" t="s">
        <v>52</v>
      </c>
      <c r="I2968" s="6" t="n">
        <f aca="false">D2968*F2968</f>
        <v>13.65</v>
      </c>
      <c r="J2968" s="6" t="n">
        <f aca="false">HOUR(E2968)</f>
        <v>12</v>
      </c>
      <c r="K2968" s="6" t="n">
        <f aca="false">IF(COUNTIF($A$2:$A2968,A2968)=1,1,0)</f>
        <v>1</v>
      </c>
    </row>
    <row r="2969" customFormat="false" ht="15" hidden="false" customHeight="false" outlineLevel="0" collapsed="false">
      <c r="A2969" s="0" t="s">
        <v>662</v>
      </c>
      <c r="B2969" s="0" t="s">
        <v>127</v>
      </c>
      <c r="C2969" s="0" t="s">
        <v>128</v>
      </c>
      <c r="D2969" s="0" t="n">
        <v>11</v>
      </c>
      <c r="E2969" s="5" t="n">
        <v>45977.5284375</v>
      </c>
      <c r="F2969" s="0" t="n">
        <v>1.45</v>
      </c>
      <c r="G2969" s="0" t="n">
        <v>17090</v>
      </c>
      <c r="H2969" s="6" t="s">
        <v>52</v>
      </c>
      <c r="I2969" s="6" t="n">
        <f aca="false">D2969*F2969</f>
        <v>15.95</v>
      </c>
      <c r="J2969" s="6" t="n">
        <f aca="false">HOUR(E2969)</f>
        <v>12</v>
      </c>
      <c r="K2969" s="6" t="n">
        <f aca="false">IF(COUNTIF($A$2:$A2969,A2969)=1,1,0)</f>
        <v>0</v>
      </c>
    </row>
    <row r="2970" customFormat="false" ht="15" hidden="false" customHeight="false" outlineLevel="0" collapsed="false">
      <c r="A2970" s="0" t="s">
        <v>662</v>
      </c>
      <c r="B2970" s="0" t="s">
        <v>83</v>
      </c>
      <c r="C2970" s="0" t="s">
        <v>84</v>
      </c>
      <c r="D2970" s="0" t="n">
        <v>22</v>
      </c>
      <c r="E2970" s="5" t="n">
        <v>45977.5284375</v>
      </c>
      <c r="F2970" s="0" t="n">
        <v>2.95</v>
      </c>
      <c r="G2970" s="0" t="n">
        <v>17090</v>
      </c>
      <c r="H2970" s="6" t="s">
        <v>52</v>
      </c>
      <c r="I2970" s="6" t="n">
        <f aca="false">D2970*F2970</f>
        <v>64.9</v>
      </c>
      <c r="J2970" s="6" t="n">
        <f aca="false">HOUR(E2970)</f>
        <v>12</v>
      </c>
      <c r="K2970" s="6" t="n">
        <f aca="false">IF(COUNTIF($A$2:$A2970,A2970)=1,1,0)</f>
        <v>0</v>
      </c>
    </row>
    <row r="2971" customFormat="false" ht="15" hidden="false" customHeight="false" outlineLevel="0" collapsed="false">
      <c r="A2971" s="0" t="s">
        <v>662</v>
      </c>
      <c r="B2971" s="0" t="s">
        <v>77</v>
      </c>
      <c r="C2971" s="0" t="s">
        <v>78</v>
      </c>
      <c r="D2971" s="0" t="n">
        <v>15</v>
      </c>
      <c r="E2971" s="5" t="n">
        <v>45977.5284375</v>
      </c>
      <c r="F2971" s="0" t="n">
        <v>1.65</v>
      </c>
      <c r="G2971" s="0" t="n">
        <v>17090</v>
      </c>
      <c r="H2971" s="6" t="s">
        <v>52</v>
      </c>
      <c r="I2971" s="6" t="n">
        <f aca="false">D2971*F2971</f>
        <v>24.75</v>
      </c>
      <c r="J2971" s="6" t="n">
        <f aca="false">HOUR(E2971)</f>
        <v>12</v>
      </c>
      <c r="K2971" s="6" t="n">
        <f aca="false">IF(COUNTIF($A$2:$A2971,A2971)=1,1,0)</f>
        <v>0</v>
      </c>
    </row>
    <row r="2972" customFormat="false" ht="15" hidden="false" customHeight="false" outlineLevel="0" collapsed="false">
      <c r="A2972" s="0" t="s">
        <v>662</v>
      </c>
      <c r="B2972" s="0" t="s">
        <v>65</v>
      </c>
      <c r="C2972" s="0" t="s">
        <v>66</v>
      </c>
      <c r="D2972" s="0" t="n">
        <v>15</v>
      </c>
      <c r="E2972" s="5" t="n">
        <v>45977.5284375</v>
      </c>
      <c r="F2972" s="0" t="n">
        <v>1.65</v>
      </c>
      <c r="G2972" s="0" t="n">
        <v>17090</v>
      </c>
      <c r="H2972" s="6" t="s">
        <v>52</v>
      </c>
      <c r="I2972" s="6" t="n">
        <f aca="false">D2972*F2972</f>
        <v>24.75</v>
      </c>
      <c r="J2972" s="6" t="n">
        <f aca="false">HOUR(E2972)</f>
        <v>12</v>
      </c>
      <c r="K2972" s="6" t="n">
        <f aca="false">IF(COUNTIF($A$2:$A2972,A2972)=1,1,0)</f>
        <v>0</v>
      </c>
    </row>
    <row r="2973" customFormat="false" ht="15" hidden="false" customHeight="false" outlineLevel="0" collapsed="false">
      <c r="A2973" s="0" t="s">
        <v>662</v>
      </c>
      <c r="B2973" s="0" t="s">
        <v>140</v>
      </c>
      <c r="C2973" s="0" t="s">
        <v>141</v>
      </c>
      <c r="D2973" s="0" t="n">
        <v>9</v>
      </c>
      <c r="E2973" s="5" t="n">
        <v>45977.5284375</v>
      </c>
      <c r="F2973" s="0" t="n">
        <v>2.08</v>
      </c>
      <c r="G2973" s="0" t="n">
        <v>17090</v>
      </c>
      <c r="H2973" s="6" t="s">
        <v>52</v>
      </c>
      <c r="I2973" s="6" t="n">
        <f aca="false">D2973*F2973</f>
        <v>18.72</v>
      </c>
      <c r="J2973" s="6" t="n">
        <f aca="false">HOUR(E2973)</f>
        <v>12</v>
      </c>
      <c r="K2973" s="6" t="n">
        <f aca="false">IF(COUNTIF($A$2:$A2973,A2973)=1,1,0)</f>
        <v>0</v>
      </c>
    </row>
    <row r="2974" customFormat="false" ht="15" hidden="false" customHeight="false" outlineLevel="0" collapsed="false">
      <c r="A2974" s="0" t="s">
        <v>662</v>
      </c>
      <c r="B2974" s="0" t="s">
        <v>104</v>
      </c>
      <c r="C2974" s="0" t="s">
        <v>105</v>
      </c>
      <c r="D2974" s="0" t="n">
        <v>20</v>
      </c>
      <c r="E2974" s="5" t="n">
        <v>45977.5284375</v>
      </c>
      <c r="F2974" s="0" t="n">
        <v>1.65</v>
      </c>
      <c r="G2974" s="0" t="n">
        <v>17090</v>
      </c>
      <c r="H2974" s="6" t="s">
        <v>52</v>
      </c>
      <c r="I2974" s="6" t="n">
        <f aca="false">D2974*F2974</f>
        <v>33</v>
      </c>
      <c r="J2974" s="6" t="n">
        <f aca="false">HOUR(E2974)</f>
        <v>12</v>
      </c>
      <c r="K2974" s="6" t="n">
        <f aca="false">IF(COUNTIF($A$2:$A2974,A2974)=1,1,0)</f>
        <v>0</v>
      </c>
    </row>
    <row r="2975" customFormat="false" ht="15" hidden="false" customHeight="false" outlineLevel="0" collapsed="false">
      <c r="A2975" s="0" t="s">
        <v>662</v>
      </c>
      <c r="B2975" s="0" t="s">
        <v>91</v>
      </c>
      <c r="C2975" s="0" t="s">
        <v>92</v>
      </c>
      <c r="D2975" s="0" t="n">
        <v>9</v>
      </c>
      <c r="E2975" s="5" t="n">
        <v>45977.5284375</v>
      </c>
      <c r="F2975" s="0" t="n">
        <v>7.65</v>
      </c>
      <c r="G2975" s="0" t="n">
        <v>17090</v>
      </c>
      <c r="H2975" s="6" t="s">
        <v>52</v>
      </c>
      <c r="I2975" s="6" t="n">
        <f aca="false">D2975*F2975</f>
        <v>68.85</v>
      </c>
      <c r="J2975" s="6" t="n">
        <f aca="false">HOUR(E2975)</f>
        <v>12</v>
      </c>
      <c r="K2975" s="6" t="n">
        <f aca="false">IF(COUNTIF($A$2:$A2975,A2975)=1,1,0)</f>
        <v>0</v>
      </c>
    </row>
    <row r="2976" customFormat="false" ht="15" hidden="false" customHeight="false" outlineLevel="0" collapsed="false">
      <c r="A2976" s="0" t="s">
        <v>662</v>
      </c>
      <c r="B2976" s="0" t="s">
        <v>50</v>
      </c>
      <c r="C2976" s="0" t="s">
        <v>51</v>
      </c>
      <c r="D2976" s="0" t="n">
        <v>1</v>
      </c>
      <c r="E2976" s="5" t="n">
        <v>45977.5284375</v>
      </c>
      <c r="F2976" s="0" t="n">
        <v>5.95</v>
      </c>
      <c r="G2976" s="0" t="n">
        <v>17090</v>
      </c>
      <c r="H2976" s="6" t="s">
        <v>52</v>
      </c>
      <c r="I2976" s="6" t="n">
        <f aca="false">D2976*F2976</f>
        <v>5.95</v>
      </c>
      <c r="J2976" s="6" t="n">
        <f aca="false">HOUR(E2976)</f>
        <v>12</v>
      </c>
      <c r="K2976" s="6" t="n">
        <f aca="false">IF(COUNTIF($A$2:$A2976,A2976)=1,1,0)</f>
        <v>0</v>
      </c>
    </row>
    <row r="2977" customFormat="false" ht="15" hidden="false" customHeight="false" outlineLevel="0" collapsed="false">
      <c r="A2977" s="0" t="s">
        <v>663</v>
      </c>
      <c r="B2977" s="0" t="s">
        <v>107</v>
      </c>
      <c r="C2977" s="0" t="s">
        <v>108</v>
      </c>
      <c r="D2977" s="0" t="n">
        <v>1</v>
      </c>
      <c r="E2977" s="5" t="n">
        <v>45977.6143865741</v>
      </c>
      <c r="F2977" s="0" t="n">
        <v>3.75</v>
      </c>
      <c r="G2977" s="0" t="n">
        <v>17163</v>
      </c>
      <c r="H2977" s="6" t="s">
        <v>74</v>
      </c>
      <c r="I2977" s="6" t="n">
        <f aca="false">D2977*F2977</f>
        <v>3.75</v>
      </c>
      <c r="J2977" s="6" t="n">
        <f aca="false">HOUR(E2977)</f>
        <v>14</v>
      </c>
      <c r="K2977" s="6" t="n">
        <f aca="false">IF(COUNTIF($A$2:$A2977,A2977)=1,1,0)</f>
        <v>1</v>
      </c>
    </row>
    <row r="2978" customFormat="false" ht="15" hidden="false" customHeight="false" outlineLevel="0" collapsed="false">
      <c r="A2978" s="0" t="s">
        <v>663</v>
      </c>
      <c r="B2978" s="0" t="s">
        <v>125</v>
      </c>
      <c r="C2978" s="0" t="s">
        <v>126</v>
      </c>
      <c r="D2978" s="0" t="n">
        <v>5</v>
      </c>
      <c r="E2978" s="5" t="n">
        <v>45977.6143865741</v>
      </c>
      <c r="F2978" s="0" t="n">
        <v>1.25</v>
      </c>
      <c r="G2978" s="0" t="n">
        <v>17163</v>
      </c>
      <c r="H2978" s="6" t="s">
        <v>74</v>
      </c>
      <c r="I2978" s="6" t="n">
        <f aca="false">D2978*F2978</f>
        <v>6.25</v>
      </c>
      <c r="J2978" s="6" t="n">
        <f aca="false">HOUR(E2978)</f>
        <v>14</v>
      </c>
      <c r="K2978" s="6" t="n">
        <f aca="false">IF(COUNTIF($A$2:$A2978,A2978)=1,1,0)</f>
        <v>0</v>
      </c>
    </row>
    <row r="2979" customFormat="false" ht="15" hidden="false" customHeight="false" outlineLevel="0" collapsed="false">
      <c r="A2979" s="0" t="s">
        <v>663</v>
      </c>
      <c r="B2979" s="0" t="s">
        <v>57</v>
      </c>
      <c r="C2979" s="0" t="s">
        <v>58</v>
      </c>
      <c r="D2979" s="0" t="n">
        <v>15</v>
      </c>
      <c r="E2979" s="5" t="n">
        <v>45977.6143865741</v>
      </c>
      <c r="F2979" s="0" t="n">
        <v>2.08</v>
      </c>
      <c r="G2979" s="0" t="n">
        <v>17163</v>
      </c>
      <c r="H2979" s="6" t="s">
        <v>74</v>
      </c>
      <c r="I2979" s="6" t="n">
        <f aca="false">D2979*F2979</f>
        <v>31.2</v>
      </c>
      <c r="J2979" s="6" t="n">
        <f aca="false">HOUR(E2979)</f>
        <v>14</v>
      </c>
      <c r="K2979" s="6" t="n">
        <f aca="false">IF(COUNTIF($A$2:$A2979,A2979)=1,1,0)</f>
        <v>0</v>
      </c>
    </row>
    <row r="2980" customFormat="false" ht="15" hidden="false" customHeight="false" outlineLevel="0" collapsed="false">
      <c r="A2980" s="0" t="s">
        <v>663</v>
      </c>
      <c r="B2980" s="0" t="s">
        <v>109</v>
      </c>
      <c r="C2980" s="0" t="s">
        <v>110</v>
      </c>
      <c r="D2980" s="0" t="n">
        <v>13</v>
      </c>
      <c r="E2980" s="5" t="n">
        <v>45977.6143865741</v>
      </c>
      <c r="F2980" s="0" t="n">
        <v>0.85</v>
      </c>
      <c r="G2980" s="0" t="n">
        <v>17163</v>
      </c>
      <c r="H2980" s="6" t="s">
        <v>74</v>
      </c>
      <c r="I2980" s="6" t="n">
        <f aca="false">D2980*F2980</f>
        <v>11.05</v>
      </c>
      <c r="J2980" s="6" t="n">
        <f aca="false">HOUR(E2980)</f>
        <v>14</v>
      </c>
      <c r="K2980" s="6" t="n">
        <f aca="false">IF(COUNTIF($A$2:$A2980,A2980)=1,1,0)</f>
        <v>0</v>
      </c>
    </row>
    <row r="2981" customFormat="false" ht="15" hidden="false" customHeight="false" outlineLevel="0" collapsed="false">
      <c r="A2981" s="0" t="s">
        <v>663</v>
      </c>
      <c r="B2981" s="0" t="s">
        <v>72</v>
      </c>
      <c r="C2981" s="0" t="s">
        <v>73</v>
      </c>
      <c r="D2981" s="0" t="n">
        <v>26</v>
      </c>
      <c r="E2981" s="5" t="n">
        <v>45977.6143865741</v>
      </c>
      <c r="F2981" s="0" t="n">
        <v>4.95</v>
      </c>
      <c r="G2981" s="0" t="n">
        <v>17163</v>
      </c>
      <c r="H2981" s="6" t="s">
        <v>74</v>
      </c>
      <c r="I2981" s="6" t="n">
        <f aca="false">D2981*F2981</f>
        <v>128.7</v>
      </c>
      <c r="J2981" s="6" t="n">
        <f aca="false">HOUR(E2981)</f>
        <v>14</v>
      </c>
      <c r="K2981" s="6" t="n">
        <f aca="false">IF(COUNTIF($A$2:$A2981,A2981)=1,1,0)</f>
        <v>0</v>
      </c>
    </row>
    <row r="2982" customFormat="false" ht="15" hidden="false" customHeight="false" outlineLevel="0" collapsed="false">
      <c r="A2982" s="0" t="s">
        <v>663</v>
      </c>
      <c r="B2982" s="0" t="s">
        <v>83</v>
      </c>
      <c r="C2982" s="0" t="s">
        <v>84</v>
      </c>
      <c r="D2982" s="0" t="n">
        <v>14</v>
      </c>
      <c r="E2982" s="5" t="n">
        <v>45977.6143865741</v>
      </c>
      <c r="F2982" s="0" t="n">
        <v>2.95</v>
      </c>
      <c r="G2982" s="0" t="n">
        <v>17163</v>
      </c>
      <c r="H2982" s="6" t="s">
        <v>74</v>
      </c>
      <c r="I2982" s="6" t="n">
        <f aca="false">D2982*F2982</f>
        <v>41.3</v>
      </c>
      <c r="J2982" s="6" t="n">
        <f aca="false">HOUR(E2982)</f>
        <v>14</v>
      </c>
      <c r="K2982" s="6" t="n">
        <f aca="false">IF(COUNTIF($A$2:$A2982,A2982)=1,1,0)</f>
        <v>0</v>
      </c>
    </row>
    <row r="2983" customFormat="false" ht="15" hidden="false" customHeight="false" outlineLevel="0" collapsed="false">
      <c r="A2983" s="0" t="s">
        <v>663</v>
      </c>
      <c r="B2983" s="0" t="s">
        <v>47</v>
      </c>
      <c r="C2983" s="0" t="s">
        <v>48</v>
      </c>
      <c r="D2983" s="0" t="n">
        <v>8</v>
      </c>
      <c r="E2983" s="5" t="n">
        <v>45977.6143865741</v>
      </c>
      <c r="F2983" s="0" t="n">
        <v>12.75</v>
      </c>
      <c r="G2983" s="0" t="n">
        <v>17163</v>
      </c>
      <c r="H2983" s="6" t="s">
        <v>74</v>
      </c>
      <c r="I2983" s="6" t="n">
        <f aca="false">D2983*F2983</f>
        <v>102</v>
      </c>
      <c r="J2983" s="6" t="n">
        <f aca="false">HOUR(E2983)</f>
        <v>14</v>
      </c>
      <c r="K2983" s="6" t="n">
        <f aca="false">IF(COUNTIF($A$2:$A2983,A2983)=1,1,0)</f>
        <v>0</v>
      </c>
    </row>
    <row r="2984" customFormat="false" ht="15" hidden="false" customHeight="false" outlineLevel="0" collapsed="false">
      <c r="A2984" s="0" t="s">
        <v>663</v>
      </c>
      <c r="B2984" s="0" t="s">
        <v>140</v>
      </c>
      <c r="C2984" s="0" t="s">
        <v>141</v>
      </c>
      <c r="D2984" s="0" t="n">
        <v>13</v>
      </c>
      <c r="E2984" s="5" t="n">
        <v>45977.6143865741</v>
      </c>
      <c r="F2984" s="0" t="n">
        <v>2.08</v>
      </c>
      <c r="G2984" s="0" t="n">
        <v>17163</v>
      </c>
      <c r="H2984" s="6" t="s">
        <v>74</v>
      </c>
      <c r="I2984" s="6" t="n">
        <f aca="false">D2984*F2984</f>
        <v>27.04</v>
      </c>
      <c r="J2984" s="6" t="n">
        <f aca="false">HOUR(E2984)</f>
        <v>14</v>
      </c>
      <c r="K2984" s="6" t="n">
        <f aca="false">IF(COUNTIF($A$2:$A2984,A2984)=1,1,0)</f>
        <v>0</v>
      </c>
    </row>
    <row r="2985" customFormat="false" ht="15" hidden="false" customHeight="false" outlineLevel="0" collapsed="false">
      <c r="A2985" s="0" t="s">
        <v>664</v>
      </c>
      <c r="B2985" s="0" t="s">
        <v>86</v>
      </c>
      <c r="C2985" s="0" t="s">
        <v>87</v>
      </c>
      <c r="D2985" s="0" t="n">
        <v>20</v>
      </c>
      <c r="E2985" s="5" t="n">
        <v>45977.7777546296</v>
      </c>
      <c r="F2985" s="0" t="n">
        <v>4.25</v>
      </c>
      <c r="G2985" s="0" t="n">
        <v>17089</v>
      </c>
      <c r="H2985" s="6" t="s">
        <v>113</v>
      </c>
      <c r="I2985" s="6" t="n">
        <f aca="false">D2985*F2985</f>
        <v>85</v>
      </c>
      <c r="J2985" s="6" t="n">
        <f aca="false">HOUR(E2985)</f>
        <v>18</v>
      </c>
      <c r="K2985" s="6" t="n">
        <f aca="false">IF(COUNTIF($A$2:$A2985,A2985)=1,1,0)</f>
        <v>1</v>
      </c>
    </row>
    <row r="2986" customFormat="false" ht="15" hidden="false" customHeight="false" outlineLevel="0" collapsed="false">
      <c r="A2986" s="0" t="s">
        <v>664</v>
      </c>
      <c r="B2986" s="0" t="s">
        <v>57</v>
      </c>
      <c r="C2986" s="0" t="s">
        <v>58</v>
      </c>
      <c r="D2986" s="0" t="n">
        <v>4</v>
      </c>
      <c r="E2986" s="5" t="n">
        <v>45977.7777546296</v>
      </c>
      <c r="F2986" s="0" t="n">
        <v>2.08</v>
      </c>
      <c r="G2986" s="0" t="n">
        <v>17089</v>
      </c>
      <c r="H2986" s="6" t="s">
        <v>113</v>
      </c>
      <c r="I2986" s="6" t="n">
        <f aca="false">D2986*F2986</f>
        <v>8.32</v>
      </c>
      <c r="J2986" s="6" t="n">
        <f aca="false">HOUR(E2986)</f>
        <v>18</v>
      </c>
      <c r="K2986" s="6" t="n">
        <f aca="false">IF(COUNTIF($A$2:$A2986,A2986)=1,1,0)</f>
        <v>0</v>
      </c>
    </row>
    <row r="2987" customFormat="false" ht="15" hidden="false" customHeight="false" outlineLevel="0" collapsed="false">
      <c r="A2987" s="0" t="s">
        <v>664</v>
      </c>
      <c r="B2987" s="0" t="s">
        <v>93</v>
      </c>
      <c r="C2987" s="0" t="s">
        <v>94</v>
      </c>
      <c r="D2987" s="0" t="n">
        <v>9</v>
      </c>
      <c r="E2987" s="5" t="n">
        <v>45977.7777546296</v>
      </c>
      <c r="F2987" s="0" t="n">
        <v>1.69</v>
      </c>
      <c r="G2987" s="0" t="n">
        <v>17089</v>
      </c>
      <c r="H2987" s="6" t="s">
        <v>113</v>
      </c>
      <c r="I2987" s="6" t="n">
        <f aca="false">D2987*F2987</f>
        <v>15.21</v>
      </c>
      <c r="J2987" s="6" t="n">
        <f aca="false">HOUR(E2987)</f>
        <v>18</v>
      </c>
      <c r="K2987" s="6" t="n">
        <f aca="false">IF(COUNTIF($A$2:$A2987,A2987)=1,1,0)</f>
        <v>0</v>
      </c>
    </row>
    <row r="2988" customFormat="false" ht="15" hidden="false" customHeight="false" outlineLevel="0" collapsed="false">
      <c r="A2988" s="0" t="s">
        <v>664</v>
      </c>
      <c r="B2988" s="0" t="s">
        <v>121</v>
      </c>
      <c r="C2988" s="0" t="s">
        <v>122</v>
      </c>
      <c r="D2988" s="0" t="n">
        <v>16</v>
      </c>
      <c r="E2988" s="5" t="n">
        <v>45977.7777546296</v>
      </c>
      <c r="F2988" s="0" t="n">
        <v>2.1</v>
      </c>
      <c r="G2988" s="0" t="n">
        <v>17089</v>
      </c>
      <c r="H2988" s="6" t="s">
        <v>113</v>
      </c>
      <c r="I2988" s="6" t="n">
        <f aca="false">D2988*F2988</f>
        <v>33.6</v>
      </c>
      <c r="J2988" s="6" t="n">
        <f aca="false">HOUR(E2988)</f>
        <v>18</v>
      </c>
      <c r="K2988" s="6" t="n">
        <f aca="false">IF(COUNTIF($A$2:$A2988,A2988)=1,1,0)</f>
        <v>0</v>
      </c>
    </row>
    <row r="2989" customFormat="false" ht="15" hidden="false" customHeight="false" outlineLevel="0" collapsed="false">
      <c r="A2989" s="0" t="s">
        <v>664</v>
      </c>
      <c r="B2989" s="0" t="s">
        <v>81</v>
      </c>
      <c r="C2989" s="0" t="s">
        <v>82</v>
      </c>
      <c r="D2989" s="0" t="n">
        <v>18</v>
      </c>
      <c r="E2989" s="5" t="n">
        <v>45977.7777546296</v>
      </c>
      <c r="F2989" s="0" t="n">
        <v>1.65</v>
      </c>
      <c r="G2989" s="0" t="n">
        <v>17089</v>
      </c>
      <c r="H2989" s="6" t="s">
        <v>113</v>
      </c>
      <c r="I2989" s="6" t="n">
        <f aca="false">D2989*F2989</f>
        <v>29.7</v>
      </c>
      <c r="J2989" s="6" t="n">
        <f aca="false">HOUR(E2989)</f>
        <v>18</v>
      </c>
      <c r="K2989" s="6" t="n">
        <f aca="false">IF(COUNTIF($A$2:$A2989,A2989)=1,1,0)</f>
        <v>0</v>
      </c>
    </row>
    <row r="2990" customFormat="false" ht="15" hidden="false" customHeight="false" outlineLevel="0" collapsed="false">
      <c r="A2990" s="0" t="s">
        <v>665</v>
      </c>
      <c r="B2990" s="0" t="s">
        <v>61</v>
      </c>
      <c r="C2990" s="0" t="s">
        <v>62</v>
      </c>
      <c r="D2990" s="0" t="n">
        <v>10</v>
      </c>
      <c r="E2990" s="5" t="n">
        <v>45977.8507986111</v>
      </c>
      <c r="F2990" s="0" t="n">
        <v>1.65</v>
      </c>
      <c r="G2990" s="0" t="n">
        <v>17190</v>
      </c>
      <c r="H2990" s="6" t="s">
        <v>74</v>
      </c>
      <c r="I2990" s="6" t="n">
        <f aca="false">D2990*F2990</f>
        <v>16.5</v>
      </c>
      <c r="J2990" s="6" t="n">
        <f aca="false">HOUR(E2990)</f>
        <v>20</v>
      </c>
      <c r="K2990" s="6" t="n">
        <f aca="false">IF(COUNTIF($A$2:$A2990,A2990)=1,1,0)</f>
        <v>1</v>
      </c>
    </row>
    <row r="2991" customFormat="false" ht="15" hidden="false" customHeight="false" outlineLevel="0" collapsed="false">
      <c r="A2991" s="0" t="s">
        <v>666</v>
      </c>
      <c r="B2991" s="0" t="s">
        <v>131</v>
      </c>
      <c r="C2991" s="0" t="s">
        <v>132</v>
      </c>
      <c r="D2991" s="0" t="n">
        <v>3</v>
      </c>
      <c r="E2991" s="5" t="n">
        <v>45977.9960185185</v>
      </c>
      <c r="F2991" s="0" t="n">
        <v>3.39</v>
      </c>
      <c r="G2991" s="0" t="n">
        <v>17012</v>
      </c>
      <c r="H2991" s="6" t="s">
        <v>74</v>
      </c>
      <c r="I2991" s="6" t="n">
        <f aca="false">D2991*F2991</f>
        <v>10.17</v>
      </c>
      <c r="J2991" s="6" t="n">
        <f aca="false">HOUR(E2991)</f>
        <v>23</v>
      </c>
      <c r="K2991" s="6" t="n">
        <f aca="false">IF(COUNTIF($A$2:$A2991,A2991)=1,1,0)</f>
        <v>1</v>
      </c>
    </row>
    <row r="2992" customFormat="false" ht="15" hidden="false" customHeight="false" outlineLevel="0" collapsed="false">
      <c r="A2992" s="0" t="s">
        <v>666</v>
      </c>
      <c r="B2992" s="0" t="s">
        <v>104</v>
      </c>
      <c r="C2992" s="0" t="s">
        <v>105</v>
      </c>
      <c r="D2992" s="0" t="n">
        <v>2</v>
      </c>
      <c r="E2992" s="5" t="n">
        <v>45977.9960185185</v>
      </c>
      <c r="F2992" s="0" t="n">
        <v>1.65</v>
      </c>
      <c r="G2992" s="0" t="n">
        <v>17012</v>
      </c>
      <c r="H2992" s="6" t="s">
        <v>74</v>
      </c>
      <c r="I2992" s="6" t="n">
        <f aca="false">D2992*F2992</f>
        <v>3.3</v>
      </c>
      <c r="J2992" s="6" t="n">
        <f aca="false">HOUR(E2992)</f>
        <v>23</v>
      </c>
      <c r="K2992" s="6" t="n">
        <f aca="false">IF(COUNTIF($A$2:$A2992,A2992)=1,1,0)</f>
        <v>0</v>
      </c>
    </row>
    <row r="2993" customFormat="false" ht="15" hidden="false" customHeight="false" outlineLevel="0" collapsed="false">
      <c r="A2993" s="0" t="s">
        <v>666</v>
      </c>
      <c r="B2993" s="0" t="s">
        <v>57</v>
      </c>
      <c r="C2993" s="0" t="s">
        <v>58</v>
      </c>
      <c r="D2993" s="0" t="n">
        <v>20</v>
      </c>
      <c r="E2993" s="5" t="n">
        <v>45977.9960185185</v>
      </c>
      <c r="F2993" s="0" t="n">
        <v>2.08</v>
      </c>
      <c r="G2993" s="0" t="n">
        <v>17012</v>
      </c>
      <c r="H2993" s="6" t="s">
        <v>74</v>
      </c>
      <c r="I2993" s="6" t="n">
        <f aca="false">D2993*F2993</f>
        <v>41.6</v>
      </c>
      <c r="J2993" s="6" t="n">
        <f aca="false">HOUR(E2993)</f>
        <v>23</v>
      </c>
      <c r="K2993" s="6" t="n">
        <f aca="false">IF(COUNTIF($A$2:$A2993,A2993)=1,1,0)</f>
        <v>0</v>
      </c>
    </row>
    <row r="2994" customFormat="false" ht="15" hidden="false" customHeight="false" outlineLevel="0" collapsed="false">
      <c r="A2994" s="0" t="s">
        <v>666</v>
      </c>
      <c r="B2994" s="0" t="s">
        <v>55</v>
      </c>
      <c r="D2994" s="0" t="n">
        <v>19</v>
      </c>
      <c r="E2994" s="5" t="n">
        <v>45977.9960185185</v>
      </c>
      <c r="F2994" s="0" t="n">
        <v>1.65</v>
      </c>
      <c r="G2994" s="0" t="n">
        <v>17012</v>
      </c>
      <c r="H2994" s="6" t="s">
        <v>74</v>
      </c>
      <c r="I2994" s="6" t="n">
        <f aca="false">D2994*F2994</f>
        <v>31.35</v>
      </c>
      <c r="J2994" s="6" t="n">
        <f aca="false">HOUR(E2994)</f>
        <v>23</v>
      </c>
      <c r="K2994" s="6" t="n">
        <f aca="false">IF(COUNTIF($A$2:$A2994,A2994)=1,1,0)</f>
        <v>0</v>
      </c>
    </row>
    <row r="2995" customFormat="false" ht="15" hidden="false" customHeight="false" outlineLevel="0" collapsed="false">
      <c r="A2995" s="0" t="s">
        <v>666</v>
      </c>
      <c r="B2995" s="0" t="s">
        <v>140</v>
      </c>
      <c r="C2995" s="0" t="s">
        <v>141</v>
      </c>
      <c r="D2995" s="0" t="n">
        <v>9</v>
      </c>
      <c r="E2995" s="5" t="n">
        <v>45977.9960185185</v>
      </c>
      <c r="F2995" s="0" t="n">
        <v>2.08</v>
      </c>
      <c r="G2995" s="0" t="n">
        <v>17012</v>
      </c>
      <c r="H2995" s="6" t="s">
        <v>74</v>
      </c>
      <c r="I2995" s="6" t="n">
        <f aca="false">D2995*F2995</f>
        <v>18.72</v>
      </c>
      <c r="J2995" s="6" t="n">
        <f aca="false">HOUR(E2995)</f>
        <v>23</v>
      </c>
      <c r="K2995" s="6" t="n">
        <f aca="false">IF(COUNTIF($A$2:$A2995,A2995)=1,1,0)</f>
        <v>0</v>
      </c>
    </row>
    <row r="2996" customFormat="false" ht="15" hidden="false" customHeight="false" outlineLevel="0" collapsed="false">
      <c r="A2996" s="0" t="s">
        <v>666</v>
      </c>
      <c r="B2996" s="0" t="s">
        <v>134</v>
      </c>
      <c r="D2996" s="0" t="n">
        <v>13</v>
      </c>
      <c r="E2996" s="5" t="n">
        <v>45977.9960185185</v>
      </c>
      <c r="F2996" s="0" t="n">
        <v>5.95</v>
      </c>
      <c r="G2996" s="0" t="n">
        <v>17012</v>
      </c>
      <c r="H2996" s="6" t="s">
        <v>74</v>
      </c>
      <c r="I2996" s="6" t="n">
        <f aca="false">D2996*F2996</f>
        <v>77.35</v>
      </c>
      <c r="J2996" s="6" t="n">
        <f aca="false">HOUR(E2996)</f>
        <v>23</v>
      </c>
      <c r="K2996" s="6" t="n">
        <f aca="false">IF(COUNTIF($A$2:$A2996,A2996)=1,1,0)</f>
        <v>0</v>
      </c>
    </row>
    <row r="2997" customFormat="false" ht="15" hidden="false" customHeight="false" outlineLevel="0" collapsed="false">
      <c r="A2997" s="0" t="s">
        <v>666</v>
      </c>
      <c r="B2997" s="0" t="s">
        <v>127</v>
      </c>
      <c r="C2997" s="0" t="s">
        <v>128</v>
      </c>
      <c r="D2997" s="0" t="n">
        <v>16</v>
      </c>
      <c r="E2997" s="5" t="n">
        <v>45977.9960185185</v>
      </c>
      <c r="F2997" s="0" t="n">
        <v>1.45</v>
      </c>
      <c r="G2997" s="0" t="n">
        <v>17012</v>
      </c>
      <c r="H2997" s="6" t="s">
        <v>74</v>
      </c>
      <c r="I2997" s="6" t="n">
        <f aca="false">D2997*F2997</f>
        <v>23.2</v>
      </c>
      <c r="J2997" s="6" t="n">
        <f aca="false">HOUR(E2997)</f>
        <v>23</v>
      </c>
      <c r="K2997" s="6" t="n">
        <f aca="false">IF(COUNTIF($A$2:$A2997,A2997)=1,1,0)</f>
        <v>0</v>
      </c>
    </row>
    <row r="2998" customFormat="false" ht="15" hidden="false" customHeight="false" outlineLevel="0" collapsed="false">
      <c r="A2998" s="0" t="s">
        <v>666</v>
      </c>
      <c r="B2998" s="0" t="s">
        <v>121</v>
      </c>
      <c r="C2998" s="0" t="s">
        <v>122</v>
      </c>
      <c r="D2998" s="0" t="n">
        <v>22</v>
      </c>
      <c r="E2998" s="5" t="n">
        <v>45977.9960185185</v>
      </c>
      <c r="F2998" s="0" t="n">
        <v>2.1</v>
      </c>
      <c r="G2998" s="0" t="n">
        <v>17012</v>
      </c>
      <c r="H2998" s="6" t="s">
        <v>74</v>
      </c>
      <c r="I2998" s="6" t="n">
        <f aca="false">D2998*F2998</f>
        <v>46.2</v>
      </c>
      <c r="J2998" s="6" t="n">
        <f aca="false">HOUR(E2998)</f>
        <v>23</v>
      </c>
      <c r="K2998" s="6" t="n">
        <f aca="false">IF(COUNTIF($A$2:$A2998,A2998)=1,1,0)</f>
        <v>0</v>
      </c>
    </row>
    <row r="2999" customFormat="false" ht="15" hidden="false" customHeight="false" outlineLevel="0" collapsed="false">
      <c r="A2999" s="0" t="s">
        <v>667</v>
      </c>
      <c r="B2999" s="0" t="s">
        <v>121</v>
      </c>
      <c r="C2999" s="0" t="s">
        <v>122</v>
      </c>
      <c r="D2999" s="0" t="n">
        <v>8</v>
      </c>
      <c r="E2999" s="5" t="n">
        <v>45978.2343634259</v>
      </c>
      <c r="F2999" s="0" t="n">
        <v>2.1</v>
      </c>
      <c r="G2999" s="0" t="n">
        <v>17056</v>
      </c>
      <c r="H2999" s="6" t="s">
        <v>74</v>
      </c>
      <c r="I2999" s="6" t="n">
        <f aca="false">D2999*F2999</f>
        <v>16.8</v>
      </c>
      <c r="J2999" s="6" t="n">
        <f aca="false">HOUR(E2999)</f>
        <v>5</v>
      </c>
      <c r="K2999" s="6" t="n">
        <f aca="false">IF(COUNTIF($A$2:$A2999,A2999)=1,1,0)</f>
        <v>1</v>
      </c>
    </row>
    <row r="3000" customFormat="false" ht="15" hidden="false" customHeight="false" outlineLevel="0" collapsed="false">
      <c r="A3000" s="0" t="s">
        <v>667</v>
      </c>
      <c r="B3000" s="0" t="s">
        <v>53</v>
      </c>
      <c r="C3000" s="0" t="s">
        <v>54</v>
      </c>
      <c r="D3000" s="0" t="n">
        <v>7</v>
      </c>
      <c r="E3000" s="5" t="n">
        <v>45978.2343634259</v>
      </c>
      <c r="F3000" s="0" t="n">
        <v>2.95</v>
      </c>
      <c r="G3000" s="0" t="n">
        <v>17056</v>
      </c>
      <c r="H3000" s="6" t="s">
        <v>74</v>
      </c>
      <c r="I3000" s="6" t="n">
        <f aca="false">D3000*F3000</f>
        <v>20.65</v>
      </c>
      <c r="J3000" s="6" t="n">
        <f aca="false">HOUR(E3000)</f>
        <v>5</v>
      </c>
      <c r="K3000" s="6" t="n">
        <f aca="false">IF(COUNTIF($A$2:$A3000,A3000)=1,1,0)</f>
        <v>0</v>
      </c>
    </row>
    <row r="3001" customFormat="false" ht="15" hidden="false" customHeight="false" outlineLevel="0" collapsed="false">
      <c r="A3001" s="0" t="s">
        <v>667</v>
      </c>
      <c r="B3001" s="0" t="s">
        <v>50</v>
      </c>
      <c r="C3001" s="0" t="s">
        <v>51</v>
      </c>
      <c r="D3001" s="0" t="n">
        <v>11</v>
      </c>
      <c r="E3001" s="5" t="n">
        <v>45978.2343634259</v>
      </c>
      <c r="F3001" s="0" t="n">
        <v>5.95</v>
      </c>
      <c r="G3001" s="0" t="n">
        <v>17056</v>
      </c>
      <c r="H3001" s="6" t="s">
        <v>74</v>
      </c>
      <c r="I3001" s="6" t="n">
        <f aca="false">D3001*F3001</f>
        <v>65.45</v>
      </c>
      <c r="J3001" s="6" t="n">
        <f aca="false">HOUR(E3001)</f>
        <v>5</v>
      </c>
      <c r="K3001" s="6" t="n">
        <f aca="false">IF(COUNTIF($A$2:$A3001,A3001)=1,1,0)</f>
        <v>0</v>
      </c>
    </row>
    <row r="3002" customFormat="false" ht="15" hidden="false" customHeight="false" outlineLevel="0" collapsed="false">
      <c r="A3002" s="0" t="s">
        <v>668</v>
      </c>
      <c r="B3002" s="0" t="s">
        <v>107</v>
      </c>
      <c r="C3002" s="0" t="s">
        <v>108</v>
      </c>
      <c r="D3002" s="0" t="n">
        <v>1</v>
      </c>
      <c r="E3002" s="5" t="n">
        <v>45978.366875</v>
      </c>
      <c r="F3002" s="0" t="n">
        <v>3.75</v>
      </c>
      <c r="G3002" s="0" t="n">
        <v>17117</v>
      </c>
      <c r="H3002" s="6" t="s">
        <v>74</v>
      </c>
      <c r="I3002" s="6" t="n">
        <f aca="false">D3002*F3002</f>
        <v>3.75</v>
      </c>
      <c r="J3002" s="6" t="n">
        <f aca="false">HOUR(E3002)</f>
        <v>8</v>
      </c>
      <c r="K3002" s="6" t="n">
        <f aca="false">IF(COUNTIF($A$2:$A3002,A3002)=1,1,0)</f>
        <v>1</v>
      </c>
    </row>
    <row r="3003" customFormat="false" ht="15" hidden="false" customHeight="false" outlineLevel="0" collapsed="false">
      <c r="A3003" s="0" t="s">
        <v>668</v>
      </c>
      <c r="B3003" s="0" t="s">
        <v>137</v>
      </c>
      <c r="C3003" s="0" t="s">
        <v>138</v>
      </c>
      <c r="D3003" s="0" t="n">
        <v>10</v>
      </c>
      <c r="E3003" s="5" t="n">
        <v>45978.366875</v>
      </c>
      <c r="F3003" s="0" t="n">
        <v>2.1</v>
      </c>
      <c r="G3003" s="0" t="n">
        <v>17117</v>
      </c>
      <c r="H3003" s="6" t="s">
        <v>74</v>
      </c>
      <c r="I3003" s="6" t="n">
        <f aca="false">D3003*F3003</f>
        <v>21</v>
      </c>
      <c r="J3003" s="6" t="n">
        <f aca="false">HOUR(E3003)</f>
        <v>8</v>
      </c>
      <c r="K3003" s="6" t="n">
        <f aca="false">IF(COUNTIF($A$2:$A3003,A3003)=1,1,0)</f>
        <v>0</v>
      </c>
    </row>
    <row r="3004" customFormat="false" ht="15" hidden="false" customHeight="false" outlineLevel="0" collapsed="false">
      <c r="A3004" s="0" t="s">
        <v>668</v>
      </c>
      <c r="B3004" s="0" t="s">
        <v>79</v>
      </c>
      <c r="C3004" s="0" t="s">
        <v>80</v>
      </c>
      <c r="D3004" s="0" t="n">
        <v>24</v>
      </c>
      <c r="E3004" s="5" t="n">
        <v>45978.366875</v>
      </c>
      <c r="F3004" s="0" t="n">
        <v>3.39</v>
      </c>
      <c r="G3004" s="0" t="n">
        <v>17117</v>
      </c>
      <c r="H3004" s="6" t="s">
        <v>74</v>
      </c>
      <c r="I3004" s="6" t="n">
        <f aca="false">D3004*F3004</f>
        <v>81.36</v>
      </c>
      <c r="J3004" s="6" t="n">
        <f aca="false">HOUR(E3004)</f>
        <v>8</v>
      </c>
      <c r="K3004" s="6" t="n">
        <f aca="false">IF(COUNTIF($A$2:$A3004,A3004)=1,1,0)</f>
        <v>0</v>
      </c>
    </row>
    <row r="3005" customFormat="false" ht="15" hidden="false" customHeight="false" outlineLevel="0" collapsed="false">
      <c r="A3005" s="0" t="s">
        <v>668</v>
      </c>
      <c r="B3005" s="0" t="s">
        <v>61</v>
      </c>
      <c r="C3005" s="0" t="s">
        <v>62</v>
      </c>
      <c r="D3005" s="0" t="n">
        <v>17</v>
      </c>
      <c r="E3005" s="5" t="n">
        <v>45978.366875</v>
      </c>
      <c r="F3005" s="0" t="n">
        <v>1.65</v>
      </c>
      <c r="G3005" s="0" t="n">
        <v>17117</v>
      </c>
      <c r="H3005" s="6" t="s">
        <v>74</v>
      </c>
      <c r="I3005" s="6" t="n">
        <f aca="false">D3005*F3005</f>
        <v>28.05</v>
      </c>
      <c r="J3005" s="6" t="n">
        <f aca="false">HOUR(E3005)</f>
        <v>8</v>
      </c>
      <c r="K3005" s="6" t="n">
        <f aca="false">IF(COUNTIF($A$2:$A3005,A3005)=1,1,0)</f>
        <v>0</v>
      </c>
    </row>
    <row r="3006" customFormat="false" ht="15" hidden="false" customHeight="false" outlineLevel="0" collapsed="false">
      <c r="A3006" s="0" t="s">
        <v>668</v>
      </c>
      <c r="B3006" s="0" t="s">
        <v>77</v>
      </c>
      <c r="C3006" s="0" t="s">
        <v>78</v>
      </c>
      <c r="D3006" s="0" t="n">
        <v>14</v>
      </c>
      <c r="E3006" s="5" t="n">
        <v>45978.366875</v>
      </c>
      <c r="F3006" s="0" t="n">
        <v>1.65</v>
      </c>
      <c r="G3006" s="0" t="n">
        <v>17117</v>
      </c>
      <c r="H3006" s="6" t="s">
        <v>74</v>
      </c>
      <c r="I3006" s="6" t="n">
        <f aca="false">D3006*F3006</f>
        <v>23.1</v>
      </c>
      <c r="J3006" s="6" t="n">
        <f aca="false">HOUR(E3006)</f>
        <v>8</v>
      </c>
      <c r="K3006" s="6" t="n">
        <f aca="false">IF(COUNTIF($A$2:$A3006,A3006)=1,1,0)</f>
        <v>0</v>
      </c>
    </row>
    <row r="3007" customFormat="false" ht="15" hidden="false" customHeight="false" outlineLevel="0" collapsed="false">
      <c r="A3007" s="0" t="s">
        <v>668</v>
      </c>
      <c r="B3007" s="0" t="s">
        <v>99</v>
      </c>
      <c r="C3007" s="0" t="s">
        <v>100</v>
      </c>
      <c r="D3007" s="0" t="n">
        <v>16</v>
      </c>
      <c r="E3007" s="5" t="n">
        <v>45978.366875</v>
      </c>
      <c r="F3007" s="0" t="n">
        <v>2.08</v>
      </c>
      <c r="G3007" s="0" t="n">
        <v>17117</v>
      </c>
      <c r="H3007" s="6" t="s">
        <v>74</v>
      </c>
      <c r="I3007" s="6" t="n">
        <f aca="false">D3007*F3007</f>
        <v>33.28</v>
      </c>
      <c r="J3007" s="6" t="n">
        <f aca="false">HOUR(E3007)</f>
        <v>8</v>
      </c>
      <c r="K3007" s="6" t="n">
        <f aca="false">IF(COUNTIF($A$2:$A3007,A3007)=1,1,0)</f>
        <v>0</v>
      </c>
    </row>
    <row r="3008" customFormat="false" ht="15" hidden="false" customHeight="false" outlineLevel="0" collapsed="false">
      <c r="A3008" s="0" t="s">
        <v>669</v>
      </c>
      <c r="B3008" s="0" t="s">
        <v>59</v>
      </c>
      <c r="C3008" s="0" t="s">
        <v>60</v>
      </c>
      <c r="D3008" s="0" t="n">
        <v>3</v>
      </c>
      <c r="E3008" s="5" t="n">
        <v>45978.3984259259</v>
      </c>
      <c r="F3008" s="0" t="n">
        <v>0.42</v>
      </c>
      <c r="G3008" s="0" t="n">
        <v>17205</v>
      </c>
      <c r="H3008" s="6" t="s">
        <v>42</v>
      </c>
      <c r="I3008" s="6" t="n">
        <f aca="false">D3008*F3008</f>
        <v>1.26</v>
      </c>
      <c r="J3008" s="6" t="n">
        <f aca="false">HOUR(E3008)</f>
        <v>9</v>
      </c>
      <c r="K3008" s="6" t="n">
        <f aca="false">IF(COUNTIF($A$2:$A3008,A3008)=1,1,0)</f>
        <v>1</v>
      </c>
    </row>
    <row r="3009" customFormat="false" ht="15" hidden="false" customHeight="false" outlineLevel="0" collapsed="false">
      <c r="A3009" s="0" t="s">
        <v>669</v>
      </c>
      <c r="B3009" s="0" t="s">
        <v>107</v>
      </c>
      <c r="C3009" s="0" t="s">
        <v>108</v>
      </c>
      <c r="D3009" s="0" t="n">
        <v>3</v>
      </c>
      <c r="E3009" s="5" t="n">
        <v>45978.3984259259</v>
      </c>
      <c r="F3009" s="0" t="n">
        <v>3.75</v>
      </c>
      <c r="G3009" s="0" t="n">
        <v>17205</v>
      </c>
      <c r="H3009" s="6" t="s">
        <v>42</v>
      </c>
      <c r="I3009" s="6" t="n">
        <f aca="false">D3009*F3009</f>
        <v>11.25</v>
      </c>
      <c r="J3009" s="6" t="n">
        <f aca="false">HOUR(E3009)</f>
        <v>9</v>
      </c>
      <c r="K3009" s="6" t="n">
        <f aca="false">IF(COUNTIF($A$2:$A3009,A3009)=1,1,0)</f>
        <v>0</v>
      </c>
    </row>
    <row r="3010" customFormat="false" ht="15" hidden="false" customHeight="false" outlineLevel="0" collapsed="false">
      <c r="A3010" s="0" t="s">
        <v>669</v>
      </c>
      <c r="B3010" s="0" t="s">
        <v>134</v>
      </c>
      <c r="C3010" s="0" t="s">
        <v>135</v>
      </c>
      <c r="D3010" s="0" t="n">
        <v>17</v>
      </c>
      <c r="E3010" s="5" t="n">
        <v>45978.3984259259</v>
      </c>
      <c r="F3010" s="0" t="n">
        <v>5.95</v>
      </c>
      <c r="G3010" s="0" t="n">
        <v>17205</v>
      </c>
      <c r="H3010" s="6" t="s">
        <v>42</v>
      </c>
      <c r="I3010" s="6" t="n">
        <f aca="false">D3010*F3010</f>
        <v>101.15</v>
      </c>
      <c r="J3010" s="6" t="n">
        <f aca="false">HOUR(E3010)</f>
        <v>9</v>
      </c>
      <c r="K3010" s="6" t="n">
        <f aca="false">IF(COUNTIF($A$2:$A3010,A3010)=1,1,0)</f>
        <v>0</v>
      </c>
    </row>
    <row r="3011" customFormat="false" ht="15" hidden="false" customHeight="false" outlineLevel="0" collapsed="false">
      <c r="A3011" s="0" t="s">
        <v>669</v>
      </c>
      <c r="B3011" s="0" t="s">
        <v>104</v>
      </c>
      <c r="C3011" s="0" t="s">
        <v>105</v>
      </c>
      <c r="D3011" s="0" t="n">
        <v>19</v>
      </c>
      <c r="E3011" s="5" t="n">
        <v>45978.3984259259</v>
      </c>
      <c r="F3011" s="0" t="n">
        <v>1.65</v>
      </c>
      <c r="G3011" s="0" t="n">
        <v>17205</v>
      </c>
      <c r="H3011" s="6" t="s">
        <v>42</v>
      </c>
      <c r="I3011" s="6" t="n">
        <f aca="false">D3011*F3011</f>
        <v>31.35</v>
      </c>
      <c r="J3011" s="6" t="n">
        <f aca="false">HOUR(E3011)</f>
        <v>9</v>
      </c>
      <c r="K3011" s="6" t="n">
        <f aca="false">IF(COUNTIF($A$2:$A3011,A3011)=1,1,0)</f>
        <v>0</v>
      </c>
    </row>
    <row r="3012" customFormat="false" ht="15" hidden="false" customHeight="false" outlineLevel="0" collapsed="false">
      <c r="A3012" s="0" t="s">
        <v>669</v>
      </c>
      <c r="B3012" s="0" t="s">
        <v>45</v>
      </c>
      <c r="C3012" s="0" t="s">
        <v>46</v>
      </c>
      <c r="D3012" s="0" t="n">
        <v>12</v>
      </c>
      <c r="E3012" s="5" t="n">
        <v>45978.3984259259</v>
      </c>
      <c r="F3012" s="0" t="n">
        <v>2.1</v>
      </c>
      <c r="G3012" s="0" t="n">
        <v>17205</v>
      </c>
      <c r="H3012" s="6" t="s">
        <v>42</v>
      </c>
      <c r="I3012" s="6" t="n">
        <f aca="false">D3012*F3012</f>
        <v>25.2</v>
      </c>
      <c r="J3012" s="6" t="n">
        <f aca="false">HOUR(E3012)</f>
        <v>9</v>
      </c>
      <c r="K3012" s="6" t="n">
        <f aca="false">IF(COUNTIF($A$2:$A3012,A3012)=1,1,0)</f>
        <v>0</v>
      </c>
    </row>
    <row r="3013" customFormat="false" ht="15" hidden="false" customHeight="false" outlineLevel="0" collapsed="false">
      <c r="A3013" s="0" t="s">
        <v>669</v>
      </c>
      <c r="B3013" s="0" t="s">
        <v>114</v>
      </c>
      <c r="C3013" s="0" t="s">
        <v>115</v>
      </c>
      <c r="D3013" s="0" t="n">
        <v>15</v>
      </c>
      <c r="E3013" s="5" t="n">
        <v>45978.3984259259</v>
      </c>
      <c r="F3013" s="0" t="n">
        <v>2.08</v>
      </c>
      <c r="G3013" s="0" t="n">
        <v>17205</v>
      </c>
      <c r="H3013" s="6" t="s">
        <v>42</v>
      </c>
      <c r="I3013" s="6" t="n">
        <f aca="false">D3013*F3013</f>
        <v>31.2</v>
      </c>
      <c r="J3013" s="6" t="n">
        <f aca="false">HOUR(E3013)</f>
        <v>9</v>
      </c>
      <c r="K3013" s="6" t="n">
        <f aca="false">IF(COUNTIF($A$2:$A3013,A3013)=1,1,0)</f>
        <v>0</v>
      </c>
    </row>
    <row r="3014" customFormat="false" ht="15" hidden="false" customHeight="false" outlineLevel="0" collapsed="false">
      <c r="A3014" s="0" t="s">
        <v>669</v>
      </c>
      <c r="B3014" s="0" t="s">
        <v>57</v>
      </c>
      <c r="C3014" s="0" t="s">
        <v>58</v>
      </c>
      <c r="D3014" s="0" t="n">
        <v>14</v>
      </c>
      <c r="E3014" s="5" t="n">
        <v>45978.3984259259</v>
      </c>
      <c r="F3014" s="0" t="n">
        <v>2.08</v>
      </c>
      <c r="G3014" s="0" t="n">
        <v>17205</v>
      </c>
      <c r="H3014" s="6" t="s">
        <v>42</v>
      </c>
      <c r="I3014" s="6" t="n">
        <f aca="false">D3014*F3014</f>
        <v>29.12</v>
      </c>
      <c r="J3014" s="6" t="n">
        <f aca="false">HOUR(E3014)</f>
        <v>9</v>
      </c>
      <c r="K3014" s="6" t="n">
        <f aca="false">IF(COUNTIF($A$2:$A3014,A3014)=1,1,0)</f>
        <v>0</v>
      </c>
    </row>
    <row r="3015" customFormat="false" ht="15" hidden="false" customHeight="false" outlineLevel="0" collapsed="false">
      <c r="A3015" s="0" t="s">
        <v>669</v>
      </c>
      <c r="B3015" s="0" t="s">
        <v>40</v>
      </c>
      <c r="C3015" s="0" t="s">
        <v>41</v>
      </c>
      <c r="D3015" s="0" t="n">
        <v>16</v>
      </c>
      <c r="E3015" s="5" t="n">
        <v>45978.3984259259</v>
      </c>
      <c r="F3015" s="0" t="n">
        <v>1.06</v>
      </c>
      <c r="G3015" s="0" t="n">
        <v>17205</v>
      </c>
      <c r="H3015" s="6" t="s">
        <v>42</v>
      </c>
      <c r="I3015" s="6" t="n">
        <f aca="false">D3015*F3015</f>
        <v>16.96</v>
      </c>
      <c r="J3015" s="6" t="n">
        <f aca="false">HOUR(E3015)</f>
        <v>9</v>
      </c>
      <c r="K3015" s="6" t="n">
        <f aca="false">IF(COUNTIF($A$2:$A3015,A3015)=1,1,0)</f>
        <v>0</v>
      </c>
    </row>
    <row r="3016" customFormat="false" ht="15" hidden="false" customHeight="false" outlineLevel="0" collapsed="false">
      <c r="A3016" s="0" t="s">
        <v>669</v>
      </c>
      <c r="B3016" s="0" t="s">
        <v>118</v>
      </c>
      <c r="C3016" s="0" t="s">
        <v>119</v>
      </c>
      <c r="D3016" s="0" t="n">
        <v>45</v>
      </c>
      <c r="E3016" s="5" t="n">
        <v>45978.3984259259</v>
      </c>
      <c r="F3016" s="0" t="n">
        <v>4.95</v>
      </c>
      <c r="G3016" s="0" t="n">
        <v>17205</v>
      </c>
      <c r="H3016" s="6" t="s">
        <v>42</v>
      </c>
      <c r="I3016" s="6" t="n">
        <f aca="false">D3016*F3016</f>
        <v>222.75</v>
      </c>
      <c r="J3016" s="6" t="n">
        <f aca="false">HOUR(E3016)</f>
        <v>9</v>
      </c>
      <c r="K3016" s="6" t="n">
        <f aca="false">IF(COUNTIF($A$2:$A3016,A3016)=1,1,0)</f>
        <v>0</v>
      </c>
    </row>
    <row r="3017" customFormat="false" ht="15" hidden="false" customHeight="false" outlineLevel="0" collapsed="false">
      <c r="A3017" s="0" t="s">
        <v>669</v>
      </c>
      <c r="B3017" s="0" t="s">
        <v>88</v>
      </c>
      <c r="C3017" s="0" t="s">
        <v>89</v>
      </c>
      <c r="D3017" s="0" t="n">
        <v>19</v>
      </c>
      <c r="E3017" s="5" t="n">
        <v>45978.3984259259</v>
      </c>
      <c r="F3017" s="0" t="n">
        <v>2.75</v>
      </c>
      <c r="G3017" s="0" t="n">
        <v>17205</v>
      </c>
      <c r="H3017" s="6" t="s">
        <v>42</v>
      </c>
      <c r="I3017" s="6" t="n">
        <f aca="false">D3017*F3017</f>
        <v>52.25</v>
      </c>
      <c r="J3017" s="6" t="n">
        <f aca="false">HOUR(E3017)</f>
        <v>9</v>
      </c>
      <c r="K3017" s="6" t="n">
        <f aca="false">IF(COUNTIF($A$2:$A3017,A3017)=1,1,0)</f>
        <v>0</v>
      </c>
    </row>
    <row r="3018" customFormat="false" ht="15" hidden="false" customHeight="false" outlineLevel="0" collapsed="false">
      <c r="A3018" s="0" t="s">
        <v>670</v>
      </c>
      <c r="B3018" s="0" t="s">
        <v>43</v>
      </c>
      <c r="C3018" s="0" t="s">
        <v>44</v>
      </c>
      <c r="D3018" s="0" t="n">
        <v>11</v>
      </c>
      <c r="E3018" s="5" t="n">
        <v>45978.4367939815</v>
      </c>
      <c r="F3018" s="0" t="n">
        <v>4.25</v>
      </c>
      <c r="G3018" s="0" t="n">
        <v>17037</v>
      </c>
      <c r="H3018" s="6" t="s">
        <v>113</v>
      </c>
      <c r="I3018" s="6" t="n">
        <f aca="false">D3018*F3018</f>
        <v>46.75</v>
      </c>
      <c r="J3018" s="6" t="n">
        <f aca="false">HOUR(E3018)</f>
        <v>10</v>
      </c>
      <c r="K3018" s="6" t="n">
        <f aca="false">IF(COUNTIF($A$2:$A3018,A3018)=1,1,0)</f>
        <v>1</v>
      </c>
    </row>
    <row r="3019" customFormat="false" ht="15" hidden="false" customHeight="false" outlineLevel="0" collapsed="false">
      <c r="A3019" s="0" t="s">
        <v>670</v>
      </c>
      <c r="B3019" s="0" t="s">
        <v>93</v>
      </c>
      <c r="C3019" s="0" t="s">
        <v>94</v>
      </c>
      <c r="D3019" s="0" t="n">
        <v>22</v>
      </c>
      <c r="E3019" s="5" t="n">
        <v>45978.4367939815</v>
      </c>
      <c r="F3019" s="0" t="n">
        <v>1.69</v>
      </c>
      <c r="G3019" s="0" t="n">
        <v>17037</v>
      </c>
      <c r="H3019" s="6" t="s">
        <v>113</v>
      </c>
      <c r="I3019" s="6" t="n">
        <f aca="false">D3019*F3019</f>
        <v>37.18</v>
      </c>
      <c r="J3019" s="6" t="n">
        <f aca="false">HOUR(E3019)</f>
        <v>10</v>
      </c>
      <c r="K3019" s="6" t="n">
        <f aca="false">IF(COUNTIF($A$2:$A3019,A3019)=1,1,0)</f>
        <v>0</v>
      </c>
    </row>
    <row r="3020" customFormat="false" ht="15" hidden="false" customHeight="false" outlineLevel="0" collapsed="false">
      <c r="A3020" s="0" t="s">
        <v>670</v>
      </c>
      <c r="B3020" s="0" t="s">
        <v>114</v>
      </c>
      <c r="C3020" s="0" t="s">
        <v>115</v>
      </c>
      <c r="D3020" s="0" t="n">
        <v>17</v>
      </c>
      <c r="E3020" s="5" t="n">
        <v>45978.4367939815</v>
      </c>
      <c r="F3020" s="0" t="n">
        <v>2.08</v>
      </c>
      <c r="G3020" s="0" t="n">
        <v>17037</v>
      </c>
      <c r="H3020" s="6" t="s">
        <v>113</v>
      </c>
      <c r="I3020" s="6" t="n">
        <f aca="false">D3020*F3020</f>
        <v>35.36</v>
      </c>
      <c r="J3020" s="6" t="n">
        <f aca="false">HOUR(E3020)</f>
        <v>10</v>
      </c>
      <c r="K3020" s="6" t="n">
        <f aca="false">IF(COUNTIF($A$2:$A3020,A3020)=1,1,0)</f>
        <v>0</v>
      </c>
    </row>
    <row r="3021" customFormat="false" ht="15" hidden="false" customHeight="false" outlineLevel="0" collapsed="false">
      <c r="A3021" s="0" t="s">
        <v>670</v>
      </c>
      <c r="B3021" s="0" t="s">
        <v>57</v>
      </c>
      <c r="C3021" s="0" t="s">
        <v>58</v>
      </c>
      <c r="D3021" s="0" t="n">
        <v>23</v>
      </c>
      <c r="E3021" s="5" t="n">
        <v>45978.4367939815</v>
      </c>
      <c r="F3021" s="0" t="n">
        <v>2.08</v>
      </c>
      <c r="G3021" s="0" t="n">
        <v>17037</v>
      </c>
      <c r="H3021" s="6" t="s">
        <v>113</v>
      </c>
      <c r="I3021" s="6" t="n">
        <f aca="false">D3021*F3021</f>
        <v>47.84</v>
      </c>
      <c r="J3021" s="6" t="n">
        <f aca="false">HOUR(E3021)</f>
        <v>10</v>
      </c>
      <c r="K3021" s="6" t="n">
        <f aca="false">IF(COUNTIF($A$2:$A3021,A3021)=1,1,0)</f>
        <v>0</v>
      </c>
    </row>
    <row r="3022" customFormat="false" ht="15" hidden="false" customHeight="false" outlineLevel="0" collapsed="false">
      <c r="A3022" s="0" t="s">
        <v>670</v>
      </c>
      <c r="B3022" s="0" t="s">
        <v>107</v>
      </c>
      <c r="C3022" s="0" t="s">
        <v>108</v>
      </c>
      <c r="D3022" s="0" t="n">
        <v>3</v>
      </c>
      <c r="E3022" s="5" t="n">
        <v>45978.4367939815</v>
      </c>
      <c r="F3022" s="0" t="n">
        <v>3.75</v>
      </c>
      <c r="G3022" s="0" t="n">
        <v>17037</v>
      </c>
      <c r="H3022" s="6" t="s">
        <v>113</v>
      </c>
      <c r="I3022" s="6" t="n">
        <f aca="false">D3022*F3022</f>
        <v>11.25</v>
      </c>
      <c r="J3022" s="6" t="n">
        <f aca="false">HOUR(E3022)</f>
        <v>10</v>
      </c>
      <c r="K3022" s="6" t="n">
        <f aca="false">IF(COUNTIF($A$2:$A3022,A3022)=1,1,0)</f>
        <v>0</v>
      </c>
    </row>
    <row r="3023" customFormat="false" ht="15" hidden="false" customHeight="false" outlineLevel="0" collapsed="false">
      <c r="A3023" s="0" t="s">
        <v>670</v>
      </c>
      <c r="B3023" s="0" t="s">
        <v>91</v>
      </c>
      <c r="C3023" s="0" t="s">
        <v>92</v>
      </c>
      <c r="D3023" s="0" t="n">
        <v>23</v>
      </c>
      <c r="E3023" s="5" t="n">
        <v>45978.4367939815</v>
      </c>
      <c r="F3023" s="0" t="n">
        <v>7.65</v>
      </c>
      <c r="G3023" s="0" t="n">
        <v>17037</v>
      </c>
      <c r="H3023" s="6" t="s">
        <v>113</v>
      </c>
      <c r="I3023" s="6" t="n">
        <f aca="false">D3023*F3023</f>
        <v>175.95</v>
      </c>
      <c r="J3023" s="6" t="n">
        <f aca="false">HOUR(E3023)</f>
        <v>10</v>
      </c>
      <c r="K3023" s="6" t="n">
        <f aca="false">IF(COUNTIF($A$2:$A3023,A3023)=1,1,0)</f>
        <v>0</v>
      </c>
    </row>
    <row r="3024" customFormat="false" ht="15" hidden="false" customHeight="false" outlineLevel="0" collapsed="false">
      <c r="A3024" s="0" t="s">
        <v>671</v>
      </c>
      <c r="B3024" s="0" t="s">
        <v>107</v>
      </c>
      <c r="C3024" s="0" t="s">
        <v>108</v>
      </c>
      <c r="D3024" s="0" t="n">
        <v>1</v>
      </c>
      <c r="E3024" s="5" t="n">
        <v>45978.4876041667</v>
      </c>
      <c r="F3024" s="0" t="n">
        <v>3.75</v>
      </c>
      <c r="G3024" s="0" t="n">
        <v>17197</v>
      </c>
      <c r="H3024" s="6" t="s">
        <v>74</v>
      </c>
      <c r="I3024" s="6" t="n">
        <f aca="false">D3024*F3024</f>
        <v>3.75</v>
      </c>
      <c r="J3024" s="6" t="n">
        <f aca="false">HOUR(E3024)</f>
        <v>11</v>
      </c>
      <c r="K3024" s="6" t="n">
        <f aca="false">IF(COUNTIF($A$2:$A3024,A3024)=1,1,0)</f>
        <v>1</v>
      </c>
    </row>
    <row r="3025" customFormat="false" ht="15" hidden="false" customHeight="false" outlineLevel="0" collapsed="false">
      <c r="A3025" s="0" t="s">
        <v>672</v>
      </c>
      <c r="B3025" s="0" t="s">
        <v>81</v>
      </c>
      <c r="C3025" s="0" t="s">
        <v>82</v>
      </c>
      <c r="D3025" s="0" t="n">
        <v>17</v>
      </c>
      <c r="E3025" s="5" t="n">
        <v>45978.5268518519</v>
      </c>
      <c r="F3025" s="0" t="n">
        <v>1.65</v>
      </c>
      <c r="G3025" s="0" t="n">
        <v>17230</v>
      </c>
      <c r="H3025" s="6" t="s">
        <v>74</v>
      </c>
      <c r="I3025" s="6" t="n">
        <f aca="false">D3025*F3025</f>
        <v>28.05</v>
      </c>
      <c r="J3025" s="6" t="n">
        <f aca="false">HOUR(E3025)</f>
        <v>12</v>
      </c>
      <c r="K3025" s="6" t="n">
        <f aca="false">IF(COUNTIF($A$2:$A3025,A3025)=1,1,0)</f>
        <v>1</v>
      </c>
    </row>
    <row r="3026" customFormat="false" ht="15" hidden="false" customHeight="false" outlineLevel="0" collapsed="false">
      <c r="A3026" s="0" t="s">
        <v>672</v>
      </c>
      <c r="B3026" s="0" t="s">
        <v>109</v>
      </c>
      <c r="C3026" s="0" t="s">
        <v>110</v>
      </c>
      <c r="D3026" s="0" t="n">
        <v>2</v>
      </c>
      <c r="E3026" s="5" t="n">
        <v>45978.5268518519</v>
      </c>
      <c r="F3026" s="0" t="n">
        <v>0.85</v>
      </c>
      <c r="G3026" s="0" t="n">
        <v>17230</v>
      </c>
      <c r="H3026" s="6" t="s">
        <v>74</v>
      </c>
      <c r="I3026" s="6" t="n">
        <f aca="false">D3026*F3026</f>
        <v>1.7</v>
      </c>
      <c r="J3026" s="6" t="n">
        <f aca="false">HOUR(E3026)</f>
        <v>12</v>
      </c>
      <c r="K3026" s="6" t="n">
        <f aca="false">IF(COUNTIF($A$2:$A3026,A3026)=1,1,0)</f>
        <v>0</v>
      </c>
    </row>
    <row r="3027" customFormat="false" ht="15" hidden="false" customHeight="false" outlineLevel="0" collapsed="false">
      <c r="A3027" s="0" t="s">
        <v>672</v>
      </c>
      <c r="B3027" s="0" t="s">
        <v>107</v>
      </c>
      <c r="C3027" s="0" t="s">
        <v>108</v>
      </c>
      <c r="D3027" s="0" t="n">
        <v>7</v>
      </c>
      <c r="E3027" s="5" t="n">
        <v>45978.5268518519</v>
      </c>
      <c r="F3027" s="0" t="n">
        <v>3.75</v>
      </c>
      <c r="G3027" s="0" t="n">
        <v>17230</v>
      </c>
      <c r="H3027" s="6" t="s">
        <v>74</v>
      </c>
      <c r="I3027" s="6" t="n">
        <f aca="false">D3027*F3027</f>
        <v>26.25</v>
      </c>
      <c r="J3027" s="6" t="n">
        <f aca="false">HOUR(E3027)</f>
        <v>12</v>
      </c>
      <c r="K3027" s="6" t="n">
        <f aca="false">IF(COUNTIF($A$2:$A3027,A3027)=1,1,0)</f>
        <v>0</v>
      </c>
    </row>
    <row r="3028" customFormat="false" ht="15" hidden="false" customHeight="false" outlineLevel="0" collapsed="false">
      <c r="A3028" s="0" t="s">
        <v>672</v>
      </c>
      <c r="B3028" s="0" t="s">
        <v>125</v>
      </c>
      <c r="C3028" s="0" t="s">
        <v>126</v>
      </c>
      <c r="D3028" s="0" t="n">
        <v>24</v>
      </c>
      <c r="E3028" s="5" t="n">
        <v>45978.5268518519</v>
      </c>
      <c r="F3028" s="0" t="n">
        <v>1.25</v>
      </c>
      <c r="G3028" s="0" t="n">
        <v>17230</v>
      </c>
      <c r="H3028" s="6" t="s">
        <v>74</v>
      </c>
      <c r="I3028" s="6" t="n">
        <f aca="false">D3028*F3028</f>
        <v>30</v>
      </c>
      <c r="J3028" s="6" t="n">
        <f aca="false">HOUR(E3028)</f>
        <v>12</v>
      </c>
      <c r="K3028" s="6" t="n">
        <f aca="false">IF(COUNTIF($A$2:$A3028,A3028)=1,1,0)</f>
        <v>0</v>
      </c>
    </row>
    <row r="3029" customFormat="false" ht="15" hidden="false" customHeight="false" outlineLevel="0" collapsed="false">
      <c r="A3029" s="0" t="s">
        <v>672</v>
      </c>
      <c r="B3029" s="0" t="s">
        <v>145</v>
      </c>
      <c r="C3029" s="0" t="s">
        <v>146</v>
      </c>
      <c r="D3029" s="0" t="n">
        <v>10</v>
      </c>
      <c r="E3029" s="5" t="n">
        <v>45978.5268518519</v>
      </c>
      <c r="F3029" s="0" t="n">
        <v>1.85</v>
      </c>
      <c r="G3029" s="0" t="n">
        <v>17230</v>
      </c>
      <c r="H3029" s="6" t="s">
        <v>74</v>
      </c>
      <c r="I3029" s="6" t="n">
        <f aca="false">D3029*F3029</f>
        <v>18.5</v>
      </c>
      <c r="J3029" s="6" t="n">
        <f aca="false">HOUR(E3029)</f>
        <v>12</v>
      </c>
      <c r="K3029" s="6" t="n">
        <f aca="false">IF(COUNTIF($A$2:$A3029,A3029)=1,1,0)</f>
        <v>0</v>
      </c>
    </row>
    <row r="3030" customFormat="false" ht="15" hidden="false" customHeight="false" outlineLevel="0" collapsed="false">
      <c r="A3030" s="0" t="s">
        <v>672</v>
      </c>
      <c r="B3030" s="0" t="s">
        <v>114</v>
      </c>
      <c r="C3030" s="0" t="s">
        <v>115</v>
      </c>
      <c r="D3030" s="0" t="n">
        <v>1</v>
      </c>
      <c r="E3030" s="5" t="n">
        <v>45978.5268518519</v>
      </c>
      <c r="F3030" s="0" t="n">
        <v>2.08</v>
      </c>
      <c r="G3030" s="0" t="n">
        <v>17230</v>
      </c>
      <c r="H3030" s="6" t="s">
        <v>74</v>
      </c>
      <c r="I3030" s="6" t="n">
        <f aca="false">D3030*F3030</f>
        <v>2.08</v>
      </c>
      <c r="J3030" s="6" t="n">
        <f aca="false">HOUR(E3030)</f>
        <v>12</v>
      </c>
      <c r="K3030" s="6" t="n">
        <f aca="false">IF(COUNTIF($A$2:$A3030,A3030)=1,1,0)</f>
        <v>0</v>
      </c>
    </row>
    <row r="3031" customFormat="false" ht="15" hidden="false" customHeight="false" outlineLevel="0" collapsed="false">
      <c r="A3031" s="0" t="s">
        <v>672</v>
      </c>
      <c r="B3031" s="0" t="s">
        <v>55</v>
      </c>
      <c r="C3031" s="0" t="s">
        <v>56</v>
      </c>
      <c r="D3031" s="0" t="n">
        <v>22</v>
      </c>
      <c r="E3031" s="5" t="n">
        <v>45978.5268518519</v>
      </c>
      <c r="F3031" s="0" t="n">
        <v>1.65</v>
      </c>
      <c r="G3031" s="0" t="n">
        <v>17230</v>
      </c>
      <c r="H3031" s="6" t="s">
        <v>74</v>
      </c>
      <c r="I3031" s="6" t="n">
        <f aca="false">D3031*F3031</f>
        <v>36.3</v>
      </c>
      <c r="J3031" s="6" t="n">
        <f aca="false">HOUR(E3031)</f>
        <v>12</v>
      </c>
      <c r="K3031" s="6" t="n">
        <f aca="false">IF(COUNTIF($A$2:$A3031,A3031)=1,1,0)</f>
        <v>0</v>
      </c>
    </row>
    <row r="3032" customFormat="false" ht="15" hidden="false" customHeight="false" outlineLevel="0" collapsed="false">
      <c r="A3032" s="0" t="s">
        <v>673</v>
      </c>
      <c r="B3032" s="0" t="s">
        <v>137</v>
      </c>
      <c r="C3032" s="0" t="s">
        <v>138</v>
      </c>
      <c r="D3032" s="0" t="n">
        <v>2</v>
      </c>
      <c r="E3032" s="5" t="n">
        <v>45978.5481481482</v>
      </c>
      <c r="F3032" s="0" t="n">
        <v>2.1</v>
      </c>
      <c r="G3032" s="0" t="n">
        <v>17222</v>
      </c>
      <c r="H3032" s="6" t="s">
        <v>74</v>
      </c>
      <c r="I3032" s="6" t="n">
        <f aca="false">D3032*F3032</f>
        <v>4.2</v>
      </c>
      <c r="J3032" s="6" t="n">
        <f aca="false">HOUR(E3032)</f>
        <v>13</v>
      </c>
      <c r="K3032" s="6" t="n">
        <f aca="false">IF(COUNTIF($A$2:$A3032,A3032)=1,1,0)</f>
        <v>1</v>
      </c>
    </row>
    <row r="3033" customFormat="false" ht="15" hidden="false" customHeight="false" outlineLevel="0" collapsed="false">
      <c r="A3033" s="0" t="s">
        <v>673</v>
      </c>
      <c r="B3033" s="0" t="s">
        <v>140</v>
      </c>
      <c r="C3033" s="0" t="s">
        <v>141</v>
      </c>
      <c r="D3033" s="0" t="n">
        <v>23</v>
      </c>
      <c r="E3033" s="5" t="n">
        <v>45978.5481481482</v>
      </c>
      <c r="F3033" s="0" t="n">
        <v>2.08</v>
      </c>
      <c r="G3033" s="0" t="n">
        <v>17222</v>
      </c>
      <c r="H3033" s="6" t="s">
        <v>74</v>
      </c>
      <c r="I3033" s="6" t="n">
        <f aca="false">D3033*F3033</f>
        <v>47.84</v>
      </c>
      <c r="J3033" s="6" t="n">
        <f aca="false">HOUR(E3033)</f>
        <v>13</v>
      </c>
      <c r="K3033" s="6" t="n">
        <f aca="false">IF(COUNTIF($A$2:$A3033,A3033)=1,1,0)</f>
        <v>0</v>
      </c>
    </row>
    <row r="3034" customFormat="false" ht="15" hidden="false" customHeight="false" outlineLevel="0" collapsed="false">
      <c r="A3034" s="0" t="s">
        <v>673</v>
      </c>
      <c r="B3034" s="0" t="s">
        <v>88</v>
      </c>
      <c r="C3034" s="0" t="s">
        <v>89</v>
      </c>
      <c r="D3034" s="0" t="n">
        <v>3</v>
      </c>
      <c r="E3034" s="5" t="n">
        <v>45978.5481481482</v>
      </c>
      <c r="F3034" s="0" t="n">
        <v>2.75</v>
      </c>
      <c r="G3034" s="0" t="n">
        <v>17222</v>
      </c>
      <c r="H3034" s="6" t="s">
        <v>74</v>
      </c>
      <c r="I3034" s="6" t="n">
        <f aca="false">D3034*F3034</f>
        <v>8.25</v>
      </c>
      <c r="J3034" s="6" t="n">
        <f aca="false">HOUR(E3034)</f>
        <v>13</v>
      </c>
      <c r="K3034" s="6" t="n">
        <f aca="false">IF(COUNTIF($A$2:$A3034,A3034)=1,1,0)</f>
        <v>0</v>
      </c>
    </row>
    <row r="3035" customFormat="false" ht="15" hidden="false" customHeight="false" outlineLevel="0" collapsed="false">
      <c r="A3035" s="0" t="s">
        <v>673</v>
      </c>
      <c r="B3035" s="0" t="s">
        <v>61</v>
      </c>
      <c r="C3035" s="0" t="s">
        <v>62</v>
      </c>
      <c r="D3035" s="0" t="n">
        <v>5</v>
      </c>
      <c r="E3035" s="5" t="n">
        <v>45978.5481481482</v>
      </c>
      <c r="F3035" s="0" t="n">
        <v>1.65</v>
      </c>
      <c r="G3035" s="0" t="n">
        <v>17222</v>
      </c>
      <c r="H3035" s="6" t="s">
        <v>74</v>
      </c>
      <c r="I3035" s="6" t="n">
        <f aca="false">D3035*F3035</f>
        <v>8.25</v>
      </c>
      <c r="J3035" s="6" t="n">
        <f aca="false">HOUR(E3035)</f>
        <v>13</v>
      </c>
      <c r="K3035" s="6" t="n">
        <f aca="false">IF(COUNTIF($A$2:$A3035,A3035)=1,1,0)</f>
        <v>0</v>
      </c>
    </row>
    <row r="3036" customFormat="false" ht="15" hidden="false" customHeight="false" outlineLevel="0" collapsed="false">
      <c r="A3036" s="0" t="s">
        <v>673</v>
      </c>
      <c r="B3036" s="0" t="s">
        <v>102</v>
      </c>
      <c r="C3036" s="0" t="s">
        <v>103</v>
      </c>
      <c r="D3036" s="0" t="n">
        <v>16</v>
      </c>
      <c r="E3036" s="5" t="n">
        <v>45978.5481481482</v>
      </c>
      <c r="F3036" s="0" t="n">
        <v>8.5</v>
      </c>
      <c r="G3036" s="0" t="n">
        <v>17222</v>
      </c>
      <c r="H3036" s="6" t="s">
        <v>74</v>
      </c>
      <c r="I3036" s="6" t="n">
        <f aca="false">D3036*F3036</f>
        <v>136</v>
      </c>
      <c r="J3036" s="6" t="n">
        <f aca="false">HOUR(E3036)</f>
        <v>13</v>
      </c>
      <c r="K3036" s="6" t="n">
        <f aca="false">IF(COUNTIF($A$2:$A3036,A3036)=1,1,0)</f>
        <v>0</v>
      </c>
    </row>
    <row r="3037" customFormat="false" ht="15" hidden="false" customHeight="false" outlineLevel="0" collapsed="false">
      <c r="A3037" s="0" t="s">
        <v>673</v>
      </c>
      <c r="B3037" s="0" t="s">
        <v>118</v>
      </c>
      <c r="C3037" s="0" t="s">
        <v>119</v>
      </c>
      <c r="D3037" s="0" t="n">
        <v>8</v>
      </c>
      <c r="E3037" s="5" t="n">
        <v>45978.5481481482</v>
      </c>
      <c r="F3037" s="0" t="n">
        <v>4.95</v>
      </c>
      <c r="G3037" s="0" t="n">
        <v>17222</v>
      </c>
      <c r="H3037" s="6" t="s">
        <v>74</v>
      </c>
      <c r="I3037" s="6" t="n">
        <f aca="false">D3037*F3037</f>
        <v>39.6</v>
      </c>
      <c r="J3037" s="6" t="n">
        <f aca="false">HOUR(E3037)</f>
        <v>13</v>
      </c>
      <c r="K3037" s="6" t="n">
        <f aca="false">IF(COUNTIF($A$2:$A3037,A3037)=1,1,0)</f>
        <v>0</v>
      </c>
    </row>
    <row r="3038" customFormat="false" ht="15" hidden="false" customHeight="false" outlineLevel="0" collapsed="false">
      <c r="A3038" s="0" t="s">
        <v>674</v>
      </c>
      <c r="B3038" s="0" t="s">
        <v>40</v>
      </c>
      <c r="C3038" s="0" t="s">
        <v>41</v>
      </c>
      <c r="D3038" s="0" t="n">
        <v>5</v>
      </c>
      <c r="E3038" s="5" t="n">
        <v>45978.5737384259</v>
      </c>
      <c r="F3038" s="0" t="n">
        <v>1.06</v>
      </c>
      <c r="G3038" s="0" t="n">
        <v>17004</v>
      </c>
      <c r="H3038" s="6" t="s">
        <v>74</v>
      </c>
      <c r="I3038" s="6" t="n">
        <f aca="false">D3038*F3038</f>
        <v>5.3</v>
      </c>
      <c r="J3038" s="6" t="n">
        <f aca="false">HOUR(E3038)</f>
        <v>13</v>
      </c>
      <c r="K3038" s="6" t="n">
        <f aca="false">IF(COUNTIF($A$2:$A3038,A3038)=1,1,0)</f>
        <v>1</v>
      </c>
    </row>
    <row r="3039" customFormat="false" ht="15" hidden="false" customHeight="false" outlineLevel="0" collapsed="false">
      <c r="A3039" s="0" t="s">
        <v>674</v>
      </c>
      <c r="B3039" s="0" t="s">
        <v>79</v>
      </c>
      <c r="C3039" s="0" t="s">
        <v>80</v>
      </c>
      <c r="D3039" s="0" t="n">
        <v>20</v>
      </c>
      <c r="E3039" s="5" t="n">
        <v>45978.5737384259</v>
      </c>
      <c r="F3039" s="0" t="n">
        <v>3.39</v>
      </c>
      <c r="G3039" s="0" t="n">
        <v>17004</v>
      </c>
      <c r="H3039" s="6" t="s">
        <v>74</v>
      </c>
      <c r="I3039" s="6" t="n">
        <f aca="false">D3039*F3039</f>
        <v>67.8</v>
      </c>
      <c r="J3039" s="6" t="n">
        <f aca="false">HOUR(E3039)</f>
        <v>13</v>
      </c>
      <c r="K3039" s="6" t="n">
        <f aca="false">IF(COUNTIF($A$2:$A3039,A3039)=1,1,0)</f>
        <v>0</v>
      </c>
    </row>
    <row r="3040" customFormat="false" ht="15" hidden="false" customHeight="false" outlineLevel="0" collapsed="false">
      <c r="A3040" s="0" t="s">
        <v>674</v>
      </c>
      <c r="B3040" s="0" t="s">
        <v>102</v>
      </c>
      <c r="C3040" s="0" t="s">
        <v>103</v>
      </c>
      <c r="D3040" s="0" t="n">
        <v>23</v>
      </c>
      <c r="E3040" s="5" t="n">
        <v>45978.5737384259</v>
      </c>
      <c r="F3040" s="0" t="n">
        <v>8.5</v>
      </c>
      <c r="G3040" s="0" t="n">
        <v>17004</v>
      </c>
      <c r="H3040" s="6" t="s">
        <v>74</v>
      </c>
      <c r="I3040" s="6" t="n">
        <f aca="false">D3040*F3040</f>
        <v>195.5</v>
      </c>
      <c r="J3040" s="6" t="n">
        <f aca="false">HOUR(E3040)</f>
        <v>13</v>
      </c>
      <c r="K3040" s="6" t="n">
        <f aca="false">IF(COUNTIF($A$2:$A3040,A3040)=1,1,0)</f>
        <v>0</v>
      </c>
    </row>
    <row r="3041" customFormat="false" ht="15" hidden="false" customHeight="false" outlineLevel="0" collapsed="false">
      <c r="A3041" s="0" t="s">
        <v>674</v>
      </c>
      <c r="B3041" s="0" t="s">
        <v>121</v>
      </c>
      <c r="C3041" s="0" t="s">
        <v>122</v>
      </c>
      <c r="D3041" s="0" t="n">
        <v>13</v>
      </c>
      <c r="E3041" s="5" t="n">
        <v>45978.5737384259</v>
      </c>
      <c r="F3041" s="0" t="n">
        <v>2.1</v>
      </c>
      <c r="G3041" s="0" t="n">
        <v>17004</v>
      </c>
      <c r="H3041" s="6" t="s">
        <v>74</v>
      </c>
      <c r="I3041" s="6" t="n">
        <f aca="false">D3041*F3041</f>
        <v>27.3</v>
      </c>
      <c r="J3041" s="6" t="n">
        <f aca="false">HOUR(E3041)</f>
        <v>13</v>
      </c>
      <c r="K3041" s="6" t="n">
        <f aca="false">IF(COUNTIF($A$2:$A3041,A3041)=1,1,0)</f>
        <v>0</v>
      </c>
    </row>
    <row r="3042" customFormat="false" ht="15" hidden="false" customHeight="false" outlineLevel="0" collapsed="false">
      <c r="A3042" s="0" t="s">
        <v>674</v>
      </c>
      <c r="B3042" s="0" t="s">
        <v>81</v>
      </c>
      <c r="C3042" s="0" t="s">
        <v>82</v>
      </c>
      <c r="D3042" s="0" t="n">
        <v>15</v>
      </c>
      <c r="E3042" s="5" t="n">
        <v>45978.5737384259</v>
      </c>
      <c r="F3042" s="0" t="n">
        <v>1.65</v>
      </c>
      <c r="G3042" s="0" t="n">
        <v>17004</v>
      </c>
      <c r="H3042" s="6" t="s">
        <v>74</v>
      </c>
      <c r="I3042" s="6" t="n">
        <f aca="false">D3042*F3042</f>
        <v>24.75</v>
      </c>
      <c r="J3042" s="6" t="n">
        <f aca="false">HOUR(E3042)</f>
        <v>13</v>
      </c>
      <c r="K3042" s="6" t="n">
        <f aca="false">IF(COUNTIF($A$2:$A3042,A3042)=1,1,0)</f>
        <v>0</v>
      </c>
    </row>
    <row r="3043" customFormat="false" ht="15" hidden="false" customHeight="false" outlineLevel="0" collapsed="false">
      <c r="A3043" s="0" t="s">
        <v>674</v>
      </c>
      <c r="B3043" s="0" t="s">
        <v>65</v>
      </c>
      <c r="C3043" s="0" t="s">
        <v>66</v>
      </c>
      <c r="D3043" s="0" t="n">
        <v>2</v>
      </c>
      <c r="E3043" s="5" t="n">
        <v>45978.5737384259</v>
      </c>
      <c r="F3043" s="0" t="n">
        <v>1.65</v>
      </c>
      <c r="G3043" s="0" t="n">
        <v>17004</v>
      </c>
      <c r="H3043" s="6" t="s">
        <v>74</v>
      </c>
      <c r="I3043" s="6" t="n">
        <f aca="false">D3043*F3043</f>
        <v>3.3</v>
      </c>
      <c r="J3043" s="6" t="n">
        <f aca="false">HOUR(E3043)</f>
        <v>13</v>
      </c>
      <c r="K3043" s="6" t="n">
        <f aca="false">IF(COUNTIF($A$2:$A3043,A3043)=1,1,0)</f>
        <v>0</v>
      </c>
    </row>
    <row r="3044" customFormat="false" ht="15" hidden="false" customHeight="false" outlineLevel="0" collapsed="false">
      <c r="A3044" s="0" t="s">
        <v>675</v>
      </c>
      <c r="B3044" s="0" t="s">
        <v>93</v>
      </c>
      <c r="C3044" s="0" t="s">
        <v>94</v>
      </c>
      <c r="D3044" s="0" t="n">
        <v>21</v>
      </c>
      <c r="E3044" s="5" t="n">
        <v>45978.6696412037</v>
      </c>
      <c r="F3044" s="0" t="n">
        <v>1.69</v>
      </c>
      <c r="G3044" s="0" t="n">
        <v>17017</v>
      </c>
      <c r="H3044" s="6" t="s">
        <v>74</v>
      </c>
      <c r="I3044" s="6" t="n">
        <f aca="false">D3044*F3044</f>
        <v>35.49</v>
      </c>
      <c r="J3044" s="6" t="n">
        <f aca="false">HOUR(E3044)</f>
        <v>16</v>
      </c>
      <c r="K3044" s="6" t="n">
        <f aca="false">IF(COUNTIF($A$2:$A3044,A3044)=1,1,0)</f>
        <v>1</v>
      </c>
    </row>
    <row r="3045" customFormat="false" ht="15" hidden="false" customHeight="false" outlineLevel="0" collapsed="false">
      <c r="A3045" s="0" t="s">
        <v>675</v>
      </c>
      <c r="B3045" s="0" t="s">
        <v>57</v>
      </c>
      <c r="C3045" s="0" t="s">
        <v>58</v>
      </c>
      <c r="D3045" s="0" t="n">
        <v>7</v>
      </c>
      <c r="E3045" s="5" t="n">
        <v>45978.6696412037</v>
      </c>
      <c r="F3045" s="0" t="n">
        <v>2.08</v>
      </c>
      <c r="G3045" s="0" t="n">
        <v>17017</v>
      </c>
      <c r="H3045" s="6" t="s">
        <v>74</v>
      </c>
      <c r="I3045" s="6" t="n">
        <f aca="false">D3045*F3045</f>
        <v>14.56</v>
      </c>
      <c r="J3045" s="6" t="n">
        <f aca="false">HOUR(E3045)</f>
        <v>16</v>
      </c>
      <c r="K3045" s="6" t="n">
        <f aca="false">IF(COUNTIF($A$2:$A3045,A3045)=1,1,0)</f>
        <v>0</v>
      </c>
    </row>
    <row r="3046" customFormat="false" ht="15" hidden="false" customHeight="false" outlineLevel="0" collapsed="false">
      <c r="A3046" s="0" t="s">
        <v>676</v>
      </c>
      <c r="B3046" s="0" t="s">
        <v>43</v>
      </c>
      <c r="C3046" s="0" t="s">
        <v>44</v>
      </c>
      <c r="D3046" s="0" t="n">
        <v>12</v>
      </c>
      <c r="E3046" s="5" t="n">
        <v>45978.6884837963</v>
      </c>
      <c r="F3046" s="0" t="n">
        <v>4.25</v>
      </c>
      <c r="G3046" s="0" t="n">
        <v>17191</v>
      </c>
      <c r="H3046" s="6" t="s">
        <v>74</v>
      </c>
      <c r="I3046" s="6" t="n">
        <f aca="false">D3046*F3046</f>
        <v>51</v>
      </c>
      <c r="J3046" s="6" t="n">
        <f aca="false">HOUR(E3046)</f>
        <v>16</v>
      </c>
      <c r="K3046" s="6" t="n">
        <f aca="false">IF(COUNTIF($A$2:$A3046,A3046)=1,1,0)</f>
        <v>1</v>
      </c>
    </row>
    <row r="3047" customFormat="false" ht="15" hidden="false" customHeight="false" outlineLevel="0" collapsed="false">
      <c r="A3047" s="0" t="s">
        <v>676</v>
      </c>
      <c r="B3047" s="0" t="s">
        <v>75</v>
      </c>
      <c r="C3047" s="0" t="s">
        <v>76</v>
      </c>
      <c r="D3047" s="0" t="n">
        <v>16</v>
      </c>
      <c r="E3047" s="5" t="n">
        <v>45978.6884837963</v>
      </c>
      <c r="F3047" s="0" t="n">
        <v>3.39</v>
      </c>
      <c r="G3047" s="0" t="n">
        <v>17191</v>
      </c>
      <c r="H3047" s="6" t="s">
        <v>74</v>
      </c>
      <c r="I3047" s="6" t="n">
        <f aca="false">D3047*F3047</f>
        <v>54.24</v>
      </c>
      <c r="J3047" s="6" t="n">
        <f aca="false">HOUR(E3047)</f>
        <v>16</v>
      </c>
      <c r="K3047" s="6" t="n">
        <f aca="false">IF(COUNTIF($A$2:$A3047,A3047)=1,1,0)</f>
        <v>0</v>
      </c>
    </row>
    <row r="3048" customFormat="false" ht="15" hidden="false" customHeight="false" outlineLevel="0" collapsed="false">
      <c r="A3048" s="0" t="s">
        <v>676</v>
      </c>
      <c r="B3048" s="0" t="s">
        <v>102</v>
      </c>
      <c r="C3048" s="0" t="s">
        <v>103</v>
      </c>
      <c r="D3048" s="0" t="n">
        <v>28</v>
      </c>
      <c r="E3048" s="5" t="n">
        <v>45978.6884837963</v>
      </c>
      <c r="F3048" s="0" t="n">
        <v>8.5</v>
      </c>
      <c r="G3048" s="0" t="n">
        <v>17191</v>
      </c>
      <c r="H3048" s="6" t="s">
        <v>74</v>
      </c>
      <c r="I3048" s="6" t="n">
        <f aca="false">D3048*F3048</f>
        <v>238</v>
      </c>
      <c r="J3048" s="6" t="n">
        <f aca="false">HOUR(E3048)</f>
        <v>16</v>
      </c>
      <c r="K3048" s="6" t="n">
        <f aca="false">IF(COUNTIF($A$2:$A3048,A3048)=1,1,0)</f>
        <v>0</v>
      </c>
    </row>
    <row r="3049" customFormat="false" ht="15" hidden="false" customHeight="false" outlineLevel="0" collapsed="false">
      <c r="A3049" s="0" t="s">
        <v>676</v>
      </c>
      <c r="B3049" s="0" t="s">
        <v>57</v>
      </c>
      <c r="C3049" s="0" t="s">
        <v>58</v>
      </c>
      <c r="D3049" s="0" t="n">
        <v>14</v>
      </c>
      <c r="E3049" s="5" t="n">
        <v>45978.6884837963</v>
      </c>
      <c r="F3049" s="0" t="n">
        <v>2.08</v>
      </c>
      <c r="G3049" s="0" t="n">
        <v>17191</v>
      </c>
      <c r="H3049" s="6" t="s">
        <v>74</v>
      </c>
      <c r="I3049" s="6" t="n">
        <f aca="false">D3049*F3049</f>
        <v>29.12</v>
      </c>
      <c r="J3049" s="6" t="n">
        <f aca="false">HOUR(E3049)</f>
        <v>16</v>
      </c>
      <c r="K3049" s="6" t="n">
        <f aca="false">IF(COUNTIF($A$2:$A3049,A3049)=1,1,0)</f>
        <v>0</v>
      </c>
    </row>
    <row r="3050" customFormat="false" ht="15" hidden="false" customHeight="false" outlineLevel="0" collapsed="false">
      <c r="A3050" s="0" t="s">
        <v>676</v>
      </c>
      <c r="B3050" s="0" t="s">
        <v>109</v>
      </c>
      <c r="C3050" s="0" t="s">
        <v>110</v>
      </c>
      <c r="D3050" s="0" t="n">
        <v>19</v>
      </c>
      <c r="E3050" s="5" t="n">
        <v>45978.6884837963</v>
      </c>
      <c r="F3050" s="0" t="n">
        <v>0.85</v>
      </c>
      <c r="G3050" s="0" t="n">
        <v>17191</v>
      </c>
      <c r="H3050" s="6" t="s">
        <v>74</v>
      </c>
      <c r="I3050" s="6" t="n">
        <f aca="false">D3050*F3050</f>
        <v>16.15</v>
      </c>
      <c r="J3050" s="6" t="n">
        <f aca="false">HOUR(E3050)</f>
        <v>16</v>
      </c>
      <c r="K3050" s="6" t="n">
        <f aca="false">IF(COUNTIF($A$2:$A3050,A3050)=1,1,0)</f>
        <v>0</v>
      </c>
    </row>
    <row r="3051" customFormat="false" ht="15" hidden="false" customHeight="false" outlineLevel="0" collapsed="false">
      <c r="A3051" s="0" t="s">
        <v>676</v>
      </c>
      <c r="B3051" s="0" t="s">
        <v>63</v>
      </c>
      <c r="C3051" s="0" t="s">
        <v>64</v>
      </c>
      <c r="D3051" s="0" t="n">
        <v>14</v>
      </c>
      <c r="E3051" s="5" t="n">
        <v>45978.6884837963</v>
      </c>
      <c r="F3051" s="0" t="n">
        <v>1.85</v>
      </c>
      <c r="G3051" s="0" t="n">
        <v>17191</v>
      </c>
      <c r="H3051" s="6" t="s">
        <v>74</v>
      </c>
      <c r="I3051" s="6" t="n">
        <f aca="false">D3051*F3051</f>
        <v>25.9</v>
      </c>
      <c r="J3051" s="6" t="n">
        <f aca="false">HOUR(E3051)</f>
        <v>16</v>
      </c>
      <c r="K3051" s="6" t="n">
        <f aca="false">IF(COUNTIF($A$2:$A3051,A3051)=1,1,0)</f>
        <v>0</v>
      </c>
    </row>
    <row r="3052" customFormat="false" ht="15" hidden="false" customHeight="false" outlineLevel="0" collapsed="false">
      <c r="A3052" s="0" t="s">
        <v>676</v>
      </c>
      <c r="B3052" s="0" t="s">
        <v>88</v>
      </c>
      <c r="C3052" s="0" t="s">
        <v>89</v>
      </c>
      <c r="D3052" s="0" t="n">
        <v>21</v>
      </c>
      <c r="E3052" s="5" t="n">
        <v>45978.6884837963</v>
      </c>
      <c r="F3052" s="0" t="n">
        <v>2.75</v>
      </c>
      <c r="G3052" s="0" t="n">
        <v>17191</v>
      </c>
      <c r="H3052" s="6" t="s">
        <v>74</v>
      </c>
      <c r="I3052" s="6" t="n">
        <f aca="false">D3052*F3052</f>
        <v>57.75</v>
      </c>
      <c r="J3052" s="6" t="n">
        <f aca="false">HOUR(E3052)</f>
        <v>16</v>
      </c>
      <c r="K3052" s="6" t="n">
        <f aca="false">IF(COUNTIF($A$2:$A3052,A3052)=1,1,0)</f>
        <v>0</v>
      </c>
    </row>
    <row r="3053" customFormat="false" ht="15" hidden="false" customHeight="false" outlineLevel="0" collapsed="false">
      <c r="A3053" s="0" t="s">
        <v>677</v>
      </c>
      <c r="B3053" s="0" t="s">
        <v>140</v>
      </c>
      <c r="C3053" s="0" t="s">
        <v>141</v>
      </c>
      <c r="D3053" s="0" t="n">
        <v>23</v>
      </c>
      <c r="E3053" s="5" t="n">
        <v>45978.8178587963</v>
      </c>
      <c r="F3053" s="0" t="n">
        <v>2.08</v>
      </c>
      <c r="H3053" s="6" t="s">
        <v>74</v>
      </c>
      <c r="I3053" s="6" t="n">
        <f aca="false">D3053*F3053</f>
        <v>47.84</v>
      </c>
      <c r="J3053" s="6" t="n">
        <f aca="false">HOUR(E3053)</f>
        <v>19</v>
      </c>
      <c r="K3053" s="6" t="n">
        <f aca="false">IF(COUNTIF($A$2:$A3053,A3053)=1,1,0)</f>
        <v>1</v>
      </c>
    </row>
    <row r="3054" customFormat="false" ht="15" hidden="false" customHeight="false" outlineLevel="0" collapsed="false">
      <c r="A3054" s="0" t="s">
        <v>677</v>
      </c>
      <c r="B3054" s="0" t="s">
        <v>118</v>
      </c>
      <c r="C3054" s="0" t="s">
        <v>119</v>
      </c>
      <c r="D3054" s="0" t="n">
        <v>22</v>
      </c>
      <c r="E3054" s="5" t="n">
        <v>45978.8178587963</v>
      </c>
      <c r="F3054" s="0" t="n">
        <v>4.95</v>
      </c>
      <c r="H3054" s="6" t="s">
        <v>74</v>
      </c>
      <c r="I3054" s="6" t="n">
        <f aca="false">D3054*F3054</f>
        <v>108.9</v>
      </c>
      <c r="J3054" s="6" t="n">
        <f aca="false">HOUR(E3054)</f>
        <v>19</v>
      </c>
      <c r="K3054" s="6" t="n">
        <f aca="false">IF(COUNTIF($A$2:$A3054,A3054)=1,1,0)</f>
        <v>0</v>
      </c>
    </row>
    <row r="3055" customFormat="false" ht="15" hidden="false" customHeight="false" outlineLevel="0" collapsed="false">
      <c r="A3055" s="0" t="s">
        <v>677</v>
      </c>
      <c r="B3055" s="0" t="s">
        <v>45</v>
      </c>
      <c r="C3055" s="0" t="s">
        <v>46</v>
      </c>
      <c r="D3055" s="0" t="n">
        <v>18</v>
      </c>
      <c r="E3055" s="5" t="n">
        <v>45978.8178587963</v>
      </c>
      <c r="F3055" s="0" t="n">
        <v>2.1</v>
      </c>
      <c r="H3055" s="6" t="s">
        <v>74</v>
      </c>
      <c r="I3055" s="6" t="n">
        <f aca="false">D3055*F3055</f>
        <v>37.8</v>
      </c>
      <c r="J3055" s="6" t="n">
        <f aca="false">HOUR(E3055)</f>
        <v>19</v>
      </c>
      <c r="K3055" s="6" t="n">
        <f aca="false">IF(COUNTIF($A$2:$A3055,A3055)=1,1,0)</f>
        <v>0</v>
      </c>
    </row>
    <row r="3056" customFormat="false" ht="15" hidden="false" customHeight="false" outlineLevel="0" collapsed="false">
      <c r="A3056" s="0" t="s">
        <v>678</v>
      </c>
      <c r="B3056" s="0" t="s">
        <v>125</v>
      </c>
      <c r="C3056" s="0" t="s">
        <v>126</v>
      </c>
      <c r="D3056" s="0" t="n">
        <v>13</v>
      </c>
      <c r="E3056" s="5" t="n">
        <v>45978.8348263889</v>
      </c>
      <c r="F3056" s="0" t="n">
        <v>1.25</v>
      </c>
      <c r="G3056" s="0" t="n">
        <v>17195</v>
      </c>
      <c r="H3056" s="6" t="s">
        <v>188</v>
      </c>
      <c r="I3056" s="6" t="n">
        <f aca="false">D3056*F3056</f>
        <v>16.25</v>
      </c>
      <c r="J3056" s="6" t="n">
        <f aca="false">HOUR(E3056)</f>
        <v>20</v>
      </c>
      <c r="K3056" s="6" t="n">
        <f aca="false">IF(COUNTIF($A$2:$A3056,A3056)=1,1,0)</f>
        <v>1</v>
      </c>
    </row>
    <row r="3057" customFormat="false" ht="15" hidden="false" customHeight="false" outlineLevel="0" collapsed="false">
      <c r="A3057" s="0" t="s">
        <v>679</v>
      </c>
      <c r="B3057" s="0" t="s">
        <v>145</v>
      </c>
      <c r="C3057" s="0" t="s">
        <v>146</v>
      </c>
      <c r="D3057" s="0" t="n">
        <v>10</v>
      </c>
      <c r="E3057" s="5" t="n">
        <v>45979.3845023148</v>
      </c>
      <c r="F3057" s="0" t="n">
        <v>1.85</v>
      </c>
      <c r="G3057" s="0" t="n">
        <v>17227</v>
      </c>
      <c r="H3057" s="6" t="s">
        <v>263</v>
      </c>
      <c r="I3057" s="6" t="n">
        <f aca="false">D3057*F3057</f>
        <v>18.5</v>
      </c>
      <c r="J3057" s="6" t="n">
        <f aca="false">HOUR(E3057)</f>
        <v>9</v>
      </c>
      <c r="K3057" s="6" t="n">
        <f aca="false">IF(COUNTIF($A$2:$A3057,A3057)=1,1,0)</f>
        <v>1</v>
      </c>
    </row>
    <row r="3058" customFormat="false" ht="15" hidden="false" customHeight="false" outlineLevel="0" collapsed="false">
      <c r="A3058" s="0" t="s">
        <v>679</v>
      </c>
      <c r="B3058" s="0" t="s">
        <v>65</v>
      </c>
      <c r="C3058" s="0" t="s">
        <v>66</v>
      </c>
      <c r="D3058" s="0" t="n">
        <v>8</v>
      </c>
      <c r="E3058" s="5" t="n">
        <v>45979.3845023148</v>
      </c>
      <c r="F3058" s="0" t="n">
        <v>1.65</v>
      </c>
      <c r="G3058" s="0" t="n">
        <v>17227</v>
      </c>
      <c r="H3058" s="6" t="s">
        <v>263</v>
      </c>
      <c r="I3058" s="6" t="n">
        <f aca="false">D3058*F3058</f>
        <v>13.2</v>
      </c>
      <c r="J3058" s="6" t="n">
        <f aca="false">HOUR(E3058)</f>
        <v>9</v>
      </c>
      <c r="K3058" s="6" t="n">
        <f aca="false">IF(COUNTIF($A$2:$A3058,A3058)=1,1,0)</f>
        <v>0</v>
      </c>
    </row>
    <row r="3059" customFormat="false" ht="15" hidden="false" customHeight="false" outlineLevel="0" collapsed="false">
      <c r="A3059" s="0" t="s">
        <v>679</v>
      </c>
      <c r="B3059" s="0" t="s">
        <v>53</v>
      </c>
      <c r="C3059" s="0" t="s">
        <v>54</v>
      </c>
      <c r="D3059" s="0" t="n">
        <v>22</v>
      </c>
      <c r="E3059" s="5" t="n">
        <v>45979.3845023148</v>
      </c>
      <c r="F3059" s="0" t="n">
        <v>2.95</v>
      </c>
      <c r="G3059" s="0" t="n">
        <v>17227</v>
      </c>
      <c r="H3059" s="6" t="s">
        <v>263</v>
      </c>
      <c r="I3059" s="6" t="n">
        <f aca="false">D3059*F3059</f>
        <v>64.9</v>
      </c>
      <c r="J3059" s="6" t="n">
        <f aca="false">HOUR(E3059)</f>
        <v>9</v>
      </c>
      <c r="K3059" s="6" t="n">
        <f aca="false">IF(COUNTIF($A$2:$A3059,A3059)=1,1,0)</f>
        <v>0</v>
      </c>
    </row>
    <row r="3060" customFormat="false" ht="15" hidden="false" customHeight="false" outlineLevel="0" collapsed="false">
      <c r="A3060" s="0" t="s">
        <v>679</v>
      </c>
      <c r="B3060" s="0" t="s">
        <v>88</v>
      </c>
      <c r="C3060" s="0" t="s">
        <v>89</v>
      </c>
      <c r="D3060" s="0" t="n">
        <v>7</v>
      </c>
      <c r="E3060" s="5" t="n">
        <v>45979.3845023148</v>
      </c>
      <c r="F3060" s="0" t="n">
        <v>2.75</v>
      </c>
      <c r="G3060" s="0" t="n">
        <v>17227</v>
      </c>
      <c r="H3060" s="6" t="s">
        <v>263</v>
      </c>
      <c r="I3060" s="6" t="n">
        <f aca="false">D3060*F3060</f>
        <v>19.25</v>
      </c>
      <c r="J3060" s="6" t="n">
        <f aca="false">HOUR(E3060)</f>
        <v>9</v>
      </c>
      <c r="K3060" s="6" t="n">
        <f aca="false">IF(COUNTIF($A$2:$A3060,A3060)=1,1,0)</f>
        <v>0</v>
      </c>
    </row>
    <row r="3061" customFormat="false" ht="15" hidden="false" customHeight="false" outlineLevel="0" collapsed="false">
      <c r="A3061" s="0" t="s">
        <v>679</v>
      </c>
      <c r="B3061" s="0" t="s">
        <v>140</v>
      </c>
      <c r="C3061" s="0" t="s">
        <v>141</v>
      </c>
      <c r="D3061" s="0" t="n">
        <v>11</v>
      </c>
      <c r="E3061" s="5" t="n">
        <v>45979.3845023148</v>
      </c>
      <c r="F3061" s="0" t="n">
        <v>2.08</v>
      </c>
      <c r="G3061" s="0" t="n">
        <v>17227</v>
      </c>
      <c r="H3061" s="6" t="s">
        <v>263</v>
      </c>
      <c r="I3061" s="6" t="n">
        <f aca="false">D3061*F3061</f>
        <v>22.88</v>
      </c>
      <c r="J3061" s="6" t="n">
        <f aca="false">HOUR(E3061)</f>
        <v>9</v>
      </c>
      <c r="K3061" s="6" t="n">
        <f aca="false">IF(COUNTIF($A$2:$A3061,A3061)=1,1,0)</f>
        <v>0</v>
      </c>
    </row>
    <row r="3062" customFormat="false" ht="15" hidden="false" customHeight="false" outlineLevel="0" collapsed="false">
      <c r="A3062" s="0" t="s">
        <v>679</v>
      </c>
      <c r="B3062" s="0" t="s">
        <v>43</v>
      </c>
      <c r="C3062" s="0" t="s">
        <v>44</v>
      </c>
      <c r="D3062" s="0" t="n">
        <v>22</v>
      </c>
      <c r="E3062" s="5" t="n">
        <v>45979.3845023148</v>
      </c>
      <c r="F3062" s="0" t="n">
        <v>4.25</v>
      </c>
      <c r="G3062" s="0" t="n">
        <v>17227</v>
      </c>
      <c r="H3062" s="6" t="s">
        <v>263</v>
      </c>
      <c r="I3062" s="6" t="n">
        <f aca="false">D3062*F3062</f>
        <v>93.5</v>
      </c>
      <c r="J3062" s="6" t="n">
        <f aca="false">HOUR(E3062)</f>
        <v>9</v>
      </c>
      <c r="K3062" s="6" t="n">
        <f aca="false">IF(COUNTIF($A$2:$A3062,A3062)=1,1,0)</f>
        <v>0</v>
      </c>
    </row>
    <row r="3063" customFormat="false" ht="15" hidden="false" customHeight="false" outlineLevel="0" collapsed="false">
      <c r="A3063" s="0" t="s">
        <v>680</v>
      </c>
      <c r="B3063" s="0" t="s">
        <v>50</v>
      </c>
      <c r="C3063" s="0" t="s">
        <v>51</v>
      </c>
      <c r="D3063" s="0" t="n">
        <v>21</v>
      </c>
      <c r="E3063" s="5" t="n">
        <v>45979.3879050926</v>
      </c>
      <c r="F3063" s="0" t="n">
        <v>5.95</v>
      </c>
      <c r="G3063" s="0" t="n">
        <v>17155</v>
      </c>
      <c r="H3063" s="6" t="s">
        <v>74</v>
      </c>
      <c r="I3063" s="6" t="n">
        <f aca="false">D3063*F3063</f>
        <v>124.95</v>
      </c>
      <c r="J3063" s="6" t="n">
        <f aca="false">HOUR(E3063)</f>
        <v>9</v>
      </c>
      <c r="K3063" s="6" t="n">
        <f aca="false">IF(COUNTIF($A$2:$A3063,A3063)=1,1,0)</f>
        <v>1</v>
      </c>
    </row>
    <row r="3064" customFormat="false" ht="15" hidden="false" customHeight="false" outlineLevel="0" collapsed="false">
      <c r="A3064" s="0" t="s">
        <v>680</v>
      </c>
      <c r="B3064" s="0" t="s">
        <v>57</v>
      </c>
      <c r="C3064" s="0" t="s">
        <v>58</v>
      </c>
      <c r="D3064" s="0" t="n">
        <v>12</v>
      </c>
      <c r="E3064" s="5" t="n">
        <v>45979.3879050926</v>
      </c>
      <c r="F3064" s="0" t="n">
        <v>2.08</v>
      </c>
      <c r="G3064" s="0" t="n">
        <v>17155</v>
      </c>
      <c r="H3064" s="6" t="s">
        <v>74</v>
      </c>
      <c r="I3064" s="6" t="n">
        <f aca="false">D3064*F3064</f>
        <v>24.96</v>
      </c>
      <c r="J3064" s="6" t="n">
        <f aca="false">HOUR(E3064)</f>
        <v>9</v>
      </c>
      <c r="K3064" s="6" t="n">
        <f aca="false">IF(COUNTIF($A$2:$A3064,A3064)=1,1,0)</f>
        <v>0</v>
      </c>
    </row>
    <row r="3065" customFormat="false" ht="15" hidden="false" customHeight="false" outlineLevel="0" collapsed="false">
      <c r="A3065" s="0" t="s">
        <v>680</v>
      </c>
      <c r="B3065" s="0" t="s">
        <v>55</v>
      </c>
      <c r="C3065" s="0" t="s">
        <v>56</v>
      </c>
      <c r="D3065" s="0" t="n">
        <v>3</v>
      </c>
      <c r="E3065" s="5" t="n">
        <v>45979.3879050926</v>
      </c>
      <c r="F3065" s="0" t="n">
        <v>1.65</v>
      </c>
      <c r="G3065" s="0" t="n">
        <v>17155</v>
      </c>
      <c r="H3065" s="6" t="s">
        <v>74</v>
      </c>
      <c r="I3065" s="6" t="n">
        <f aca="false">D3065*F3065</f>
        <v>4.95</v>
      </c>
      <c r="J3065" s="6" t="n">
        <f aca="false">HOUR(E3065)</f>
        <v>9</v>
      </c>
      <c r="K3065" s="6" t="n">
        <f aca="false">IF(COUNTIF($A$2:$A3065,A3065)=1,1,0)</f>
        <v>0</v>
      </c>
    </row>
    <row r="3066" customFormat="false" ht="15" hidden="false" customHeight="false" outlineLevel="0" collapsed="false">
      <c r="A3066" s="0" t="s">
        <v>680</v>
      </c>
      <c r="B3066" s="0" t="s">
        <v>81</v>
      </c>
      <c r="C3066" s="0" t="s">
        <v>82</v>
      </c>
      <c r="D3066" s="0" t="n">
        <v>21</v>
      </c>
      <c r="E3066" s="5" t="n">
        <v>45979.3879050926</v>
      </c>
      <c r="F3066" s="0" t="n">
        <v>1.65</v>
      </c>
      <c r="G3066" s="0" t="n">
        <v>17155</v>
      </c>
      <c r="H3066" s="6" t="s">
        <v>74</v>
      </c>
      <c r="I3066" s="6" t="n">
        <f aca="false">D3066*F3066</f>
        <v>34.65</v>
      </c>
      <c r="J3066" s="6" t="n">
        <f aca="false">HOUR(E3066)</f>
        <v>9</v>
      </c>
      <c r="K3066" s="6" t="n">
        <f aca="false">IF(COUNTIF($A$2:$A3066,A3066)=1,1,0)</f>
        <v>0</v>
      </c>
    </row>
    <row r="3067" customFormat="false" ht="15" hidden="false" customHeight="false" outlineLevel="0" collapsed="false">
      <c r="A3067" s="0" t="s">
        <v>680</v>
      </c>
      <c r="B3067" s="0" t="s">
        <v>93</v>
      </c>
      <c r="C3067" s="0" t="s">
        <v>94</v>
      </c>
      <c r="D3067" s="0" t="n">
        <v>9</v>
      </c>
      <c r="E3067" s="5" t="n">
        <v>45979.3879050926</v>
      </c>
      <c r="F3067" s="0" t="n">
        <v>1.69</v>
      </c>
      <c r="G3067" s="0" t="n">
        <v>17155</v>
      </c>
      <c r="H3067" s="6" t="s">
        <v>74</v>
      </c>
      <c r="I3067" s="6" t="n">
        <f aca="false">D3067*F3067</f>
        <v>15.21</v>
      </c>
      <c r="J3067" s="6" t="n">
        <f aca="false">HOUR(E3067)</f>
        <v>9</v>
      </c>
      <c r="K3067" s="6" t="n">
        <f aca="false">IF(COUNTIF($A$2:$A3067,A3067)=1,1,0)</f>
        <v>0</v>
      </c>
    </row>
    <row r="3068" customFormat="false" ht="15" hidden="false" customHeight="false" outlineLevel="0" collapsed="false">
      <c r="A3068" s="0" t="s">
        <v>680</v>
      </c>
      <c r="B3068" s="0" t="s">
        <v>95</v>
      </c>
      <c r="C3068" s="0" t="s">
        <v>96</v>
      </c>
      <c r="D3068" s="0" t="n">
        <v>21</v>
      </c>
      <c r="E3068" s="5" t="n">
        <v>45979.3879050926</v>
      </c>
      <c r="F3068" s="0" t="n">
        <v>2.55</v>
      </c>
      <c r="G3068" s="0" t="n">
        <v>17155</v>
      </c>
      <c r="H3068" s="6" t="s">
        <v>74</v>
      </c>
      <c r="I3068" s="6" t="n">
        <f aca="false">D3068*F3068</f>
        <v>53.55</v>
      </c>
      <c r="J3068" s="6" t="n">
        <f aca="false">HOUR(E3068)</f>
        <v>9</v>
      </c>
      <c r="K3068" s="6" t="n">
        <f aca="false">IF(COUNTIF($A$2:$A3068,A3068)=1,1,0)</f>
        <v>0</v>
      </c>
    </row>
    <row r="3069" customFormat="false" ht="15" hidden="false" customHeight="false" outlineLevel="0" collapsed="false">
      <c r="A3069" s="0" t="s">
        <v>680</v>
      </c>
      <c r="B3069" s="0" t="s">
        <v>79</v>
      </c>
      <c r="C3069" s="0" t="s">
        <v>80</v>
      </c>
      <c r="D3069" s="0" t="n">
        <v>16</v>
      </c>
      <c r="E3069" s="5" t="n">
        <v>45979.3879050926</v>
      </c>
      <c r="F3069" s="0" t="n">
        <v>3.39</v>
      </c>
      <c r="G3069" s="0" t="n">
        <v>17155</v>
      </c>
      <c r="H3069" s="6" t="s">
        <v>74</v>
      </c>
      <c r="I3069" s="6" t="n">
        <f aca="false">D3069*F3069</f>
        <v>54.24</v>
      </c>
      <c r="J3069" s="6" t="n">
        <f aca="false">HOUR(E3069)</f>
        <v>9</v>
      </c>
      <c r="K3069" s="6" t="n">
        <f aca="false">IF(COUNTIF($A$2:$A3069,A3069)=1,1,0)</f>
        <v>0</v>
      </c>
    </row>
    <row r="3070" customFormat="false" ht="15" hidden="false" customHeight="false" outlineLevel="0" collapsed="false">
      <c r="A3070" s="0" t="s">
        <v>680</v>
      </c>
      <c r="B3070" s="0" t="s">
        <v>59</v>
      </c>
      <c r="C3070" s="0" t="s">
        <v>60</v>
      </c>
      <c r="D3070" s="0" t="n">
        <v>10</v>
      </c>
      <c r="E3070" s="5" t="n">
        <v>45979.3879050926</v>
      </c>
      <c r="F3070" s="0" t="n">
        <v>0.42</v>
      </c>
      <c r="G3070" s="0" t="n">
        <v>17155</v>
      </c>
      <c r="H3070" s="6" t="s">
        <v>74</v>
      </c>
      <c r="I3070" s="6" t="n">
        <f aca="false">D3070*F3070</f>
        <v>4.2</v>
      </c>
      <c r="J3070" s="6" t="n">
        <f aca="false">HOUR(E3070)</f>
        <v>9</v>
      </c>
      <c r="K3070" s="6" t="n">
        <f aca="false">IF(COUNTIF($A$2:$A3070,A3070)=1,1,0)</f>
        <v>0</v>
      </c>
    </row>
    <row r="3071" customFormat="false" ht="15" hidden="false" customHeight="false" outlineLevel="0" collapsed="false">
      <c r="A3071" s="0" t="s">
        <v>681</v>
      </c>
      <c r="B3071" s="0" t="s">
        <v>61</v>
      </c>
      <c r="C3071" s="0" t="s">
        <v>62</v>
      </c>
      <c r="D3071" s="0" t="n">
        <v>21</v>
      </c>
      <c r="E3071" s="5" t="n">
        <v>45979.4174884259</v>
      </c>
      <c r="F3071" s="0" t="n">
        <v>1.65</v>
      </c>
      <c r="G3071" s="0" t="n">
        <v>17183</v>
      </c>
      <c r="H3071" s="6" t="s">
        <v>74</v>
      </c>
      <c r="I3071" s="6" t="n">
        <f aca="false">D3071*F3071</f>
        <v>34.65</v>
      </c>
      <c r="J3071" s="6" t="n">
        <f aca="false">HOUR(E3071)</f>
        <v>10</v>
      </c>
      <c r="K3071" s="6" t="n">
        <f aca="false">IF(COUNTIF($A$2:$A3071,A3071)=1,1,0)</f>
        <v>1</v>
      </c>
    </row>
    <row r="3072" customFormat="false" ht="15" hidden="false" customHeight="false" outlineLevel="0" collapsed="false">
      <c r="A3072" s="0" t="s">
        <v>681</v>
      </c>
      <c r="B3072" s="0" t="s">
        <v>40</v>
      </c>
      <c r="C3072" s="0" t="s">
        <v>41</v>
      </c>
      <c r="D3072" s="0" t="n">
        <v>9</v>
      </c>
      <c r="E3072" s="5" t="n">
        <v>45979.4174884259</v>
      </c>
      <c r="F3072" s="0" t="n">
        <v>1.06</v>
      </c>
      <c r="G3072" s="0" t="n">
        <v>17183</v>
      </c>
      <c r="H3072" s="6" t="s">
        <v>74</v>
      </c>
      <c r="I3072" s="6" t="n">
        <f aca="false">D3072*F3072</f>
        <v>9.54</v>
      </c>
      <c r="J3072" s="6" t="n">
        <f aca="false">HOUR(E3072)</f>
        <v>10</v>
      </c>
      <c r="K3072" s="6" t="n">
        <f aca="false">IF(COUNTIF($A$2:$A3072,A3072)=1,1,0)</f>
        <v>0</v>
      </c>
    </row>
    <row r="3073" customFormat="false" ht="15" hidden="false" customHeight="false" outlineLevel="0" collapsed="false">
      <c r="A3073" s="0" t="s">
        <v>682</v>
      </c>
      <c r="B3073" s="0" t="s">
        <v>47</v>
      </c>
      <c r="C3073" s="0" t="s">
        <v>48</v>
      </c>
      <c r="D3073" s="0" t="n">
        <v>48</v>
      </c>
      <c r="E3073" s="5" t="n">
        <v>45979.4839467593</v>
      </c>
      <c r="F3073" s="0" t="n">
        <v>12.75</v>
      </c>
      <c r="G3073" s="0" t="n">
        <v>17172</v>
      </c>
      <c r="H3073" s="6" t="s">
        <v>42</v>
      </c>
      <c r="I3073" s="6" t="n">
        <f aca="false">D3073*F3073</f>
        <v>612</v>
      </c>
      <c r="J3073" s="6" t="n">
        <f aca="false">HOUR(E3073)</f>
        <v>11</v>
      </c>
      <c r="K3073" s="6" t="n">
        <f aca="false">IF(COUNTIF($A$2:$A3073,A3073)=1,1,0)</f>
        <v>1</v>
      </c>
    </row>
    <row r="3074" customFormat="false" ht="15" hidden="false" customHeight="false" outlineLevel="0" collapsed="false">
      <c r="A3074" s="0" t="s">
        <v>682</v>
      </c>
      <c r="B3074" s="0" t="s">
        <v>145</v>
      </c>
      <c r="C3074" s="0" t="s">
        <v>146</v>
      </c>
      <c r="D3074" s="0" t="n">
        <v>1</v>
      </c>
      <c r="E3074" s="5" t="n">
        <v>45979.4839467593</v>
      </c>
      <c r="F3074" s="0" t="n">
        <v>1.85</v>
      </c>
      <c r="G3074" s="0" t="n">
        <v>17172</v>
      </c>
      <c r="H3074" s="6" t="s">
        <v>42</v>
      </c>
      <c r="I3074" s="6" t="n">
        <f aca="false">D3074*F3074</f>
        <v>1.85</v>
      </c>
      <c r="J3074" s="6" t="n">
        <f aca="false">HOUR(E3074)</f>
        <v>11</v>
      </c>
      <c r="K3074" s="6" t="n">
        <f aca="false">IF(COUNTIF($A$2:$A3074,A3074)=1,1,0)</f>
        <v>0</v>
      </c>
    </row>
    <row r="3075" customFormat="false" ht="15" hidden="false" customHeight="false" outlineLevel="0" collapsed="false">
      <c r="A3075" s="0" t="s">
        <v>682</v>
      </c>
      <c r="B3075" s="0" t="s">
        <v>50</v>
      </c>
      <c r="C3075" s="0" t="s">
        <v>51</v>
      </c>
      <c r="D3075" s="0" t="n">
        <v>18</v>
      </c>
      <c r="E3075" s="5" t="n">
        <v>45979.4839467593</v>
      </c>
      <c r="F3075" s="0" t="n">
        <v>5.95</v>
      </c>
      <c r="G3075" s="0" t="n">
        <v>17172</v>
      </c>
      <c r="H3075" s="6" t="s">
        <v>42</v>
      </c>
      <c r="I3075" s="6" t="n">
        <f aca="false">D3075*F3075</f>
        <v>107.1</v>
      </c>
      <c r="J3075" s="6" t="n">
        <f aca="false">HOUR(E3075)</f>
        <v>11</v>
      </c>
      <c r="K3075" s="6" t="n">
        <f aca="false">IF(COUNTIF($A$2:$A3075,A3075)=1,1,0)</f>
        <v>0</v>
      </c>
    </row>
    <row r="3076" customFormat="false" ht="15" hidden="false" customHeight="false" outlineLevel="0" collapsed="false">
      <c r="A3076" s="0" t="s">
        <v>682</v>
      </c>
      <c r="B3076" s="0" t="s">
        <v>121</v>
      </c>
      <c r="C3076" s="0" t="s">
        <v>122</v>
      </c>
      <c r="D3076" s="0" t="n">
        <v>2</v>
      </c>
      <c r="E3076" s="5" t="n">
        <v>45979.4839467593</v>
      </c>
      <c r="F3076" s="0" t="n">
        <v>2.1</v>
      </c>
      <c r="G3076" s="0" t="n">
        <v>17172</v>
      </c>
      <c r="H3076" s="6" t="s">
        <v>42</v>
      </c>
      <c r="I3076" s="6" t="n">
        <f aca="false">D3076*F3076</f>
        <v>4.2</v>
      </c>
      <c r="J3076" s="6" t="n">
        <f aca="false">HOUR(E3076)</f>
        <v>11</v>
      </c>
      <c r="K3076" s="6" t="n">
        <f aca="false">IF(COUNTIF($A$2:$A3076,A3076)=1,1,0)</f>
        <v>0</v>
      </c>
    </row>
    <row r="3077" customFormat="false" ht="15" hidden="false" customHeight="false" outlineLevel="0" collapsed="false">
      <c r="A3077" s="0" t="s">
        <v>682</v>
      </c>
      <c r="B3077" s="0" t="s">
        <v>109</v>
      </c>
      <c r="C3077" s="0" t="s">
        <v>110</v>
      </c>
      <c r="D3077" s="0" t="n">
        <v>16</v>
      </c>
      <c r="E3077" s="5" t="n">
        <v>45979.4839467593</v>
      </c>
      <c r="F3077" s="0" t="n">
        <v>0.85</v>
      </c>
      <c r="G3077" s="0" t="n">
        <v>17172</v>
      </c>
      <c r="H3077" s="6" t="s">
        <v>42</v>
      </c>
      <c r="I3077" s="6" t="n">
        <f aca="false">D3077*F3077</f>
        <v>13.6</v>
      </c>
      <c r="J3077" s="6" t="n">
        <f aca="false">HOUR(E3077)</f>
        <v>11</v>
      </c>
      <c r="K3077" s="6" t="n">
        <f aca="false">IF(COUNTIF($A$2:$A3077,A3077)=1,1,0)</f>
        <v>0</v>
      </c>
    </row>
    <row r="3078" customFormat="false" ht="15" hidden="false" customHeight="false" outlineLevel="0" collapsed="false">
      <c r="A3078" s="0" t="s">
        <v>683</v>
      </c>
      <c r="B3078" s="0" t="s">
        <v>50</v>
      </c>
      <c r="C3078" s="0" t="s">
        <v>51</v>
      </c>
      <c r="D3078" s="0" t="n">
        <v>15</v>
      </c>
      <c r="E3078" s="5" t="n">
        <v>45979.4948842593</v>
      </c>
      <c r="F3078" s="0" t="n">
        <v>5.95</v>
      </c>
      <c r="G3078" s="0" t="n">
        <v>17004</v>
      </c>
      <c r="H3078" s="6" t="s">
        <v>74</v>
      </c>
      <c r="I3078" s="6" t="n">
        <f aca="false">D3078*F3078</f>
        <v>89.25</v>
      </c>
      <c r="J3078" s="6" t="n">
        <f aca="false">HOUR(E3078)</f>
        <v>11</v>
      </c>
      <c r="K3078" s="6" t="n">
        <f aca="false">IF(COUNTIF($A$2:$A3078,A3078)=1,1,0)</f>
        <v>1</v>
      </c>
    </row>
    <row r="3079" customFormat="false" ht="15" hidden="false" customHeight="false" outlineLevel="0" collapsed="false">
      <c r="A3079" s="0" t="s">
        <v>683</v>
      </c>
      <c r="B3079" s="0" t="s">
        <v>72</v>
      </c>
      <c r="D3079" s="0" t="n">
        <v>7</v>
      </c>
      <c r="E3079" s="5" t="n">
        <v>45979.4948842593</v>
      </c>
      <c r="F3079" s="0" t="n">
        <v>4.95</v>
      </c>
      <c r="G3079" s="0" t="n">
        <v>17004</v>
      </c>
      <c r="H3079" s="6" t="s">
        <v>74</v>
      </c>
      <c r="I3079" s="6" t="n">
        <f aca="false">D3079*F3079</f>
        <v>34.65</v>
      </c>
      <c r="J3079" s="6" t="n">
        <f aca="false">HOUR(E3079)</f>
        <v>11</v>
      </c>
      <c r="K3079" s="6" t="n">
        <f aca="false">IF(COUNTIF($A$2:$A3079,A3079)=1,1,0)</f>
        <v>0</v>
      </c>
    </row>
    <row r="3080" customFormat="false" ht="15" hidden="false" customHeight="false" outlineLevel="0" collapsed="false">
      <c r="A3080" s="0" t="s">
        <v>684</v>
      </c>
      <c r="B3080" s="0" t="s">
        <v>95</v>
      </c>
      <c r="C3080" s="0" t="s">
        <v>96</v>
      </c>
      <c r="D3080" s="0" t="n">
        <v>28</v>
      </c>
      <c r="E3080" s="5" t="n">
        <v>45979.5072106482</v>
      </c>
      <c r="F3080" s="0" t="n">
        <v>2.55</v>
      </c>
      <c r="G3080" s="0" t="n">
        <v>17127</v>
      </c>
      <c r="H3080" s="6" t="s">
        <v>74</v>
      </c>
      <c r="I3080" s="6" t="n">
        <f aca="false">D3080*F3080</f>
        <v>71.4</v>
      </c>
      <c r="J3080" s="6" t="n">
        <f aca="false">HOUR(E3080)</f>
        <v>12</v>
      </c>
      <c r="K3080" s="6" t="n">
        <f aca="false">IF(COUNTIF($A$2:$A3080,A3080)=1,1,0)</f>
        <v>1</v>
      </c>
    </row>
    <row r="3081" customFormat="false" ht="15" hidden="false" customHeight="false" outlineLevel="0" collapsed="false">
      <c r="A3081" s="0" t="s">
        <v>684</v>
      </c>
      <c r="B3081" s="0" t="s">
        <v>114</v>
      </c>
      <c r="C3081" s="0" t="s">
        <v>115</v>
      </c>
      <c r="D3081" s="0" t="n">
        <v>2</v>
      </c>
      <c r="E3081" s="5" t="n">
        <v>45979.5072106482</v>
      </c>
      <c r="F3081" s="0" t="n">
        <v>2.08</v>
      </c>
      <c r="G3081" s="0" t="n">
        <v>17127</v>
      </c>
      <c r="H3081" s="6" t="s">
        <v>74</v>
      </c>
      <c r="I3081" s="6" t="n">
        <f aca="false">D3081*F3081</f>
        <v>4.16</v>
      </c>
      <c r="J3081" s="6" t="n">
        <f aca="false">HOUR(E3081)</f>
        <v>12</v>
      </c>
      <c r="K3081" s="6" t="n">
        <f aca="false">IF(COUNTIF($A$2:$A3081,A3081)=1,1,0)</f>
        <v>0</v>
      </c>
    </row>
    <row r="3082" customFormat="false" ht="15" hidden="false" customHeight="false" outlineLevel="0" collapsed="false">
      <c r="A3082" s="0" t="s">
        <v>684</v>
      </c>
      <c r="B3082" s="0" t="s">
        <v>83</v>
      </c>
      <c r="C3082" s="0" t="s">
        <v>84</v>
      </c>
      <c r="D3082" s="0" t="n">
        <v>20</v>
      </c>
      <c r="E3082" s="5" t="n">
        <v>45979.5072106482</v>
      </c>
      <c r="F3082" s="0" t="n">
        <v>2.95</v>
      </c>
      <c r="G3082" s="0" t="n">
        <v>17127</v>
      </c>
      <c r="H3082" s="6" t="s">
        <v>74</v>
      </c>
      <c r="I3082" s="6" t="n">
        <f aca="false">D3082*F3082</f>
        <v>59</v>
      </c>
      <c r="J3082" s="6" t="n">
        <f aca="false">HOUR(E3082)</f>
        <v>12</v>
      </c>
      <c r="K3082" s="6" t="n">
        <f aca="false">IF(COUNTIF($A$2:$A3082,A3082)=1,1,0)</f>
        <v>0</v>
      </c>
    </row>
    <row r="3083" customFormat="false" ht="15" hidden="false" customHeight="false" outlineLevel="0" collapsed="false">
      <c r="A3083" s="0" t="s">
        <v>684</v>
      </c>
      <c r="B3083" s="0" t="s">
        <v>118</v>
      </c>
      <c r="C3083" s="0" t="s">
        <v>119</v>
      </c>
      <c r="D3083" s="0" t="n">
        <v>31</v>
      </c>
      <c r="E3083" s="5" t="n">
        <v>45979.5072106482</v>
      </c>
      <c r="F3083" s="0" t="n">
        <v>4.95</v>
      </c>
      <c r="G3083" s="0" t="n">
        <v>17127</v>
      </c>
      <c r="H3083" s="6" t="s">
        <v>74</v>
      </c>
      <c r="I3083" s="6" t="n">
        <f aca="false">D3083*F3083</f>
        <v>153.45</v>
      </c>
      <c r="J3083" s="6" t="n">
        <f aca="false">HOUR(E3083)</f>
        <v>12</v>
      </c>
      <c r="K3083" s="6" t="n">
        <f aca="false">IF(COUNTIF($A$2:$A3083,A3083)=1,1,0)</f>
        <v>0</v>
      </c>
    </row>
    <row r="3084" customFormat="false" ht="15" hidden="false" customHeight="false" outlineLevel="0" collapsed="false">
      <c r="A3084" s="0" t="s">
        <v>684</v>
      </c>
      <c r="B3084" s="0" t="s">
        <v>57</v>
      </c>
      <c r="C3084" s="0" t="s">
        <v>58</v>
      </c>
      <c r="D3084" s="0" t="n">
        <v>2</v>
      </c>
      <c r="E3084" s="5" t="n">
        <v>45979.5072106482</v>
      </c>
      <c r="F3084" s="0" t="n">
        <v>2.08</v>
      </c>
      <c r="G3084" s="0" t="n">
        <v>17127</v>
      </c>
      <c r="H3084" s="6" t="s">
        <v>74</v>
      </c>
      <c r="I3084" s="6" t="n">
        <f aca="false">D3084*F3084</f>
        <v>4.16</v>
      </c>
      <c r="J3084" s="6" t="n">
        <f aca="false">HOUR(E3084)</f>
        <v>12</v>
      </c>
      <c r="K3084" s="6" t="n">
        <f aca="false">IF(COUNTIF($A$2:$A3084,A3084)=1,1,0)</f>
        <v>0</v>
      </c>
    </row>
    <row r="3085" customFormat="false" ht="15" hidden="false" customHeight="false" outlineLevel="0" collapsed="false">
      <c r="A3085" s="0" t="s">
        <v>684</v>
      </c>
      <c r="B3085" s="0" t="s">
        <v>61</v>
      </c>
      <c r="C3085" s="0" t="s">
        <v>62</v>
      </c>
      <c r="D3085" s="0" t="n">
        <v>21</v>
      </c>
      <c r="E3085" s="5" t="n">
        <v>45979.5072106482</v>
      </c>
      <c r="F3085" s="0" t="n">
        <v>1.65</v>
      </c>
      <c r="G3085" s="0" t="n">
        <v>17127</v>
      </c>
      <c r="H3085" s="6" t="s">
        <v>74</v>
      </c>
      <c r="I3085" s="6" t="n">
        <f aca="false">D3085*F3085</f>
        <v>34.65</v>
      </c>
      <c r="J3085" s="6" t="n">
        <f aca="false">HOUR(E3085)</f>
        <v>12</v>
      </c>
      <c r="K3085" s="6" t="n">
        <f aca="false">IF(COUNTIF($A$2:$A3085,A3085)=1,1,0)</f>
        <v>0</v>
      </c>
    </row>
    <row r="3086" customFormat="false" ht="15" hidden="false" customHeight="false" outlineLevel="0" collapsed="false">
      <c r="A3086" s="0" t="s">
        <v>684</v>
      </c>
      <c r="B3086" s="0" t="s">
        <v>55</v>
      </c>
      <c r="C3086" s="0" t="s">
        <v>56</v>
      </c>
      <c r="D3086" s="0" t="n">
        <v>20</v>
      </c>
      <c r="E3086" s="5" t="n">
        <v>45979.5072106482</v>
      </c>
      <c r="F3086" s="0" t="n">
        <v>1.65</v>
      </c>
      <c r="G3086" s="0" t="n">
        <v>17127</v>
      </c>
      <c r="H3086" s="6" t="s">
        <v>74</v>
      </c>
      <c r="I3086" s="6" t="n">
        <f aca="false">D3086*F3086</f>
        <v>33</v>
      </c>
      <c r="J3086" s="6" t="n">
        <f aca="false">HOUR(E3086)</f>
        <v>12</v>
      </c>
      <c r="K3086" s="6" t="n">
        <f aca="false">IF(COUNTIF($A$2:$A3086,A3086)=1,1,0)</f>
        <v>0</v>
      </c>
    </row>
    <row r="3087" customFormat="false" ht="15" hidden="false" customHeight="false" outlineLevel="0" collapsed="false">
      <c r="A3087" s="0" t="s">
        <v>684</v>
      </c>
      <c r="B3087" s="0" t="s">
        <v>63</v>
      </c>
      <c r="C3087" s="0" t="s">
        <v>64</v>
      </c>
      <c r="D3087" s="0" t="n">
        <v>10</v>
      </c>
      <c r="E3087" s="5" t="n">
        <v>45979.5072106482</v>
      </c>
      <c r="F3087" s="0" t="n">
        <v>1.85</v>
      </c>
      <c r="G3087" s="0" t="n">
        <v>17127</v>
      </c>
      <c r="H3087" s="6" t="s">
        <v>74</v>
      </c>
      <c r="I3087" s="6" t="n">
        <f aca="false">D3087*F3087</f>
        <v>18.5</v>
      </c>
      <c r="J3087" s="6" t="n">
        <f aca="false">HOUR(E3087)</f>
        <v>12</v>
      </c>
      <c r="K3087" s="6" t="n">
        <f aca="false">IF(COUNTIF($A$2:$A3087,A3087)=1,1,0)</f>
        <v>0</v>
      </c>
    </row>
    <row r="3088" customFormat="false" ht="15" hidden="false" customHeight="false" outlineLevel="0" collapsed="false">
      <c r="A3088" s="0" t="s">
        <v>684</v>
      </c>
      <c r="B3088" s="0" t="s">
        <v>45</v>
      </c>
      <c r="C3088" s="0" t="s">
        <v>46</v>
      </c>
      <c r="D3088" s="0" t="n">
        <v>10</v>
      </c>
      <c r="E3088" s="5" t="n">
        <v>45979.5072106482</v>
      </c>
      <c r="F3088" s="0" t="n">
        <v>2.1</v>
      </c>
      <c r="G3088" s="0" t="n">
        <v>17127</v>
      </c>
      <c r="H3088" s="6" t="s">
        <v>74</v>
      </c>
      <c r="I3088" s="6" t="n">
        <f aca="false">D3088*F3088</f>
        <v>21</v>
      </c>
      <c r="J3088" s="6" t="n">
        <f aca="false">HOUR(E3088)</f>
        <v>12</v>
      </c>
      <c r="K3088" s="6" t="n">
        <f aca="false">IF(COUNTIF($A$2:$A3088,A3088)=1,1,0)</f>
        <v>0</v>
      </c>
    </row>
    <row r="3089" customFormat="false" ht="15" hidden="false" customHeight="false" outlineLevel="0" collapsed="false">
      <c r="A3089" s="0" t="s">
        <v>685</v>
      </c>
      <c r="B3089" s="0" t="s">
        <v>79</v>
      </c>
      <c r="C3089" s="0" t="s">
        <v>80</v>
      </c>
      <c r="D3089" s="0" t="n">
        <v>24</v>
      </c>
      <c r="E3089" s="5" t="n">
        <v>45979.5386342593</v>
      </c>
      <c r="F3089" s="0" t="n">
        <v>3.39</v>
      </c>
      <c r="G3089" s="0" t="n">
        <v>17111</v>
      </c>
      <c r="H3089" s="6" t="s">
        <v>74</v>
      </c>
      <c r="I3089" s="6" t="n">
        <f aca="false">D3089*F3089</f>
        <v>81.36</v>
      </c>
      <c r="J3089" s="6" t="n">
        <f aca="false">HOUR(E3089)</f>
        <v>12</v>
      </c>
      <c r="K3089" s="6" t="n">
        <f aca="false">IF(COUNTIF($A$2:$A3089,A3089)=1,1,0)</f>
        <v>1</v>
      </c>
    </row>
    <row r="3090" customFormat="false" ht="15" hidden="false" customHeight="false" outlineLevel="0" collapsed="false">
      <c r="A3090" s="0" t="s">
        <v>685</v>
      </c>
      <c r="B3090" s="0" t="s">
        <v>55</v>
      </c>
      <c r="C3090" s="0" t="s">
        <v>56</v>
      </c>
      <c r="D3090" s="0" t="n">
        <v>9</v>
      </c>
      <c r="E3090" s="5" t="n">
        <v>45979.5386342593</v>
      </c>
      <c r="F3090" s="0" t="n">
        <v>1.65</v>
      </c>
      <c r="G3090" s="0" t="n">
        <v>17111</v>
      </c>
      <c r="H3090" s="6" t="s">
        <v>74</v>
      </c>
      <c r="I3090" s="6" t="n">
        <f aca="false">D3090*F3090</f>
        <v>14.85</v>
      </c>
      <c r="J3090" s="6" t="n">
        <f aca="false">HOUR(E3090)</f>
        <v>12</v>
      </c>
      <c r="K3090" s="6" t="n">
        <f aca="false">IF(COUNTIF($A$2:$A3090,A3090)=1,1,0)</f>
        <v>0</v>
      </c>
    </row>
    <row r="3091" customFormat="false" ht="15" hidden="false" customHeight="false" outlineLevel="0" collapsed="false">
      <c r="A3091" s="0" t="s">
        <v>686</v>
      </c>
      <c r="B3091" s="0" t="s">
        <v>145</v>
      </c>
      <c r="C3091" s="0" t="s">
        <v>146</v>
      </c>
      <c r="D3091" s="0" t="n">
        <v>11</v>
      </c>
      <c r="E3091" s="5" t="n">
        <v>45979.5455439815</v>
      </c>
      <c r="F3091" s="0" t="n">
        <v>1.85</v>
      </c>
      <c r="G3091" s="0" t="n">
        <v>17185</v>
      </c>
      <c r="H3091" s="6" t="s">
        <v>151</v>
      </c>
      <c r="I3091" s="6" t="n">
        <f aca="false">D3091*F3091</f>
        <v>20.35</v>
      </c>
      <c r="J3091" s="6" t="n">
        <f aca="false">HOUR(E3091)</f>
        <v>13</v>
      </c>
      <c r="K3091" s="6" t="n">
        <f aca="false">IF(COUNTIF($A$2:$A3091,A3091)=1,1,0)</f>
        <v>1</v>
      </c>
    </row>
    <row r="3092" customFormat="false" ht="15" hidden="false" customHeight="false" outlineLevel="0" collapsed="false">
      <c r="A3092" s="0" t="s">
        <v>686</v>
      </c>
      <c r="B3092" s="0" t="s">
        <v>107</v>
      </c>
      <c r="C3092" s="0" t="s">
        <v>108</v>
      </c>
      <c r="D3092" s="0" t="n">
        <v>12</v>
      </c>
      <c r="E3092" s="5" t="n">
        <v>45979.5455439815</v>
      </c>
      <c r="F3092" s="0" t="n">
        <v>3.75</v>
      </c>
      <c r="G3092" s="0" t="n">
        <v>17185</v>
      </c>
      <c r="H3092" s="6" t="s">
        <v>151</v>
      </c>
      <c r="I3092" s="6" t="n">
        <f aca="false">D3092*F3092</f>
        <v>45</v>
      </c>
      <c r="J3092" s="6" t="n">
        <f aca="false">HOUR(E3092)</f>
        <v>13</v>
      </c>
      <c r="K3092" s="6" t="n">
        <f aca="false">IF(COUNTIF($A$2:$A3092,A3092)=1,1,0)</f>
        <v>0</v>
      </c>
    </row>
    <row r="3093" customFormat="false" ht="15" hidden="false" customHeight="false" outlineLevel="0" collapsed="false">
      <c r="A3093" s="0" t="s">
        <v>686</v>
      </c>
      <c r="B3093" s="0" t="s">
        <v>88</v>
      </c>
      <c r="C3093" s="0" t="s">
        <v>89</v>
      </c>
      <c r="D3093" s="0" t="n">
        <v>9</v>
      </c>
      <c r="E3093" s="5" t="n">
        <v>45979.5455439815</v>
      </c>
      <c r="F3093" s="0" t="n">
        <v>2.75</v>
      </c>
      <c r="G3093" s="0" t="n">
        <v>17185</v>
      </c>
      <c r="H3093" s="6" t="s">
        <v>151</v>
      </c>
      <c r="I3093" s="6" t="n">
        <f aca="false">D3093*F3093</f>
        <v>24.75</v>
      </c>
      <c r="J3093" s="6" t="n">
        <f aca="false">HOUR(E3093)</f>
        <v>13</v>
      </c>
      <c r="K3093" s="6" t="n">
        <f aca="false">IF(COUNTIF($A$2:$A3093,A3093)=1,1,0)</f>
        <v>0</v>
      </c>
    </row>
    <row r="3094" customFormat="false" ht="15" hidden="false" customHeight="false" outlineLevel="0" collapsed="false">
      <c r="A3094" s="0" t="s">
        <v>686</v>
      </c>
      <c r="B3094" s="0" t="s">
        <v>59</v>
      </c>
      <c r="C3094" s="0" t="s">
        <v>60</v>
      </c>
      <c r="D3094" s="0" t="n">
        <v>22</v>
      </c>
      <c r="E3094" s="5" t="n">
        <v>45979.5455439815</v>
      </c>
      <c r="F3094" s="0" t="n">
        <v>0.42</v>
      </c>
      <c r="G3094" s="0" t="n">
        <v>17185</v>
      </c>
      <c r="H3094" s="6" t="s">
        <v>151</v>
      </c>
      <c r="I3094" s="6" t="n">
        <f aca="false">D3094*F3094</f>
        <v>9.24</v>
      </c>
      <c r="J3094" s="6" t="n">
        <f aca="false">HOUR(E3094)</f>
        <v>13</v>
      </c>
      <c r="K3094" s="6" t="n">
        <f aca="false">IF(COUNTIF($A$2:$A3094,A3094)=1,1,0)</f>
        <v>0</v>
      </c>
    </row>
    <row r="3095" customFormat="false" ht="15" hidden="false" customHeight="false" outlineLevel="0" collapsed="false">
      <c r="A3095" s="0" t="s">
        <v>686</v>
      </c>
      <c r="B3095" s="0" t="s">
        <v>61</v>
      </c>
      <c r="C3095" s="0" t="s">
        <v>62</v>
      </c>
      <c r="D3095" s="0" t="n">
        <v>20</v>
      </c>
      <c r="E3095" s="5" t="n">
        <v>45979.5455439815</v>
      </c>
      <c r="F3095" s="0" t="n">
        <v>1.65</v>
      </c>
      <c r="G3095" s="0" t="n">
        <v>17185</v>
      </c>
      <c r="H3095" s="6" t="s">
        <v>151</v>
      </c>
      <c r="I3095" s="6" t="n">
        <f aca="false">D3095*F3095</f>
        <v>33</v>
      </c>
      <c r="J3095" s="6" t="n">
        <f aca="false">HOUR(E3095)</f>
        <v>13</v>
      </c>
      <c r="K3095" s="6" t="n">
        <f aca="false">IF(COUNTIF($A$2:$A3095,A3095)=1,1,0)</f>
        <v>0</v>
      </c>
    </row>
    <row r="3096" customFormat="false" ht="15" hidden="false" customHeight="false" outlineLevel="0" collapsed="false">
      <c r="A3096" s="0" t="s">
        <v>686</v>
      </c>
      <c r="B3096" s="0" t="s">
        <v>91</v>
      </c>
      <c r="C3096" s="0" t="s">
        <v>92</v>
      </c>
      <c r="D3096" s="0" t="n">
        <v>18</v>
      </c>
      <c r="E3096" s="5" t="n">
        <v>45979.5455439815</v>
      </c>
      <c r="F3096" s="0" t="n">
        <v>7.65</v>
      </c>
      <c r="G3096" s="0" t="n">
        <v>17185</v>
      </c>
      <c r="H3096" s="6" t="s">
        <v>151</v>
      </c>
      <c r="I3096" s="6" t="n">
        <f aca="false">D3096*F3096</f>
        <v>137.7</v>
      </c>
      <c r="J3096" s="6" t="n">
        <f aca="false">HOUR(E3096)</f>
        <v>13</v>
      </c>
      <c r="K3096" s="6" t="n">
        <f aca="false">IF(COUNTIF($A$2:$A3096,A3096)=1,1,0)</f>
        <v>0</v>
      </c>
    </row>
    <row r="3097" customFormat="false" ht="15" hidden="false" customHeight="false" outlineLevel="0" collapsed="false">
      <c r="A3097" s="0" t="s">
        <v>686</v>
      </c>
      <c r="B3097" s="0" t="s">
        <v>86</v>
      </c>
      <c r="C3097" s="0" t="s">
        <v>87</v>
      </c>
      <c r="D3097" s="0" t="n">
        <v>9</v>
      </c>
      <c r="E3097" s="5" t="n">
        <v>45979.5455439815</v>
      </c>
      <c r="F3097" s="0" t="n">
        <v>4.25</v>
      </c>
      <c r="G3097" s="0" t="n">
        <v>17185</v>
      </c>
      <c r="H3097" s="6" t="s">
        <v>151</v>
      </c>
      <c r="I3097" s="6" t="n">
        <f aca="false">D3097*F3097</f>
        <v>38.25</v>
      </c>
      <c r="J3097" s="6" t="n">
        <f aca="false">HOUR(E3097)</f>
        <v>13</v>
      </c>
      <c r="K3097" s="6" t="n">
        <f aca="false">IF(COUNTIF($A$2:$A3097,A3097)=1,1,0)</f>
        <v>0</v>
      </c>
    </row>
    <row r="3098" customFormat="false" ht="15" hidden="false" customHeight="false" outlineLevel="0" collapsed="false">
      <c r="A3098" s="0" t="s">
        <v>686</v>
      </c>
      <c r="B3098" s="0" t="s">
        <v>69</v>
      </c>
      <c r="C3098" s="0" t="s">
        <v>70</v>
      </c>
      <c r="D3098" s="0" t="n">
        <v>41</v>
      </c>
      <c r="E3098" s="5" t="n">
        <v>45979.5455439815</v>
      </c>
      <c r="F3098" s="0" t="n">
        <v>2.08</v>
      </c>
      <c r="G3098" s="0" t="n">
        <v>17185</v>
      </c>
      <c r="H3098" s="6" t="s">
        <v>151</v>
      </c>
      <c r="I3098" s="6" t="n">
        <f aca="false">D3098*F3098</f>
        <v>85.28</v>
      </c>
      <c r="J3098" s="6" t="n">
        <f aca="false">HOUR(E3098)</f>
        <v>13</v>
      </c>
      <c r="K3098" s="6" t="n">
        <f aca="false">IF(COUNTIF($A$2:$A3098,A3098)=1,1,0)</f>
        <v>0</v>
      </c>
    </row>
    <row r="3099" customFormat="false" ht="15" hidden="false" customHeight="false" outlineLevel="0" collapsed="false">
      <c r="A3099" s="0" t="s">
        <v>686</v>
      </c>
      <c r="B3099" s="0" t="s">
        <v>75</v>
      </c>
      <c r="C3099" s="0" t="s">
        <v>76</v>
      </c>
      <c r="D3099" s="0" t="n">
        <v>12</v>
      </c>
      <c r="E3099" s="5" t="n">
        <v>45979.5455439815</v>
      </c>
      <c r="F3099" s="0" t="n">
        <v>3.39</v>
      </c>
      <c r="G3099" s="0" t="n">
        <v>17185</v>
      </c>
      <c r="H3099" s="6" t="s">
        <v>151</v>
      </c>
      <c r="I3099" s="6" t="n">
        <f aca="false">D3099*F3099</f>
        <v>40.68</v>
      </c>
      <c r="J3099" s="6" t="n">
        <f aca="false">HOUR(E3099)</f>
        <v>13</v>
      </c>
      <c r="K3099" s="6" t="n">
        <f aca="false">IF(COUNTIF($A$2:$A3099,A3099)=1,1,0)</f>
        <v>0</v>
      </c>
    </row>
    <row r="3100" customFormat="false" ht="15" hidden="false" customHeight="false" outlineLevel="0" collapsed="false">
      <c r="A3100" s="0" t="s">
        <v>686</v>
      </c>
      <c r="B3100" s="0" t="s">
        <v>125</v>
      </c>
      <c r="C3100" s="0" t="s">
        <v>126</v>
      </c>
      <c r="D3100" s="0" t="n">
        <v>6</v>
      </c>
      <c r="E3100" s="5" t="n">
        <v>45979.5455439815</v>
      </c>
      <c r="F3100" s="0" t="n">
        <v>1.25</v>
      </c>
      <c r="G3100" s="0" t="n">
        <v>17185</v>
      </c>
      <c r="H3100" s="6" t="s">
        <v>151</v>
      </c>
      <c r="I3100" s="6" t="n">
        <f aca="false">D3100*F3100</f>
        <v>7.5</v>
      </c>
      <c r="J3100" s="6" t="n">
        <f aca="false">HOUR(E3100)</f>
        <v>13</v>
      </c>
      <c r="K3100" s="6" t="n">
        <f aca="false">IF(COUNTIF($A$2:$A3100,A3100)=1,1,0)</f>
        <v>0</v>
      </c>
    </row>
    <row r="3101" customFormat="false" ht="15" hidden="false" customHeight="false" outlineLevel="0" collapsed="false">
      <c r="A3101" s="0" t="s">
        <v>687</v>
      </c>
      <c r="B3101" s="0" t="s">
        <v>88</v>
      </c>
      <c r="C3101" s="0" t="s">
        <v>89</v>
      </c>
      <c r="D3101" s="0" t="n">
        <v>6</v>
      </c>
      <c r="E3101" s="5" t="n">
        <v>45979.557337963</v>
      </c>
      <c r="F3101" s="0" t="n">
        <v>2.75</v>
      </c>
      <c r="G3101" s="0" t="n">
        <v>17115</v>
      </c>
      <c r="H3101" s="6" t="s">
        <v>113</v>
      </c>
      <c r="I3101" s="6" t="n">
        <f aca="false">D3101*F3101</f>
        <v>16.5</v>
      </c>
      <c r="J3101" s="6" t="n">
        <f aca="false">HOUR(E3101)</f>
        <v>13</v>
      </c>
      <c r="K3101" s="6" t="n">
        <f aca="false">IF(COUNTIF($A$2:$A3101,A3101)=1,1,0)</f>
        <v>1</v>
      </c>
    </row>
    <row r="3102" customFormat="false" ht="15" hidden="false" customHeight="false" outlineLevel="0" collapsed="false">
      <c r="A3102" s="0" t="s">
        <v>687</v>
      </c>
      <c r="B3102" s="0" t="s">
        <v>75</v>
      </c>
      <c r="C3102" s="0" t="s">
        <v>76</v>
      </c>
      <c r="D3102" s="0" t="n">
        <v>4</v>
      </c>
      <c r="E3102" s="5" t="n">
        <v>45979.557337963</v>
      </c>
      <c r="F3102" s="0" t="n">
        <v>3.39</v>
      </c>
      <c r="G3102" s="0" t="n">
        <v>17115</v>
      </c>
      <c r="H3102" s="6" t="s">
        <v>113</v>
      </c>
      <c r="I3102" s="6" t="n">
        <f aca="false">D3102*F3102</f>
        <v>13.56</v>
      </c>
      <c r="J3102" s="6" t="n">
        <f aca="false">HOUR(E3102)</f>
        <v>13</v>
      </c>
      <c r="K3102" s="6" t="n">
        <f aca="false">IF(COUNTIF($A$2:$A3102,A3102)=1,1,0)</f>
        <v>0</v>
      </c>
    </row>
    <row r="3103" customFormat="false" ht="15" hidden="false" customHeight="false" outlineLevel="0" collapsed="false">
      <c r="A3103" s="0" t="s">
        <v>687</v>
      </c>
      <c r="B3103" s="0" t="s">
        <v>134</v>
      </c>
      <c r="C3103" s="0" t="s">
        <v>135</v>
      </c>
      <c r="D3103" s="0" t="n">
        <v>11</v>
      </c>
      <c r="E3103" s="5" t="n">
        <v>45979.557337963</v>
      </c>
      <c r="F3103" s="0" t="n">
        <v>5.95</v>
      </c>
      <c r="G3103" s="0" t="n">
        <v>17115</v>
      </c>
      <c r="H3103" s="6" t="s">
        <v>113</v>
      </c>
      <c r="I3103" s="6" t="n">
        <f aca="false">D3103*F3103</f>
        <v>65.45</v>
      </c>
      <c r="J3103" s="6" t="n">
        <f aca="false">HOUR(E3103)</f>
        <v>13</v>
      </c>
      <c r="K3103" s="6" t="n">
        <f aca="false">IF(COUNTIF($A$2:$A3103,A3103)=1,1,0)</f>
        <v>0</v>
      </c>
    </row>
    <row r="3104" customFormat="false" ht="15" hidden="false" customHeight="false" outlineLevel="0" collapsed="false">
      <c r="A3104" s="0" t="s">
        <v>688</v>
      </c>
      <c r="B3104" s="0" t="s">
        <v>137</v>
      </c>
      <c r="C3104" s="0" t="s">
        <v>138</v>
      </c>
      <c r="D3104" s="0" t="n">
        <v>6</v>
      </c>
      <c r="E3104" s="5" t="n">
        <v>45979.5648032407</v>
      </c>
      <c r="F3104" s="0" t="n">
        <v>2.1</v>
      </c>
      <c r="G3104" s="0" t="n">
        <v>17102</v>
      </c>
      <c r="H3104" s="6" t="s">
        <v>74</v>
      </c>
      <c r="I3104" s="6" t="n">
        <f aca="false">D3104*F3104</f>
        <v>12.6</v>
      </c>
      <c r="J3104" s="6" t="n">
        <f aca="false">HOUR(E3104)</f>
        <v>13</v>
      </c>
      <c r="K3104" s="6" t="n">
        <f aca="false">IF(COUNTIF($A$2:$A3104,A3104)=1,1,0)</f>
        <v>1</v>
      </c>
    </row>
    <row r="3105" customFormat="false" ht="15" hidden="false" customHeight="false" outlineLevel="0" collapsed="false">
      <c r="A3105" s="0" t="s">
        <v>688</v>
      </c>
      <c r="B3105" s="0" t="s">
        <v>140</v>
      </c>
      <c r="C3105" s="0" t="s">
        <v>141</v>
      </c>
      <c r="D3105" s="0" t="n">
        <v>6</v>
      </c>
      <c r="E3105" s="5" t="n">
        <v>45979.5648032407</v>
      </c>
      <c r="F3105" s="0" t="n">
        <v>2.08</v>
      </c>
      <c r="G3105" s="0" t="n">
        <v>17102</v>
      </c>
      <c r="H3105" s="6" t="s">
        <v>74</v>
      </c>
      <c r="I3105" s="6" t="n">
        <f aca="false">D3105*F3105</f>
        <v>12.48</v>
      </c>
      <c r="J3105" s="6" t="n">
        <f aca="false">HOUR(E3105)</f>
        <v>13</v>
      </c>
      <c r="K3105" s="6" t="n">
        <f aca="false">IF(COUNTIF($A$2:$A3105,A3105)=1,1,0)</f>
        <v>0</v>
      </c>
    </row>
    <row r="3106" customFormat="false" ht="15" hidden="false" customHeight="false" outlineLevel="0" collapsed="false">
      <c r="A3106" s="0" t="s">
        <v>688</v>
      </c>
      <c r="B3106" s="0" t="s">
        <v>93</v>
      </c>
      <c r="D3106" s="0" t="n">
        <v>9</v>
      </c>
      <c r="E3106" s="5" t="n">
        <v>45979.5648032407</v>
      </c>
      <c r="F3106" s="0" t="n">
        <v>1.69</v>
      </c>
      <c r="G3106" s="0" t="n">
        <v>17102</v>
      </c>
      <c r="H3106" s="6" t="s">
        <v>74</v>
      </c>
      <c r="I3106" s="6" t="n">
        <f aca="false">D3106*F3106</f>
        <v>15.21</v>
      </c>
      <c r="J3106" s="6" t="n">
        <f aca="false">HOUR(E3106)</f>
        <v>13</v>
      </c>
      <c r="K3106" s="6" t="n">
        <f aca="false">IF(COUNTIF($A$2:$A3106,A3106)=1,1,0)</f>
        <v>0</v>
      </c>
    </row>
    <row r="3107" customFormat="false" ht="15" hidden="false" customHeight="false" outlineLevel="0" collapsed="false">
      <c r="A3107" s="0" t="s">
        <v>688</v>
      </c>
      <c r="B3107" s="0" t="s">
        <v>43</v>
      </c>
      <c r="C3107" s="0" t="s">
        <v>44</v>
      </c>
      <c r="D3107" s="0" t="n">
        <v>16</v>
      </c>
      <c r="E3107" s="5" t="n">
        <v>45979.5648032407</v>
      </c>
      <c r="F3107" s="0" t="n">
        <v>4.25</v>
      </c>
      <c r="G3107" s="0" t="n">
        <v>17102</v>
      </c>
      <c r="H3107" s="6" t="s">
        <v>74</v>
      </c>
      <c r="I3107" s="6" t="n">
        <f aca="false">D3107*F3107</f>
        <v>68</v>
      </c>
      <c r="J3107" s="6" t="n">
        <f aca="false">HOUR(E3107)</f>
        <v>13</v>
      </c>
      <c r="K3107" s="6" t="n">
        <f aca="false">IF(COUNTIF($A$2:$A3107,A3107)=1,1,0)</f>
        <v>0</v>
      </c>
    </row>
    <row r="3108" customFormat="false" ht="15" hidden="false" customHeight="false" outlineLevel="0" collapsed="false">
      <c r="A3108" s="0" t="s">
        <v>688</v>
      </c>
      <c r="B3108" s="0" t="s">
        <v>50</v>
      </c>
      <c r="C3108" s="0" t="s">
        <v>51</v>
      </c>
      <c r="D3108" s="0" t="n">
        <v>2</v>
      </c>
      <c r="E3108" s="5" t="n">
        <v>45979.5648032407</v>
      </c>
      <c r="F3108" s="0" t="n">
        <v>5.95</v>
      </c>
      <c r="G3108" s="0" t="n">
        <v>17102</v>
      </c>
      <c r="H3108" s="6" t="s">
        <v>74</v>
      </c>
      <c r="I3108" s="6" t="n">
        <f aca="false">D3108*F3108</f>
        <v>11.9</v>
      </c>
      <c r="J3108" s="6" t="n">
        <f aca="false">HOUR(E3108)</f>
        <v>13</v>
      </c>
      <c r="K3108" s="6" t="n">
        <f aca="false">IF(COUNTIF($A$2:$A3108,A3108)=1,1,0)</f>
        <v>0</v>
      </c>
    </row>
    <row r="3109" customFormat="false" ht="15" hidden="false" customHeight="false" outlineLevel="0" collapsed="false">
      <c r="A3109" s="0" t="s">
        <v>688</v>
      </c>
      <c r="B3109" s="0" t="s">
        <v>125</v>
      </c>
      <c r="C3109" s="0" t="s">
        <v>126</v>
      </c>
      <c r="D3109" s="0" t="n">
        <v>6</v>
      </c>
      <c r="E3109" s="5" t="n">
        <v>45979.5648032407</v>
      </c>
      <c r="F3109" s="0" t="n">
        <v>1.25</v>
      </c>
      <c r="G3109" s="0" t="n">
        <v>17102</v>
      </c>
      <c r="H3109" s="6" t="s">
        <v>74</v>
      </c>
      <c r="I3109" s="6" t="n">
        <f aca="false">D3109*F3109</f>
        <v>7.5</v>
      </c>
      <c r="J3109" s="6" t="n">
        <f aca="false">HOUR(E3109)</f>
        <v>13</v>
      </c>
      <c r="K3109" s="6" t="n">
        <f aca="false">IF(COUNTIF($A$2:$A3109,A3109)=1,1,0)</f>
        <v>0</v>
      </c>
    </row>
    <row r="3110" customFormat="false" ht="15" hidden="false" customHeight="false" outlineLevel="0" collapsed="false">
      <c r="A3110" s="0" t="s">
        <v>689</v>
      </c>
      <c r="B3110" s="0" t="s">
        <v>75</v>
      </c>
      <c r="C3110" s="0" t="s">
        <v>76</v>
      </c>
      <c r="D3110" s="0" t="n">
        <v>10</v>
      </c>
      <c r="E3110" s="5" t="n">
        <v>45979.5903125</v>
      </c>
      <c r="F3110" s="0" t="n">
        <v>3.39</v>
      </c>
      <c r="G3110" s="0" t="n">
        <v>17138</v>
      </c>
      <c r="H3110" s="6" t="s">
        <v>98</v>
      </c>
      <c r="I3110" s="6" t="n">
        <f aca="false">D3110*F3110</f>
        <v>33.9</v>
      </c>
      <c r="J3110" s="6" t="n">
        <f aca="false">HOUR(E3110)</f>
        <v>14</v>
      </c>
      <c r="K3110" s="6" t="n">
        <f aca="false">IF(COUNTIF($A$2:$A3110,A3110)=1,1,0)</f>
        <v>1</v>
      </c>
    </row>
    <row r="3111" customFormat="false" ht="15" hidden="false" customHeight="false" outlineLevel="0" collapsed="false">
      <c r="A3111" s="0" t="s">
        <v>689</v>
      </c>
      <c r="B3111" s="0" t="s">
        <v>86</v>
      </c>
      <c r="C3111" s="0" t="s">
        <v>87</v>
      </c>
      <c r="D3111" s="0" t="n">
        <v>11</v>
      </c>
      <c r="E3111" s="5" t="n">
        <v>45979.5903125</v>
      </c>
      <c r="F3111" s="0" t="n">
        <v>4.25</v>
      </c>
      <c r="G3111" s="0" t="n">
        <v>17138</v>
      </c>
      <c r="H3111" s="6" t="s">
        <v>98</v>
      </c>
      <c r="I3111" s="6" t="n">
        <f aca="false">D3111*F3111</f>
        <v>46.75</v>
      </c>
      <c r="J3111" s="6" t="n">
        <f aca="false">HOUR(E3111)</f>
        <v>14</v>
      </c>
      <c r="K3111" s="6" t="n">
        <f aca="false">IF(COUNTIF($A$2:$A3111,A3111)=1,1,0)</f>
        <v>0</v>
      </c>
    </row>
    <row r="3112" customFormat="false" ht="15" hidden="false" customHeight="false" outlineLevel="0" collapsed="false">
      <c r="A3112" s="0" t="s">
        <v>690</v>
      </c>
      <c r="B3112" s="0" t="s">
        <v>59</v>
      </c>
      <c r="C3112" s="0" t="s">
        <v>60</v>
      </c>
      <c r="D3112" s="0" t="n">
        <v>11</v>
      </c>
      <c r="E3112" s="5" t="n">
        <v>45979.6874884259</v>
      </c>
      <c r="F3112" s="0" t="n">
        <v>0.42</v>
      </c>
      <c r="G3112" s="0" t="n">
        <v>17122</v>
      </c>
      <c r="H3112" s="6" t="s">
        <v>74</v>
      </c>
      <c r="I3112" s="6" t="n">
        <f aca="false">D3112*F3112</f>
        <v>4.62</v>
      </c>
      <c r="J3112" s="6" t="n">
        <f aca="false">HOUR(E3112)</f>
        <v>16</v>
      </c>
      <c r="K3112" s="6" t="n">
        <f aca="false">IF(COUNTIF($A$2:$A3112,A3112)=1,1,0)</f>
        <v>1</v>
      </c>
    </row>
    <row r="3113" customFormat="false" ht="15" hidden="false" customHeight="false" outlineLevel="0" collapsed="false">
      <c r="A3113" s="0" t="s">
        <v>690</v>
      </c>
      <c r="B3113" s="0" t="s">
        <v>43</v>
      </c>
      <c r="C3113" s="0" t="s">
        <v>44</v>
      </c>
      <c r="D3113" s="0" t="n">
        <v>15</v>
      </c>
      <c r="E3113" s="5" t="n">
        <v>45979.6874884259</v>
      </c>
      <c r="F3113" s="0" t="n">
        <v>4.25</v>
      </c>
      <c r="G3113" s="0" t="n">
        <v>17122</v>
      </c>
      <c r="H3113" s="6" t="s">
        <v>74</v>
      </c>
      <c r="I3113" s="6" t="n">
        <f aca="false">D3113*F3113</f>
        <v>63.75</v>
      </c>
      <c r="J3113" s="6" t="n">
        <f aca="false">HOUR(E3113)</f>
        <v>16</v>
      </c>
      <c r="K3113" s="6" t="n">
        <f aca="false">IF(COUNTIF($A$2:$A3113,A3113)=1,1,0)</f>
        <v>0</v>
      </c>
    </row>
    <row r="3114" customFormat="false" ht="15" hidden="false" customHeight="false" outlineLevel="0" collapsed="false">
      <c r="A3114" s="0" t="s">
        <v>690</v>
      </c>
      <c r="B3114" s="0" t="s">
        <v>104</v>
      </c>
      <c r="C3114" s="0" t="s">
        <v>105</v>
      </c>
      <c r="D3114" s="0" t="n">
        <v>3</v>
      </c>
      <c r="E3114" s="5" t="n">
        <v>45979.6874884259</v>
      </c>
      <c r="F3114" s="0" t="n">
        <v>1.65</v>
      </c>
      <c r="G3114" s="0" t="n">
        <v>17122</v>
      </c>
      <c r="H3114" s="6" t="s">
        <v>74</v>
      </c>
      <c r="I3114" s="6" t="n">
        <f aca="false">D3114*F3114</f>
        <v>4.95</v>
      </c>
      <c r="J3114" s="6" t="n">
        <f aca="false">HOUR(E3114)</f>
        <v>16</v>
      </c>
      <c r="K3114" s="6" t="n">
        <f aca="false">IF(COUNTIF($A$2:$A3114,A3114)=1,1,0)</f>
        <v>0</v>
      </c>
    </row>
    <row r="3115" customFormat="false" ht="15" hidden="false" customHeight="false" outlineLevel="0" collapsed="false">
      <c r="A3115" s="0" t="s">
        <v>690</v>
      </c>
      <c r="B3115" s="0" t="s">
        <v>88</v>
      </c>
      <c r="C3115" s="0" t="s">
        <v>89</v>
      </c>
      <c r="D3115" s="0" t="n">
        <v>15</v>
      </c>
      <c r="E3115" s="5" t="n">
        <v>45979.6874884259</v>
      </c>
      <c r="F3115" s="0" t="n">
        <v>2.75</v>
      </c>
      <c r="G3115" s="0" t="n">
        <v>17122</v>
      </c>
      <c r="H3115" s="6" t="s">
        <v>74</v>
      </c>
      <c r="I3115" s="6" t="n">
        <f aca="false">D3115*F3115</f>
        <v>41.25</v>
      </c>
      <c r="J3115" s="6" t="n">
        <f aca="false">HOUR(E3115)</f>
        <v>16</v>
      </c>
      <c r="K3115" s="6" t="n">
        <f aca="false">IF(COUNTIF($A$2:$A3115,A3115)=1,1,0)</f>
        <v>0</v>
      </c>
    </row>
    <row r="3116" customFormat="false" ht="15" hidden="false" customHeight="false" outlineLevel="0" collapsed="false">
      <c r="A3116" s="0" t="s">
        <v>690</v>
      </c>
      <c r="B3116" s="0" t="s">
        <v>53</v>
      </c>
      <c r="C3116" s="0" t="s">
        <v>54</v>
      </c>
      <c r="D3116" s="0" t="n">
        <v>9</v>
      </c>
      <c r="E3116" s="5" t="n">
        <v>45979.6874884259</v>
      </c>
      <c r="F3116" s="0" t="n">
        <v>2.95</v>
      </c>
      <c r="G3116" s="0" t="n">
        <v>17122</v>
      </c>
      <c r="H3116" s="6" t="s">
        <v>74</v>
      </c>
      <c r="I3116" s="6" t="n">
        <f aca="false">D3116*F3116</f>
        <v>26.55</v>
      </c>
      <c r="J3116" s="6" t="n">
        <f aca="false">HOUR(E3116)</f>
        <v>16</v>
      </c>
      <c r="K3116" s="6" t="n">
        <f aca="false">IF(COUNTIF($A$2:$A3116,A3116)=1,1,0)</f>
        <v>0</v>
      </c>
    </row>
    <row r="3117" customFormat="false" ht="15" hidden="false" customHeight="false" outlineLevel="0" collapsed="false">
      <c r="A3117" s="0" t="s">
        <v>690</v>
      </c>
      <c r="B3117" s="0" t="s">
        <v>140</v>
      </c>
      <c r="D3117" s="0" t="n">
        <v>5</v>
      </c>
      <c r="E3117" s="5" t="n">
        <v>45979.6874884259</v>
      </c>
      <c r="F3117" s="0" t="n">
        <v>2.08</v>
      </c>
      <c r="G3117" s="0" t="n">
        <v>17122</v>
      </c>
      <c r="H3117" s="6" t="s">
        <v>74</v>
      </c>
      <c r="I3117" s="6" t="n">
        <f aca="false">D3117*F3117</f>
        <v>10.4</v>
      </c>
      <c r="J3117" s="6" t="n">
        <f aca="false">HOUR(E3117)</f>
        <v>16</v>
      </c>
      <c r="K3117" s="6" t="n">
        <f aca="false">IF(COUNTIF($A$2:$A3117,A3117)=1,1,0)</f>
        <v>0</v>
      </c>
    </row>
    <row r="3118" customFormat="false" ht="15" hidden="false" customHeight="false" outlineLevel="0" collapsed="false">
      <c r="A3118" s="0" t="s">
        <v>690</v>
      </c>
      <c r="B3118" s="0" t="s">
        <v>116</v>
      </c>
      <c r="C3118" s="0" t="s">
        <v>117</v>
      </c>
      <c r="D3118" s="0" t="n">
        <v>3</v>
      </c>
      <c r="E3118" s="5" t="n">
        <v>45979.6874884259</v>
      </c>
      <c r="F3118" s="0" t="n">
        <v>1.95</v>
      </c>
      <c r="G3118" s="0" t="n">
        <v>17122</v>
      </c>
      <c r="H3118" s="6" t="s">
        <v>74</v>
      </c>
      <c r="I3118" s="6" t="n">
        <f aca="false">D3118*F3118</f>
        <v>5.85</v>
      </c>
      <c r="J3118" s="6" t="n">
        <f aca="false">HOUR(E3118)</f>
        <v>16</v>
      </c>
      <c r="K3118" s="6" t="n">
        <f aca="false">IF(COUNTIF($A$2:$A3118,A3118)=1,1,0)</f>
        <v>0</v>
      </c>
    </row>
    <row r="3119" customFormat="false" ht="15" hidden="false" customHeight="false" outlineLevel="0" collapsed="false">
      <c r="A3119" s="0" t="s">
        <v>690</v>
      </c>
      <c r="B3119" s="0" t="s">
        <v>83</v>
      </c>
      <c r="C3119" s="0" t="s">
        <v>84</v>
      </c>
      <c r="D3119" s="0" t="n">
        <v>21</v>
      </c>
      <c r="E3119" s="5" t="n">
        <v>45979.6874884259</v>
      </c>
      <c r="F3119" s="0" t="n">
        <v>2.95</v>
      </c>
      <c r="G3119" s="0" t="n">
        <v>17122</v>
      </c>
      <c r="H3119" s="6" t="s">
        <v>74</v>
      </c>
      <c r="I3119" s="6" t="n">
        <f aca="false">D3119*F3119</f>
        <v>61.95</v>
      </c>
      <c r="J3119" s="6" t="n">
        <f aca="false">HOUR(E3119)</f>
        <v>16</v>
      </c>
      <c r="K3119" s="6" t="n">
        <f aca="false">IF(COUNTIF($A$2:$A3119,A3119)=1,1,0)</f>
        <v>0</v>
      </c>
    </row>
    <row r="3120" customFormat="false" ht="15" hidden="false" customHeight="false" outlineLevel="0" collapsed="false">
      <c r="A3120" s="0" t="s">
        <v>690</v>
      </c>
      <c r="B3120" s="0" t="s">
        <v>93</v>
      </c>
      <c r="C3120" s="0" t="s">
        <v>94</v>
      </c>
      <c r="D3120" s="0" t="n">
        <v>23</v>
      </c>
      <c r="E3120" s="5" t="n">
        <v>45979.6874884259</v>
      </c>
      <c r="F3120" s="0" t="n">
        <v>1.69</v>
      </c>
      <c r="G3120" s="0" t="n">
        <v>17122</v>
      </c>
      <c r="H3120" s="6" t="s">
        <v>74</v>
      </c>
      <c r="I3120" s="6" t="n">
        <f aca="false">D3120*F3120</f>
        <v>38.87</v>
      </c>
      <c r="J3120" s="6" t="n">
        <f aca="false">HOUR(E3120)</f>
        <v>16</v>
      </c>
      <c r="K3120" s="6" t="n">
        <f aca="false">IF(COUNTIF($A$2:$A3120,A3120)=1,1,0)</f>
        <v>0</v>
      </c>
    </row>
    <row r="3121" customFormat="false" ht="15" hidden="false" customHeight="false" outlineLevel="0" collapsed="false">
      <c r="A3121" s="0" t="s">
        <v>690</v>
      </c>
      <c r="B3121" s="0" t="s">
        <v>69</v>
      </c>
      <c r="C3121" s="0" t="s">
        <v>70</v>
      </c>
      <c r="D3121" s="0" t="n">
        <v>38</v>
      </c>
      <c r="E3121" s="5" t="n">
        <v>45979.6874884259</v>
      </c>
      <c r="F3121" s="0" t="n">
        <v>2.08</v>
      </c>
      <c r="G3121" s="0" t="n">
        <v>17122</v>
      </c>
      <c r="H3121" s="6" t="s">
        <v>74</v>
      </c>
      <c r="I3121" s="6" t="n">
        <f aca="false">D3121*F3121</f>
        <v>79.04</v>
      </c>
      <c r="J3121" s="6" t="n">
        <f aca="false">HOUR(E3121)</f>
        <v>16</v>
      </c>
      <c r="K3121" s="6" t="n">
        <f aca="false">IF(COUNTIF($A$2:$A3121,A3121)=1,1,0)</f>
        <v>0</v>
      </c>
    </row>
    <row r="3122" customFormat="false" ht="15" hidden="false" customHeight="false" outlineLevel="0" collapsed="false">
      <c r="A3122" s="0" t="s">
        <v>691</v>
      </c>
      <c r="B3122" s="0" t="s">
        <v>91</v>
      </c>
      <c r="C3122" s="0" t="s">
        <v>92</v>
      </c>
      <c r="D3122" s="0" t="n">
        <v>1</v>
      </c>
      <c r="E3122" s="5" t="n">
        <v>45979.8484027778</v>
      </c>
      <c r="F3122" s="0" t="n">
        <v>7.65</v>
      </c>
      <c r="G3122" s="0" t="n">
        <v>17136</v>
      </c>
      <c r="H3122" s="6" t="s">
        <v>263</v>
      </c>
      <c r="I3122" s="6" t="n">
        <f aca="false">D3122*F3122</f>
        <v>7.65</v>
      </c>
      <c r="J3122" s="6" t="n">
        <f aca="false">HOUR(E3122)</f>
        <v>20</v>
      </c>
      <c r="K3122" s="6" t="n">
        <f aca="false">IF(COUNTIF($A$2:$A3122,A3122)=1,1,0)</f>
        <v>1</v>
      </c>
    </row>
    <row r="3123" customFormat="false" ht="15" hidden="false" customHeight="false" outlineLevel="0" collapsed="false">
      <c r="A3123" s="0" t="s">
        <v>691</v>
      </c>
      <c r="B3123" s="0" t="s">
        <v>107</v>
      </c>
      <c r="C3123" s="0" t="s">
        <v>108</v>
      </c>
      <c r="D3123" s="0" t="n">
        <v>2</v>
      </c>
      <c r="E3123" s="5" t="n">
        <v>45979.8484027778</v>
      </c>
      <c r="F3123" s="0" t="n">
        <v>3.75</v>
      </c>
      <c r="G3123" s="0" t="n">
        <v>17136</v>
      </c>
      <c r="H3123" s="6" t="s">
        <v>263</v>
      </c>
      <c r="I3123" s="6" t="n">
        <f aca="false">D3123*F3123</f>
        <v>7.5</v>
      </c>
      <c r="J3123" s="6" t="n">
        <f aca="false">HOUR(E3123)</f>
        <v>20</v>
      </c>
      <c r="K3123" s="6" t="n">
        <f aca="false">IF(COUNTIF($A$2:$A3123,A3123)=1,1,0)</f>
        <v>0</v>
      </c>
    </row>
    <row r="3124" customFormat="false" ht="15" hidden="false" customHeight="false" outlineLevel="0" collapsed="false">
      <c r="A3124" s="0" t="s">
        <v>691</v>
      </c>
      <c r="B3124" s="0" t="s">
        <v>93</v>
      </c>
      <c r="C3124" s="0" t="s">
        <v>94</v>
      </c>
      <c r="D3124" s="0" t="n">
        <v>9</v>
      </c>
      <c r="E3124" s="5" t="n">
        <v>45979.8484027778</v>
      </c>
      <c r="F3124" s="0" t="n">
        <v>1.69</v>
      </c>
      <c r="G3124" s="0" t="n">
        <v>17136</v>
      </c>
      <c r="H3124" s="6" t="s">
        <v>263</v>
      </c>
      <c r="I3124" s="6" t="n">
        <f aca="false">D3124*F3124</f>
        <v>15.21</v>
      </c>
      <c r="J3124" s="6" t="n">
        <f aca="false">HOUR(E3124)</f>
        <v>20</v>
      </c>
      <c r="K3124" s="6" t="n">
        <f aca="false">IF(COUNTIF($A$2:$A3124,A3124)=1,1,0)</f>
        <v>0</v>
      </c>
    </row>
    <row r="3125" customFormat="false" ht="15" hidden="false" customHeight="false" outlineLevel="0" collapsed="false">
      <c r="A3125" s="0" t="s">
        <v>692</v>
      </c>
      <c r="B3125" s="0" t="s">
        <v>63</v>
      </c>
      <c r="C3125" s="0" t="s">
        <v>64</v>
      </c>
      <c r="D3125" s="0" t="n">
        <v>10</v>
      </c>
      <c r="E3125" s="5" t="n">
        <v>45980.0107407407</v>
      </c>
      <c r="F3125" s="0" t="n">
        <v>1.85</v>
      </c>
      <c r="G3125" s="0" t="n">
        <v>17005</v>
      </c>
      <c r="H3125" s="6" t="s">
        <v>74</v>
      </c>
      <c r="I3125" s="6" t="n">
        <f aca="false">D3125*F3125</f>
        <v>18.5</v>
      </c>
      <c r="J3125" s="6" t="n">
        <f aca="false">HOUR(E3125)</f>
        <v>0</v>
      </c>
      <c r="K3125" s="6" t="n">
        <f aca="false">IF(COUNTIF($A$2:$A3125,A3125)=1,1,0)</f>
        <v>1</v>
      </c>
    </row>
    <row r="3126" customFormat="false" ht="15" hidden="false" customHeight="false" outlineLevel="0" collapsed="false">
      <c r="A3126" s="0" t="s">
        <v>692</v>
      </c>
      <c r="B3126" s="0" t="s">
        <v>72</v>
      </c>
      <c r="C3126" s="0" t="s">
        <v>73</v>
      </c>
      <c r="D3126" s="0" t="n">
        <v>38</v>
      </c>
      <c r="E3126" s="5" t="n">
        <v>45980.0107407407</v>
      </c>
      <c r="F3126" s="0" t="n">
        <v>4.95</v>
      </c>
      <c r="G3126" s="0" t="n">
        <v>17005</v>
      </c>
      <c r="H3126" s="6" t="s">
        <v>74</v>
      </c>
      <c r="I3126" s="6" t="n">
        <f aca="false">D3126*F3126</f>
        <v>188.1</v>
      </c>
      <c r="J3126" s="6" t="n">
        <f aca="false">HOUR(E3126)</f>
        <v>0</v>
      </c>
      <c r="K3126" s="6" t="n">
        <f aca="false">IF(COUNTIF($A$2:$A3126,A3126)=1,1,0)</f>
        <v>0</v>
      </c>
    </row>
    <row r="3127" customFormat="false" ht="15" hidden="false" customHeight="false" outlineLevel="0" collapsed="false">
      <c r="A3127" s="0" t="s">
        <v>692</v>
      </c>
      <c r="B3127" s="0" t="s">
        <v>50</v>
      </c>
      <c r="C3127" s="0" t="s">
        <v>51</v>
      </c>
      <c r="D3127" s="0" t="n">
        <v>8</v>
      </c>
      <c r="E3127" s="5" t="n">
        <v>45980.0107407407</v>
      </c>
      <c r="F3127" s="0" t="n">
        <v>5.95</v>
      </c>
      <c r="G3127" s="0" t="n">
        <v>17005</v>
      </c>
      <c r="H3127" s="6" t="s">
        <v>74</v>
      </c>
      <c r="I3127" s="6" t="n">
        <f aca="false">D3127*F3127</f>
        <v>47.6</v>
      </c>
      <c r="J3127" s="6" t="n">
        <f aca="false">HOUR(E3127)</f>
        <v>0</v>
      </c>
      <c r="K3127" s="6" t="n">
        <f aca="false">IF(COUNTIF($A$2:$A3127,A3127)=1,1,0)</f>
        <v>0</v>
      </c>
    </row>
    <row r="3128" customFormat="false" ht="15" hidden="false" customHeight="false" outlineLevel="0" collapsed="false">
      <c r="A3128" s="0" t="s">
        <v>692</v>
      </c>
      <c r="B3128" s="0" t="s">
        <v>131</v>
      </c>
      <c r="C3128" s="0" t="s">
        <v>132</v>
      </c>
      <c r="D3128" s="0" t="n">
        <v>23</v>
      </c>
      <c r="E3128" s="5" t="n">
        <v>45980.0107407407</v>
      </c>
      <c r="F3128" s="0" t="n">
        <v>3.39</v>
      </c>
      <c r="G3128" s="0" t="n">
        <v>17005</v>
      </c>
      <c r="H3128" s="6" t="s">
        <v>74</v>
      </c>
      <c r="I3128" s="6" t="n">
        <f aca="false">D3128*F3128</f>
        <v>77.97</v>
      </c>
      <c r="J3128" s="6" t="n">
        <f aca="false">HOUR(E3128)</f>
        <v>0</v>
      </c>
      <c r="K3128" s="6" t="n">
        <f aca="false">IF(COUNTIF($A$2:$A3128,A3128)=1,1,0)</f>
        <v>0</v>
      </c>
    </row>
    <row r="3129" customFormat="false" ht="15" hidden="false" customHeight="false" outlineLevel="0" collapsed="false">
      <c r="A3129" s="0" t="s">
        <v>692</v>
      </c>
      <c r="B3129" s="0" t="s">
        <v>104</v>
      </c>
      <c r="C3129" s="0" t="s">
        <v>105</v>
      </c>
      <c r="D3129" s="0" t="n">
        <v>23</v>
      </c>
      <c r="E3129" s="5" t="n">
        <v>45980.0107407407</v>
      </c>
      <c r="F3129" s="0" t="n">
        <v>1.65</v>
      </c>
      <c r="G3129" s="0" t="n">
        <v>17005</v>
      </c>
      <c r="H3129" s="6" t="s">
        <v>74</v>
      </c>
      <c r="I3129" s="6" t="n">
        <f aca="false">D3129*F3129</f>
        <v>37.95</v>
      </c>
      <c r="J3129" s="6" t="n">
        <f aca="false">HOUR(E3129)</f>
        <v>0</v>
      </c>
      <c r="K3129" s="6" t="n">
        <f aca="false">IF(COUNTIF($A$2:$A3129,A3129)=1,1,0)</f>
        <v>0</v>
      </c>
    </row>
    <row r="3130" customFormat="false" ht="15" hidden="false" customHeight="false" outlineLevel="0" collapsed="false">
      <c r="A3130" s="0" t="s">
        <v>693</v>
      </c>
      <c r="B3130" s="0" t="s">
        <v>109</v>
      </c>
      <c r="C3130" s="0" t="s">
        <v>110</v>
      </c>
      <c r="D3130" s="0" t="n">
        <v>18</v>
      </c>
      <c r="E3130" s="5" t="n">
        <v>45980.2674768519</v>
      </c>
      <c r="F3130" s="0" t="n">
        <v>0.85</v>
      </c>
      <c r="G3130" s="0" t="n">
        <v>17103</v>
      </c>
      <c r="H3130" s="6" t="s">
        <v>74</v>
      </c>
      <c r="I3130" s="6" t="n">
        <f aca="false">D3130*F3130</f>
        <v>15.3</v>
      </c>
      <c r="J3130" s="6" t="n">
        <f aca="false">HOUR(E3130)</f>
        <v>6</v>
      </c>
      <c r="K3130" s="6" t="n">
        <f aca="false">IF(COUNTIF($A$2:$A3130,A3130)=1,1,0)</f>
        <v>1</v>
      </c>
    </row>
    <row r="3131" customFormat="false" ht="15" hidden="false" customHeight="false" outlineLevel="0" collapsed="false">
      <c r="A3131" s="0" t="s">
        <v>693</v>
      </c>
      <c r="B3131" s="0" t="s">
        <v>43</v>
      </c>
      <c r="D3131" s="0" t="n">
        <v>2</v>
      </c>
      <c r="E3131" s="5" t="n">
        <v>45980.2674768519</v>
      </c>
      <c r="F3131" s="0" t="n">
        <v>4.25</v>
      </c>
      <c r="G3131" s="0" t="n">
        <v>17103</v>
      </c>
      <c r="H3131" s="6" t="s">
        <v>74</v>
      </c>
      <c r="I3131" s="6" t="n">
        <f aca="false">D3131*F3131</f>
        <v>8.5</v>
      </c>
      <c r="J3131" s="6" t="n">
        <f aca="false">HOUR(E3131)</f>
        <v>6</v>
      </c>
      <c r="K3131" s="6" t="n">
        <f aca="false">IF(COUNTIF($A$2:$A3131,A3131)=1,1,0)</f>
        <v>0</v>
      </c>
    </row>
    <row r="3132" customFormat="false" ht="15" hidden="false" customHeight="false" outlineLevel="0" collapsed="false">
      <c r="A3132" s="0" t="s">
        <v>694</v>
      </c>
      <c r="B3132" s="0" t="s">
        <v>88</v>
      </c>
      <c r="C3132" s="0" t="s">
        <v>89</v>
      </c>
      <c r="D3132" s="0" t="n">
        <v>11</v>
      </c>
      <c r="E3132" s="5" t="n">
        <v>45980.4200231481</v>
      </c>
      <c r="F3132" s="0" t="n">
        <v>2.75</v>
      </c>
      <c r="G3132" s="0" t="n">
        <v>17230</v>
      </c>
      <c r="H3132" s="6" t="s">
        <v>74</v>
      </c>
      <c r="I3132" s="6" t="n">
        <f aca="false">D3132*F3132</f>
        <v>30.25</v>
      </c>
      <c r="J3132" s="6" t="n">
        <f aca="false">HOUR(E3132)</f>
        <v>10</v>
      </c>
      <c r="K3132" s="6" t="n">
        <f aca="false">IF(COUNTIF($A$2:$A3132,A3132)=1,1,0)</f>
        <v>1</v>
      </c>
    </row>
    <row r="3133" customFormat="false" ht="15" hidden="false" customHeight="false" outlineLevel="0" collapsed="false">
      <c r="A3133" s="0" t="s">
        <v>695</v>
      </c>
      <c r="B3133" s="0" t="s">
        <v>91</v>
      </c>
      <c r="C3133" s="0" t="s">
        <v>92</v>
      </c>
      <c r="D3133" s="0" t="n">
        <v>24</v>
      </c>
      <c r="E3133" s="5" t="n">
        <v>45980.4466087963</v>
      </c>
      <c r="F3133" s="0" t="n">
        <v>7.65</v>
      </c>
      <c r="G3133" s="0" t="n">
        <v>17032</v>
      </c>
      <c r="H3133" s="6" t="s">
        <v>98</v>
      </c>
      <c r="I3133" s="6" t="n">
        <f aca="false">D3133*F3133</f>
        <v>183.6</v>
      </c>
      <c r="J3133" s="6" t="n">
        <f aca="false">HOUR(E3133)</f>
        <v>10</v>
      </c>
      <c r="K3133" s="6" t="n">
        <f aca="false">IF(COUNTIF($A$2:$A3133,A3133)=1,1,0)</f>
        <v>1</v>
      </c>
    </row>
    <row r="3134" customFormat="false" ht="15" hidden="false" customHeight="false" outlineLevel="0" collapsed="false">
      <c r="A3134" s="0" t="s">
        <v>695</v>
      </c>
      <c r="B3134" s="0" t="s">
        <v>77</v>
      </c>
      <c r="C3134" s="0" t="s">
        <v>78</v>
      </c>
      <c r="D3134" s="0" t="n">
        <v>1</v>
      </c>
      <c r="E3134" s="5" t="n">
        <v>45980.4466087963</v>
      </c>
      <c r="F3134" s="0" t="n">
        <v>1.65</v>
      </c>
      <c r="G3134" s="0" t="n">
        <v>17032</v>
      </c>
      <c r="H3134" s="6" t="s">
        <v>98</v>
      </c>
      <c r="I3134" s="6" t="n">
        <f aca="false">D3134*F3134</f>
        <v>1.65</v>
      </c>
      <c r="J3134" s="6" t="n">
        <f aca="false">HOUR(E3134)</f>
        <v>10</v>
      </c>
      <c r="K3134" s="6" t="n">
        <f aca="false">IF(COUNTIF($A$2:$A3134,A3134)=1,1,0)</f>
        <v>0</v>
      </c>
    </row>
    <row r="3135" customFormat="false" ht="15" hidden="false" customHeight="false" outlineLevel="0" collapsed="false">
      <c r="A3135" s="0" t="s">
        <v>695</v>
      </c>
      <c r="B3135" s="0" t="s">
        <v>86</v>
      </c>
      <c r="C3135" s="0" t="s">
        <v>87</v>
      </c>
      <c r="D3135" s="0" t="n">
        <v>18</v>
      </c>
      <c r="E3135" s="5" t="n">
        <v>45980.4466087963</v>
      </c>
      <c r="F3135" s="0" t="n">
        <v>4.25</v>
      </c>
      <c r="G3135" s="0" t="n">
        <v>17032</v>
      </c>
      <c r="H3135" s="6" t="s">
        <v>98</v>
      </c>
      <c r="I3135" s="6" t="n">
        <f aca="false">D3135*F3135</f>
        <v>76.5</v>
      </c>
      <c r="J3135" s="6" t="n">
        <f aca="false">HOUR(E3135)</f>
        <v>10</v>
      </c>
      <c r="K3135" s="6" t="n">
        <f aca="false">IF(COUNTIF($A$2:$A3135,A3135)=1,1,0)</f>
        <v>0</v>
      </c>
    </row>
    <row r="3136" customFormat="false" ht="15" hidden="false" customHeight="false" outlineLevel="0" collapsed="false">
      <c r="A3136" s="0" t="s">
        <v>695</v>
      </c>
      <c r="B3136" s="0" t="s">
        <v>40</v>
      </c>
      <c r="C3136" s="0" t="s">
        <v>41</v>
      </c>
      <c r="D3136" s="0" t="n">
        <v>24</v>
      </c>
      <c r="E3136" s="5" t="n">
        <v>45980.4466087963</v>
      </c>
      <c r="F3136" s="0" t="n">
        <v>1.06</v>
      </c>
      <c r="G3136" s="0" t="n">
        <v>17032</v>
      </c>
      <c r="H3136" s="6" t="s">
        <v>98</v>
      </c>
      <c r="I3136" s="6" t="n">
        <f aca="false">D3136*F3136</f>
        <v>25.44</v>
      </c>
      <c r="J3136" s="6" t="n">
        <f aca="false">HOUR(E3136)</f>
        <v>10</v>
      </c>
      <c r="K3136" s="6" t="n">
        <f aca="false">IF(COUNTIF($A$2:$A3136,A3136)=1,1,0)</f>
        <v>0</v>
      </c>
    </row>
    <row r="3137" customFormat="false" ht="15" hidden="false" customHeight="false" outlineLevel="0" collapsed="false">
      <c r="A3137" s="0" t="s">
        <v>695</v>
      </c>
      <c r="B3137" s="0" t="s">
        <v>69</v>
      </c>
      <c r="C3137" s="0" t="s">
        <v>70</v>
      </c>
      <c r="D3137" s="0" t="n">
        <v>15</v>
      </c>
      <c r="E3137" s="5" t="n">
        <v>45980.4466087963</v>
      </c>
      <c r="F3137" s="0" t="n">
        <v>2.08</v>
      </c>
      <c r="G3137" s="0" t="n">
        <v>17032</v>
      </c>
      <c r="H3137" s="6" t="s">
        <v>98</v>
      </c>
      <c r="I3137" s="6" t="n">
        <f aca="false">D3137*F3137</f>
        <v>31.2</v>
      </c>
      <c r="J3137" s="6" t="n">
        <f aca="false">HOUR(E3137)</f>
        <v>10</v>
      </c>
      <c r="K3137" s="6" t="n">
        <f aca="false">IF(COUNTIF($A$2:$A3137,A3137)=1,1,0)</f>
        <v>0</v>
      </c>
    </row>
    <row r="3138" customFormat="false" ht="15" hidden="false" customHeight="false" outlineLevel="0" collapsed="false">
      <c r="A3138" s="0" t="s">
        <v>695</v>
      </c>
      <c r="B3138" s="0" t="s">
        <v>57</v>
      </c>
      <c r="C3138" s="0" t="s">
        <v>58</v>
      </c>
      <c r="D3138" s="0" t="n">
        <v>22</v>
      </c>
      <c r="E3138" s="5" t="n">
        <v>45980.4466087963</v>
      </c>
      <c r="F3138" s="0" t="n">
        <v>2.08</v>
      </c>
      <c r="G3138" s="0" t="n">
        <v>17032</v>
      </c>
      <c r="H3138" s="6" t="s">
        <v>98</v>
      </c>
      <c r="I3138" s="6" t="n">
        <f aca="false">D3138*F3138</f>
        <v>45.76</v>
      </c>
      <c r="J3138" s="6" t="n">
        <f aca="false">HOUR(E3138)</f>
        <v>10</v>
      </c>
      <c r="K3138" s="6" t="n">
        <f aca="false">IF(COUNTIF($A$2:$A3138,A3138)=1,1,0)</f>
        <v>0</v>
      </c>
    </row>
    <row r="3139" customFormat="false" ht="15" hidden="false" customHeight="false" outlineLevel="0" collapsed="false">
      <c r="A3139" s="0" t="s">
        <v>695</v>
      </c>
      <c r="B3139" s="0" t="s">
        <v>75</v>
      </c>
      <c r="C3139" s="0" t="s">
        <v>76</v>
      </c>
      <c r="D3139" s="0" t="n">
        <v>22</v>
      </c>
      <c r="E3139" s="5" t="n">
        <v>45980.4466087963</v>
      </c>
      <c r="F3139" s="0" t="n">
        <v>3.39</v>
      </c>
      <c r="G3139" s="0" t="n">
        <v>17032</v>
      </c>
      <c r="H3139" s="6" t="s">
        <v>98</v>
      </c>
      <c r="I3139" s="6" t="n">
        <f aca="false">D3139*F3139</f>
        <v>74.58</v>
      </c>
      <c r="J3139" s="6" t="n">
        <f aca="false">HOUR(E3139)</f>
        <v>10</v>
      </c>
      <c r="K3139" s="6" t="n">
        <f aca="false">IF(COUNTIF($A$2:$A3139,A3139)=1,1,0)</f>
        <v>0</v>
      </c>
    </row>
    <row r="3140" customFormat="false" ht="15" hidden="false" customHeight="false" outlineLevel="0" collapsed="false">
      <c r="A3140" s="0" t="s">
        <v>695</v>
      </c>
      <c r="B3140" s="0" t="s">
        <v>88</v>
      </c>
      <c r="C3140" s="0" t="s">
        <v>89</v>
      </c>
      <c r="D3140" s="0" t="n">
        <v>13</v>
      </c>
      <c r="E3140" s="5" t="n">
        <v>45980.4466087963</v>
      </c>
      <c r="F3140" s="0" t="n">
        <v>2.75</v>
      </c>
      <c r="G3140" s="0" t="n">
        <v>17032</v>
      </c>
      <c r="H3140" s="6" t="s">
        <v>98</v>
      </c>
      <c r="I3140" s="6" t="n">
        <f aca="false">D3140*F3140</f>
        <v>35.75</v>
      </c>
      <c r="J3140" s="6" t="n">
        <f aca="false">HOUR(E3140)</f>
        <v>10</v>
      </c>
      <c r="K3140" s="6" t="n">
        <f aca="false">IF(COUNTIF($A$2:$A3140,A3140)=1,1,0)</f>
        <v>0</v>
      </c>
    </row>
    <row r="3141" customFormat="false" ht="15" hidden="false" customHeight="false" outlineLevel="0" collapsed="false">
      <c r="A3141" s="0" t="s">
        <v>695</v>
      </c>
      <c r="B3141" s="0" t="s">
        <v>47</v>
      </c>
      <c r="C3141" s="0" t="s">
        <v>48</v>
      </c>
      <c r="D3141" s="0" t="n">
        <v>40</v>
      </c>
      <c r="E3141" s="5" t="n">
        <v>45980.4466087963</v>
      </c>
      <c r="F3141" s="0" t="n">
        <v>12.75</v>
      </c>
      <c r="G3141" s="0" t="n">
        <v>17032</v>
      </c>
      <c r="H3141" s="6" t="s">
        <v>98</v>
      </c>
      <c r="I3141" s="6" t="n">
        <f aca="false">D3141*F3141</f>
        <v>510</v>
      </c>
      <c r="J3141" s="6" t="n">
        <f aca="false">HOUR(E3141)</f>
        <v>10</v>
      </c>
      <c r="K3141" s="6" t="n">
        <f aca="false">IF(COUNTIF($A$2:$A3141,A3141)=1,1,0)</f>
        <v>0</v>
      </c>
    </row>
    <row r="3142" customFormat="false" ht="15" hidden="false" customHeight="false" outlineLevel="0" collapsed="false">
      <c r="A3142" s="0" t="s">
        <v>695</v>
      </c>
      <c r="B3142" s="0" t="s">
        <v>61</v>
      </c>
      <c r="C3142" s="0" t="s">
        <v>62</v>
      </c>
      <c r="D3142" s="0" t="n">
        <v>21</v>
      </c>
      <c r="E3142" s="5" t="n">
        <v>45980.4466087963</v>
      </c>
      <c r="F3142" s="0" t="n">
        <v>1.65</v>
      </c>
      <c r="G3142" s="0" t="n">
        <v>17032</v>
      </c>
      <c r="H3142" s="6" t="s">
        <v>98</v>
      </c>
      <c r="I3142" s="6" t="n">
        <f aca="false">D3142*F3142</f>
        <v>34.65</v>
      </c>
      <c r="J3142" s="6" t="n">
        <f aca="false">HOUR(E3142)</f>
        <v>10</v>
      </c>
      <c r="K3142" s="6" t="n">
        <f aca="false">IF(COUNTIF($A$2:$A3142,A3142)=1,1,0)</f>
        <v>0</v>
      </c>
    </row>
    <row r="3143" customFormat="false" ht="15" hidden="false" customHeight="false" outlineLevel="0" collapsed="false">
      <c r="A3143" s="0" t="s">
        <v>696</v>
      </c>
      <c r="B3143" s="0" t="s">
        <v>86</v>
      </c>
      <c r="C3143" s="0" t="s">
        <v>87</v>
      </c>
      <c r="D3143" s="0" t="n">
        <v>5</v>
      </c>
      <c r="E3143" s="5" t="n">
        <v>45980.4947222222</v>
      </c>
      <c r="F3143" s="0" t="n">
        <v>4.25</v>
      </c>
      <c r="G3143" s="0" t="n">
        <v>17182</v>
      </c>
      <c r="H3143" s="6" t="s">
        <v>113</v>
      </c>
      <c r="I3143" s="6" t="n">
        <f aca="false">D3143*F3143</f>
        <v>21.25</v>
      </c>
      <c r="J3143" s="6" t="n">
        <f aca="false">HOUR(E3143)</f>
        <v>11</v>
      </c>
      <c r="K3143" s="6" t="n">
        <f aca="false">IF(COUNTIF($A$2:$A3143,A3143)=1,1,0)</f>
        <v>1</v>
      </c>
    </row>
    <row r="3144" customFormat="false" ht="15" hidden="false" customHeight="false" outlineLevel="0" collapsed="false">
      <c r="A3144" s="0" t="s">
        <v>696</v>
      </c>
      <c r="B3144" s="0" t="s">
        <v>69</v>
      </c>
      <c r="C3144" s="0" t="s">
        <v>70</v>
      </c>
      <c r="D3144" s="0" t="n">
        <v>36</v>
      </c>
      <c r="E3144" s="5" t="n">
        <v>45980.4947222222</v>
      </c>
      <c r="F3144" s="0" t="n">
        <v>2.08</v>
      </c>
      <c r="G3144" s="0" t="n">
        <v>17182</v>
      </c>
      <c r="H3144" s="6" t="s">
        <v>113</v>
      </c>
      <c r="I3144" s="6" t="n">
        <f aca="false">D3144*F3144</f>
        <v>74.88</v>
      </c>
      <c r="J3144" s="6" t="n">
        <f aca="false">HOUR(E3144)</f>
        <v>11</v>
      </c>
      <c r="K3144" s="6" t="n">
        <f aca="false">IF(COUNTIF($A$2:$A3144,A3144)=1,1,0)</f>
        <v>0</v>
      </c>
    </row>
    <row r="3145" customFormat="false" ht="15" hidden="false" customHeight="false" outlineLevel="0" collapsed="false">
      <c r="A3145" s="0" t="s">
        <v>696</v>
      </c>
      <c r="B3145" s="0" t="s">
        <v>104</v>
      </c>
      <c r="C3145" s="0" t="s">
        <v>105</v>
      </c>
      <c r="D3145" s="0" t="n">
        <v>6</v>
      </c>
      <c r="E3145" s="5" t="n">
        <v>45980.4947222222</v>
      </c>
      <c r="F3145" s="0" t="n">
        <v>1.65</v>
      </c>
      <c r="G3145" s="0" t="n">
        <v>17182</v>
      </c>
      <c r="H3145" s="6" t="s">
        <v>113</v>
      </c>
      <c r="I3145" s="6" t="n">
        <f aca="false">D3145*F3145</f>
        <v>9.9</v>
      </c>
      <c r="J3145" s="6" t="n">
        <f aca="false">HOUR(E3145)</f>
        <v>11</v>
      </c>
      <c r="K3145" s="6" t="n">
        <f aca="false">IF(COUNTIF($A$2:$A3145,A3145)=1,1,0)</f>
        <v>0</v>
      </c>
    </row>
    <row r="3146" customFormat="false" ht="15" hidden="false" customHeight="false" outlineLevel="0" collapsed="false">
      <c r="A3146" s="0" t="s">
        <v>696</v>
      </c>
      <c r="B3146" s="0" t="s">
        <v>63</v>
      </c>
      <c r="C3146" s="0" t="s">
        <v>64</v>
      </c>
      <c r="D3146" s="0" t="n">
        <v>20</v>
      </c>
      <c r="E3146" s="5" t="n">
        <v>45980.4947222222</v>
      </c>
      <c r="F3146" s="0" t="n">
        <v>1.85</v>
      </c>
      <c r="G3146" s="0" t="n">
        <v>17182</v>
      </c>
      <c r="H3146" s="6" t="s">
        <v>113</v>
      </c>
      <c r="I3146" s="6" t="n">
        <f aca="false">D3146*F3146</f>
        <v>37</v>
      </c>
      <c r="J3146" s="6" t="n">
        <f aca="false">HOUR(E3146)</f>
        <v>11</v>
      </c>
      <c r="K3146" s="6" t="n">
        <f aca="false">IF(COUNTIF($A$2:$A3146,A3146)=1,1,0)</f>
        <v>0</v>
      </c>
    </row>
    <row r="3147" customFormat="false" ht="15" hidden="false" customHeight="false" outlineLevel="0" collapsed="false">
      <c r="A3147" s="0" t="s">
        <v>696</v>
      </c>
      <c r="B3147" s="0" t="s">
        <v>61</v>
      </c>
      <c r="C3147" s="0" t="s">
        <v>62</v>
      </c>
      <c r="D3147" s="0" t="n">
        <v>15</v>
      </c>
      <c r="E3147" s="5" t="n">
        <v>45980.4947222222</v>
      </c>
      <c r="F3147" s="0" t="n">
        <v>1.65</v>
      </c>
      <c r="G3147" s="0" t="n">
        <v>17182</v>
      </c>
      <c r="H3147" s="6" t="s">
        <v>113</v>
      </c>
      <c r="I3147" s="6" t="n">
        <f aca="false">D3147*F3147</f>
        <v>24.75</v>
      </c>
      <c r="J3147" s="6" t="n">
        <f aca="false">HOUR(E3147)</f>
        <v>11</v>
      </c>
      <c r="K3147" s="6" t="n">
        <f aca="false">IF(COUNTIF($A$2:$A3147,A3147)=1,1,0)</f>
        <v>0</v>
      </c>
    </row>
    <row r="3148" customFormat="false" ht="15" hidden="false" customHeight="false" outlineLevel="0" collapsed="false">
      <c r="A3148" s="0" t="s">
        <v>696</v>
      </c>
      <c r="B3148" s="0" t="s">
        <v>118</v>
      </c>
      <c r="C3148" s="0" t="s">
        <v>119</v>
      </c>
      <c r="D3148" s="0" t="n">
        <v>47</v>
      </c>
      <c r="E3148" s="5" t="n">
        <v>45980.4947222222</v>
      </c>
      <c r="F3148" s="0" t="n">
        <v>4.95</v>
      </c>
      <c r="G3148" s="0" t="n">
        <v>17182</v>
      </c>
      <c r="H3148" s="6" t="s">
        <v>113</v>
      </c>
      <c r="I3148" s="6" t="n">
        <f aca="false">D3148*F3148</f>
        <v>232.65</v>
      </c>
      <c r="J3148" s="6" t="n">
        <f aca="false">HOUR(E3148)</f>
        <v>11</v>
      </c>
      <c r="K3148" s="6" t="n">
        <f aca="false">IF(COUNTIF($A$2:$A3148,A3148)=1,1,0)</f>
        <v>0</v>
      </c>
    </row>
    <row r="3149" customFormat="false" ht="15" hidden="false" customHeight="false" outlineLevel="0" collapsed="false">
      <c r="A3149" s="0" t="s">
        <v>697</v>
      </c>
      <c r="B3149" s="0" t="s">
        <v>118</v>
      </c>
      <c r="C3149" s="0" t="s">
        <v>119</v>
      </c>
      <c r="D3149" s="0" t="n">
        <v>7</v>
      </c>
      <c r="E3149" s="5" t="n">
        <v>45980.5543518519</v>
      </c>
      <c r="F3149" s="0" t="n">
        <v>4.95</v>
      </c>
      <c r="G3149" s="0" t="n">
        <v>17076</v>
      </c>
      <c r="H3149" s="6" t="s">
        <v>98</v>
      </c>
      <c r="I3149" s="6" t="n">
        <f aca="false">D3149*F3149</f>
        <v>34.65</v>
      </c>
      <c r="J3149" s="6" t="n">
        <f aca="false">HOUR(E3149)</f>
        <v>13</v>
      </c>
      <c r="K3149" s="6" t="n">
        <f aca="false">IF(COUNTIF($A$2:$A3149,A3149)=1,1,0)</f>
        <v>1</v>
      </c>
    </row>
    <row r="3150" customFormat="false" ht="15" hidden="false" customHeight="false" outlineLevel="0" collapsed="false">
      <c r="A3150" s="0" t="s">
        <v>697</v>
      </c>
      <c r="B3150" s="0" t="s">
        <v>91</v>
      </c>
      <c r="C3150" s="0" t="s">
        <v>92</v>
      </c>
      <c r="D3150" s="0" t="n">
        <v>23</v>
      </c>
      <c r="E3150" s="5" t="n">
        <v>45980.5543518519</v>
      </c>
      <c r="F3150" s="0" t="n">
        <v>7.65</v>
      </c>
      <c r="G3150" s="0" t="n">
        <v>17076</v>
      </c>
      <c r="H3150" s="6" t="s">
        <v>98</v>
      </c>
      <c r="I3150" s="6" t="n">
        <f aca="false">D3150*F3150</f>
        <v>175.95</v>
      </c>
      <c r="J3150" s="6" t="n">
        <f aca="false">HOUR(E3150)</f>
        <v>13</v>
      </c>
      <c r="K3150" s="6" t="n">
        <f aca="false">IF(COUNTIF($A$2:$A3150,A3150)=1,1,0)</f>
        <v>0</v>
      </c>
    </row>
    <row r="3151" customFormat="false" ht="15" hidden="false" customHeight="false" outlineLevel="0" collapsed="false">
      <c r="A3151" s="0" t="s">
        <v>697</v>
      </c>
      <c r="B3151" s="0" t="s">
        <v>102</v>
      </c>
      <c r="C3151" s="0" t="s">
        <v>103</v>
      </c>
      <c r="D3151" s="0" t="n">
        <v>41</v>
      </c>
      <c r="E3151" s="5" t="n">
        <v>45980.5543518519</v>
      </c>
      <c r="F3151" s="0" t="n">
        <v>8.5</v>
      </c>
      <c r="G3151" s="0" t="n">
        <v>17076</v>
      </c>
      <c r="H3151" s="6" t="s">
        <v>98</v>
      </c>
      <c r="I3151" s="6" t="n">
        <f aca="false">D3151*F3151</f>
        <v>348.5</v>
      </c>
      <c r="J3151" s="6" t="n">
        <f aca="false">HOUR(E3151)</f>
        <v>13</v>
      </c>
      <c r="K3151" s="6" t="n">
        <f aca="false">IF(COUNTIF($A$2:$A3151,A3151)=1,1,0)</f>
        <v>0</v>
      </c>
    </row>
    <row r="3152" customFormat="false" ht="15" hidden="false" customHeight="false" outlineLevel="0" collapsed="false">
      <c r="A3152" s="0" t="s">
        <v>697</v>
      </c>
      <c r="B3152" s="0" t="s">
        <v>93</v>
      </c>
      <c r="C3152" s="0" t="s">
        <v>94</v>
      </c>
      <c r="D3152" s="0" t="n">
        <v>11</v>
      </c>
      <c r="E3152" s="5" t="n">
        <v>45980.5543518519</v>
      </c>
      <c r="F3152" s="0" t="n">
        <v>1.69</v>
      </c>
      <c r="G3152" s="0" t="n">
        <v>17076</v>
      </c>
      <c r="H3152" s="6" t="s">
        <v>98</v>
      </c>
      <c r="I3152" s="6" t="n">
        <f aca="false">D3152*F3152</f>
        <v>18.59</v>
      </c>
      <c r="J3152" s="6" t="n">
        <f aca="false">HOUR(E3152)</f>
        <v>13</v>
      </c>
      <c r="K3152" s="6" t="n">
        <f aca="false">IF(COUNTIF($A$2:$A3152,A3152)=1,1,0)</f>
        <v>0</v>
      </c>
    </row>
    <row r="3153" customFormat="false" ht="15" hidden="false" customHeight="false" outlineLevel="0" collapsed="false">
      <c r="A3153" s="0" t="s">
        <v>697</v>
      </c>
      <c r="B3153" s="0" t="s">
        <v>57</v>
      </c>
      <c r="C3153" s="0" t="s">
        <v>58</v>
      </c>
      <c r="D3153" s="0" t="n">
        <v>22</v>
      </c>
      <c r="E3153" s="5" t="n">
        <v>45980.5543518519</v>
      </c>
      <c r="F3153" s="0" t="n">
        <v>2.08</v>
      </c>
      <c r="G3153" s="0" t="n">
        <v>17076</v>
      </c>
      <c r="H3153" s="6" t="s">
        <v>98</v>
      </c>
      <c r="I3153" s="6" t="n">
        <f aca="false">D3153*F3153</f>
        <v>45.76</v>
      </c>
      <c r="J3153" s="6" t="n">
        <f aca="false">HOUR(E3153)</f>
        <v>13</v>
      </c>
      <c r="K3153" s="6" t="n">
        <f aca="false">IF(COUNTIF($A$2:$A3153,A3153)=1,1,0)</f>
        <v>0</v>
      </c>
    </row>
    <row r="3154" customFormat="false" ht="15" hidden="false" customHeight="false" outlineLevel="0" collapsed="false">
      <c r="A3154" s="0" t="s">
        <v>697</v>
      </c>
      <c r="B3154" s="0" t="s">
        <v>47</v>
      </c>
      <c r="C3154" s="0" t="s">
        <v>48</v>
      </c>
      <c r="D3154" s="0" t="n">
        <v>39</v>
      </c>
      <c r="E3154" s="5" t="n">
        <v>45980.5543518519</v>
      </c>
      <c r="F3154" s="0" t="n">
        <v>12.75</v>
      </c>
      <c r="G3154" s="0" t="n">
        <v>17076</v>
      </c>
      <c r="H3154" s="6" t="s">
        <v>98</v>
      </c>
      <c r="I3154" s="6" t="n">
        <f aca="false">D3154*F3154</f>
        <v>497.25</v>
      </c>
      <c r="J3154" s="6" t="n">
        <f aca="false">HOUR(E3154)</f>
        <v>13</v>
      </c>
      <c r="K3154" s="6" t="n">
        <f aca="false">IF(COUNTIF($A$2:$A3154,A3154)=1,1,0)</f>
        <v>0</v>
      </c>
    </row>
    <row r="3155" customFormat="false" ht="15" hidden="false" customHeight="false" outlineLevel="0" collapsed="false">
      <c r="A3155" s="0" t="s">
        <v>698</v>
      </c>
      <c r="B3155" s="0" t="s">
        <v>131</v>
      </c>
      <c r="C3155" s="0" t="s">
        <v>132</v>
      </c>
      <c r="D3155" s="0" t="n">
        <v>19</v>
      </c>
      <c r="E3155" s="5" t="n">
        <v>45980.5741898148</v>
      </c>
      <c r="F3155" s="0" t="n">
        <v>3.39</v>
      </c>
      <c r="G3155" s="0" t="n">
        <v>17193</v>
      </c>
      <c r="H3155" s="6" t="s">
        <v>151</v>
      </c>
      <c r="I3155" s="6" t="n">
        <f aca="false">D3155*F3155</f>
        <v>64.41</v>
      </c>
      <c r="J3155" s="6" t="n">
        <f aca="false">HOUR(E3155)</f>
        <v>13</v>
      </c>
      <c r="K3155" s="6" t="n">
        <f aca="false">IF(COUNTIF($A$2:$A3155,A3155)=1,1,0)</f>
        <v>1</v>
      </c>
    </row>
    <row r="3156" customFormat="false" ht="15" hidden="false" customHeight="false" outlineLevel="0" collapsed="false">
      <c r="A3156" s="0" t="s">
        <v>698</v>
      </c>
      <c r="B3156" s="0" t="s">
        <v>93</v>
      </c>
      <c r="C3156" s="0" t="s">
        <v>94</v>
      </c>
      <c r="D3156" s="0" t="n">
        <v>9</v>
      </c>
      <c r="E3156" s="5" t="n">
        <v>45980.5741898148</v>
      </c>
      <c r="F3156" s="0" t="n">
        <v>1.69</v>
      </c>
      <c r="G3156" s="0" t="n">
        <v>17193</v>
      </c>
      <c r="H3156" s="6" t="s">
        <v>151</v>
      </c>
      <c r="I3156" s="6" t="n">
        <f aca="false">D3156*F3156</f>
        <v>15.21</v>
      </c>
      <c r="J3156" s="6" t="n">
        <f aca="false">HOUR(E3156)</f>
        <v>13</v>
      </c>
      <c r="K3156" s="6" t="n">
        <f aca="false">IF(COUNTIF($A$2:$A3156,A3156)=1,1,0)</f>
        <v>0</v>
      </c>
    </row>
    <row r="3157" customFormat="false" ht="15" hidden="false" customHeight="false" outlineLevel="0" collapsed="false">
      <c r="A3157" s="0" t="s">
        <v>698</v>
      </c>
      <c r="B3157" s="0" t="s">
        <v>69</v>
      </c>
      <c r="C3157" s="0" t="s">
        <v>70</v>
      </c>
      <c r="D3157" s="0" t="n">
        <v>34</v>
      </c>
      <c r="E3157" s="5" t="n">
        <v>45980.5741898148</v>
      </c>
      <c r="F3157" s="0" t="n">
        <v>2.08</v>
      </c>
      <c r="G3157" s="0" t="n">
        <v>17193</v>
      </c>
      <c r="H3157" s="6" t="s">
        <v>151</v>
      </c>
      <c r="I3157" s="6" t="n">
        <f aca="false">D3157*F3157</f>
        <v>70.72</v>
      </c>
      <c r="J3157" s="6" t="n">
        <f aca="false">HOUR(E3157)</f>
        <v>13</v>
      </c>
      <c r="K3157" s="6" t="n">
        <f aca="false">IF(COUNTIF($A$2:$A3157,A3157)=1,1,0)</f>
        <v>0</v>
      </c>
    </row>
    <row r="3158" customFormat="false" ht="15" hidden="false" customHeight="false" outlineLevel="0" collapsed="false">
      <c r="A3158" s="0" t="s">
        <v>698</v>
      </c>
      <c r="B3158" s="0" t="s">
        <v>88</v>
      </c>
      <c r="C3158" s="0" t="s">
        <v>89</v>
      </c>
      <c r="D3158" s="0" t="n">
        <v>6</v>
      </c>
      <c r="E3158" s="5" t="n">
        <v>45980.5741898148</v>
      </c>
      <c r="F3158" s="0" t="n">
        <v>2.75</v>
      </c>
      <c r="G3158" s="0" t="n">
        <v>17193</v>
      </c>
      <c r="H3158" s="6" t="s">
        <v>151</v>
      </c>
      <c r="I3158" s="6" t="n">
        <f aca="false">D3158*F3158</f>
        <v>16.5</v>
      </c>
      <c r="J3158" s="6" t="n">
        <f aca="false">HOUR(E3158)</f>
        <v>13</v>
      </c>
      <c r="K3158" s="6" t="n">
        <f aca="false">IF(COUNTIF($A$2:$A3158,A3158)=1,1,0)</f>
        <v>0</v>
      </c>
    </row>
    <row r="3159" customFormat="false" ht="15" hidden="false" customHeight="false" outlineLevel="0" collapsed="false">
      <c r="A3159" s="0" t="s">
        <v>698</v>
      </c>
      <c r="B3159" s="0" t="s">
        <v>121</v>
      </c>
      <c r="C3159" s="0" t="s">
        <v>122</v>
      </c>
      <c r="D3159" s="0" t="n">
        <v>5</v>
      </c>
      <c r="E3159" s="5" t="n">
        <v>45980.5741898148</v>
      </c>
      <c r="F3159" s="0" t="n">
        <v>2.1</v>
      </c>
      <c r="G3159" s="0" t="n">
        <v>17193</v>
      </c>
      <c r="H3159" s="6" t="s">
        <v>151</v>
      </c>
      <c r="I3159" s="6" t="n">
        <f aca="false">D3159*F3159</f>
        <v>10.5</v>
      </c>
      <c r="J3159" s="6" t="n">
        <f aca="false">HOUR(E3159)</f>
        <v>13</v>
      </c>
      <c r="K3159" s="6" t="n">
        <f aca="false">IF(COUNTIF($A$2:$A3159,A3159)=1,1,0)</f>
        <v>0</v>
      </c>
    </row>
    <row r="3160" customFormat="false" ht="15" hidden="false" customHeight="false" outlineLevel="0" collapsed="false">
      <c r="A3160" s="0" t="s">
        <v>698</v>
      </c>
      <c r="B3160" s="0" t="s">
        <v>99</v>
      </c>
      <c r="C3160" s="0" t="s">
        <v>100</v>
      </c>
      <c r="D3160" s="0" t="n">
        <v>1</v>
      </c>
      <c r="E3160" s="5" t="n">
        <v>45980.5741898148</v>
      </c>
      <c r="F3160" s="0" t="n">
        <v>2.08</v>
      </c>
      <c r="G3160" s="0" t="n">
        <v>17193</v>
      </c>
      <c r="H3160" s="6" t="s">
        <v>151</v>
      </c>
      <c r="I3160" s="6" t="n">
        <f aca="false">D3160*F3160</f>
        <v>2.08</v>
      </c>
      <c r="J3160" s="6" t="n">
        <f aca="false">HOUR(E3160)</f>
        <v>13</v>
      </c>
      <c r="K3160" s="6" t="n">
        <f aca="false">IF(COUNTIF($A$2:$A3160,A3160)=1,1,0)</f>
        <v>0</v>
      </c>
    </row>
    <row r="3161" customFormat="false" ht="15" hidden="false" customHeight="false" outlineLevel="0" collapsed="false">
      <c r="A3161" s="0" t="s">
        <v>698</v>
      </c>
      <c r="B3161" s="0" t="s">
        <v>102</v>
      </c>
      <c r="D3161" s="0" t="n">
        <v>37</v>
      </c>
      <c r="E3161" s="5" t="n">
        <v>45980.5741898148</v>
      </c>
      <c r="F3161" s="0" t="n">
        <v>8.5</v>
      </c>
      <c r="G3161" s="0" t="n">
        <v>17193</v>
      </c>
      <c r="H3161" s="6" t="s">
        <v>151</v>
      </c>
      <c r="I3161" s="6" t="n">
        <f aca="false">D3161*F3161</f>
        <v>314.5</v>
      </c>
      <c r="J3161" s="6" t="n">
        <f aca="false">HOUR(E3161)</f>
        <v>13</v>
      </c>
      <c r="K3161" s="6" t="n">
        <f aca="false">IF(COUNTIF($A$2:$A3161,A3161)=1,1,0)</f>
        <v>0</v>
      </c>
    </row>
    <row r="3162" customFormat="false" ht="15" hidden="false" customHeight="false" outlineLevel="0" collapsed="false">
      <c r="A3162" s="0" t="s">
        <v>698</v>
      </c>
      <c r="B3162" s="0" t="s">
        <v>81</v>
      </c>
      <c r="C3162" s="0" t="s">
        <v>82</v>
      </c>
      <c r="D3162" s="0" t="n">
        <v>1</v>
      </c>
      <c r="E3162" s="5" t="n">
        <v>45980.5741898148</v>
      </c>
      <c r="F3162" s="0" t="n">
        <v>1.65</v>
      </c>
      <c r="G3162" s="0" t="n">
        <v>17193</v>
      </c>
      <c r="H3162" s="6" t="s">
        <v>151</v>
      </c>
      <c r="I3162" s="6" t="n">
        <f aca="false">D3162*F3162</f>
        <v>1.65</v>
      </c>
      <c r="J3162" s="6" t="n">
        <f aca="false">HOUR(E3162)</f>
        <v>13</v>
      </c>
      <c r="K3162" s="6" t="n">
        <f aca="false">IF(COUNTIF($A$2:$A3162,A3162)=1,1,0)</f>
        <v>0</v>
      </c>
    </row>
    <row r="3163" customFormat="false" ht="15" hidden="false" customHeight="false" outlineLevel="0" collapsed="false">
      <c r="A3163" s="0" t="s">
        <v>698</v>
      </c>
      <c r="B3163" s="0" t="s">
        <v>137</v>
      </c>
      <c r="C3163" s="0" t="s">
        <v>138</v>
      </c>
      <c r="D3163" s="0" t="n">
        <v>16</v>
      </c>
      <c r="E3163" s="5" t="n">
        <v>45980.5741898148</v>
      </c>
      <c r="F3163" s="0" t="n">
        <v>2.1</v>
      </c>
      <c r="G3163" s="0" t="n">
        <v>17193</v>
      </c>
      <c r="H3163" s="6" t="s">
        <v>151</v>
      </c>
      <c r="I3163" s="6" t="n">
        <f aca="false">D3163*F3163</f>
        <v>33.6</v>
      </c>
      <c r="J3163" s="6" t="n">
        <f aca="false">HOUR(E3163)</f>
        <v>13</v>
      </c>
      <c r="K3163" s="6" t="n">
        <f aca="false">IF(COUNTIF($A$2:$A3163,A3163)=1,1,0)</f>
        <v>0</v>
      </c>
    </row>
    <row r="3164" customFormat="false" ht="15" hidden="false" customHeight="false" outlineLevel="0" collapsed="false">
      <c r="A3164" s="0" t="s">
        <v>699</v>
      </c>
      <c r="B3164" s="0" t="s">
        <v>53</v>
      </c>
      <c r="C3164" s="0" t="s">
        <v>54</v>
      </c>
      <c r="D3164" s="0" t="n">
        <v>10</v>
      </c>
      <c r="E3164" s="5" t="n">
        <v>45980.5756365741</v>
      </c>
      <c r="F3164" s="0" t="n">
        <v>2.95</v>
      </c>
      <c r="G3164" s="0" t="n">
        <v>17070</v>
      </c>
      <c r="H3164" s="6" t="s">
        <v>68</v>
      </c>
      <c r="I3164" s="6" t="n">
        <f aca="false">D3164*F3164</f>
        <v>29.5</v>
      </c>
      <c r="J3164" s="6" t="n">
        <f aca="false">HOUR(E3164)</f>
        <v>13</v>
      </c>
      <c r="K3164" s="6" t="n">
        <f aca="false">IF(COUNTIF($A$2:$A3164,A3164)=1,1,0)</f>
        <v>1</v>
      </c>
    </row>
    <row r="3165" customFormat="false" ht="15" hidden="false" customHeight="false" outlineLevel="0" collapsed="false">
      <c r="A3165" s="0" t="s">
        <v>699</v>
      </c>
      <c r="B3165" s="0" t="s">
        <v>77</v>
      </c>
      <c r="C3165" s="0" t="s">
        <v>78</v>
      </c>
      <c r="D3165" s="0" t="n">
        <v>19</v>
      </c>
      <c r="E3165" s="5" t="n">
        <v>45980.5756365741</v>
      </c>
      <c r="F3165" s="0" t="n">
        <v>1.65</v>
      </c>
      <c r="G3165" s="0" t="n">
        <v>17070</v>
      </c>
      <c r="H3165" s="6" t="s">
        <v>68</v>
      </c>
      <c r="I3165" s="6" t="n">
        <f aca="false">D3165*F3165</f>
        <v>31.35</v>
      </c>
      <c r="J3165" s="6" t="n">
        <f aca="false">HOUR(E3165)</f>
        <v>13</v>
      </c>
      <c r="K3165" s="6" t="n">
        <f aca="false">IF(COUNTIF($A$2:$A3165,A3165)=1,1,0)</f>
        <v>0</v>
      </c>
    </row>
    <row r="3166" customFormat="false" ht="15" hidden="false" customHeight="false" outlineLevel="0" collapsed="false">
      <c r="A3166" s="0" t="s">
        <v>699</v>
      </c>
      <c r="B3166" s="0" t="s">
        <v>116</v>
      </c>
      <c r="C3166" s="0" t="s">
        <v>117</v>
      </c>
      <c r="D3166" s="0" t="n">
        <v>11</v>
      </c>
      <c r="E3166" s="5" t="n">
        <v>45980.5756365741</v>
      </c>
      <c r="F3166" s="0" t="n">
        <v>1.95</v>
      </c>
      <c r="G3166" s="0" t="n">
        <v>17070</v>
      </c>
      <c r="H3166" s="6" t="s">
        <v>68</v>
      </c>
      <c r="I3166" s="6" t="n">
        <f aca="false">D3166*F3166</f>
        <v>21.45</v>
      </c>
      <c r="J3166" s="6" t="n">
        <f aca="false">HOUR(E3166)</f>
        <v>13</v>
      </c>
      <c r="K3166" s="6" t="n">
        <f aca="false">IF(COUNTIF($A$2:$A3166,A3166)=1,1,0)</f>
        <v>0</v>
      </c>
    </row>
    <row r="3167" customFormat="false" ht="15" hidden="false" customHeight="false" outlineLevel="0" collapsed="false">
      <c r="A3167" s="0" t="s">
        <v>699</v>
      </c>
      <c r="B3167" s="0" t="s">
        <v>109</v>
      </c>
      <c r="C3167" s="0" t="s">
        <v>110</v>
      </c>
      <c r="D3167" s="0" t="n">
        <v>11</v>
      </c>
      <c r="E3167" s="5" t="n">
        <v>45980.5756365741</v>
      </c>
      <c r="F3167" s="0" t="n">
        <v>0.85</v>
      </c>
      <c r="G3167" s="0" t="n">
        <v>17070</v>
      </c>
      <c r="H3167" s="6" t="s">
        <v>68</v>
      </c>
      <c r="I3167" s="6" t="n">
        <f aca="false">D3167*F3167</f>
        <v>9.35</v>
      </c>
      <c r="J3167" s="6" t="n">
        <f aca="false">HOUR(E3167)</f>
        <v>13</v>
      </c>
      <c r="K3167" s="6" t="n">
        <f aca="false">IF(COUNTIF($A$2:$A3167,A3167)=1,1,0)</f>
        <v>0</v>
      </c>
    </row>
    <row r="3168" customFormat="false" ht="15" hidden="false" customHeight="false" outlineLevel="0" collapsed="false">
      <c r="A3168" s="0" t="s">
        <v>699</v>
      </c>
      <c r="B3168" s="0" t="s">
        <v>91</v>
      </c>
      <c r="C3168" s="0" t="s">
        <v>92</v>
      </c>
      <c r="D3168" s="0" t="n">
        <v>20</v>
      </c>
      <c r="E3168" s="5" t="n">
        <v>45980.5756365741</v>
      </c>
      <c r="F3168" s="0" t="n">
        <v>7.65</v>
      </c>
      <c r="G3168" s="0" t="n">
        <v>17070</v>
      </c>
      <c r="H3168" s="6" t="s">
        <v>68</v>
      </c>
      <c r="I3168" s="6" t="n">
        <f aca="false">D3168*F3168</f>
        <v>153</v>
      </c>
      <c r="J3168" s="6" t="n">
        <f aca="false">HOUR(E3168)</f>
        <v>13</v>
      </c>
      <c r="K3168" s="6" t="n">
        <f aca="false">IF(COUNTIF($A$2:$A3168,A3168)=1,1,0)</f>
        <v>0</v>
      </c>
    </row>
    <row r="3169" customFormat="false" ht="15" hidden="false" customHeight="false" outlineLevel="0" collapsed="false">
      <c r="A3169" s="0" t="s">
        <v>699</v>
      </c>
      <c r="B3169" s="0" t="s">
        <v>99</v>
      </c>
      <c r="C3169" s="0" t="s">
        <v>100</v>
      </c>
      <c r="D3169" s="0" t="n">
        <v>9</v>
      </c>
      <c r="E3169" s="5" t="n">
        <v>45980.5756365741</v>
      </c>
      <c r="F3169" s="0" t="n">
        <v>2.08</v>
      </c>
      <c r="G3169" s="0" t="n">
        <v>17070</v>
      </c>
      <c r="H3169" s="6" t="s">
        <v>68</v>
      </c>
      <c r="I3169" s="6" t="n">
        <f aca="false">D3169*F3169</f>
        <v>18.72</v>
      </c>
      <c r="J3169" s="6" t="n">
        <f aca="false">HOUR(E3169)</f>
        <v>13</v>
      </c>
      <c r="K3169" s="6" t="n">
        <f aca="false">IF(COUNTIF($A$2:$A3169,A3169)=1,1,0)</f>
        <v>0</v>
      </c>
    </row>
    <row r="3170" customFormat="false" ht="15" hidden="false" customHeight="false" outlineLevel="0" collapsed="false">
      <c r="A3170" s="0" t="s">
        <v>699</v>
      </c>
      <c r="B3170" s="0" t="s">
        <v>55</v>
      </c>
      <c r="C3170" s="0" t="s">
        <v>56</v>
      </c>
      <c r="D3170" s="0" t="n">
        <v>14</v>
      </c>
      <c r="E3170" s="5" t="n">
        <v>45980.5756365741</v>
      </c>
      <c r="F3170" s="0" t="n">
        <v>1.65</v>
      </c>
      <c r="G3170" s="0" t="n">
        <v>17070</v>
      </c>
      <c r="H3170" s="6" t="s">
        <v>68</v>
      </c>
      <c r="I3170" s="6" t="n">
        <f aca="false">D3170*F3170</f>
        <v>23.1</v>
      </c>
      <c r="J3170" s="6" t="n">
        <f aca="false">HOUR(E3170)</f>
        <v>13</v>
      </c>
      <c r="K3170" s="6" t="n">
        <f aca="false">IF(COUNTIF($A$2:$A3170,A3170)=1,1,0)</f>
        <v>0</v>
      </c>
    </row>
    <row r="3171" customFormat="false" ht="15" hidden="false" customHeight="false" outlineLevel="0" collapsed="false">
      <c r="A3171" s="0" t="s">
        <v>699</v>
      </c>
      <c r="B3171" s="0" t="s">
        <v>75</v>
      </c>
      <c r="C3171" s="0" t="s">
        <v>76</v>
      </c>
      <c r="D3171" s="0" t="n">
        <v>11</v>
      </c>
      <c r="E3171" s="5" t="n">
        <v>45980.5756365741</v>
      </c>
      <c r="F3171" s="0" t="n">
        <v>3.39</v>
      </c>
      <c r="G3171" s="0" t="n">
        <v>17070</v>
      </c>
      <c r="H3171" s="6" t="s">
        <v>68</v>
      </c>
      <c r="I3171" s="6" t="n">
        <f aca="false">D3171*F3171</f>
        <v>37.29</v>
      </c>
      <c r="J3171" s="6" t="n">
        <f aca="false">HOUR(E3171)</f>
        <v>13</v>
      </c>
      <c r="K3171" s="6" t="n">
        <f aca="false">IF(COUNTIF($A$2:$A3171,A3171)=1,1,0)</f>
        <v>0</v>
      </c>
    </row>
    <row r="3172" customFormat="false" ht="15" hidden="false" customHeight="false" outlineLevel="0" collapsed="false">
      <c r="A3172" s="0" t="s">
        <v>700</v>
      </c>
      <c r="B3172" s="0" t="s">
        <v>107</v>
      </c>
      <c r="C3172" s="0" t="s">
        <v>108</v>
      </c>
      <c r="D3172" s="0" t="n">
        <v>20</v>
      </c>
      <c r="E3172" s="5" t="n">
        <v>45980.5992939815</v>
      </c>
      <c r="F3172" s="0" t="n">
        <v>3.75</v>
      </c>
      <c r="G3172" s="0" t="n">
        <v>17162</v>
      </c>
      <c r="H3172" s="6" t="s">
        <v>74</v>
      </c>
      <c r="I3172" s="6" t="n">
        <f aca="false">D3172*F3172</f>
        <v>75</v>
      </c>
      <c r="J3172" s="6" t="n">
        <f aca="false">HOUR(E3172)</f>
        <v>14</v>
      </c>
      <c r="K3172" s="6" t="n">
        <f aca="false">IF(COUNTIF($A$2:$A3172,A3172)=1,1,0)</f>
        <v>1</v>
      </c>
    </row>
    <row r="3173" customFormat="false" ht="15" hidden="false" customHeight="false" outlineLevel="0" collapsed="false">
      <c r="A3173" s="0" t="s">
        <v>700</v>
      </c>
      <c r="B3173" s="0" t="s">
        <v>93</v>
      </c>
      <c r="C3173" s="0" t="s">
        <v>94</v>
      </c>
      <c r="D3173" s="0" t="n">
        <v>1</v>
      </c>
      <c r="E3173" s="5" t="n">
        <v>45980.5992939815</v>
      </c>
      <c r="F3173" s="0" t="n">
        <v>1.69</v>
      </c>
      <c r="G3173" s="0" t="n">
        <v>17162</v>
      </c>
      <c r="H3173" s="6" t="s">
        <v>74</v>
      </c>
      <c r="I3173" s="6" t="n">
        <f aca="false">D3173*F3173</f>
        <v>1.69</v>
      </c>
      <c r="J3173" s="6" t="n">
        <f aca="false">HOUR(E3173)</f>
        <v>14</v>
      </c>
      <c r="K3173" s="6" t="n">
        <f aca="false">IF(COUNTIF($A$2:$A3173,A3173)=1,1,0)</f>
        <v>0</v>
      </c>
    </row>
    <row r="3174" customFormat="false" ht="15" hidden="false" customHeight="false" outlineLevel="0" collapsed="false">
      <c r="A3174" s="0" t="s">
        <v>700</v>
      </c>
      <c r="B3174" s="0" t="s">
        <v>125</v>
      </c>
      <c r="C3174" s="0" t="s">
        <v>126</v>
      </c>
      <c r="D3174" s="0" t="n">
        <v>1</v>
      </c>
      <c r="E3174" s="5" t="n">
        <v>45980.5992939815</v>
      </c>
      <c r="F3174" s="0" t="n">
        <v>1.25</v>
      </c>
      <c r="G3174" s="0" t="n">
        <v>17162</v>
      </c>
      <c r="H3174" s="6" t="s">
        <v>74</v>
      </c>
      <c r="I3174" s="6" t="n">
        <f aca="false">D3174*F3174</f>
        <v>1.25</v>
      </c>
      <c r="J3174" s="6" t="n">
        <f aca="false">HOUR(E3174)</f>
        <v>14</v>
      </c>
      <c r="K3174" s="6" t="n">
        <f aca="false">IF(COUNTIF($A$2:$A3174,A3174)=1,1,0)</f>
        <v>0</v>
      </c>
    </row>
    <row r="3175" customFormat="false" ht="15" hidden="false" customHeight="false" outlineLevel="0" collapsed="false">
      <c r="A3175" s="0" t="s">
        <v>700</v>
      </c>
      <c r="B3175" s="0" t="s">
        <v>47</v>
      </c>
      <c r="C3175" s="0" t="s">
        <v>48</v>
      </c>
      <c r="D3175" s="0" t="n">
        <v>20</v>
      </c>
      <c r="E3175" s="5" t="n">
        <v>45980.5992939815</v>
      </c>
      <c r="F3175" s="0" t="n">
        <v>12.75</v>
      </c>
      <c r="G3175" s="0" t="n">
        <v>17162</v>
      </c>
      <c r="H3175" s="6" t="s">
        <v>74</v>
      </c>
      <c r="I3175" s="6" t="n">
        <f aca="false">D3175*F3175</f>
        <v>255</v>
      </c>
      <c r="J3175" s="6" t="n">
        <f aca="false">HOUR(E3175)</f>
        <v>14</v>
      </c>
      <c r="K3175" s="6" t="n">
        <f aca="false">IF(COUNTIF($A$2:$A3175,A3175)=1,1,0)</f>
        <v>0</v>
      </c>
    </row>
    <row r="3176" customFormat="false" ht="15" hidden="false" customHeight="false" outlineLevel="0" collapsed="false">
      <c r="A3176" s="0" t="s">
        <v>700</v>
      </c>
      <c r="B3176" s="0" t="s">
        <v>79</v>
      </c>
      <c r="C3176" s="0" t="s">
        <v>80</v>
      </c>
      <c r="D3176" s="0" t="n">
        <v>16</v>
      </c>
      <c r="E3176" s="5" t="n">
        <v>45980.5992939815</v>
      </c>
      <c r="F3176" s="0" t="n">
        <v>3.39</v>
      </c>
      <c r="G3176" s="0" t="n">
        <v>17162</v>
      </c>
      <c r="H3176" s="6" t="s">
        <v>74</v>
      </c>
      <c r="I3176" s="6" t="n">
        <f aca="false">D3176*F3176</f>
        <v>54.24</v>
      </c>
      <c r="J3176" s="6" t="n">
        <f aca="false">HOUR(E3176)</f>
        <v>14</v>
      </c>
      <c r="K3176" s="6" t="n">
        <f aca="false">IF(COUNTIF($A$2:$A3176,A3176)=1,1,0)</f>
        <v>0</v>
      </c>
    </row>
    <row r="3177" customFormat="false" ht="15" hidden="false" customHeight="false" outlineLevel="0" collapsed="false">
      <c r="A3177" s="0" t="s">
        <v>700</v>
      </c>
      <c r="B3177" s="0" t="s">
        <v>102</v>
      </c>
      <c r="C3177" s="0" t="s">
        <v>103</v>
      </c>
      <c r="D3177" s="0" t="n">
        <v>40</v>
      </c>
      <c r="E3177" s="5" t="n">
        <v>45980.5992939815</v>
      </c>
      <c r="F3177" s="0" t="n">
        <v>8.5</v>
      </c>
      <c r="G3177" s="0" t="n">
        <v>17162</v>
      </c>
      <c r="H3177" s="6" t="s">
        <v>74</v>
      </c>
      <c r="I3177" s="6" t="n">
        <f aca="false">D3177*F3177</f>
        <v>340</v>
      </c>
      <c r="J3177" s="6" t="n">
        <f aca="false">HOUR(E3177)</f>
        <v>14</v>
      </c>
      <c r="K3177" s="6" t="n">
        <f aca="false">IF(COUNTIF($A$2:$A3177,A3177)=1,1,0)</f>
        <v>0</v>
      </c>
    </row>
    <row r="3178" customFormat="false" ht="15" hidden="false" customHeight="false" outlineLevel="0" collapsed="false">
      <c r="A3178" s="0" t="s">
        <v>701</v>
      </c>
      <c r="B3178" s="0" t="s">
        <v>86</v>
      </c>
      <c r="C3178" s="0" t="s">
        <v>87</v>
      </c>
      <c r="D3178" s="0" t="n">
        <v>11</v>
      </c>
      <c r="E3178" s="5" t="n">
        <v>45980.7395601852</v>
      </c>
      <c r="F3178" s="0" t="n">
        <v>4.25</v>
      </c>
      <c r="G3178" s="0" t="n">
        <v>17192</v>
      </c>
      <c r="H3178" s="6" t="s">
        <v>74</v>
      </c>
      <c r="I3178" s="6" t="n">
        <f aca="false">D3178*F3178</f>
        <v>46.75</v>
      </c>
      <c r="J3178" s="6" t="n">
        <f aca="false">HOUR(E3178)</f>
        <v>17</v>
      </c>
      <c r="K3178" s="6" t="n">
        <f aca="false">IF(COUNTIF($A$2:$A3178,A3178)=1,1,0)</f>
        <v>1</v>
      </c>
    </row>
    <row r="3179" customFormat="false" ht="15" hidden="false" customHeight="false" outlineLevel="0" collapsed="false">
      <c r="A3179" s="0" t="s">
        <v>702</v>
      </c>
      <c r="B3179" s="0" t="s">
        <v>91</v>
      </c>
      <c r="C3179" s="0" t="s">
        <v>92</v>
      </c>
      <c r="D3179" s="0" t="n">
        <v>21</v>
      </c>
      <c r="E3179" s="5" t="n">
        <v>45981.2558449074</v>
      </c>
      <c r="F3179" s="0" t="n">
        <v>7.65</v>
      </c>
      <c r="G3179" s="0" t="n">
        <v>17235</v>
      </c>
      <c r="H3179" s="6" t="s">
        <v>113</v>
      </c>
      <c r="I3179" s="6" t="n">
        <f aca="false">D3179*F3179</f>
        <v>160.65</v>
      </c>
      <c r="J3179" s="6" t="n">
        <f aca="false">HOUR(E3179)</f>
        <v>6</v>
      </c>
      <c r="K3179" s="6" t="n">
        <f aca="false">IF(COUNTIF($A$2:$A3179,A3179)=1,1,0)</f>
        <v>1</v>
      </c>
    </row>
    <row r="3180" customFormat="false" ht="15" hidden="false" customHeight="false" outlineLevel="0" collapsed="false">
      <c r="A3180" s="0" t="s">
        <v>703</v>
      </c>
      <c r="B3180" s="0" t="s">
        <v>69</v>
      </c>
      <c r="C3180" s="0" t="s">
        <v>70</v>
      </c>
      <c r="D3180" s="0" t="n">
        <v>16</v>
      </c>
      <c r="E3180" s="5" t="n">
        <v>45981.4254513889</v>
      </c>
      <c r="F3180" s="0" t="n">
        <v>2.08</v>
      </c>
      <c r="G3180" s="0" t="n">
        <v>17219</v>
      </c>
      <c r="H3180" s="6" t="s">
        <v>74</v>
      </c>
      <c r="I3180" s="6" t="n">
        <f aca="false">D3180*F3180</f>
        <v>33.28</v>
      </c>
      <c r="J3180" s="6" t="n">
        <f aca="false">HOUR(E3180)</f>
        <v>10</v>
      </c>
      <c r="K3180" s="6" t="n">
        <f aca="false">IF(COUNTIF($A$2:$A3180,A3180)=1,1,0)</f>
        <v>1</v>
      </c>
    </row>
    <row r="3181" customFormat="false" ht="15" hidden="false" customHeight="false" outlineLevel="0" collapsed="false">
      <c r="A3181" s="0" t="s">
        <v>703</v>
      </c>
      <c r="B3181" s="0" t="s">
        <v>118</v>
      </c>
      <c r="C3181" s="0" t="s">
        <v>119</v>
      </c>
      <c r="D3181" s="0" t="n">
        <v>38</v>
      </c>
      <c r="E3181" s="5" t="n">
        <v>45981.4254513889</v>
      </c>
      <c r="F3181" s="0" t="n">
        <v>4.95</v>
      </c>
      <c r="G3181" s="0" t="n">
        <v>17219</v>
      </c>
      <c r="H3181" s="6" t="s">
        <v>74</v>
      </c>
      <c r="I3181" s="6" t="n">
        <f aca="false">D3181*F3181</f>
        <v>188.1</v>
      </c>
      <c r="J3181" s="6" t="n">
        <f aca="false">HOUR(E3181)</f>
        <v>10</v>
      </c>
      <c r="K3181" s="6" t="n">
        <f aca="false">IF(COUNTIF($A$2:$A3181,A3181)=1,1,0)</f>
        <v>0</v>
      </c>
    </row>
    <row r="3182" customFormat="false" ht="15" hidden="false" customHeight="false" outlineLevel="0" collapsed="false">
      <c r="A3182" s="0" t="s">
        <v>703</v>
      </c>
      <c r="B3182" s="0" t="s">
        <v>137</v>
      </c>
      <c r="C3182" s="0" t="s">
        <v>138</v>
      </c>
      <c r="D3182" s="0" t="n">
        <v>4</v>
      </c>
      <c r="E3182" s="5" t="n">
        <v>45981.4254513889</v>
      </c>
      <c r="F3182" s="0" t="n">
        <v>2.1</v>
      </c>
      <c r="G3182" s="0" t="n">
        <v>17219</v>
      </c>
      <c r="H3182" s="6" t="s">
        <v>74</v>
      </c>
      <c r="I3182" s="6" t="n">
        <f aca="false">D3182*F3182</f>
        <v>8.4</v>
      </c>
      <c r="J3182" s="6" t="n">
        <f aca="false">HOUR(E3182)</f>
        <v>10</v>
      </c>
      <c r="K3182" s="6" t="n">
        <f aca="false">IF(COUNTIF($A$2:$A3182,A3182)=1,1,0)</f>
        <v>0</v>
      </c>
    </row>
    <row r="3183" customFormat="false" ht="15" hidden="false" customHeight="false" outlineLevel="0" collapsed="false">
      <c r="A3183" s="0" t="s">
        <v>704</v>
      </c>
      <c r="B3183" s="0" t="s">
        <v>40</v>
      </c>
      <c r="C3183" s="0" t="s">
        <v>41</v>
      </c>
      <c r="D3183" s="0" t="n">
        <v>23</v>
      </c>
      <c r="E3183" s="5" t="n">
        <v>45981.446099537</v>
      </c>
      <c r="F3183" s="0" t="n">
        <v>1.06</v>
      </c>
      <c r="H3183" s="6" t="s">
        <v>68</v>
      </c>
      <c r="I3183" s="6" t="n">
        <f aca="false">D3183*F3183</f>
        <v>24.38</v>
      </c>
      <c r="J3183" s="6" t="n">
        <f aca="false">HOUR(E3183)</f>
        <v>10</v>
      </c>
      <c r="K3183" s="6" t="n">
        <f aca="false">IF(COUNTIF($A$2:$A3183,A3183)=1,1,0)</f>
        <v>1</v>
      </c>
    </row>
    <row r="3184" customFormat="false" ht="15" hidden="false" customHeight="false" outlineLevel="0" collapsed="false">
      <c r="A3184" s="0" t="s">
        <v>704</v>
      </c>
      <c r="B3184" s="0" t="s">
        <v>55</v>
      </c>
      <c r="C3184" s="0" t="s">
        <v>56</v>
      </c>
      <c r="D3184" s="0" t="n">
        <v>11</v>
      </c>
      <c r="E3184" s="5" t="n">
        <v>45981.446099537</v>
      </c>
      <c r="F3184" s="0" t="n">
        <v>1.65</v>
      </c>
      <c r="H3184" s="6" t="s">
        <v>68</v>
      </c>
      <c r="I3184" s="6" t="n">
        <f aca="false">D3184*F3184</f>
        <v>18.15</v>
      </c>
      <c r="J3184" s="6" t="n">
        <f aca="false">HOUR(E3184)</f>
        <v>10</v>
      </c>
      <c r="K3184" s="6" t="n">
        <f aca="false">IF(COUNTIF($A$2:$A3184,A3184)=1,1,0)</f>
        <v>0</v>
      </c>
    </row>
    <row r="3185" customFormat="false" ht="15" hidden="false" customHeight="false" outlineLevel="0" collapsed="false">
      <c r="A3185" s="0" t="s">
        <v>704</v>
      </c>
      <c r="B3185" s="0" t="s">
        <v>121</v>
      </c>
      <c r="C3185" s="0" t="s">
        <v>122</v>
      </c>
      <c r="D3185" s="0" t="n">
        <v>5</v>
      </c>
      <c r="E3185" s="5" t="n">
        <v>45981.446099537</v>
      </c>
      <c r="F3185" s="0" t="n">
        <v>2.1</v>
      </c>
      <c r="H3185" s="6" t="s">
        <v>68</v>
      </c>
      <c r="I3185" s="6" t="n">
        <f aca="false">D3185*F3185</f>
        <v>10.5</v>
      </c>
      <c r="J3185" s="6" t="n">
        <f aca="false">HOUR(E3185)</f>
        <v>10</v>
      </c>
      <c r="K3185" s="6" t="n">
        <f aca="false">IF(COUNTIF($A$2:$A3185,A3185)=1,1,0)</f>
        <v>0</v>
      </c>
    </row>
    <row r="3186" customFormat="false" ht="15" hidden="false" customHeight="false" outlineLevel="0" collapsed="false">
      <c r="A3186" s="0" t="s">
        <v>705</v>
      </c>
      <c r="B3186" s="0" t="s">
        <v>79</v>
      </c>
      <c r="C3186" s="0" t="s">
        <v>80</v>
      </c>
      <c r="D3186" s="0" t="n">
        <v>11</v>
      </c>
      <c r="E3186" s="5" t="n">
        <v>45981.4702777778</v>
      </c>
      <c r="F3186" s="0" t="n">
        <v>3.39</v>
      </c>
      <c r="G3186" s="0" t="n">
        <v>17108</v>
      </c>
      <c r="H3186" s="6" t="s">
        <v>113</v>
      </c>
      <c r="I3186" s="6" t="n">
        <f aca="false">D3186*F3186</f>
        <v>37.29</v>
      </c>
      <c r="J3186" s="6" t="n">
        <f aca="false">HOUR(E3186)</f>
        <v>11</v>
      </c>
      <c r="K3186" s="6" t="n">
        <f aca="false">IF(COUNTIF($A$2:$A3186,A3186)=1,1,0)</f>
        <v>1</v>
      </c>
    </row>
    <row r="3187" customFormat="false" ht="15" hidden="false" customHeight="false" outlineLevel="0" collapsed="false">
      <c r="A3187" s="0" t="s">
        <v>705</v>
      </c>
      <c r="B3187" s="0" t="s">
        <v>75</v>
      </c>
      <c r="C3187" s="0" t="s">
        <v>76</v>
      </c>
      <c r="D3187" s="0" t="n">
        <v>12</v>
      </c>
      <c r="E3187" s="5" t="n">
        <v>45981.4702777778</v>
      </c>
      <c r="F3187" s="0" t="n">
        <v>3.39</v>
      </c>
      <c r="G3187" s="0" t="n">
        <v>17108</v>
      </c>
      <c r="H3187" s="6" t="s">
        <v>113</v>
      </c>
      <c r="I3187" s="6" t="n">
        <f aca="false">D3187*F3187</f>
        <v>40.68</v>
      </c>
      <c r="J3187" s="6" t="n">
        <f aca="false">HOUR(E3187)</f>
        <v>11</v>
      </c>
      <c r="K3187" s="6" t="n">
        <f aca="false">IF(COUNTIF($A$2:$A3187,A3187)=1,1,0)</f>
        <v>0</v>
      </c>
    </row>
    <row r="3188" customFormat="false" ht="15" hidden="false" customHeight="false" outlineLevel="0" collapsed="false">
      <c r="A3188" s="0" t="s">
        <v>705</v>
      </c>
      <c r="B3188" s="0" t="s">
        <v>40</v>
      </c>
      <c r="C3188" s="0" t="s">
        <v>41</v>
      </c>
      <c r="D3188" s="0" t="n">
        <v>1</v>
      </c>
      <c r="E3188" s="5" t="n">
        <v>45981.4702777778</v>
      </c>
      <c r="F3188" s="0" t="n">
        <v>1.06</v>
      </c>
      <c r="G3188" s="0" t="n">
        <v>17108</v>
      </c>
      <c r="H3188" s="6" t="s">
        <v>113</v>
      </c>
      <c r="I3188" s="6" t="n">
        <f aca="false">D3188*F3188</f>
        <v>1.06</v>
      </c>
      <c r="J3188" s="6" t="n">
        <f aca="false">HOUR(E3188)</f>
        <v>11</v>
      </c>
      <c r="K3188" s="6" t="n">
        <f aca="false">IF(COUNTIF($A$2:$A3188,A3188)=1,1,0)</f>
        <v>0</v>
      </c>
    </row>
    <row r="3189" customFormat="false" ht="15" hidden="false" customHeight="false" outlineLevel="0" collapsed="false">
      <c r="A3189" s="0" t="s">
        <v>705</v>
      </c>
      <c r="B3189" s="0" t="s">
        <v>43</v>
      </c>
      <c r="C3189" s="0" t="s">
        <v>44</v>
      </c>
      <c r="D3189" s="0" t="n">
        <v>2</v>
      </c>
      <c r="E3189" s="5" t="n">
        <v>45981.4702777778</v>
      </c>
      <c r="F3189" s="0" t="n">
        <v>4.25</v>
      </c>
      <c r="G3189" s="0" t="n">
        <v>17108</v>
      </c>
      <c r="H3189" s="6" t="s">
        <v>113</v>
      </c>
      <c r="I3189" s="6" t="n">
        <f aca="false">D3189*F3189</f>
        <v>8.5</v>
      </c>
      <c r="J3189" s="6" t="n">
        <f aca="false">HOUR(E3189)</f>
        <v>11</v>
      </c>
      <c r="K3189" s="6" t="n">
        <f aca="false">IF(COUNTIF($A$2:$A3189,A3189)=1,1,0)</f>
        <v>0</v>
      </c>
    </row>
    <row r="3190" customFormat="false" ht="15" hidden="false" customHeight="false" outlineLevel="0" collapsed="false">
      <c r="A3190" s="0" t="s">
        <v>705</v>
      </c>
      <c r="B3190" s="0" t="s">
        <v>131</v>
      </c>
      <c r="C3190" s="0" t="s">
        <v>132</v>
      </c>
      <c r="D3190" s="0" t="n">
        <v>20</v>
      </c>
      <c r="E3190" s="5" t="n">
        <v>45981.4702777778</v>
      </c>
      <c r="F3190" s="0" t="n">
        <v>3.39</v>
      </c>
      <c r="G3190" s="0" t="n">
        <v>17108</v>
      </c>
      <c r="H3190" s="6" t="s">
        <v>113</v>
      </c>
      <c r="I3190" s="6" t="n">
        <f aca="false">D3190*F3190</f>
        <v>67.8</v>
      </c>
      <c r="J3190" s="6" t="n">
        <f aca="false">HOUR(E3190)</f>
        <v>11</v>
      </c>
      <c r="K3190" s="6" t="n">
        <f aca="false">IF(COUNTIF($A$2:$A3190,A3190)=1,1,0)</f>
        <v>0</v>
      </c>
    </row>
    <row r="3191" customFormat="false" ht="15" hidden="false" customHeight="false" outlineLevel="0" collapsed="false">
      <c r="A3191" s="0" t="s">
        <v>705</v>
      </c>
      <c r="B3191" s="0" t="s">
        <v>45</v>
      </c>
      <c r="C3191" s="0" t="s">
        <v>46</v>
      </c>
      <c r="D3191" s="0" t="n">
        <v>1</v>
      </c>
      <c r="E3191" s="5" t="n">
        <v>45981.4702777778</v>
      </c>
      <c r="F3191" s="0" t="n">
        <v>2.1</v>
      </c>
      <c r="G3191" s="0" t="n">
        <v>17108</v>
      </c>
      <c r="H3191" s="6" t="s">
        <v>113</v>
      </c>
      <c r="I3191" s="6" t="n">
        <f aca="false">D3191*F3191</f>
        <v>2.1</v>
      </c>
      <c r="J3191" s="6" t="n">
        <f aca="false">HOUR(E3191)</f>
        <v>11</v>
      </c>
      <c r="K3191" s="6" t="n">
        <f aca="false">IF(COUNTIF($A$2:$A3191,A3191)=1,1,0)</f>
        <v>0</v>
      </c>
    </row>
    <row r="3192" customFormat="false" ht="15" hidden="false" customHeight="false" outlineLevel="0" collapsed="false">
      <c r="A3192" s="0" t="s">
        <v>705</v>
      </c>
      <c r="B3192" s="0" t="s">
        <v>104</v>
      </c>
      <c r="C3192" s="0" t="s">
        <v>105</v>
      </c>
      <c r="D3192" s="0" t="n">
        <v>18</v>
      </c>
      <c r="E3192" s="5" t="n">
        <v>45981.4702777778</v>
      </c>
      <c r="F3192" s="0" t="n">
        <v>1.65</v>
      </c>
      <c r="G3192" s="0" t="n">
        <v>17108</v>
      </c>
      <c r="H3192" s="6" t="s">
        <v>113</v>
      </c>
      <c r="I3192" s="6" t="n">
        <f aca="false">D3192*F3192</f>
        <v>29.7</v>
      </c>
      <c r="J3192" s="6" t="n">
        <f aca="false">HOUR(E3192)</f>
        <v>11</v>
      </c>
      <c r="K3192" s="6" t="n">
        <f aca="false">IF(COUNTIF($A$2:$A3192,A3192)=1,1,0)</f>
        <v>0</v>
      </c>
    </row>
    <row r="3193" customFormat="false" ht="15" hidden="false" customHeight="false" outlineLevel="0" collapsed="false">
      <c r="A3193" s="0" t="s">
        <v>705</v>
      </c>
      <c r="B3193" s="0" t="s">
        <v>99</v>
      </c>
      <c r="D3193" s="0" t="n">
        <v>5</v>
      </c>
      <c r="E3193" s="5" t="n">
        <v>45981.4702777778</v>
      </c>
      <c r="F3193" s="0" t="n">
        <v>2.08</v>
      </c>
      <c r="G3193" s="0" t="n">
        <v>17108</v>
      </c>
      <c r="H3193" s="6" t="s">
        <v>113</v>
      </c>
      <c r="I3193" s="6" t="n">
        <f aca="false">D3193*F3193</f>
        <v>10.4</v>
      </c>
      <c r="J3193" s="6" t="n">
        <f aca="false">HOUR(E3193)</f>
        <v>11</v>
      </c>
      <c r="K3193" s="6" t="n">
        <f aca="false">IF(COUNTIF($A$2:$A3193,A3193)=1,1,0)</f>
        <v>0</v>
      </c>
    </row>
    <row r="3194" customFormat="false" ht="15" hidden="false" customHeight="false" outlineLevel="0" collapsed="false">
      <c r="A3194" s="0" t="s">
        <v>705</v>
      </c>
      <c r="B3194" s="0" t="s">
        <v>77</v>
      </c>
      <c r="C3194" s="0" t="s">
        <v>78</v>
      </c>
      <c r="D3194" s="0" t="n">
        <v>8</v>
      </c>
      <c r="E3194" s="5" t="n">
        <v>45981.4702777778</v>
      </c>
      <c r="F3194" s="0" t="n">
        <v>1.65</v>
      </c>
      <c r="G3194" s="0" t="n">
        <v>17108</v>
      </c>
      <c r="H3194" s="6" t="s">
        <v>113</v>
      </c>
      <c r="I3194" s="6" t="n">
        <f aca="false">D3194*F3194</f>
        <v>13.2</v>
      </c>
      <c r="J3194" s="6" t="n">
        <f aca="false">HOUR(E3194)</f>
        <v>11</v>
      </c>
      <c r="K3194" s="6" t="n">
        <f aca="false">IF(COUNTIF($A$2:$A3194,A3194)=1,1,0)</f>
        <v>0</v>
      </c>
    </row>
    <row r="3195" customFormat="false" ht="15" hidden="false" customHeight="false" outlineLevel="0" collapsed="false">
      <c r="A3195" s="0" t="s">
        <v>705</v>
      </c>
      <c r="B3195" s="0" t="s">
        <v>145</v>
      </c>
      <c r="C3195" s="0" t="s">
        <v>146</v>
      </c>
      <c r="D3195" s="0" t="n">
        <v>6</v>
      </c>
      <c r="E3195" s="5" t="n">
        <v>45981.4702777778</v>
      </c>
      <c r="F3195" s="0" t="n">
        <v>1.85</v>
      </c>
      <c r="G3195" s="0" t="n">
        <v>17108</v>
      </c>
      <c r="H3195" s="6" t="s">
        <v>113</v>
      </c>
      <c r="I3195" s="6" t="n">
        <f aca="false">D3195*F3195</f>
        <v>11.1</v>
      </c>
      <c r="J3195" s="6" t="n">
        <f aca="false">HOUR(E3195)</f>
        <v>11</v>
      </c>
      <c r="K3195" s="6" t="n">
        <f aca="false">IF(COUNTIF($A$2:$A3195,A3195)=1,1,0)</f>
        <v>0</v>
      </c>
    </row>
    <row r="3196" customFormat="false" ht="15" hidden="false" customHeight="false" outlineLevel="0" collapsed="false">
      <c r="A3196" s="0" t="s">
        <v>706</v>
      </c>
      <c r="B3196" s="0" t="s">
        <v>50</v>
      </c>
      <c r="C3196" s="0" t="s">
        <v>51</v>
      </c>
      <c r="D3196" s="0" t="n">
        <v>7</v>
      </c>
      <c r="E3196" s="5" t="n">
        <v>45981.497662037</v>
      </c>
      <c r="F3196" s="0" t="n">
        <v>5.95</v>
      </c>
      <c r="H3196" s="6" t="s">
        <v>208</v>
      </c>
      <c r="I3196" s="6" t="n">
        <f aca="false">D3196*F3196</f>
        <v>41.65</v>
      </c>
      <c r="J3196" s="6" t="n">
        <f aca="false">HOUR(E3196)</f>
        <v>11</v>
      </c>
      <c r="K3196" s="6" t="n">
        <f aca="false">IF(COUNTIF($A$2:$A3196,A3196)=1,1,0)</f>
        <v>1</v>
      </c>
    </row>
    <row r="3197" customFormat="false" ht="15" hidden="false" customHeight="false" outlineLevel="0" collapsed="false">
      <c r="A3197" s="0" t="s">
        <v>706</v>
      </c>
      <c r="B3197" s="0" t="s">
        <v>140</v>
      </c>
      <c r="C3197" s="0" t="s">
        <v>141</v>
      </c>
      <c r="D3197" s="0" t="n">
        <v>9</v>
      </c>
      <c r="E3197" s="5" t="n">
        <v>45981.497662037</v>
      </c>
      <c r="F3197" s="0" t="n">
        <v>2.08</v>
      </c>
      <c r="H3197" s="6" t="s">
        <v>208</v>
      </c>
      <c r="I3197" s="6" t="n">
        <f aca="false">D3197*F3197</f>
        <v>18.72</v>
      </c>
      <c r="J3197" s="6" t="n">
        <f aca="false">HOUR(E3197)</f>
        <v>11</v>
      </c>
      <c r="K3197" s="6" t="n">
        <f aca="false">IF(COUNTIF($A$2:$A3197,A3197)=1,1,0)</f>
        <v>0</v>
      </c>
    </row>
    <row r="3198" customFormat="false" ht="15" hidden="false" customHeight="false" outlineLevel="0" collapsed="false">
      <c r="A3198" s="0" t="s">
        <v>706</v>
      </c>
      <c r="B3198" s="0" t="s">
        <v>75</v>
      </c>
      <c r="C3198" s="0" t="s">
        <v>76</v>
      </c>
      <c r="D3198" s="0" t="n">
        <v>6</v>
      </c>
      <c r="E3198" s="5" t="n">
        <v>45981.497662037</v>
      </c>
      <c r="F3198" s="0" t="n">
        <v>3.39</v>
      </c>
      <c r="H3198" s="6" t="s">
        <v>208</v>
      </c>
      <c r="I3198" s="6" t="n">
        <f aca="false">D3198*F3198</f>
        <v>20.34</v>
      </c>
      <c r="J3198" s="6" t="n">
        <f aca="false">HOUR(E3198)</f>
        <v>11</v>
      </c>
      <c r="K3198" s="6" t="n">
        <f aca="false">IF(COUNTIF($A$2:$A3198,A3198)=1,1,0)</f>
        <v>0</v>
      </c>
    </row>
    <row r="3199" customFormat="false" ht="15" hidden="false" customHeight="false" outlineLevel="0" collapsed="false">
      <c r="A3199" s="0" t="s">
        <v>707</v>
      </c>
      <c r="B3199" s="0" t="s">
        <v>88</v>
      </c>
      <c r="C3199" s="0" t="s">
        <v>89</v>
      </c>
      <c r="D3199" s="0" t="n">
        <v>3</v>
      </c>
      <c r="E3199" s="5" t="n">
        <v>45981.5261805556</v>
      </c>
      <c r="F3199" s="0" t="n">
        <v>2.75</v>
      </c>
      <c r="G3199" s="0" t="n">
        <v>17025</v>
      </c>
      <c r="H3199" s="6" t="s">
        <v>113</v>
      </c>
      <c r="I3199" s="6" t="n">
        <f aca="false">D3199*F3199</f>
        <v>8.25</v>
      </c>
      <c r="J3199" s="6" t="n">
        <f aca="false">HOUR(E3199)</f>
        <v>12</v>
      </c>
      <c r="K3199" s="6" t="n">
        <f aca="false">IF(COUNTIF($A$2:$A3199,A3199)=1,1,0)</f>
        <v>1</v>
      </c>
    </row>
    <row r="3200" customFormat="false" ht="15" hidden="false" customHeight="false" outlineLevel="0" collapsed="false">
      <c r="A3200" s="0" t="s">
        <v>707</v>
      </c>
      <c r="B3200" s="0" t="s">
        <v>102</v>
      </c>
      <c r="C3200" s="0" t="s">
        <v>103</v>
      </c>
      <c r="D3200" s="0" t="n">
        <v>13</v>
      </c>
      <c r="E3200" s="5" t="n">
        <v>45981.5261805556</v>
      </c>
      <c r="F3200" s="0" t="n">
        <v>8.5</v>
      </c>
      <c r="G3200" s="0" t="n">
        <v>17025</v>
      </c>
      <c r="H3200" s="6" t="s">
        <v>113</v>
      </c>
      <c r="I3200" s="6" t="n">
        <f aca="false">D3200*F3200</f>
        <v>110.5</v>
      </c>
      <c r="J3200" s="6" t="n">
        <f aca="false">HOUR(E3200)</f>
        <v>12</v>
      </c>
      <c r="K3200" s="6" t="n">
        <f aca="false">IF(COUNTIF($A$2:$A3200,A3200)=1,1,0)</f>
        <v>0</v>
      </c>
    </row>
    <row r="3201" customFormat="false" ht="15" hidden="false" customHeight="false" outlineLevel="0" collapsed="false">
      <c r="A3201" s="0" t="s">
        <v>707</v>
      </c>
      <c r="B3201" s="0" t="s">
        <v>63</v>
      </c>
      <c r="C3201" s="0" t="s">
        <v>64</v>
      </c>
      <c r="D3201" s="0" t="n">
        <v>16</v>
      </c>
      <c r="E3201" s="5" t="n">
        <v>45981.5261805556</v>
      </c>
      <c r="F3201" s="0" t="n">
        <v>1.85</v>
      </c>
      <c r="G3201" s="0" t="n">
        <v>17025</v>
      </c>
      <c r="H3201" s="6" t="s">
        <v>113</v>
      </c>
      <c r="I3201" s="6" t="n">
        <f aca="false">D3201*F3201</f>
        <v>29.6</v>
      </c>
      <c r="J3201" s="6" t="n">
        <f aca="false">HOUR(E3201)</f>
        <v>12</v>
      </c>
      <c r="K3201" s="6" t="n">
        <f aca="false">IF(COUNTIF($A$2:$A3201,A3201)=1,1,0)</f>
        <v>0</v>
      </c>
    </row>
    <row r="3202" customFormat="false" ht="15" hidden="false" customHeight="false" outlineLevel="0" collapsed="false">
      <c r="A3202" s="0" t="s">
        <v>707</v>
      </c>
      <c r="B3202" s="0" t="s">
        <v>59</v>
      </c>
      <c r="C3202" s="0" t="s">
        <v>60</v>
      </c>
      <c r="D3202" s="0" t="n">
        <v>21</v>
      </c>
      <c r="E3202" s="5" t="n">
        <v>45981.5261805556</v>
      </c>
      <c r="F3202" s="0" t="n">
        <v>0.42</v>
      </c>
      <c r="G3202" s="0" t="n">
        <v>17025</v>
      </c>
      <c r="H3202" s="6" t="s">
        <v>113</v>
      </c>
      <c r="I3202" s="6" t="n">
        <f aca="false">D3202*F3202</f>
        <v>8.82</v>
      </c>
      <c r="J3202" s="6" t="n">
        <f aca="false">HOUR(E3202)</f>
        <v>12</v>
      </c>
      <c r="K3202" s="6" t="n">
        <f aca="false">IF(COUNTIF($A$2:$A3202,A3202)=1,1,0)</f>
        <v>0</v>
      </c>
    </row>
    <row r="3203" customFormat="false" ht="15" hidden="false" customHeight="false" outlineLevel="0" collapsed="false">
      <c r="A3203" s="0" t="s">
        <v>707</v>
      </c>
      <c r="B3203" s="0" t="s">
        <v>47</v>
      </c>
      <c r="C3203" s="0" t="s">
        <v>48</v>
      </c>
      <c r="D3203" s="0" t="n">
        <v>37</v>
      </c>
      <c r="E3203" s="5" t="n">
        <v>45981.5261805556</v>
      </c>
      <c r="F3203" s="0" t="n">
        <v>12.75</v>
      </c>
      <c r="G3203" s="0" t="n">
        <v>17025</v>
      </c>
      <c r="H3203" s="6" t="s">
        <v>113</v>
      </c>
      <c r="I3203" s="6" t="n">
        <f aca="false">D3203*F3203</f>
        <v>471.75</v>
      </c>
      <c r="J3203" s="6" t="n">
        <f aca="false">HOUR(E3203)</f>
        <v>12</v>
      </c>
      <c r="K3203" s="6" t="n">
        <f aca="false">IF(COUNTIF($A$2:$A3203,A3203)=1,1,0)</f>
        <v>0</v>
      </c>
    </row>
    <row r="3204" customFormat="false" ht="15" hidden="false" customHeight="false" outlineLevel="0" collapsed="false">
      <c r="A3204" s="0" t="s">
        <v>708</v>
      </c>
      <c r="B3204" s="0" t="s">
        <v>95</v>
      </c>
      <c r="C3204" s="0" t="s">
        <v>96</v>
      </c>
      <c r="D3204" s="0" t="n">
        <v>18</v>
      </c>
      <c r="E3204" s="5" t="n">
        <v>45981.5352430556</v>
      </c>
      <c r="F3204" s="0" t="n">
        <v>2.55</v>
      </c>
      <c r="G3204" s="0" t="n">
        <v>17167</v>
      </c>
      <c r="H3204" s="6" t="s">
        <v>113</v>
      </c>
      <c r="I3204" s="6" t="n">
        <f aca="false">D3204*F3204</f>
        <v>45.9</v>
      </c>
      <c r="J3204" s="6" t="n">
        <f aca="false">HOUR(E3204)</f>
        <v>12</v>
      </c>
      <c r="K3204" s="6" t="n">
        <f aca="false">IF(COUNTIF($A$2:$A3204,A3204)=1,1,0)</f>
        <v>1</v>
      </c>
    </row>
    <row r="3205" customFormat="false" ht="15" hidden="false" customHeight="false" outlineLevel="0" collapsed="false">
      <c r="A3205" s="0" t="s">
        <v>708</v>
      </c>
      <c r="B3205" s="0" t="s">
        <v>121</v>
      </c>
      <c r="C3205" s="0" t="s">
        <v>122</v>
      </c>
      <c r="D3205" s="0" t="n">
        <v>14</v>
      </c>
      <c r="E3205" s="5" t="n">
        <v>45981.5352430556</v>
      </c>
      <c r="F3205" s="0" t="n">
        <v>2.1</v>
      </c>
      <c r="G3205" s="0" t="n">
        <v>17167</v>
      </c>
      <c r="H3205" s="6" t="s">
        <v>113</v>
      </c>
      <c r="I3205" s="6" t="n">
        <f aca="false">D3205*F3205</f>
        <v>29.4</v>
      </c>
      <c r="J3205" s="6" t="n">
        <f aca="false">HOUR(E3205)</f>
        <v>12</v>
      </c>
      <c r="K3205" s="6" t="n">
        <f aca="false">IF(COUNTIF($A$2:$A3205,A3205)=1,1,0)</f>
        <v>0</v>
      </c>
    </row>
    <row r="3206" customFormat="false" ht="15" hidden="false" customHeight="false" outlineLevel="0" collapsed="false">
      <c r="A3206" s="0" t="s">
        <v>708</v>
      </c>
      <c r="B3206" s="0" t="s">
        <v>55</v>
      </c>
      <c r="C3206" s="0" t="s">
        <v>56</v>
      </c>
      <c r="D3206" s="0" t="n">
        <v>1</v>
      </c>
      <c r="E3206" s="5" t="n">
        <v>45981.5352430556</v>
      </c>
      <c r="F3206" s="0" t="n">
        <v>1.65</v>
      </c>
      <c r="G3206" s="0" t="n">
        <v>17167</v>
      </c>
      <c r="H3206" s="6" t="s">
        <v>113</v>
      </c>
      <c r="I3206" s="6" t="n">
        <f aca="false">D3206*F3206</f>
        <v>1.65</v>
      </c>
      <c r="J3206" s="6" t="n">
        <f aca="false">HOUR(E3206)</f>
        <v>12</v>
      </c>
      <c r="K3206" s="6" t="n">
        <f aca="false">IF(COUNTIF($A$2:$A3206,A3206)=1,1,0)</f>
        <v>0</v>
      </c>
    </row>
    <row r="3207" customFormat="false" ht="15" hidden="false" customHeight="false" outlineLevel="0" collapsed="false">
      <c r="A3207" s="0" t="s">
        <v>708</v>
      </c>
      <c r="B3207" s="0" t="s">
        <v>125</v>
      </c>
      <c r="C3207" s="0" t="s">
        <v>126</v>
      </c>
      <c r="D3207" s="0" t="n">
        <v>5</v>
      </c>
      <c r="E3207" s="5" t="n">
        <v>45981.5352430556</v>
      </c>
      <c r="F3207" s="0" t="n">
        <v>1.25</v>
      </c>
      <c r="G3207" s="0" t="n">
        <v>17167</v>
      </c>
      <c r="H3207" s="6" t="s">
        <v>113</v>
      </c>
      <c r="I3207" s="6" t="n">
        <f aca="false">D3207*F3207</f>
        <v>6.25</v>
      </c>
      <c r="J3207" s="6" t="n">
        <f aca="false">HOUR(E3207)</f>
        <v>12</v>
      </c>
      <c r="K3207" s="6" t="n">
        <f aca="false">IF(COUNTIF($A$2:$A3207,A3207)=1,1,0)</f>
        <v>0</v>
      </c>
    </row>
    <row r="3208" customFormat="false" ht="15" hidden="false" customHeight="false" outlineLevel="0" collapsed="false">
      <c r="A3208" s="0" t="s">
        <v>708</v>
      </c>
      <c r="B3208" s="0" t="s">
        <v>140</v>
      </c>
      <c r="C3208" s="0" t="s">
        <v>141</v>
      </c>
      <c r="D3208" s="0" t="n">
        <v>11</v>
      </c>
      <c r="E3208" s="5" t="n">
        <v>45981.5352430556</v>
      </c>
      <c r="F3208" s="0" t="n">
        <v>2.08</v>
      </c>
      <c r="G3208" s="0" t="n">
        <v>17167</v>
      </c>
      <c r="H3208" s="6" t="s">
        <v>113</v>
      </c>
      <c r="I3208" s="6" t="n">
        <f aca="false">D3208*F3208</f>
        <v>22.88</v>
      </c>
      <c r="J3208" s="6" t="n">
        <f aca="false">HOUR(E3208)</f>
        <v>12</v>
      </c>
      <c r="K3208" s="6" t="n">
        <f aca="false">IF(COUNTIF($A$2:$A3208,A3208)=1,1,0)</f>
        <v>0</v>
      </c>
    </row>
    <row r="3209" customFormat="false" ht="15" hidden="false" customHeight="false" outlineLevel="0" collapsed="false">
      <c r="A3209" s="0" t="s">
        <v>708</v>
      </c>
      <c r="B3209" s="0" t="s">
        <v>137</v>
      </c>
      <c r="C3209" s="0" t="s">
        <v>138</v>
      </c>
      <c r="D3209" s="0" t="n">
        <v>20</v>
      </c>
      <c r="E3209" s="5" t="n">
        <v>45981.5352430556</v>
      </c>
      <c r="F3209" s="0" t="n">
        <v>2.1</v>
      </c>
      <c r="G3209" s="0" t="n">
        <v>17167</v>
      </c>
      <c r="H3209" s="6" t="s">
        <v>113</v>
      </c>
      <c r="I3209" s="6" t="n">
        <f aca="false">D3209*F3209</f>
        <v>42</v>
      </c>
      <c r="J3209" s="6" t="n">
        <f aca="false">HOUR(E3209)</f>
        <v>12</v>
      </c>
      <c r="K3209" s="6" t="n">
        <f aca="false">IF(COUNTIF($A$2:$A3209,A3209)=1,1,0)</f>
        <v>0</v>
      </c>
    </row>
    <row r="3210" customFormat="false" ht="15" hidden="false" customHeight="false" outlineLevel="0" collapsed="false">
      <c r="A3210" s="0" t="s">
        <v>708</v>
      </c>
      <c r="B3210" s="0" t="s">
        <v>43</v>
      </c>
      <c r="C3210" s="0" t="s">
        <v>44</v>
      </c>
      <c r="D3210" s="0" t="n">
        <v>23</v>
      </c>
      <c r="E3210" s="5" t="n">
        <v>45981.5352430556</v>
      </c>
      <c r="F3210" s="0" t="n">
        <v>4.25</v>
      </c>
      <c r="G3210" s="0" t="n">
        <v>17167</v>
      </c>
      <c r="H3210" s="6" t="s">
        <v>113</v>
      </c>
      <c r="I3210" s="6" t="n">
        <f aca="false">D3210*F3210</f>
        <v>97.75</v>
      </c>
      <c r="J3210" s="6" t="n">
        <f aca="false">HOUR(E3210)</f>
        <v>12</v>
      </c>
      <c r="K3210" s="6" t="n">
        <f aca="false">IF(COUNTIF($A$2:$A3210,A3210)=1,1,0)</f>
        <v>0</v>
      </c>
    </row>
    <row r="3211" customFormat="false" ht="15" hidden="false" customHeight="false" outlineLevel="0" collapsed="false">
      <c r="A3211" s="0" t="s">
        <v>709</v>
      </c>
      <c r="B3211" s="0" t="s">
        <v>79</v>
      </c>
      <c r="C3211" s="0" t="s">
        <v>80</v>
      </c>
      <c r="D3211" s="0" t="n">
        <v>6</v>
      </c>
      <c r="E3211" s="5" t="n">
        <v>45981.5409259259</v>
      </c>
      <c r="F3211" s="0" t="n">
        <v>3.39</v>
      </c>
      <c r="G3211" s="0" t="n">
        <v>17198</v>
      </c>
      <c r="H3211" s="6" t="s">
        <v>74</v>
      </c>
      <c r="I3211" s="6" t="n">
        <f aca="false">D3211*F3211</f>
        <v>20.34</v>
      </c>
      <c r="J3211" s="6" t="n">
        <f aca="false">HOUR(E3211)</f>
        <v>12</v>
      </c>
      <c r="K3211" s="6" t="n">
        <f aca="false">IF(COUNTIF($A$2:$A3211,A3211)=1,1,0)</f>
        <v>1</v>
      </c>
    </row>
    <row r="3212" customFormat="false" ht="15" hidden="false" customHeight="false" outlineLevel="0" collapsed="false">
      <c r="A3212" s="0" t="s">
        <v>709</v>
      </c>
      <c r="B3212" s="0" t="s">
        <v>116</v>
      </c>
      <c r="C3212" s="0" t="s">
        <v>117</v>
      </c>
      <c r="D3212" s="0" t="n">
        <v>24</v>
      </c>
      <c r="E3212" s="5" t="n">
        <v>45981.5409259259</v>
      </c>
      <c r="F3212" s="0" t="n">
        <v>1.95</v>
      </c>
      <c r="G3212" s="0" t="n">
        <v>17198</v>
      </c>
      <c r="H3212" s="6" t="s">
        <v>74</v>
      </c>
      <c r="I3212" s="6" t="n">
        <f aca="false">D3212*F3212</f>
        <v>46.8</v>
      </c>
      <c r="J3212" s="6" t="n">
        <f aca="false">HOUR(E3212)</f>
        <v>12</v>
      </c>
      <c r="K3212" s="6" t="n">
        <f aca="false">IF(COUNTIF($A$2:$A3212,A3212)=1,1,0)</f>
        <v>0</v>
      </c>
    </row>
    <row r="3213" customFormat="false" ht="15" hidden="false" customHeight="false" outlineLevel="0" collapsed="false">
      <c r="A3213" s="0" t="s">
        <v>709</v>
      </c>
      <c r="B3213" s="0" t="s">
        <v>107</v>
      </c>
      <c r="C3213" s="0" t="s">
        <v>108</v>
      </c>
      <c r="D3213" s="0" t="n">
        <v>20</v>
      </c>
      <c r="E3213" s="5" t="n">
        <v>45981.5409259259</v>
      </c>
      <c r="F3213" s="0" t="n">
        <v>3.75</v>
      </c>
      <c r="G3213" s="0" t="n">
        <v>17198</v>
      </c>
      <c r="H3213" s="6" t="s">
        <v>74</v>
      </c>
      <c r="I3213" s="6" t="n">
        <f aca="false">D3213*F3213</f>
        <v>75</v>
      </c>
      <c r="J3213" s="6" t="n">
        <f aca="false">HOUR(E3213)</f>
        <v>12</v>
      </c>
      <c r="K3213" s="6" t="n">
        <f aca="false">IF(COUNTIF($A$2:$A3213,A3213)=1,1,0)</f>
        <v>0</v>
      </c>
    </row>
    <row r="3214" customFormat="false" ht="15" hidden="false" customHeight="false" outlineLevel="0" collapsed="false">
      <c r="A3214" s="0" t="s">
        <v>709</v>
      </c>
      <c r="B3214" s="0" t="s">
        <v>131</v>
      </c>
      <c r="C3214" s="0" t="s">
        <v>132</v>
      </c>
      <c r="D3214" s="0" t="n">
        <v>17</v>
      </c>
      <c r="E3214" s="5" t="n">
        <v>45981.5409259259</v>
      </c>
      <c r="F3214" s="0" t="n">
        <v>3.39</v>
      </c>
      <c r="G3214" s="0" t="n">
        <v>17198</v>
      </c>
      <c r="H3214" s="6" t="s">
        <v>74</v>
      </c>
      <c r="I3214" s="6" t="n">
        <f aca="false">D3214*F3214</f>
        <v>57.63</v>
      </c>
      <c r="J3214" s="6" t="n">
        <f aca="false">HOUR(E3214)</f>
        <v>12</v>
      </c>
      <c r="K3214" s="6" t="n">
        <f aca="false">IF(COUNTIF($A$2:$A3214,A3214)=1,1,0)</f>
        <v>0</v>
      </c>
    </row>
    <row r="3215" customFormat="false" ht="15" hidden="false" customHeight="false" outlineLevel="0" collapsed="false">
      <c r="A3215" s="0" t="s">
        <v>709</v>
      </c>
      <c r="B3215" s="0" t="s">
        <v>114</v>
      </c>
      <c r="C3215" s="0" t="s">
        <v>115</v>
      </c>
      <c r="D3215" s="0" t="n">
        <v>19</v>
      </c>
      <c r="E3215" s="5" t="n">
        <v>45981.5409259259</v>
      </c>
      <c r="F3215" s="0" t="n">
        <v>2.08</v>
      </c>
      <c r="G3215" s="0" t="n">
        <v>17198</v>
      </c>
      <c r="H3215" s="6" t="s">
        <v>74</v>
      </c>
      <c r="I3215" s="6" t="n">
        <f aca="false">D3215*F3215</f>
        <v>39.52</v>
      </c>
      <c r="J3215" s="6" t="n">
        <f aca="false">HOUR(E3215)</f>
        <v>12</v>
      </c>
      <c r="K3215" s="6" t="n">
        <f aca="false">IF(COUNTIF($A$2:$A3215,A3215)=1,1,0)</f>
        <v>0</v>
      </c>
    </row>
    <row r="3216" customFormat="false" ht="15" hidden="false" customHeight="false" outlineLevel="0" collapsed="false">
      <c r="A3216" s="0" t="s">
        <v>709</v>
      </c>
      <c r="B3216" s="0" t="s">
        <v>75</v>
      </c>
      <c r="C3216" s="0" t="s">
        <v>76</v>
      </c>
      <c r="D3216" s="0" t="n">
        <v>3</v>
      </c>
      <c r="E3216" s="5" t="n">
        <v>45981.5409259259</v>
      </c>
      <c r="F3216" s="0" t="n">
        <v>3.39</v>
      </c>
      <c r="G3216" s="0" t="n">
        <v>17198</v>
      </c>
      <c r="H3216" s="6" t="s">
        <v>74</v>
      </c>
      <c r="I3216" s="6" t="n">
        <f aca="false">D3216*F3216</f>
        <v>10.17</v>
      </c>
      <c r="J3216" s="6" t="n">
        <f aca="false">HOUR(E3216)</f>
        <v>12</v>
      </c>
      <c r="K3216" s="6" t="n">
        <f aca="false">IF(COUNTIF($A$2:$A3216,A3216)=1,1,0)</f>
        <v>0</v>
      </c>
    </row>
    <row r="3217" customFormat="false" ht="15" hidden="false" customHeight="false" outlineLevel="0" collapsed="false">
      <c r="A3217" s="0" t="s">
        <v>709</v>
      </c>
      <c r="B3217" s="0" t="s">
        <v>91</v>
      </c>
      <c r="C3217" s="0" t="s">
        <v>92</v>
      </c>
      <c r="D3217" s="0" t="n">
        <v>20</v>
      </c>
      <c r="E3217" s="5" t="n">
        <v>45981.5409259259</v>
      </c>
      <c r="F3217" s="0" t="n">
        <v>7.65</v>
      </c>
      <c r="G3217" s="0" t="n">
        <v>17198</v>
      </c>
      <c r="H3217" s="6" t="s">
        <v>74</v>
      </c>
      <c r="I3217" s="6" t="n">
        <f aca="false">D3217*F3217</f>
        <v>153</v>
      </c>
      <c r="J3217" s="6" t="n">
        <f aca="false">HOUR(E3217)</f>
        <v>12</v>
      </c>
      <c r="K3217" s="6" t="n">
        <f aca="false">IF(COUNTIF($A$2:$A3217,A3217)=1,1,0)</f>
        <v>0</v>
      </c>
    </row>
    <row r="3218" customFormat="false" ht="15" hidden="false" customHeight="false" outlineLevel="0" collapsed="false">
      <c r="A3218" s="0" t="s">
        <v>709</v>
      </c>
      <c r="B3218" s="0" t="s">
        <v>99</v>
      </c>
      <c r="C3218" s="0" t="s">
        <v>100</v>
      </c>
      <c r="D3218" s="0" t="n">
        <v>15</v>
      </c>
      <c r="E3218" s="5" t="n">
        <v>45981.5409259259</v>
      </c>
      <c r="F3218" s="0" t="n">
        <v>2.08</v>
      </c>
      <c r="G3218" s="0" t="n">
        <v>17198</v>
      </c>
      <c r="H3218" s="6" t="s">
        <v>74</v>
      </c>
      <c r="I3218" s="6" t="n">
        <f aca="false">D3218*F3218</f>
        <v>31.2</v>
      </c>
      <c r="J3218" s="6" t="n">
        <f aca="false">HOUR(E3218)</f>
        <v>12</v>
      </c>
      <c r="K3218" s="6" t="n">
        <f aca="false">IF(COUNTIF($A$2:$A3218,A3218)=1,1,0)</f>
        <v>0</v>
      </c>
    </row>
    <row r="3219" customFormat="false" ht="15" hidden="false" customHeight="false" outlineLevel="0" collapsed="false">
      <c r="A3219" s="0" t="s">
        <v>709</v>
      </c>
      <c r="B3219" s="0" t="s">
        <v>69</v>
      </c>
      <c r="C3219" s="0" t="s">
        <v>70</v>
      </c>
      <c r="D3219" s="0" t="n">
        <v>32</v>
      </c>
      <c r="E3219" s="5" t="n">
        <v>45981.5409259259</v>
      </c>
      <c r="F3219" s="0" t="n">
        <v>2.08</v>
      </c>
      <c r="G3219" s="0" t="n">
        <v>17198</v>
      </c>
      <c r="H3219" s="6" t="s">
        <v>74</v>
      </c>
      <c r="I3219" s="6" t="n">
        <f aca="false">D3219*F3219</f>
        <v>66.56</v>
      </c>
      <c r="J3219" s="6" t="n">
        <f aca="false">HOUR(E3219)</f>
        <v>12</v>
      </c>
      <c r="K3219" s="6" t="n">
        <f aca="false">IF(COUNTIF($A$2:$A3219,A3219)=1,1,0)</f>
        <v>0</v>
      </c>
    </row>
    <row r="3220" customFormat="false" ht="15" hidden="false" customHeight="false" outlineLevel="0" collapsed="false">
      <c r="A3220" s="0" t="s">
        <v>710</v>
      </c>
      <c r="B3220" s="0" t="s">
        <v>109</v>
      </c>
      <c r="C3220" s="0" t="s">
        <v>110</v>
      </c>
      <c r="D3220" s="0" t="n">
        <v>1</v>
      </c>
      <c r="E3220" s="5" t="n">
        <v>45981.5546412037</v>
      </c>
      <c r="F3220" s="0" t="n">
        <v>0.85</v>
      </c>
      <c r="G3220" s="0" t="n">
        <v>17057</v>
      </c>
      <c r="H3220" s="6" t="s">
        <v>74</v>
      </c>
      <c r="I3220" s="6" t="n">
        <f aca="false">D3220*F3220</f>
        <v>0.85</v>
      </c>
      <c r="J3220" s="6" t="n">
        <f aca="false">HOUR(E3220)</f>
        <v>13</v>
      </c>
      <c r="K3220" s="6" t="n">
        <f aca="false">IF(COUNTIF($A$2:$A3220,A3220)=1,1,0)</f>
        <v>1</v>
      </c>
    </row>
    <row r="3221" customFormat="false" ht="15" hidden="false" customHeight="false" outlineLevel="0" collapsed="false">
      <c r="A3221" s="0" t="s">
        <v>710</v>
      </c>
      <c r="B3221" s="0" t="s">
        <v>114</v>
      </c>
      <c r="C3221" s="0" t="s">
        <v>115</v>
      </c>
      <c r="D3221" s="0" t="n">
        <v>11</v>
      </c>
      <c r="E3221" s="5" t="n">
        <v>45981.5546412037</v>
      </c>
      <c r="F3221" s="0" t="n">
        <v>2.08</v>
      </c>
      <c r="G3221" s="0" t="n">
        <v>17057</v>
      </c>
      <c r="H3221" s="6" t="s">
        <v>74</v>
      </c>
      <c r="I3221" s="6" t="n">
        <f aca="false">D3221*F3221</f>
        <v>22.88</v>
      </c>
      <c r="J3221" s="6" t="n">
        <f aca="false">HOUR(E3221)</f>
        <v>13</v>
      </c>
      <c r="K3221" s="6" t="n">
        <f aca="false">IF(COUNTIF($A$2:$A3221,A3221)=1,1,0)</f>
        <v>0</v>
      </c>
    </row>
    <row r="3222" customFormat="false" ht="15" hidden="false" customHeight="false" outlineLevel="0" collapsed="false">
      <c r="A3222" s="0" t="s">
        <v>710</v>
      </c>
      <c r="B3222" s="0" t="s">
        <v>75</v>
      </c>
      <c r="C3222" s="0" t="s">
        <v>76</v>
      </c>
      <c r="D3222" s="0" t="n">
        <v>19</v>
      </c>
      <c r="E3222" s="5" t="n">
        <v>45981.5546412037</v>
      </c>
      <c r="F3222" s="0" t="n">
        <v>3.39</v>
      </c>
      <c r="G3222" s="0" t="n">
        <v>17057</v>
      </c>
      <c r="H3222" s="6" t="s">
        <v>74</v>
      </c>
      <c r="I3222" s="6" t="n">
        <f aca="false">D3222*F3222</f>
        <v>64.41</v>
      </c>
      <c r="J3222" s="6" t="n">
        <f aca="false">HOUR(E3222)</f>
        <v>13</v>
      </c>
      <c r="K3222" s="6" t="n">
        <f aca="false">IF(COUNTIF($A$2:$A3222,A3222)=1,1,0)</f>
        <v>0</v>
      </c>
    </row>
    <row r="3223" customFormat="false" ht="15" hidden="false" customHeight="false" outlineLevel="0" collapsed="false">
      <c r="A3223" s="0" t="s">
        <v>710</v>
      </c>
      <c r="B3223" s="0" t="s">
        <v>53</v>
      </c>
      <c r="C3223" s="0" t="s">
        <v>54</v>
      </c>
      <c r="D3223" s="0" t="n">
        <v>18</v>
      </c>
      <c r="E3223" s="5" t="n">
        <v>45981.5546412037</v>
      </c>
      <c r="F3223" s="0" t="n">
        <v>2.95</v>
      </c>
      <c r="G3223" s="0" t="n">
        <v>17057</v>
      </c>
      <c r="H3223" s="6" t="s">
        <v>74</v>
      </c>
      <c r="I3223" s="6" t="n">
        <f aca="false">D3223*F3223</f>
        <v>53.1</v>
      </c>
      <c r="J3223" s="6" t="n">
        <f aca="false">HOUR(E3223)</f>
        <v>13</v>
      </c>
      <c r="K3223" s="6" t="n">
        <f aca="false">IF(COUNTIF($A$2:$A3223,A3223)=1,1,0)</f>
        <v>0</v>
      </c>
    </row>
    <row r="3224" customFormat="false" ht="15" hidden="false" customHeight="false" outlineLevel="0" collapsed="false">
      <c r="A3224" s="0" t="s">
        <v>711</v>
      </c>
      <c r="B3224" s="0" t="s">
        <v>86</v>
      </c>
      <c r="C3224" s="0" t="s">
        <v>87</v>
      </c>
      <c r="D3224" s="0" t="n">
        <v>5</v>
      </c>
      <c r="E3224" s="5" t="n">
        <v>45981.5723726852</v>
      </c>
      <c r="F3224" s="0" t="n">
        <v>4.25</v>
      </c>
      <c r="G3224" s="0" t="n">
        <v>17237</v>
      </c>
      <c r="H3224" s="6" t="s">
        <v>188</v>
      </c>
      <c r="I3224" s="6" t="n">
        <f aca="false">D3224*F3224</f>
        <v>21.25</v>
      </c>
      <c r="J3224" s="6" t="n">
        <f aca="false">HOUR(E3224)</f>
        <v>13</v>
      </c>
      <c r="K3224" s="6" t="n">
        <f aca="false">IF(COUNTIF($A$2:$A3224,A3224)=1,1,0)</f>
        <v>1</v>
      </c>
    </row>
    <row r="3225" customFormat="false" ht="15" hidden="false" customHeight="false" outlineLevel="0" collapsed="false">
      <c r="A3225" s="0" t="s">
        <v>711</v>
      </c>
      <c r="B3225" s="0" t="s">
        <v>145</v>
      </c>
      <c r="C3225" s="0" t="s">
        <v>146</v>
      </c>
      <c r="D3225" s="0" t="n">
        <v>24</v>
      </c>
      <c r="E3225" s="5" t="n">
        <v>45981.5723726852</v>
      </c>
      <c r="F3225" s="0" t="n">
        <v>1.85</v>
      </c>
      <c r="G3225" s="0" t="n">
        <v>17237</v>
      </c>
      <c r="H3225" s="6" t="s">
        <v>188</v>
      </c>
      <c r="I3225" s="6" t="n">
        <f aca="false">D3225*F3225</f>
        <v>44.4</v>
      </c>
      <c r="J3225" s="6" t="n">
        <f aca="false">HOUR(E3225)</f>
        <v>13</v>
      </c>
      <c r="K3225" s="6" t="n">
        <f aca="false">IF(COUNTIF($A$2:$A3225,A3225)=1,1,0)</f>
        <v>0</v>
      </c>
    </row>
    <row r="3226" customFormat="false" ht="15" hidden="false" customHeight="false" outlineLevel="0" collapsed="false">
      <c r="A3226" s="0" t="s">
        <v>711</v>
      </c>
      <c r="B3226" s="0" t="s">
        <v>140</v>
      </c>
      <c r="C3226" s="0" t="s">
        <v>141</v>
      </c>
      <c r="D3226" s="0" t="n">
        <v>20</v>
      </c>
      <c r="E3226" s="5" t="n">
        <v>45981.5723726852</v>
      </c>
      <c r="F3226" s="0" t="n">
        <v>2.08</v>
      </c>
      <c r="G3226" s="0" t="n">
        <v>17237</v>
      </c>
      <c r="H3226" s="6" t="s">
        <v>188</v>
      </c>
      <c r="I3226" s="6" t="n">
        <f aca="false">D3226*F3226</f>
        <v>41.6</v>
      </c>
      <c r="J3226" s="6" t="n">
        <f aca="false">HOUR(E3226)</f>
        <v>13</v>
      </c>
      <c r="K3226" s="6" t="n">
        <f aca="false">IF(COUNTIF($A$2:$A3226,A3226)=1,1,0)</f>
        <v>0</v>
      </c>
    </row>
    <row r="3227" customFormat="false" ht="15" hidden="false" customHeight="false" outlineLevel="0" collapsed="false">
      <c r="A3227" s="0" t="s">
        <v>711</v>
      </c>
      <c r="B3227" s="0" t="s">
        <v>69</v>
      </c>
      <c r="C3227" s="0" t="s">
        <v>70</v>
      </c>
      <c r="D3227" s="0" t="n">
        <v>24</v>
      </c>
      <c r="E3227" s="5" t="n">
        <v>45981.5723726852</v>
      </c>
      <c r="F3227" s="0" t="n">
        <v>2.08</v>
      </c>
      <c r="G3227" s="0" t="n">
        <v>17237</v>
      </c>
      <c r="H3227" s="6" t="s">
        <v>188</v>
      </c>
      <c r="I3227" s="6" t="n">
        <f aca="false">D3227*F3227</f>
        <v>49.92</v>
      </c>
      <c r="J3227" s="6" t="n">
        <f aca="false">HOUR(E3227)</f>
        <v>13</v>
      </c>
      <c r="K3227" s="6" t="n">
        <f aca="false">IF(COUNTIF($A$2:$A3227,A3227)=1,1,0)</f>
        <v>0</v>
      </c>
    </row>
    <row r="3228" customFormat="false" ht="15" hidden="false" customHeight="false" outlineLevel="0" collapsed="false">
      <c r="A3228" s="0" t="s">
        <v>712</v>
      </c>
      <c r="B3228" s="0" t="s">
        <v>61</v>
      </c>
      <c r="C3228" s="0" t="s">
        <v>62</v>
      </c>
      <c r="D3228" s="0" t="n">
        <v>10</v>
      </c>
      <c r="E3228" s="5" t="n">
        <v>45981.5743287037</v>
      </c>
      <c r="F3228" s="0" t="n">
        <v>1.65</v>
      </c>
      <c r="G3228" s="0" t="n">
        <v>17025</v>
      </c>
      <c r="H3228" s="6" t="s">
        <v>42</v>
      </c>
      <c r="I3228" s="6" t="n">
        <f aca="false">D3228*F3228</f>
        <v>16.5</v>
      </c>
      <c r="J3228" s="6" t="n">
        <f aca="false">HOUR(E3228)</f>
        <v>13</v>
      </c>
      <c r="K3228" s="6" t="n">
        <f aca="false">IF(COUNTIF($A$2:$A3228,A3228)=1,1,0)</f>
        <v>1</v>
      </c>
    </row>
    <row r="3229" customFormat="false" ht="15" hidden="false" customHeight="false" outlineLevel="0" collapsed="false">
      <c r="A3229" s="0" t="s">
        <v>712</v>
      </c>
      <c r="B3229" s="0" t="s">
        <v>134</v>
      </c>
      <c r="C3229" s="0" t="s">
        <v>135</v>
      </c>
      <c r="D3229" s="0" t="n">
        <v>14</v>
      </c>
      <c r="E3229" s="5" t="n">
        <v>45981.5743287037</v>
      </c>
      <c r="F3229" s="0" t="n">
        <v>5.95</v>
      </c>
      <c r="G3229" s="0" t="n">
        <v>17025</v>
      </c>
      <c r="H3229" s="6" t="s">
        <v>42</v>
      </c>
      <c r="I3229" s="6" t="n">
        <f aca="false">D3229*F3229</f>
        <v>83.3</v>
      </c>
      <c r="J3229" s="6" t="n">
        <f aca="false">HOUR(E3229)</f>
        <v>13</v>
      </c>
      <c r="K3229" s="6" t="n">
        <f aca="false">IF(COUNTIF($A$2:$A3229,A3229)=1,1,0)</f>
        <v>0</v>
      </c>
    </row>
    <row r="3230" customFormat="false" ht="15" hidden="false" customHeight="false" outlineLevel="0" collapsed="false">
      <c r="A3230" s="0" t="s">
        <v>712</v>
      </c>
      <c r="B3230" s="0" t="s">
        <v>118</v>
      </c>
      <c r="C3230" s="0" t="s">
        <v>119</v>
      </c>
      <c r="D3230" s="0" t="n">
        <v>39</v>
      </c>
      <c r="E3230" s="5" t="n">
        <v>45981.5743287037</v>
      </c>
      <c r="F3230" s="0" t="n">
        <v>4.95</v>
      </c>
      <c r="G3230" s="0" t="n">
        <v>17025</v>
      </c>
      <c r="H3230" s="6" t="s">
        <v>42</v>
      </c>
      <c r="I3230" s="6" t="n">
        <f aca="false">D3230*F3230</f>
        <v>193.05</v>
      </c>
      <c r="J3230" s="6" t="n">
        <f aca="false">HOUR(E3230)</f>
        <v>13</v>
      </c>
      <c r="K3230" s="6" t="n">
        <f aca="false">IF(COUNTIF($A$2:$A3230,A3230)=1,1,0)</f>
        <v>0</v>
      </c>
    </row>
    <row r="3231" customFormat="false" ht="15" hidden="false" customHeight="false" outlineLevel="0" collapsed="false">
      <c r="A3231" s="0" t="s">
        <v>712</v>
      </c>
      <c r="B3231" s="0" t="s">
        <v>57</v>
      </c>
      <c r="C3231" s="0" t="s">
        <v>58</v>
      </c>
      <c r="D3231" s="0" t="n">
        <v>15</v>
      </c>
      <c r="E3231" s="5" t="n">
        <v>45981.5743287037</v>
      </c>
      <c r="F3231" s="0" t="n">
        <v>2.08</v>
      </c>
      <c r="G3231" s="0" t="n">
        <v>17025</v>
      </c>
      <c r="H3231" s="6" t="s">
        <v>42</v>
      </c>
      <c r="I3231" s="6" t="n">
        <f aca="false">D3231*F3231</f>
        <v>31.2</v>
      </c>
      <c r="J3231" s="6" t="n">
        <f aca="false">HOUR(E3231)</f>
        <v>13</v>
      </c>
      <c r="K3231" s="6" t="n">
        <f aca="false">IF(COUNTIF($A$2:$A3231,A3231)=1,1,0)</f>
        <v>0</v>
      </c>
    </row>
    <row r="3232" customFormat="false" ht="15" hidden="false" customHeight="false" outlineLevel="0" collapsed="false">
      <c r="A3232" s="0" t="s">
        <v>713</v>
      </c>
      <c r="B3232" s="0" t="s">
        <v>79</v>
      </c>
      <c r="C3232" s="0" t="s">
        <v>80</v>
      </c>
      <c r="D3232" s="0" t="n">
        <v>8</v>
      </c>
      <c r="E3232" s="5" t="n">
        <v>45981.7243865741</v>
      </c>
      <c r="F3232" s="0" t="n">
        <v>3.39</v>
      </c>
      <c r="G3232" s="0" t="n">
        <v>17092</v>
      </c>
      <c r="H3232" s="6" t="s">
        <v>74</v>
      </c>
      <c r="I3232" s="6" t="n">
        <f aca="false">D3232*F3232</f>
        <v>27.12</v>
      </c>
      <c r="J3232" s="6" t="n">
        <f aca="false">HOUR(E3232)</f>
        <v>17</v>
      </c>
      <c r="K3232" s="6" t="n">
        <f aca="false">IF(COUNTIF($A$2:$A3232,A3232)=1,1,0)</f>
        <v>1</v>
      </c>
    </row>
    <row r="3233" customFormat="false" ht="15" hidden="false" customHeight="false" outlineLevel="0" collapsed="false">
      <c r="A3233" s="0" t="s">
        <v>713</v>
      </c>
      <c r="B3233" s="0" t="s">
        <v>134</v>
      </c>
      <c r="C3233" s="0" t="s">
        <v>135</v>
      </c>
      <c r="D3233" s="0" t="n">
        <v>20</v>
      </c>
      <c r="E3233" s="5" t="n">
        <v>45981.7243865741</v>
      </c>
      <c r="F3233" s="0" t="n">
        <v>5.95</v>
      </c>
      <c r="G3233" s="0" t="n">
        <v>17092</v>
      </c>
      <c r="H3233" s="6" t="s">
        <v>74</v>
      </c>
      <c r="I3233" s="6" t="n">
        <f aca="false">D3233*F3233</f>
        <v>119</v>
      </c>
      <c r="J3233" s="6" t="n">
        <f aca="false">HOUR(E3233)</f>
        <v>17</v>
      </c>
      <c r="K3233" s="6" t="n">
        <f aca="false">IF(COUNTIF($A$2:$A3233,A3233)=1,1,0)</f>
        <v>0</v>
      </c>
    </row>
    <row r="3234" customFormat="false" ht="15" hidden="false" customHeight="false" outlineLevel="0" collapsed="false">
      <c r="A3234" s="0" t="s">
        <v>713</v>
      </c>
      <c r="B3234" s="0" t="s">
        <v>45</v>
      </c>
      <c r="C3234" s="0" t="s">
        <v>46</v>
      </c>
      <c r="D3234" s="0" t="n">
        <v>13</v>
      </c>
      <c r="E3234" s="5" t="n">
        <v>45981.7243865741</v>
      </c>
      <c r="F3234" s="0" t="n">
        <v>2.1</v>
      </c>
      <c r="G3234" s="0" t="n">
        <v>17092</v>
      </c>
      <c r="H3234" s="6" t="s">
        <v>74</v>
      </c>
      <c r="I3234" s="6" t="n">
        <f aca="false">D3234*F3234</f>
        <v>27.3</v>
      </c>
      <c r="J3234" s="6" t="n">
        <f aca="false">HOUR(E3234)</f>
        <v>17</v>
      </c>
      <c r="K3234" s="6" t="n">
        <f aca="false">IF(COUNTIF($A$2:$A3234,A3234)=1,1,0)</f>
        <v>0</v>
      </c>
    </row>
    <row r="3235" customFormat="false" ht="15" hidden="false" customHeight="false" outlineLevel="0" collapsed="false">
      <c r="A3235" s="0" t="s">
        <v>713</v>
      </c>
      <c r="B3235" s="0" t="s">
        <v>50</v>
      </c>
      <c r="C3235" s="0" t="s">
        <v>51</v>
      </c>
      <c r="D3235" s="0" t="n">
        <v>5</v>
      </c>
      <c r="E3235" s="5" t="n">
        <v>45981.7243865741</v>
      </c>
      <c r="F3235" s="0" t="n">
        <v>5.95</v>
      </c>
      <c r="G3235" s="0" t="n">
        <v>17092</v>
      </c>
      <c r="H3235" s="6" t="s">
        <v>74</v>
      </c>
      <c r="I3235" s="6" t="n">
        <f aca="false">D3235*F3235</f>
        <v>29.75</v>
      </c>
      <c r="J3235" s="6" t="n">
        <f aca="false">HOUR(E3235)</f>
        <v>17</v>
      </c>
      <c r="K3235" s="6" t="n">
        <f aca="false">IF(COUNTIF($A$2:$A3235,A3235)=1,1,0)</f>
        <v>0</v>
      </c>
    </row>
    <row r="3236" customFormat="false" ht="15" hidden="false" customHeight="false" outlineLevel="0" collapsed="false">
      <c r="A3236" s="0" t="s">
        <v>713</v>
      </c>
      <c r="B3236" s="0" t="s">
        <v>145</v>
      </c>
      <c r="C3236" s="0" t="s">
        <v>146</v>
      </c>
      <c r="D3236" s="0" t="n">
        <v>18</v>
      </c>
      <c r="E3236" s="5" t="n">
        <v>45981.7243865741</v>
      </c>
      <c r="F3236" s="0" t="n">
        <v>1.85</v>
      </c>
      <c r="G3236" s="0" t="n">
        <v>17092</v>
      </c>
      <c r="H3236" s="6" t="s">
        <v>74</v>
      </c>
      <c r="I3236" s="6" t="n">
        <f aca="false">D3236*F3236</f>
        <v>33.3</v>
      </c>
      <c r="J3236" s="6" t="n">
        <f aca="false">HOUR(E3236)</f>
        <v>17</v>
      </c>
      <c r="K3236" s="6" t="n">
        <f aca="false">IF(COUNTIF($A$2:$A3236,A3236)=1,1,0)</f>
        <v>0</v>
      </c>
    </row>
    <row r="3237" customFormat="false" ht="15" hidden="false" customHeight="false" outlineLevel="0" collapsed="false">
      <c r="A3237" s="0" t="s">
        <v>713</v>
      </c>
      <c r="B3237" s="0" t="s">
        <v>109</v>
      </c>
      <c r="C3237" s="0" t="s">
        <v>110</v>
      </c>
      <c r="D3237" s="0" t="n">
        <v>12</v>
      </c>
      <c r="E3237" s="5" t="n">
        <v>45981.7243865741</v>
      </c>
      <c r="F3237" s="0" t="n">
        <v>0.85</v>
      </c>
      <c r="G3237" s="0" t="n">
        <v>17092</v>
      </c>
      <c r="H3237" s="6" t="s">
        <v>74</v>
      </c>
      <c r="I3237" s="6" t="n">
        <f aca="false">D3237*F3237</f>
        <v>10.2</v>
      </c>
      <c r="J3237" s="6" t="n">
        <f aca="false">HOUR(E3237)</f>
        <v>17</v>
      </c>
      <c r="K3237" s="6" t="n">
        <f aca="false">IF(COUNTIF($A$2:$A3237,A3237)=1,1,0)</f>
        <v>0</v>
      </c>
    </row>
    <row r="3238" customFormat="false" ht="15" hidden="false" customHeight="false" outlineLevel="0" collapsed="false">
      <c r="A3238" s="0" t="s">
        <v>713</v>
      </c>
      <c r="B3238" s="0" t="s">
        <v>43</v>
      </c>
      <c r="C3238" s="0" t="s">
        <v>44</v>
      </c>
      <c r="D3238" s="0" t="n">
        <v>2</v>
      </c>
      <c r="E3238" s="5" t="n">
        <v>45981.7243865741</v>
      </c>
      <c r="F3238" s="0" t="n">
        <v>4.25</v>
      </c>
      <c r="G3238" s="0" t="n">
        <v>17092</v>
      </c>
      <c r="H3238" s="6" t="s">
        <v>74</v>
      </c>
      <c r="I3238" s="6" t="n">
        <f aca="false">D3238*F3238</f>
        <v>8.5</v>
      </c>
      <c r="J3238" s="6" t="n">
        <f aca="false">HOUR(E3238)</f>
        <v>17</v>
      </c>
      <c r="K3238" s="6" t="n">
        <f aca="false">IF(COUNTIF($A$2:$A3238,A3238)=1,1,0)</f>
        <v>0</v>
      </c>
    </row>
    <row r="3239" customFormat="false" ht="15" hidden="false" customHeight="false" outlineLevel="0" collapsed="false">
      <c r="A3239" s="0" t="s">
        <v>713</v>
      </c>
      <c r="B3239" s="0" t="s">
        <v>75</v>
      </c>
      <c r="C3239" s="0" t="s">
        <v>76</v>
      </c>
      <c r="D3239" s="0" t="n">
        <v>23</v>
      </c>
      <c r="E3239" s="5" t="n">
        <v>45981.7243865741</v>
      </c>
      <c r="F3239" s="0" t="n">
        <v>3.39</v>
      </c>
      <c r="G3239" s="0" t="n">
        <v>17092</v>
      </c>
      <c r="H3239" s="6" t="s">
        <v>74</v>
      </c>
      <c r="I3239" s="6" t="n">
        <f aca="false">D3239*F3239</f>
        <v>77.97</v>
      </c>
      <c r="J3239" s="6" t="n">
        <f aca="false">HOUR(E3239)</f>
        <v>17</v>
      </c>
      <c r="K3239" s="6" t="n">
        <f aca="false">IF(COUNTIF($A$2:$A3239,A3239)=1,1,0)</f>
        <v>0</v>
      </c>
    </row>
    <row r="3240" customFormat="false" ht="15" hidden="false" customHeight="false" outlineLevel="0" collapsed="false">
      <c r="A3240" s="0" t="s">
        <v>713</v>
      </c>
      <c r="B3240" s="0" t="s">
        <v>61</v>
      </c>
      <c r="C3240" s="0" t="s">
        <v>62</v>
      </c>
      <c r="D3240" s="0" t="n">
        <v>13</v>
      </c>
      <c r="E3240" s="5" t="n">
        <v>45981.7243865741</v>
      </c>
      <c r="F3240" s="0" t="n">
        <v>1.65</v>
      </c>
      <c r="G3240" s="0" t="n">
        <v>17092</v>
      </c>
      <c r="H3240" s="6" t="s">
        <v>74</v>
      </c>
      <c r="I3240" s="6" t="n">
        <f aca="false">D3240*F3240</f>
        <v>21.45</v>
      </c>
      <c r="J3240" s="6" t="n">
        <f aca="false">HOUR(E3240)</f>
        <v>17</v>
      </c>
      <c r="K3240" s="6" t="n">
        <f aca="false">IF(COUNTIF($A$2:$A3240,A3240)=1,1,0)</f>
        <v>0</v>
      </c>
    </row>
    <row r="3241" customFormat="false" ht="15" hidden="false" customHeight="false" outlineLevel="0" collapsed="false">
      <c r="A3241" s="0" t="s">
        <v>714</v>
      </c>
      <c r="B3241" s="0" t="s">
        <v>65</v>
      </c>
      <c r="C3241" s="0" t="s">
        <v>66</v>
      </c>
      <c r="D3241" s="0" t="n">
        <v>20</v>
      </c>
      <c r="E3241" s="5" t="n">
        <v>45981.7298726852</v>
      </c>
      <c r="F3241" s="0" t="n">
        <v>1.65</v>
      </c>
      <c r="G3241" s="0" t="n">
        <v>17109</v>
      </c>
      <c r="H3241" s="6" t="s">
        <v>74</v>
      </c>
      <c r="I3241" s="6" t="n">
        <f aca="false">D3241*F3241</f>
        <v>33</v>
      </c>
      <c r="J3241" s="6" t="n">
        <f aca="false">HOUR(E3241)</f>
        <v>17</v>
      </c>
      <c r="K3241" s="6" t="n">
        <f aca="false">IF(COUNTIF($A$2:$A3241,A3241)=1,1,0)</f>
        <v>1</v>
      </c>
    </row>
    <row r="3242" customFormat="false" ht="15" hidden="false" customHeight="false" outlineLevel="0" collapsed="false">
      <c r="A3242" s="0" t="s">
        <v>714</v>
      </c>
      <c r="B3242" s="0" t="s">
        <v>134</v>
      </c>
      <c r="C3242" s="0" t="s">
        <v>135</v>
      </c>
      <c r="D3242" s="0" t="n">
        <v>21</v>
      </c>
      <c r="E3242" s="5" t="n">
        <v>45981.7298726852</v>
      </c>
      <c r="F3242" s="0" t="n">
        <v>5.95</v>
      </c>
      <c r="G3242" s="0" t="n">
        <v>17109</v>
      </c>
      <c r="H3242" s="6" t="s">
        <v>74</v>
      </c>
      <c r="I3242" s="6" t="n">
        <f aca="false">D3242*F3242</f>
        <v>124.95</v>
      </c>
      <c r="J3242" s="6" t="n">
        <f aca="false">HOUR(E3242)</f>
        <v>17</v>
      </c>
      <c r="K3242" s="6" t="n">
        <f aca="false">IF(COUNTIF($A$2:$A3242,A3242)=1,1,0)</f>
        <v>0</v>
      </c>
    </row>
    <row r="3243" customFormat="false" ht="15" hidden="false" customHeight="false" outlineLevel="0" collapsed="false">
      <c r="A3243" s="0" t="s">
        <v>714</v>
      </c>
      <c r="B3243" s="0" t="s">
        <v>93</v>
      </c>
      <c r="C3243" s="0" t="s">
        <v>94</v>
      </c>
      <c r="D3243" s="0" t="n">
        <v>14</v>
      </c>
      <c r="E3243" s="5" t="n">
        <v>45981.7298726852</v>
      </c>
      <c r="F3243" s="0" t="n">
        <v>1.69</v>
      </c>
      <c r="G3243" s="0" t="n">
        <v>17109</v>
      </c>
      <c r="H3243" s="6" t="s">
        <v>74</v>
      </c>
      <c r="I3243" s="6" t="n">
        <f aca="false">D3243*F3243</f>
        <v>23.66</v>
      </c>
      <c r="J3243" s="6" t="n">
        <f aca="false">HOUR(E3243)</f>
        <v>17</v>
      </c>
      <c r="K3243" s="6" t="n">
        <f aca="false">IF(COUNTIF($A$2:$A3243,A3243)=1,1,0)</f>
        <v>0</v>
      </c>
    </row>
    <row r="3244" customFormat="false" ht="15" hidden="false" customHeight="false" outlineLevel="0" collapsed="false">
      <c r="A3244" s="0" t="s">
        <v>715</v>
      </c>
      <c r="B3244" s="0" t="s">
        <v>95</v>
      </c>
      <c r="C3244" s="0" t="s">
        <v>96</v>
      </c>
      <c r="D3244" s="0" t="n">
        <v>12</v>
      </c>
      <c r="E3244" s="5" t="n">
        <v>45981.9934143519</v>
      </c>
      <c r="F3244" s="0" t="n">
        <v>2.55</v>
      </c>
      <c r="G3244" s="0" t="n">
        <v>17148</v>
      </c>
      <c r="H3244" s="6" t="s">
        <v>208</v>
      </c>
      <c r="I3244" s="6" t="n">
        <f aca="false">D3244*F3244</f>
        <v>30.6</v>
      </c>
      <c r="J3244" s="6" t="n">
        <f aca="false">HOUR(E3244)</f>
        <v>23</v>
      </c>
      <c r="K3244" s="6" t="n">
        <f aca="false">IF(COUNTIF($A$2:$A3244,A3244)=1,1,0)</f>
        <v>1</v>
      </c>
    </row>
    <row r="3245" customFormat="false" ht="15" hidden="false" customHeight="false" outlineLevel="0" collapsed="false">
      <c r="A3245" s="0" t="s">
        <v>716</v>
      </c>
      <c r="B3245" s="0" t="s">
        <v>47</v>
      </c>
      <c r="C3245" s="0" t="s">
        <v>48</v>
      </c>
      <c r="D3245" s="0" t="n">
        <v>41</v>
      </c>
      <c r="E3245" s="5" t="n">
        <v>45982.1795717593</v>
      </c>
      <c r="F3245" s="0" t="n">
        <v>12.75</v>
      </c>
      <c r="H3245" s="6" t="s">
        <v>74</v>
      </c>
      <c r="I3245" s="6" t="n">
        <f aca="false">D3245*F3245</f>
        <v>522.75</v>
      </c>
      <c r="J3245" s="6" t="n">
        <f aca="false">HOUR(E3245)</f>
        <v>4</v>
      </c>
      <c r="K3245" s="6" t="n">
        <f aca="false">IF(COUNTIF($A$2:$A3245,A3245)=1,1,0)</f>
        <v>1</v>
      </c>
    </row>
    <row r="3246" customFormat="false" ht="15" hidden="false" customHeight="false" outlineLevel="0" collapsed="false">
      <c r="A3246" s="0" t="s">
        <v>716</v>
      </c>
      <c r="B3246" s="0" t="s">
        <v>86</v>
      </c>
      <c r="C3246" s="0" t="s">
        <v>87</v>
      </c>
      <c r="D3246" s="0" t="n">
        <v>9</v>
      </c>
      <c r="E3246" s="5" t="n">
        <v>45982.1795717593</v>
      </c>
      <c r="F3246" s="0" t="n">
        <v>4.25</v>
      </c>
      <c r="H3246" s="6" t="s">
        <v>74</v>
      </c>
      <c r="I3246" s="6" t="n">
        <f aca="false">D3246*F3246</f>
        <v>38.25</v>
      </c>
      <c r="J3246" s="6" t="n">
        <f aca="false">HOUR(E3246)</f>
        <v>4</v>
      </c>
      <c r="K3246" s="6" t="n">
        <f aca="false">IF(COUNTIF($A$2:$A3246,A3246)=1,1,0)</f>
        <v>0</v>
      </c>
    </row>
    <row r="3247" customFormat="false" ht="15" hidden="false" customHeight="false" outlineLevel="0" collapsed="false">
      <c r="A3247" s="0" t="s">
        <v>716</v>
      </c>
      <c r="B3247" s="0" t="s">
        <v>55</v>
      </c>
      <c r="C3247" s="0" t="s">
        <v>56</v>
      </c>
      <c r="D3247" s="0" t="n">
        <v>10</v>
      </c>
      <c r="E3247" s="5" t="n">
        <v>45982.1795717593</v>
      </c>
      <c r="F3247" s="0" t="n">
        <v>1.65</v>
      </c>
      <c r="H3247" s="6" t="s">
        <v>74</v>
      </c>
      <c r="I3247" s="6" t="n">
        <f aca="false">D3247*F3247</f>
        <v>16.5</v>
      </c>
      <c r="J3247" s="6" t="n">
        <f aca="false">HOUR(E3247)</f>
        <v>4</v>
      </c>
      <c r="K3247" s="6" t="n">
        <f aca="false">IF(COUNTIF($A$2:$A3247,A3247)=1,1,0)</f>
        <v>0</v>
      </c>
    </row>
    <row r="3248" customFormat="false" ht="15" hidden="false" customHeight="false" outlineLevel="0" collapsed="false">
      <c r="A3248" s="0" t="s">
        <v>716</v>
      </c>
      <c r="B3248" s="0" t="s">
        <v>77</v>
      </c>
      <c r="C3248" s="0" t="s">
        <v>78</v>
      </c>
      <c r="D3248" s="0" t="n">
        <v>2</v>
      </c>
      <c r="E3248" s="5" t="n">
        <v>45982.1795717593</v>
      </c>
      <c r="F3248" s="0" t="n">
        <v>1.65</v>
      </c>
      <c r="H3248" s="6" t="s">
        <v>74</v>
      </c>
      <c r="I3248" s="6" t="n">
        <f aca="false">D3248*F3248</f>
        <v>3.3</v>
      </c>
      <c r="J3248" s="6" t="n">
        <f aca="false">HOUR(E3248)</f>
        <v>4</v>
      </c>
      <c r="K3248" s="6" t="n">
        <f aca="false">IF(COUNTIF($A$2:$A3248,A3248)=1,1,0)</f>
        <v>0</v>
      </c>
    </row>
    <row r="3249" customFormat="false" ht="15" hidden="false" customHeight="false" outlineLevel="0" collapsed="false">
      <c r="A3249" s="0" t="s">
        <v>716</v>
      </c>
      <c r="B3249" s="0" t="s">
        <v>95</v>
      </c>
      <c r="C3249" s="0" t="s">
        <v>96</v>
      </c>
      <c r="D3249" s="0" t="n">
        <v>28</v>
      </c>
      <c r="E3249" s="5" t="n">
        <v>45982.1795717593</v>
      </c>
      <c r="F3249" s="0" t="n">
        <v>2.55</v>
      </c>
      <c r="H3249" s="6" t="s">
        <v>74</v>
      </c>
      <c r="I3249" s="6" t="n">
        <f aca="false">D3249*F3249</f>
        <v>71.4</v>
      </c>
      <c r="J3249" s="6" t="n">
        <f aca="false">HOUR(E3249)</f>
        <v>4</v>
      </c>
      <c r="K3249" s="6" t="n">
        <f aca="false">IF(COUNTIF($A$2:$A3249,A3249)=1,1,0)</f>
        <v>0</v>
      </c>
    </row>
    <row r="3250" customFormat="false" ht="15" hidden="false" customHeight="false" outlineLevel="0" collapsed="false">
      <c r="A3250" s="0" t="s">
        <v>716</v>
      </c>
      <c r="B3250" s="0" t="s">
        <v>59</v>
      </c>
      <c r="C3250" s="0" t="s">
        <v>60</v>
      </c>
      <c r="D3250" s="0" t="n">
        <v>24</v>
      </c>
      <c r="E3250" s="5" t="n">
        <v>45982.1795717593</v>
      </c>
      <c r="F3250" s="0" t="n">
        <v>0.42</v>
      </c>
      <c r="H3250" s="6" t="s">
        <v>74</v>
      </c>
      <c r="I3250" s="6" t="n">
        <f aca="false">D3250*F3250</f>
        <v>10.08</v>
      </c>
      <c r="J3250" s="6" t="n">
        <f aca="false">HOUR(E3250)</f>
        <v>4</v>
      </c>
      <c r="K3250" s="6" t="n">
        <f aca="false">IF(COUNTIF($A$2:$A3250,A3250)=1,1,0)</f>
        <v>0</v>
      </c>
    </row>
    <row r="3251" customFormat="false" ht="15" hidden="false" customHeight="false" outlineLevel="0" collapsed="false">
      <c r="A3251" s="0" t="s">
        <v>716</v>
      </c>
      <c r="B3251" s="0" t="s">
        <v>137</v>
      </c>
      <c r="C3251" s="0" t="s">
        <v>138</v>
      </c>
      <c r="D3251" s="0" t="n">
        <v>18</v>
      </c>
      <c r="E3251" s="5" t="n">
        <v>45982.1795717593</v>
      </c>
      <c r="F3251" s="0" t="n">
        <v>2.1</v>
      </c>
      <c r="H3251" s="6" t="s">
        <v>74</v>
      </c>
      <c r="I3251" s="6" t="n">
        <f aca="false">D3251*F3251</f>
        <v>37.8</v>
      </c>
      <c r="J3251" s="6" t="n">
        <f aca="false">HOUR(E3251)</f>
        <v>4</v>
      </c>
      <c r="K3251" s="6" t="n">
        <f aca="false">IF(COUNTIF($A$2:$A3251,A3251)=1,1,0)</f>
        <v>0</v>
      </c>
    </row>
    <row r="3252" customFormat="false" ht="15" hidden="false" customHeight="false" outlineLevel="0" collapsed="false">
      <c r="A3252" s="0" t="s">
        <v>716</v>
      </c>
      <c r="B3252" s="0" t="s">
        <v>53</v>
      </c>
      <c r="C3252" s="0" t="s">
        <v>54</v>
      </c>
      <c r="D3252" s="0" t="n">
        <v>20</v>
      </c>
      <c r="E3252" s="5" t="n">
        <v>45982.1795717593</v>
      </c>
      <c r="F3252" s="0" t="n">
        <v>2.95</v>
      </c>
      <c r="H3252" s="6" t="s">
        <v>74</v>
      </c>
      <c r="I3252" s="6" t="n">
        <f aca="false">D3252*F3252</f>
        <v>59</v>
      </c>
      <c r="J3252" s="6" t="n">
        <f aca="false">HOUR(E3252)</f>
        <v>4</v>
      </c>
      <c r="K3252" s="6" t="n">
        <f aca="false">IF(COUNTIF($A$2:$A3252,A3252)=1,1,0)</f>
        <v>0</v>
      </c>
    </row>
    <row r="3253" customFormat="false" ht="15" hidden="false" customHeight="false" outlineLevel="0" collapsed="false">
      <c r="A3253" s="0" t="s">
        <v>716</v>
      </c>
      <c r="B3253" s="0" t="s">
        <v>65</v>
      </c>
      <c r="C3253" s="0" t="s">
        <v>66</v>
      </c>
      <c r="D3253" s="0" t="n">
        <v>7</v>
      </c>
      <c r="E3253" s="5" t="n">
        <v>45982.1795717593</v>
      </c>
      <c r="F3253" s="0" t="n">
        <v>1.65</v>
      </c>
      <c r="H3253" s="6" t="s">
        <v>74</v>
      </c>
      <c r="I3253" s="6" t="n">
        <f aca="false">D3253*F3253</f>
        <v>11.55</v>
      </c>
      <c r="J3253" s="6" t="n">
        <f aca="false">HOUR(E3253)</f>
        <v>4</v>
      </c>
      <c r="K3253" s="6" t="n">
        <f aca="false">IF(COUNTIF($A$2:$A3253,A3253)=1,1,0)</f>
        <v>0</v>
      </c>
    </row>
    <row r="3254" customFormat="false" ht="15" hidden="false" customHeight="false" outlineLevel="0" collapsed="false">
      <c r="A3254" s="0" t="s">
        <v>717</v>
      </c>
      <c r="B3254" s="0" t="s">
        <v>47</v>
      </c>
      <c r="C3254" s="0" t="s">
        <v>48</v>
      </c>
      <c r="D3254" s="0" t="n">
        <v>48</v>
      </c>
      <c r="E3254" s="5" t="n">
        <v>45982.4558333333</v>
      </c>
      <c r="F3254" s="0" t="n">
        <v>12.75</v>
      </c>
      <c r="G3254" s="0" t="n">
        <v>17214</v>
      </c>
      <c r="H3254" s="6" t="s">
        <v>98</v>
      </c>
      <c r="I3254" s="6" t="n">
        <f aca="false">D3254*F3254</f>
        <v>612</v>
      </c>
      <c r="J3254" s="6" t="n">
        <f aca="false">HOUR(E3254)</f>
        <v>10</v>
      </c>
      <c r="K3254" s="6" t="n">
        <f aca="false">IF(COUNTIF($A$2:$A3254,A3254)=1,1,0)</f>
        <v>1</v>
      </c>
    </row>
    <row r="3255" customFormat="false" ht="15" hidden="false" customHeight="false" outlineLevel="0" collapsed="false">
      <c r="A3255" s="0" t="s">
        <v>717</v>
      </c>
      <c r="B3255" s="0" t="s">
        <v>99</v>
      </c>
      <c r="C3255" s="0" t="s">
        <v>100</v>
      </c>
      <c r="D3255" s="0" t="n">
        <v>15</v>
      </c>
      <c r="E3255" s="5" t="n">
        <v>45982.4558333333</v>
      </c>
      <c r="F3255" s="0" t="n">
        <v>2.08</v>
      </c>
      <c r="G3255" s="0" t="n">
        <v>17214</v>
      </c>
      <c r="H3255" s="6" t="s">
        <v>98</v>
      </c>
      <c r="I3255" s="6" t="n">
        <f aca="false">D3255*F3255</f>
        <v>31.2</v>
      </c>
      <c r="J3255" s="6" t="n">
        <f aca="false">HOUR(E3255)</f>
        <v>10</v>
      </c>
      <c r="K3255" s="6" t="n">
        <f aca="false">IF(COUNTIF($A$2:$A3255,A3255)=1,1,0)</f>
        <v>0</v>
      </c>
    </row>
    <row r="3256" customFormat="false" ht="15" hidden="false" customHeight="false" outlineLevel="0" collapsed="false">
      <c r="A3256" s="0" t="s">
        <v>717</v>
      </c>
      <c r="B3256" s="0" t="s">
        <v>118</v>
      </c>
      <c r="C3256" s="0" t="s">
        <v>119</v>
      </c>
      <c r="D3256" s="0" t="n">
        <v>24</v>
      </c>
      <c r="E3256" s="5" t="n">
        <v>45982.4558333333</v>
      </c>
      <c r="F3256" s="0" t="n">
        <v>4.95</v>
      </c>
      <c r="G3256" s="0" t="n">
        <v>17214</v>
      </c>
      <c r="H3256" s="6" t="s">
        <v>98</v>
      </c>
      <c r="I3256" s="6" t="n">
        <f aca="false">D3256*F3256</f>
        <v>118.8</v>
      </c>
      <c r="J3256" s="6" t="n">
        <f aca="false">HOUR(E3256)</f>
        <v>10</v>
      </c>
      <c r="K3256" s="6" t="n">
        <f aca="false">IF(COUNTIF($A$2:$A3256,A3256)=1,1,0)</f>
        <v>0</v>
      </c>
    </row>
    <row r="3257" customFormat="false" ht="15" hidden="false" customHeight="false" outlineLevel="0" collapsed="false">
      <c r="A3257" s="0" t="s">
        <v>717</v>
      </c>
      <c r="B3257" s="0" t="s">
        <v>131</v>
      </c>
      <c r="D3257" s="0" t="n">
        <v>22</v>
      </c>
      <c r="E3257" s="5" t="n">
        <v>45982.4558333333</v>
      </c>
      <c r="F3257" s="0" t="n">
        <v>3.39</v>
      </c>
      <c r="G3257" s="0" t="n">
        <v>17214</v>
      </c>
      <c r="H3257" s="6" t="s">
        <v>98</v>
      </c>
      <c r="I3257" s="6" t="n">
        <f aca="false">D3257*F3257</f>
        <v>74.58</v>
      </c>
      <c r="J3257" s="6" t="n">
        <f aca="false">HOUR(E3257)</f>
        <v>10</v>
      </c>
      <c r="K3257" s="6" t="n">
        <f aca="false">IF(COUNTIF($A$2:$A3257,A3257)=1,1,0)</f>
        <v>0</v>
      </c>
    </row>
    <row r="3258" customFormat="false" ht="15" hidden="false" customHeight="false" outlineLevel="0" collapsed="false">
      <c r="A3258" s="0" t="s">
        <v>717</v>
      </c>
      <c r="B3258" s="0" t="s">
        <v>61</v>
      </c>
      <c r="C3258" s="0" t="s">
        <v>62</v>
      </c>
      <c r="D3258" s="0" t="n">
        <v>2</v>
      </c>
      <c r="E3258" s="5" t="n">
        <v>45982.4558333333</v>
      </c>
      <c r="F3258" s="0" t="n">
        <v>1.65</v>
      </c>
      <c r="G3258" s="0" t="n">
        <v>17214</v>
      </c>
      <c r="H3258" s="6" t="s">
        <v>98</v>
      </c>
      <c r="I3258" s="6" t="n">
        <f aca="false">D3258*F3258</f>
        <v>3.3</v>
      </c>
      <c r="J3258" s="6" t="n">
        <f aca="false">HOUR(E3258)</f>
        <v>10</v>
      </c>
      <c r="K3258" s="6" t="n">
        <f aca="false">IF(COUNTIF($A$2:$A3258,A3258)=1,1,0)</f>
        <v>0</v>
      </c>
    </row>
    <row r="3259" customFormat="false" ht="15" hidden="false" customHeight="false" outlineLevel="0" collapsed="false">
      <c r="A3259" s="0" t="s">
        <v>717</v>
      </c>
      <c r="B3259" s="0" t="s">
        <v>86</v>
      </c>
      <c r="C3259" s="0" t="s">
        <v>87</v>
      </c>
      <c r="D3259" s="0" t="n">
        <v>6</v>
      </c>
      <c r="E3259" s="5" t="n">
        <v>45982.4558333333</v>
      </c>
      <c r="F3259" s="0" t="n">
        <v>4.25</v>
      </c>
      <c r="G3259" s="0" t="n">
        <v>17214</v>
      </c>
      <c r="H3259" s="6" t="s">
        <v>98</v>
      </c>
      <c r="I3259" s="6" t="n">
        <f aca="false">D3259*F3259</f>
        <v>25.5</v>
      </c>
      <c r="J3259" s="6" t="n">
        <f aca="false">HOUR(E3259)</f>
        <v>10</v>
      </c>
      <c r="K3259" s="6" t="n">
        <f aca="false">IF(COUNTIF($A$2:$A3259,A3259)=1,1,0)</f>
        <v>0</v>
      </c>
    </row>
    <row r="3260" customFormat="false" ht="15" hidden="false" customHeight="false" outlineLevel="0" collapsed="false">
      <c r="A3260" s="0" t="s">
        <v>718</v>
      </c>
      <c r="B3260" s="0" t="s">
        <v>137</v>
      </c>
      <c r="C3260" s="0" t="s">
        <v>138</v>
      </c>
      <c r="D3260" s="0" t="n">
        <v>4</v>
      </c>
      <c r="E3260" s="5" t="n">
        <v>45982.5061111111</v>
      </c>
      <c r="F3260" s="0" t="n">
        <v>2.1</v>
      </c>
      <c r="G3260" s="0" t="n">
        <v>17053</v>
      </c>
      <c r="H3260" s="6" t="s">
        <v>74</v>
      </c>
      <c r="I3260" s="6" t="n">
        <f aca="false">D3260*F3260</f>
        <v>8.4</v>
      </c>
      <c r="J3260" s="6" t="n">
        <f aca="false">HOUR(E3260)</f>
        <v>12</v>
      </c>
      <c r="K3260" s="6" t="n">
        <f aca="false">IF(COUNTIF($A$2:$A3260,A3260)=1,1,0)</f>
        <v>1</v>
      </c>
    </row>
    <row r="3261" customFormat="false" ht="15" hidden="false" customHeight="false" outlineLevel="0" collapsed="false">
      <c r="A3261" s="0" t="s">
        <v>718</v>
      </c>
      <c r="B3261" s="0" t="s">
        <v>65</v>
      </c>
      <c r="C3261" s="0" t="s">
        <v>66</v>
      </c>
      <c r="D3261" s="0" t="n">
        <v>17</v>
      </c>
      <c r="E3261" s="5" t="n">
        <v>45982.5061111111</v>
      </c>
      <c r="F3261" s="0" t="n">
        <v>1.65</v>
      </c>
      <c r="G3261" s="0" t="n">
        <v>17053</v>
      </c>
      <c r="H3261" s="6" t="s">
        <v>74</v>
      </c>
      <c r="I3261" s="6" t="n">
        <f aca="false">D3261*F3261</f>
        <v>28.05</v>
      </c>
      <c r="J3261" s="6" t="n">
        <f aca="false">HOUR(E3261)</f>
        <v>12</v>
      </c>
      <c r="K3261" s="6" t="n">
        <f aca="false">IF(COUNTIF($A$2:$A3261,A3261)=1,1,0)</f>
        <v>0</v>
      </c>
    </row>
    <row r="3262" customFormat="false" ht="15" hidden="false" customHeight="false" outlineLevel="0" collapsed="false">
      <c r="A3262" s="0" t="s">
        <v>719</v>
      </c>
      <c r="B3262" s="0" t="s">
        <v>93</v>
      </c>
      <c r="C3262" s="0" t="s">
        <v>94</v>
      </c>
      <c r="D3262" s="0" t="n">
        <v>12</v>
      </c>
      <c r="E3262" s="5" t="n">
        <v>45982.5332523148</v>
      </c>
      <c r="F3262" s="0" t="n">
        <v>1.69</v>
      </c>
      <c r="G3262" s="0" t="n">
        <v>17030</v>
      </c>
      <c r="H3262" s="6" t="s">
        <v>263</v>
      </c>
      <c r="I3262" s="6" t="n">
        <f aca="false">D3262*F3262</f>
        <v>20.28</v>
      </c>
      <c r="J3262" s="6" t="n">
        <f aca="false">HOUR(E3262)</f>
        <v>12</v>
      </c>
      <c r="K3262" s="6" t="n">
        <f aca="false">IF(COUNTIF($A$2:$A3262,A3262)=1,1,0)</f>
        <v>1</v>
      </c>
    </row>
    <row r="3263" customFormat="false" ht="15" hidden="false" customHeight="false" outlineLevel="0" collapsed="false">
      <c r="A3263" s="0" t="s">
        <v>719</v>
      </c>
      <c r="B3263" s="0" t="s">
        <v>137</v>
      </c>
      <c r="C3263" s="0" t="s">
        <v>138</v>
      </c>
      <c r="D3263" s="0" t="n">
        <v>3</v>
      </c>
      <c r="E3263" s="5" t="n">
        <v>45982.5332523148</v>
      </c>
      <c r="F3263" s="0" t="n">
        <v>2.1</v>
      </c>
      <c r="G3263" s="0" t="n">
        <v>17030</v>
      </c>
      <c r="H3263" s="6" t="s">
        <v>263</v>
      </c>
      <c r="I3263" s="6" t="n">
        <f aca="false">D3263*F3263</f>
        <v>6.3</v>
      </c>
      <c r="J3263" s="6" t="n">
        <f aca="false">HOUR(E3263)</f>
        <v>12</v>
      </c>
      <c r="K3263" s="6" t="n">
        <f aca="false">IF(COUNTIF($A$2:$A3263,A3263)=1,1,0)</f>
        <v>0</v>
      </c>
    </row>
    <row r="3264" customFormat="false" ht="15" hidden="false" customHeight="false" outlineLevel="0" collapsed="false">
      <c r="A3264" s="0" t="s">
        <v>719</v>
      </c>
      <c r="B3264" s="0" t="s">
        <v>83</v>
      </c>
      <c r="C3264" s="0" t="s">
        <v>84</v>
      </c>
      <c r="D3264" s="0" t="n">
        <v>16</v>
      </c>
      <c r="E3264" s="5" t="n">
        <v>45982.5332523148</v>
      </c>
      <c r="F3264" s="0" t="n">
        <v>2.95</v>
      </c>
      <c r="G3264" s="0" t="n">
        <v>17030</v>
      </c>
      <c r="H3264" s="6" t="s">
        <v>263</v>
      </c>
      <c r="I3264" s="6" t="n">
        <f aca="false">D3264*F3264</f>
        <v>47.2</v>
      </c>
      <c r="J3264" s="6" t="n">
        <f aca="false">HOUR(E3264)</f>
        <v>12</v>
      </c>
      <c r="K3264" s="6" t="n">
        <f aca="false">IF(COUNTIF($A$2:$A3264,A3264)=1,1,0)</f>
        <v>0</v>
      </c>
    </row>
    <row r="3265" customFormat="false" ht="15" hidden="false" customHeight="false" outlineLevel="0" collapsed="false">
      <c r="A3265" s="0" t="s">
        <v>720</v>
      </c>
      <c r="B3265" s="0" t="s">
        <v>137</v>
      </c>
      <c r="C3265" s="0" t="s">
        <v>138</v>
      </c>
      <c r="D3265" s="0" t="n">
        <v>9</v>
      </c>
      <c r="E3265" s="5" t="n">
        <v>45982.6350347222</v>
      </c>
      <c r="F3265" s="0" t="n">
        <v>2.1</v>
      </c>
      <c r="G3265" s="0" t="n">
        <v>17078</v>
      </c>
      <c r="H3265" s="6" t="s">
        <v>188</v>
      </c>
      <c r="I3265" s="6" t="n">
        <f aca="false">D3265*F3265</f>
        <v>18.9</v>
      </c>
      <c r="J3265" s="6" t="n">
        <f aca="false">HOUR(E3265)</f>
        <v>15</v>
      </c>
      <c r="K3265" s="6" t="n">
        <f aca="false">IF(COUNTIF($A$2:$A3265,A3265)=1,1,0)</f>
        <v>1</v>
      </c>
    </row>
    <row r="3266" customFormat="false" ht="15" hidden="false" customHeight="false" outlineLevel="0" collapsed="false">
      <c r="A3266" s="0" t="s">
        <v>720</v>
      </c>
      <c r="B3266" s="0" t="s">
        <v>61</v>
      </c>
      <c r="C3266" s="0" t="s">
        <v>62</v>
      </c>
      <c r="D3266" s="0" t="n">
        <v>1</v>
      </c>
      <c r="E3266" s="5" t="n">
        <v>45982.6350347222</v>
      </c>
      <c r="F3266" s="0" t="n">
        <v>1.65</v>
      </c>
      <c r="G3266" s="0" t="n">
        <v>17078</v>
      </c>
      <c r="H3266" s="6" t="s">
        <v>188</v>
      </c>
      <c r="I3266" s="6" t="n">
        <f aca="false">D3266*F3266</f>
        <v>1.65</v>
      </c>
      <c r="J3266" s="6" t="n">
        <f aca="false">HOUR(E3266)</f>
        <v>15</v>
      </c>
      <c r="K3266" s="6" t="n">
        <f aca="false">IF(COUNTIF($A$2:$A3266,A3266)=1,1,0)</f>
        <v>0</v>
      </c>
    </row>
    <row r="3267" customFormat="false" ht="15" hidden="false" customHeight="false" outlineLevel="0" collapsed="false">
      <c r="A3267" s="0" t="s">
        <v>720</v>
      </c>
      <c r="B3267" s="0" t="s">
        <v>116</v>
      </c>
      <c r="C3267" s="0" t="s">
        <v>117</v>
      </c>
      <c r="D3267" s="0" t="n">
        <v>18</v>
      </c>
      <c r="E3267" s="5" t="n">
        <v>45982.6350347222</v>
      </c>
      <c r="F3267" s="0" t="n">
        <v>1.95</v>
      </c>
      <c r="G3267" s="0" t="n">
        <v>17078</v>
      </c>
      <c r="H3267" s="6" t="s">
        <v>188</v>
      </c>
      <c r="I3267" s="6" t="n">
        <f aca="false">D3267*F3267</f>
        <v>35.1</v>
      </c>
      <c r="J3267" s="6" t="n">
        <f aca="false">HOUR(E3267)</f>
        <v>15</v>
      </c>
      <c r="K3267" s="6" t="n">
        <f aca="false">IF(COUNTIF($A$2:$A3267,A3267)=1,1,0)</f>
        <v>0</v>
      </c>
    </row>
    <row r="3268" customFormat="false" ht="15" hidden="false" customHeight="false" outlineLevel="0" collapsed="false">
      <c r="A3268" s="0" t="s">
        <v>720</v>
      </c>
      <c r="B3268" s="0" t="s">
        <v>88</v>
      </c>
      <c r="C3268" s="0" t="s">
        <v>89</v>
      </c>
      <c r="D3268" s="0" t="n">
        <v>7</v>
      </c>
      <c r="E3268" s="5" t="n">
        <v>45982.6350347222</v>
      </c>
      <c r="F3268" s="0" t="n">
        <v>2.75</v>
      </c>
      <c r="G3268" s="0" t="n">
        <v>17078</v>
      </c>
      <c r="H3268" s="6" t="s">
        <v>188</v>
      </c>
      <c r="I3268" s="6" t="n">
        <f aca="false">D3268*F3268</f>
        <v>19.25</v>
      </c>
      <c r="J3268" s="6" t="n">
        <f aca="false">HOUR(E3268)</f>
        <v>15</v>
      </c>
      <c r="K3268" s="6" t="n">
        <f aca="false">IF(COUNTIF($A$2:$A3268,A3268)=1,1,0)</f>
        <v>0</v>
      </c>
    </row>
    <row r="3269" customFormat="false" ht="15" hidden="false" customHeight="false" outlineLevel="0" collapsed="false">
      <c r="A3269" s="0" t="s">
        <v>720</v>
      </c>
      <c r="B3269" s="0" t="s">
        <v>127</v>
      </c>
      <c r="C3269" s="0" t="s">
        <v>128</v>
      </c>
      <c r="D3269" s="0" t="n">
        <v>4</v>
      </c>
      <c r="E3269" s="5" t="n">
        <v>45982.6350347222</v>
      </c>
      <c r="F3269" s="0" t="n">
        <v>1.45</v>
      </c>
      <c r="G3269" s="0" t="n">
        <v>17078</v>
      </c>
      <c r="H3269" s="6" t="s">
        <v>188</v>
      </c>
      <c r="I3269" s="6" t="n">
        <f aca="false">D3269*F3269</f>
        <v>5.8</v>
      </c>
      <c r="J3269" s="6" t="n">
        <f aca="false">HOUR(E3269)</f>
        <v>15</v>
      </c>
      <c r="K3269" s="6" t="n">
        <f aca="false">IF(COUNTIF($A$2:$A3269,A3269)=1,1,0)</f>
        <v>0</v>
      </c>
    </row>
    <row r="3270" customFormat="false" ht="15" hidden="false" customHeight="false" outlineLevel="0" collapsed="false">
      <c r="A3270" s="0" t="s">
        <v>720</v>
      </c>
      <c r="B3270" s="0" t="s">
        <v>69</v>
      </c>
      <c r="C3270" s="0" t="s">
        <v>70</v>
      </c>
      <c r="D3270" s="0" t="n">
        <v>8</v>
      </c>
      <c r="E3270" s="5" t="n">
        <v>45982.6350347222</v>
      </c>
      <c r="F3270" s="0" t="n">
        <v>2.08</v>
      </c>
      <c r="G3270" s="0" t="n">
        <v>17078</v>
      </c>
      <c r="H3270" s="6" t="s">
        <v>188</v>
      </c>
      <c r="I3270" s="6" t="n">
        <f aca="false">D3270*F3270</f>
        <v>16.64</v>
      </c>
      <c r="J3270" s="6" t="n">
        <f aca="false">HOUR(E3270)</f>
        <v>15</v>
      </c>
      <c r="K3270" s="6" t="n">
        <f aca="false">IF(COUNTIF($A$2:$A3270,A3270)=1,1,0)</f>
        <v>0</v>
      </c>
    </row>
    <row r="3271" customFormat="false" ht="15" hidden="false" customHeight="false" outlineLevel="0" collapsed="false">
      <c r="A3271" s="0" t="s">
        <v>720</v>
      </c>
      <c r="B3271" s="0" t="s">
        <v>75</v>
      </c>
      <c r="C3271" s="0" t="s">
        <v>76</v>
      </c>
      <c r="D3271" s="0" t="n">
        <v>19</v>
      </c>
      <c r="E3271" s="5" t="n">
        <v>45982.6350347222</v>
      </c>
      <c r="F3271" s="0" t="n">
        <v>3.39</v>
      </c>
      <c r="G3271" s="0" t="n">
        <v>17078</v>
      </c>
      <c r="H3271" s="6" t="s">
        <v>188</v>
      </c>
      <c r="I3271" s="6" t="n">
        <f aca="false">D3271*F3271</f>
        <v>64.41</v>
      </c>
      <c r="J3271" s="6" t="n">
        <f aca="false">HOUR(E3271)</f>
        <v>15</v>
      </c>
      <c r="K3271" s="6" t="n">
        <f aca="false">IF(COUNTIF($A$2:$A3271,A3271)=1,1,0)</f>
        <v>0</v>
      </c>
    </row>
    <row r="3272" customFormat="false" ht="15" hidden="false" customHeight="false" outlineLevel="0" collapsed="false">
      <c r="A3272" s="0" t="s">
        <v>721</v>
      </c>
      <c r="B3272" s="0" t="s">
        <v>81</v>
      </c>
      <c r="C3272" s="0" t="s">
        <v>82</v>
      </c>
      <c r="D3272" s="0" t="n">
        <v>9</v>
      </c>
      <c r="E3272" s="5" t="n">
        <v>45982.6568287037</v>
      </c>
      <c r="F3272" s="0" t="n">
        <v>1.65</v>
      </c>
      <c r="G3272" s="0" t="n">
        <v>17168</v>
      </c>
      <c r="H3272" s="6" t="s">
        <v>188</v>
      </c>
      <c r="I3272" s="6" t="n">
        <f aca="false">D3272*F3272</f>
        <v>14.85</v>
      </c>
      <c r="J3272" s="6" t="n">
        <f aca="false">HOUR(E3272)</f>
        <v>15</v>
      </c>
      <c r="K3272" s="6" t="n">
        <f aca="false">IF(COUNTIF($A$2:$A3272,A3272)=1,1,0)</f>
        <v>1</v>
      </c>
    </row>
    <row r="3273" customFormat="false" ht="15" hidden="false" customHeight="false" outlineLevel="0" collapsed="false">
      <c r="A3273" s="0" t="s">
        <v>721</v>
      </c>
      <c r="B3273" s="0" t="s">
        <v>95</v>
      </c>
      <c r="C3273" s="0" t="s">
        <v>96</v>
      </c>
      <c r="D3273" s="0" t="n">
        <v>37</v>
      </c>
      <c r="E3273" s="5" t="n">
        <v>45982.6568287037</v>
      </c>
      <c r="F3273" s="0" t="n">
        <v>2.55</v>
      </c>
      <c r="G3273" s="0" t="n">
        <v>17168</v>
      </c>
      <c r="H3273" s="6" t="s">
        <v>188</v>
      </c>
      <c r="I3273" s="6" t="n">
        <f aca="false">D3273*F3273</f>
        <v>94.35</v>
      </c>
      <c r="J3273" s="6" t="n">
        <f aca="false">HOUR(E3273)</f>
        <v>15</v>
      </c>
      <c r="K3273" s="6" t="n">
        <f aca="false">IF(COUNTIF($A$2:$A3273,A3273)=1,1,0)</f>
        <v>0</v>
      </c>
    </row>
    <row r="3274" customFormat="false" ht="15" hidden="false" customHeight="false" outlineLevel="0" collapsed="false">
      <c r="A3274" s="0" t="s">
        <v>721</v>
      </c>
      <c r="B3274" s="0" t="s">
        <v>57</v>
      </c>
      <c r="C3274" s="0" t="s">
        <v>58</v>
      </c>
      <c r="D3274" s="0" t="n">
        <v>4</v>
      </c>
      <c r="E3274" s="5" t="n">
        <v>45982.6568287037</v>
      </c>
      <c r="F3274" s="0" t="n">
        <v>2.08</v>
      </c>
      <c r="G3274" s="0" t="n">
        <v>17168</v>
      </c>
      <c r="H3274" s="6" t="s">
        <v>188</v>
      </c>
      <c r="I3274" s="6" t="n">
        <f aca="false">D3274*F3274</f>
        <v>8.32</v>
      </c>
      <c r="J3274" s="6" t="n">
        <f aca="false">HOUR(E3274)</f>
        <v>15</v>
      </c>
      <c r="K3274" s="6" t="n">
        <f aca="false">IF(COUNTIF($A$2:$A3274,A3274)=1,1,0)</f>
        <v>0</v>
      </c>
    </row>
    <row r="3275" customFormat="false" ht="15" hidden="false" customHeight="false" outlineLevel="0" collapsed="false">
      <c r="A3275" s="0" t="s">
        <v>721</v>
      </c>
      <c r="B3275" s="0" t="s">
        <v>91</v>
      </c>
      <c r="C3275" s="0" t="s">
        <v>92</v>
      </c>
      <c r="D3275" s="0" t="n">
        <v>14</v>
      </c>
      <c r="E3275" s="5" t="n">
        <v>45982.6568287037</v>
      </c>
      <c r="F3275" s="0" t="n">
        <v>7.65</v>
      </c>
      <c r="G3275" s="0" t="n">
        <v>17168</v>
      </c>
      <c r="H3275" s="6" t="s">
        <v>188</v>
      </c>
      <c r="I3275" s="6" t="n">
        <f aca="false">D3275*F3275</f>
        <v>107.1</v>
      </c>
      <c r="J3275" s="6" t="n">
        <f aca="false">HOUR(E3275)</f>
        <v>15</v>
      </c>
      <c r="K3275" s="6" t="n">
        <f aca="false">IF(COUNTIF($A$2:$A3275,A3275)=1,1,0)</f>
        <v>0</v>
      </c>
    </row>
    <row r="3276" customFormat="false" ht="15" hidden="false" customHeight="false" outlineLevel="0" collapsed="false">
      <c r="A3276" s="0" t="s">
        <v>722</v>
      </c>
      <c r="B3276" s="0" t="s">
        <v>47</v>
      </c>
      <c r="C3276" s="0" t="s">
        <v>48</v>
      </c>
      <c r="D3276" s="0" t="n">
        <v>41</v>
      </c>
      <c r="E3276" s="5" t="n">
        <v>45982.6712615741</v>
      </c>
      <c r="F3276" s="0" t="n">
        <v>12.75</v>
      </c>
      <c r="G3276" s="0" t="n">
        <v>17104</v>
      </c>
      <c r="H3276" s="6" t="s">
        <v>144</v>
      </c>
      <c r="I3276" s="6" t="n">
        <f aca="false">D3276*F3276</f>
        <v>522.75</v>
      </c>
      <c r="J3276" s="6" t="n">
        <f aca="false">HOUR(E3276)</f>
        <v>16</v>
      </c>
      <c r="K3276" s="6" t="n">
        <f aca="false">IF(COUNTIF($A$2:$A3276,A3276)=1,1,0)</f>
        <v>1</v>
      </c>
    </row>
    <row r="3277" customFormat="false" ht="15" hidden="false" customHeight="false" outlineLevel="0" collapsed="false">
      <c r="A3277" s="0" t="s">
        <v>723</v>
      </c>
      <c r="B3277" s="0" t="s">
        <v>91</v>
      </c>
      <c r="C3277" s="0" t="s">
        <v>92</v>
      </c>
      <c r="D3277" s="0" t="n">
        <v>7</v>
      </c>
      <c r="E3277" s="5" t="n">
        <v>45982.7421064815</v>
      </c>
      <c r="F3277" s="0" t="n">
        <v>7.65</v>
      </c>
      <c r="G3277" s="0" t="n">
        <v>17215</v>
      </c>
      <c r="H3277" s="6" t="s">
        <v>151</v>
      </c>
      <c r="I3277" s="6" t="n">
        <f aca="false">D3277*F3277</f>
        <v>53.55</v>
      </c>
      <c r="J3277" s="6" t="n">
        <f aca="false">HOUR(E3277)</f>
        <v>17</v>
      </c>
      <c r="K3277" s="6" t="n">
        <f aca="false">IF(COUNTIF($A$2:$A3277,A3277)=1,1,0)</f>
        <v>1</v>
      </c>
    </row>
    <row r="3278" customFormat="false" ht="15" hidden="false" customHeight="false" outlineLevel="0" collapsed="false">
      <c r="A3278" s="0" t="s">
        <v>723</v>
      </c>
      <c r="B3278" s="0" t="s">
        <v>125</v>
      </c>
      <c r="C3278" s="0" t="s">
        <v>126</v>
      </c>
      <c r="D3278" s="0" t="n">
        <v>19</v>
      </c>
      <c r="E3278" s="5" t="n">
        <v>45982.7421064815</v>
      </c>
      <c r="F3278" s="0" t="n">
        <v>1.25</v>
      </c>
      <c r="G3278" s="0" t="n">
        <v>17215</v>
      </c>
      <c r="H3278" s="6" t="s">
        <v>151</v>
      </c>
      <c r="I3278" s="6" t="n">
        <f aca="false">D3278*F3278</f>
        <v>23.75</v>
      </c>
      <c r="J3278" s="6" t="n">
        <f aca="false">HOUR(E3278)</f>
        <v>17</v>
      </c>
      <c r="K3278" s="6" t="n">
        <f aca="false">IF(COUNTIF($A$2:$A3278,A3278)=1,1,0)</f>
        <v>0</v>
      </c>
    </row>
    <row r="3279" customFormat="false" ht="15" hidden="false" customHeight="false" outlineLevel="0" collapsed="false">
      <c r="A3279" s="0" t="s">
        <v>723</v>
      </c>
      <c r="B3279" s="0" t="s">
        <v>65</v>
      </c>
      <c r="C3279" s="0" t="s">
        <v>66</v>
      </c>
      <c r="D3279" s="0" t="n">
        <v>18</v>
      </c>
      <c r="E3279" s="5" t="n">
        <v>45982.7421064815</v>
      </c>
      <c r="F3279" s="0" t="n">
        <v>1.65</v>
      </c>
      <c r="G3279" s="0" t="n">
        <v>17215</v>
      </c>
      <c r="H3279" s="6" t="s">
        <v>151</v>
      </c>
      <c r="I3279" s="6" t="n">
        <f aca="false">D3279*F3279</f>
        <v>29.7</v>
      </c>
      <c r="J3279" s="6" t="n">
        <f aca="false">HOUR(E3279)</f>
        <v>17</v>
      </c>
      <c r="K3279" s="6" t="n">
        <f aca="false">IF(COUNTIF($A$2:$A3279,A3279)=1,1,0)</f>
        <v>0</v>
      </c>
    </row>
    <row r="3280" customFormat="false" ht="15" hidden="false" customHeight="false" outlineLevel="0" collapsed="false">
      <c r="A3280" s="0" t="s">
        <v>723</v>
      </c>
      <c r="B3280" s="0" t="s">
        <v>93</v>
      </c>
      <c r="C3280" s="0" t="s">
        <v>94</v>
      </c>
      <c r="D3280" s="0" t="n">
        <v>14</v>
      </c>
      <c r="E3280" s="5" t="n">
        <v>45982.7421064815</v>
      </c>
      <c r="F3280" s="0" t="n">
        <v>1.69</v>
      </c>
      <c r="G3280" s="0" t="n">
        <v>17215</v>
      </c>
      <c r="H3280" s="6" t="s">
        <v>151</v>
      </c>
      <c r="I3280" s="6" t="n">
        <f aca="false">D3280*F3280</f>
        <v>23.66</v>
      </c>
      <c r="J3280" s="6" t="n">
        <f aca="false">HOUR(E3280)</f>
        <v>17</v>
      </c>
      <c r="K3280" s="6" t="n">
        <f aca="false">IF(COUNTIF($A$2:$A3280,A3280)=1,1,0)</f>
        <v>0</v>
      </c>
    </row>
    <row r="3281" customFormat="false" ht="15" hidden="false" customHeight="false" outlineLevel="0" collapsed="false">
      <c r="A3281" s="0" t="s">
        <v>723</v>
      </c>
      <c r="B3281" s="0" t="s">
        <v>102</v>
      </c>
      <c r="C3281" s="0" t="s">
        <v>103</v>
      </c>
      <c r="D3281" s="0" t="n">
        <v>24</v>
      </c>
      <c r="E3281" s="5" t="n">
        <v>45982.7421064815</v>
      </c>
      <c r="F3281" s="0" t="n">
        <v>8.5</v>
      </c>
      <c r="G3281" s="0" t="n">
        <v>17215</v>
      </c>
      <c r="H3281" s="6" t="s">
        <v>151</v>
      </c>
      <c r="I3281" s="6" t="n">
        <f aca="false">D3281*F3281</f>
        <v>204</v>
      </c>
      <c r="J3281" s="6" t="n">
        <f aca="false">HOUR(E3281)</f>
        <v>17</v>
      </c>
      <c r="K3281" s="6" t="n">
        <f aca="false">IF(COUNTIF($A$2:$A3281,A3281)=1,1,0)</f>
        <v>0</v>
      </c>
    </row>
    <row r="3282" customFormat="false" ht="15" hidden="false" customHeight="false" outlineLevel="0" collapsed="false">
      <c r="A3282" s="0" t="s">
        <v>723</v>
      </c>
      <c r="B3282" s="0" t="s">
        <v>53</v>
      </c>
      <c r="C3282" s="0" t="s">
        <v>54</v>
      </c>
      <c r="D3282" s="0" t="n">
        <v>7</v>
      </c>
      <c r="E3282" s="5" t="n">
        <v>45982.7421064815</v>
      </c>
      <c r="F3282" s="0" t="n">
        <v>2.95</v>
      </c>
      <c r="G3282" s="0" t="n">
        <v>17215</v>
      </c>
      <c r="H3282" s="6" t="s">
        <v>151</v>
      </c>
      <c r="I3282" s="6" t="n">
        <f aca="false">D3282*F3282</f>
        <v>20.65</v>
      </c>
      <c r="J3282" s="6" t="n">
        <f aca="false">HOUR(E3282)</f>
        <v>17</v>
      </c>
      <c r="K3282" s="6" t="n">
        <f aca="false">IF(COUNTIF($A$2:$A3282,A3282)=1,1,0)</f>
        <v>0</v>
      </c>
    </row>
    <row r="3283" customFormat="false" ht="15" hidden="false" customHeight="false" outlineLevel="0" collapsed="false">
      <c r="A3283" s="0" t="s">
        <v>723</v>
      </c>
      <c r="B3283" s="0" t="s">
        <v>50</v>
      </c>
      <c r="C3283" s="0" t="s">
        <v>51</v>
      </c>
      <c r="D3283" s="0" t="n">
        <v>10</v>
      </c>
      <c r="E3283" s="5" t="n">
        <v>45982.7421064815</v>
      </c>
      <c r="F3283" s="0" t="n">
        <v>5.95</v>
      </c>
      <c r="G3283" s="0" t="n">
        <v>17215</v>
      </c>
      <c r="H3283" s="6" t="s">
        <v>151</v>
      </c>
      <c r="I3283" s="6" t="n">
        <f aca="false">D3283*F3283</f>
        <v>59.5</v>
      </c>
      <c r="J3283" s="6" t="n">
        <f aca="false">HOUR(E3283)</f>
        <v>17</v>
      </c>
      <c r="K3283" s="6" t="n">
        <f aca="false">IF(COUNTIF($A$2:$A3283,A3283)=1,1,0)</f>
        <v>0</v>
      </c>
    </row>
    <row r="3284" customFormat="false" ht="15" hidden="false" customHeight="false" outlineLevel="0" collapsed="false">
      <c r="A3284" s="0" t="s">
        <v>723</v>
      </c>
      <c r="B3284" s="0" t="s">
        <v>81</v>
      </c>
      <c r="C3284" s="0" t="s">
        <v>82</v>
      </c>
      <c r="D3284" s="0" t="n">
        <v>1</v>
      </c>
      <c r="E3284" s="5" t="n">
        <v>45982.7421064815</v>
      </c>
      <c r="F3284" s="0" t="n">
        <v>1.65</v>
      </c>
      <c r="G3284" s="0" t="n">
        <v>17215</v>
      </c>
      <c r="H3284" s="6" t="s">
        <v>151</v>
      </c>
      <c r="I3284" s="6" t="n">
        <f aca="false">D3284*F3284</f>
        <v>1.65</v>
      </c>
      <c r="J3284" s="6" t="n">
        <f aca="false">HOUR(E3284)</f>
        <v>17</v>
      </c>
      <c r="K3284" s="6" t="n">
        <f aca="false">IF(COUNTIF($A$2:$A3284,A3284)=1,1,0)</f>
        <v>0</v>
      </c>
    </row>
    <row r="3285" customFormat="false" ht="15" hidden="false" customHeight="false" outlineLevel="0" collapsed="false">
      <c r="A3285" s="0" t="s">
        <v>723</v>
      </c>
      <c r="B3285" s="0" t="s">
        <v>61</v>
      </c>
      <c r="C3285" s="0" t="s">
        <v>62</v>
      </c>
      <c r="D3285" s="0" t="n">
        <v>19</v>
      </c>
      <c r="E3285" s="5" t="n">
        <v>45982.7421064815</v>
      </c>
      <c r="F3285" s="0" t="n">
        <v>1.65</v>
      </c>
      <c r="G3285" s="0" t="n">
        <v>17215</v>
      </c>
      <c r="H3285" s="6" t="s">
        <v>151</v>
      </c>
      <c r="I3285" s="6" t="n">
        <f aca="false">D3285*F3285</f>
        <v>31.35</v>
      </c>
      <c r="J3285" s="6" t="n">
        <f aca="false">HOUR(E3285)</f>
        <v>17</v>
      </c>
      <c r="K3285" s="6" t="n">
        <f aca="false">IF(COUNTIF($A$2:$A3285,A3285)=1,1,0)</f>
        <v>0</v>
      </c>
    </row>
    <row r="3286" customFormat="false" ht="15" hidden="false" customHeight="false" outlineLevel="0" collapsed="false">
      <c r="A3286" s="0" t="s">
        <v>723</v>
      </c>
      <c r="B3286" s="0" t="s">
        <v>69</v>
      </c>
      <c r="C3286" s="0" t="s">
        <v>70</v>
      </c>
      <c r="D3286" s="0" t="n">
        <v>21</v>
      </c>
      <c r="E3286" s="5" t="n">
        <v>45982.7421064815</v>
      </c>
      <c r="F3286" s="0" t="n">
        <v>2.08</v>
      </c>
      <c r="G3286" s="0" t="n">
        <v>17215</v>
      </c>
      <c r="H3286" s="6" t="s">
        <v>151</v>
      </c>
      <c r="I3286" s="6" t="n">
        <f aca="false">D3286*F3286</f>
        <v>43.68</v>
      </c>
      <c r="J3286" s="6" t="n">
        <f aca="false">HOUR(E3286)</f>
        <v>17</v>
      </c>
      <c r="K3286" s="6" t="n">
        <f aca="false">IF(COUNTIF($A$2:$A3286,A3286)=1,1,0)</f>
        <v>0</v>
      </c>
    </row>
    <row r="3287" customFormat="false" ht="15" hidden="false" customHeight="false" outlineLevel="0" collapsed="false">
      <c r="A3287" s="0" t="s">
        <v>724</v>
      </c>
      <c r="B3287" s="0" t="s">
        <v>81</v>
      </c>
      <c r="C3287" s="0" t="s">
        <v>82</v>
      </c>
      <c r="D3287" s="0" t="n">
        <v>8</v>
      </c>
      <c r="E3287" s="5" t="n">
        <v>45982.8348263889</v>
      </c>
      <c r="F3287" s="0" t="n">
        <v>1.65</v>
      </c>
      <c r="G3287" s="0" t="n">
        <v>17132</v>
      </c>
      <c r="H3287" s="6" t="s">
        <v>74</v>
      </c>
      <c r="I3287" s="6" t="n">
        <f aca="false">D3287*F3287</f>
        <v>13.2</v>
      </c>
      <c r="J3287" s="6" t="n">
        <f aca="false">HOUR(E3287)</f>
        <v>20</v>
      </c>
      <c r="K3287" s="6" t="n">
        <f aca="false">IF(COUNTIF($A$2:$A3287,A3287)=1,1,0)</f>
        <v>1</v>
      </c>
    </row>
    <row r="3288" customFormat="false" ht="15" hidden="false" customHeight="false" outlineLevel="0" collapsed="false">
      <c r="A3288" s="0" t="s">
        <v>724</v>
      </c>
      <c r="B3288" s="0" t="s">
        <v>95</v>
      </c>
      <c r="C3288" s="0" t="s">
        <v>96</v>
      </c>
      <c r="D3288" s="0" t="n">
        <v>14</v>
      </c>
      <c r="E3288" s="5" t="n">
        <v>45982.8348263889</v>
      </c>
      <c r="F3288" s="0" t="n">
        <v>2.55</v>
      </c>
      <c r="G3288" s="0" t="n">
        <v>17132</v>
      </c>
      <c r="H3288" s="6" t="s">
        <v>74</v>
      </c>
      <c r="I3288" s="6" t="n">
        <f aca="false">D3288*F3288</f>
        <v>35.7</v>
      </c>
      <c r="J3288" s="6" t="n">
        <f aca="false">HOUR(E3288)</f>
        <v>20</v>
      </c>
      <c r="K3288" s="6" t="n">
        <f aca="false">IF(COUNTIF($A$2:$A3288,A3288)=1,1,0)</f>
        <v>0</v>
      </c>
    </row>
    <row r="3289" customFormat="false" ht="15" hidden="false" customHeight="false" outlineLevel="0" collapsed="false">
      <c r="A3289" s="0" t="s">
        <v>724</v>
      </c>
      <c r="B3289" s="0" t="s">
        <v>43</v>
      </c>
      <c r="C3289" s="0" t="s">
        <v>44</v>
      </c>
      <c r="D3289" s="0" t="n">
        <v>13</v>
      </c>
      <c r="E3289" s="5" t="n">
        <v>45982.8348263889</v>
      </c>
      <c r="F3289" s="0" t="n">
        <v>4.25</v>
      </c>
      <c r="G3289" s="0" t="n">
        <v>17132</v>
      </c>
      <c r="H3289" s="6" t="s">
        <v>74</v>
      </c>
      <c r="I3289" s="6" t="n">
        <f aca="false">D3289*F3289</f>
        <v>55.25</v>
      </c>
      <c r="J3289" s="6" t="n">
        <f aca="false">HOUR(E3289)</f>
        <v>20</v>
      </c>
      <c r="K3289" s="6" t="n">
        <f aca="false">IF(COUNTIF($A$2:$A3289,A3289)=1,1,0)</f>
        <v>0</v>
      </c>
    </row>
    <row r="3290" customFormat="false" ht="15" hidden="false" customHeight="false" outlineLevel="0" collapsed="false">
      <c r="A3290" s="0" t="s">
        <v>724</v>
      </c>
      <c r="B3290" s="0" t="s">
        <v>65</v>
      </c>
      <c r="C3290" s="0" t="s">
        <v>66</v>
      </c>
      <c r="D3290" s="0" t="n">
        <v>1</v>
      </c>
      <c r="E3290" s="5" t="n">
        <v>45982.8348263889</v>
      </c>
      <c r="F3290" s="0" t="n">
        <v>1.65</v>
      </c>
      <c r="G3290" s="0" t="n">
        <v>17132</v>
      </c>
      <c r="H3290" s="6" t="s">
        <v>74</v>
      </c>
      <c r="I3290" s="6" t="n">
        <f aca="false">D3290*F3290</f>
        <v>1.65</v>
      </c>
      <c r="J3290" s="6" t="n">
        <f aca="false">HOUR(E3290)</f>
        <v>20</v>
      </c>
      <c r="K3290" s="6" t="n">
        <f aca="false">IF(COUNTIF($A$2:$A3290,A3290)=1,1,0)</f>
        <v>0</v>
      </c>
    </row>
    <row r="3291" customFormat="false" ht="15" hidden="false" customHeight="false" outlineLevel="0" collapsed="false">
      <c r="A3291" s="0" t="s">
        <v>724</v>
      </c>
      <c r="B3291" s="0" t="s">
        <v>57</v>
      </c>
      <c r="C3291" s="0" t="s">
        <v>58</v>
      </c>
      <c r="D3291" s="0" t="n">
        <v>7</v>
      </c>
      <c r="E3291" s="5" t="n">
        <v>45982.8348263889</v>
      </c>
      <c r="F3291" s="0" t="n">
        <v>2.08</v>
      </c>
      <c r="G3291" s="0" t="n">
        <v>17132</v>
      </c>
      <c r="H3291" s="6" t="s">
        <v>74</v>
      </c>
      <c r="I3291" s="6" t="n">
        <f aca="false">D3291*F3291</f>
        <v>14.56</v>
      </c>
      <c r="J3291" s="6" t="n">
        <f aca="false">HOUR(E3291)</f>
        <v>20</v>
      </c>
      <c r="K3291" s="6" t="n">
        <f aca="false">IF(COUNTIF($A$2:$A3291,A3291)=1,1,0)</f>
        <v>0</v>
      </c>
    </row>
    <row r="3292" customFormat="false" ht="15" hidden="false" customHeight="false" outlineLevel="0" collapsed="false">
      <c r="A3292" s="0" t="s">
        <v>724</v>
      </c>
      <c r="B3292" s="0" t="s">
        <v>125</v>
      </c>
      <c r="C3292" s="0" t="s">
        <v>126</v>
      </c>
      <c r="D3292" s="0" t="n">
        <v>13</v>
      </c>
      <c r="E3292" s="5" t="n">
        <v>45982.8348263889</v>
      </c>
      <c r="F3292" s="0" t="n">
        <v>1.25</v>
      </c>
      <c r="G3292" s="0" t="n">
        <v>17132</v>
      </c>
      <c r="H3292" s="6" t="s">
        <v>74</v>
      </c>
      <c r="I3292" s="6" t="n">
        <f aca="false">D3292*F3292</f>
        <v>16.25</v>
      </c>
      <c r="J3292" s="6" t="n">
        <f aca="false">HOUR(E3292)</f>
        <v>20</v>
      </c>
      <c r="K3292" s="6" t="n">
        <f aca="false">IF(COUNTIF($A$2:$A3292,A3292)=1,1,0)</f>
        <v>0</v>
      </c>
    </row>
    <row r="3293" customFormat="false" ht="15" hidden="false" customHeight="false" outlineLevel="0" collapsed="false">
      <c r="A3293" s="0" t="s">
        <v>724</v>
      </c>
      <c r="B3293" s="0" t="s">
        <v>45</v>
      </c>
      <c r="C3293" s="0" t="s">
        <v>46</v>
      </c>
      <c r="D3293" s="0" t="n">
        <v>16</v>
      </c>
      <c r="E3293" s="5" t="n">
        <v>45982.8348263889</v>
      </c>
      <c r="F3293" s="0" t="n">
        <v>2.1</v>
      </c>
      <c r="G3293" s="0" t="n">
        <v>17132</v>
      </c>
      <c r="H3293" s="6" t="s">
        <v>74</v>
      </c>
      <c r="I3293" s="6" t="n">
        <f aca="false">D3293*F3293</f>
        <v>33.6</v>
      </c>
      <c r="J3293" s="6" t="n">
        <f aca="false">HOUR(E3293)</f>
        <v>20</v>
      </c>
      <c r="K3293" s="6" t="n">
        <f aca="false">IF(COUNTIF($A$2:$A3293,A3293)=1,1,0)</f>
        <v>0</v>
      </c>
    </row>
    <row r="3294" customFormat="false" ht="15" hidden="false" customHeight="false" outlineLevel="0" collapsed="false">
      <c r="A3294" s="0" t="s">
        <v>725</v>
      </c>
      <c r="B3294" s="0" t="s">
        <v>95</v>
      </c>
      <c r="C3294" s="0" t="s">
        <v>96</v>
      </c>
      <c r="D3294" s="0" t="n">
        <v>40</v>
      </c>
      <c r="E3294" s="5" t="n">
        <v>45982.9200925926</v>
      </c>
      <c r="F3294" s="0" t="n">
        <v>2.55</v>
      </c>
      <c r="G3294" s="0" t="n">
        <v>17159</v>
      </c>
      <c r="H3294" s="6" t="s">
        <v>74</v>
      </c>
      <c r="I3294" s="6" t="n">
        <f aca="false">D3294*F3294</f>
        <v>102</v>
      </c>
      <c r="J3294" s="6" t="n">
        <f aca="false">HOUR(E3294)</f>
        <v>22</v>
      </c>
      <c r="K3294" s="6" t="n">
        <f aca="false">IF(COUNTIF($A$2:$A3294,A3294)=1,1,0)</f>
        <v>1</v>
      </c>
    </row>
    <row r="3295" customFormat="false" ht="15" hidden="false" customHeight="false" outlineLevel="0" collapsed="false">
      <c r="A3295" s="0" t="s">
        <v>725</v>
      </c>
      <c r="B3295" s="0" t="s">
        <v>107</v>
      </c>
      <c r="D3295" s="0" t="n">
        <v>14</v>
      </c>
      <c r="E3295" s="5" t="n">
        <v>45982.9200925926</v>
      </c>
      <c r="F3295" s="0" t="n">
        <v>3.75</v>
      </c>
      <c r="G3295" s="0" t="n">
        <v>17159</v>
      </c>
      <c r="H3295" s="6" t="s">
        <v>74</v>
      </c>
      <c r="I3295" s="6" t="n">
        <f aca="false">D3295*F3295</f>
        <v>52.5</v>
      </c>
      <c r="J3295" s="6" t="n">
        <f aca="false">HOUR(E3295)</f>
        <v>22</v>
      </c>
      <c r="K3295" s="6" t="n">
        <f aca="false">IF(COUNTIF($A$2:$A3295,A3295)=1,1,0)</f>
        <v>0</v>
      </c>
    </row>
    <row r="3296" customFormat="false" ht="15" hidden="false" customHeight="false" outlineLevel="0" collapsed="false">
      <c r="A3296" s="0" t="s">
        <v>725</v>
      </c>
      <c r="B3296" s="0" t="s">
        <v>72</v>
      </c>
      <c r="C3296" s="0" t="s">
        <v>73</v>
      </c>
      <c r="D3296" s="0" t="n">
        <v>15</v>
      </c>
      <c r="E3296" s="5" t="n">
        <v>45982.9200925926</v>
      </c>
      <c r="F3296" s="0" t="n">
        <v>4.95</v>
      </c>
      <c r="G3296" s="0" t="n">
        <v>17159</v>
      </c>
      <c r="H3296" s="6" t="s">
        <v>74</v>
      </c>
      <c r="I3296" s="6" t="n">
        <f aca="false">D3296*F3296</f>
        <v>74.25</v>
      </c>
      <c r="J3296" s="6" t="n">
        <f aca="false">HOUR(E3296)</f>
        <v>22</v>
      </c>
      <c r="K3296" s="6" t="n">
        <f aca="false">IF(COUNTIF($A$2:$A3296,A3296)=1,1,0)</f>
        <v>0</v>
      </c>
    </row>
    <row r="3297" customFormat="false" ht="15" hidden="false" customHeight="false" outlineLevel="0" collapsed="false">
      <c r="A3297" s="0" t="s">
        <v>725</v>
      </c>
      <c r="B3297" s="0" t="s">
        <v>91</v>
      </c>
      <c r="C3297" s="0" t="s">
        <v>92</v>
      </c>
      <c r="D3297" s="0" t="n">
        <v>10</v>
      </c>
      <c r="E3297" s="5" t="n">
        <v>45982.9200925926</v>
      </c>
      <c r="F3297" s="0" t="n">
        <v>7.65</v>
      </c>
      <c r="G3297" s="0" t="n">
        <v>17159</v>
      </c>
      <c r="H3297" s="6" t="s">
        <v>74</v>
      </c>
      <c r="I3297" s="6" t="n">
        <f aca="false">D3297*F3297</f>
        <v>76.5</v>
      </c>
      <c r="J3297" s="6" t="n">
        <f aca="false">HOUR(E3297)</f>
        <v>22</v>
      </c>
      <c r="K3297" s="6" t="n">
        <f aca="false">IF(COUNTIF($A$2:$A3297,A3297)=1,1,0)</f>
        <v>0</v>
      </c>
    </row>
    <row r="3298" customFormat="false" ht="15" hidden="false" customHeight="false" outlineLevel="0" collapsed="false">
      <c r="A3298" s="0" t="s">
        <v>725</v>
      </c>
      <c r="B3298" s="0" t="s">
        <v>81</v>
      </c>
      <c r="C3298" s="0" t="s">
        <v>82</v>
      </c>
      <c r="D3298" s="0" t="n">
        <v>8</v>
      </c>
      <c r="E3298" s="5" t="n">
        <v>45982.9200925926</v>
      </c>
      <c r="F3298" s="0" t="n">
        <v>1.65</v>
      </c>
      <c r="G3298" s="0" t="n">
        <v>17159</v>
      </c>
      <c r="H3298" s="6" t="s">
        <v>74</v>
      </c>
      <c r="I3298" s="6" t="n">
        <f aca="false">D3298*F3298</f>
        <v>13.2</v>
      </c>
      <c r="J3298" s="6" t="n">
        <f aca="false">HOUR(E3298)</f>
        <v>22</v>
      </c>
      <c r="K3298" s="6" t="n">
        <f aca="false">IF(COUNTIF($A$2:$A3298,A3298)=1,1,0)</f>
        <v>0</v>
      </c>
    </row>
    <row r="3299" customFormat="false" ht="15" hidden="false" customHeight="false" outlineLevel="0" collapsed="false">
      <c r="A3299" s="0" t="s">
        <v>725</v>
      </c>
      <c r="B3299" s="0" t="s">
        <v>50</v>
      </c>
      <c r="C3299" s="0" t="s">
        <v>51</v>
      </c>
      <c r="D3299" s="0" t="n">
        <v>19</v>
      </c>
      <c r="E3299" s="5" t="n">
        <v>45982.9200925926</v>
      </c>
      <c r="F3299" s="0" t="n">
        <v>5.95</v>
      </c>
      <c r="G3299" s="0" t="n">
        <v>17159</v>
      </c>
      <c r="H3299" s="6" t="s">
        <v>74</v>
      </c>
      <c r="I3299" s="6" t="n">
        <f aca="false">D3299*F3299</f>
        <v>113.05</v>
      </c>
      <c r="J3299" s="6" t="n">
        <f aca="false">HOUR(E3299)</f>
        <v>22</v>
      </c>
      <c r="K3299" s="6" t="n">
        <f aca="false">IF(COUNTIF($A$2:$A3299,A3299)=1,1,0)</f>
        <v>0</v>
      </c>
    </row>
    <row r="3300" customFormat="false" ht="15" hidden="false" customHeight="false" outlineLevel="0" collapsed="false">
      <c r="A3300" s="0" t="s">
        <v>726</v>
      </c>
      <c r="B3300" s="0" t="s">
        <v>102</v>
      </c>
      <c r="C3300" s="0" t="s">
        <v>103</v>
      </c>
      <c r="D3300" s="0" t="n">
        <v>21</v>
      </c>
      <c r="E3300" s="5" t="n">
        <v>45983.2402314815</v>
      </c>
      <c r="F3300" s="0" t="n">
        <v>8.5</v>
      </c>
      <c r="G3300" s="0" t="n">
        <v>17064</v>
      </c>
      <c r="H3300" s="6" t="s">
        <v>74</v>
      </c>
      <c r="I3300" s="6" t="n">
        <f aca="false">D3300*F3300</f>
        <v>178.5</v>
      </c>
      <c r="J3300" s="6" t="n">
        <f aca="false">HOUR(E3300)</f>
        <v>5</v>
      </c>
      <c r="K3300" s="6" t="n">
        <f aca="false">IF(COUNTIF($A$2:$A3300,A3300)=1,1,0)</f>
        <v>1</v>
      </c>
    </row>
    <row r="3301" customFormat="false" ht="15" hidden="false" customHeight="false" outlineLevel="0" collapsed="false">
      <c r="A3301" s="0" t="s">
        <v>726</v>
      </c>
      <c r="B3301" s="0" t="s">
        <v>43</v>
      </c>
      <c r="C3301" s="0" t="s">
        <v>44</v>
      </c>
      <c r="D3301" s="0" t="n">
        <v>5</v>
      </c>
      <c r="E3301" s="5" t="n">
        <v>45983.2402314815</v>
      </c>
      <c r="F3301" s="0" t="n">
        <v>4.25</v>
      </c>
      <c r="G3301" s="0" t="n">
        <v>17064</v>
      </c>
      <c r="H3301" s="6" t="s">
        <v>74</v>
      </c>
      <c r="I3301" s="6" t="n">
        <f aca="false">D3301*F3301</f>
        <v>21.25</v>
      </c>
      <c r="J3301" s="6" t="n">
        <f aca="false">HOUR(E3301)</f>
        <v>5</v>
      </c>
      <c r="K3301" s="6" t="n">
        <f aca="false">IF(COUNTIF($A$2:$A3301,A3301)=1,1,0)</f>
        <v>0</v>
      </c>
    </row>
    <row r="3302" customFormat="false" ht="15" hidden="false" customHeight="false" outlineLevel="0" collapsed="false">
      <c r="A3302" s="0" t="s">
        <v>726</v>
      </c>
      <c r="B3302" s="0" t="s">
        <v>118</v>
      </c>
      <c r="C3302" s="0" t="s">
        <v>119</v>
      </c>
      <c r="D3302" s="0" t="n">
        <v>26</v>
      </c>
      <c r="E3302" s="5" t="n">
        <v>45983.2402314815</v>
      </c>
      <c r="F3302" s="0" t="n">
        <v>4.95</v>
      </c>
      <c r="G3302" s="0" t="n">
        <v>17064</v>
      </c>
      <c r="H3302" s="6" t="s">
        <v>74</v>
      </c>
      <c r="I3302" s="6" t="n">
        <f aca="false">D3302*F3302</f>
        <v>128.7</v>
      </c>
      <c r="J3302" s="6" t="n">
        <f aca="false">HOUR(E3302)</f>
        <v>5</v>
      </c>
      <c r="K3302" s="6" t="n">
        <f aca="false">IF(COUNTIF($A$2:$A3302,A3302)=1,1,0)</f>
        <v>0</v>
      </c>
    </row>
    <row r="3303" customFormat="false" ht="15" hidden="false" customHeight="false" outlineLevel="0" collapsed="false">
      <c r="A3303" s="0" t="s">
        <v>726</v>
      </c>
      <c r="B3303" s="0" t="s">
        <v>134</v>
      </c>
      <c r="C3303" s="0" t="s">
        <v>135</v>
      </c>
      <c r="D3303" s="0" t="n">
        <v>24</v>
      </c>
      <c r="E3303" s="5" t="n">
        <v>45983.2402314815</v>
      </c>
      <c r="F3303" s="0" t="n">
        <v>5.95</v>
      </c>
      <c r="G3303" s="0" t="n">
        <v>17064</v>
      </c>
      <c r="H3303" s="6" t="s">
        <v>74</v>
      </c>
      <c r="I3303" s="6" t="n">
        <f aca="false">D3303*F3303</f>
        <v>142.8</v>
      </c>
      <c r="J3303" s="6" t="n">
        <f aca="false">HOUR(E3303)</f>
        <v>5</v>
      </c>
      <c r="K3303" s="6" t="n">
        <f aca="false">IF(COUNTIF($A$2:$A3303,A3303)=1,1,0)</f>
        <v>0</v>
      </c>
    </row>
    <row r="3304" customFormat="false" ht="15" hidden="false" customHeight="false" outlineLevel="0" collapsed="false">
      <c r="A3304" s="0" t="s">
        <v>726</v>
      </c>
      <c r="B3304" s="0" t="s">
        <v>50</v>
      </c>
      <c r="C3304" s="0" t="s">
        <v>51</v>
      </c>
      <c r="D3304" s="0" t="n">
        <v>7</v>
      </c>
      <c r="E3304" s="5" t="n">
        <v>45983.2402314815</v>
      </c>
      <c r="F3304" s="0" t="n">
        <v>5.95</v>
      </c>
      <c r="G3304" s="0" t="n">
        <v>17064</v>
      </c>
      <c r="H3304" s="6" t="s">
        <v>74</v>
      </c>
      <c r="I3304" s="6" t="n">
        <f aca="false">D3304*F3304</f>
        <v>41.65</v>
      </c>
      <c r="J3304" s="6" t="n">
        <f aca="false">HOUR(E3304)</f>
        <v>5</v>
      </c>
      <c r="K3304" s="6" t="n">
        <f aca="false">IF(COUNTIF($A$2:$A3304,A3304)=1,1,0)</f>
        <v>0</v>
      </c>
    </row>
    <row r="3305" customFormat="false" ht="15" hidden="false" customHeight="false" outlineLevel="0" collapsed="false">
      <c r="A3305" s="0" t="s">
        <v>726</v>
      </c>
      <c r="B3305" s="0" t="s">
        <v>45</v>
      </c>
      <c r="C3305" s="0" t="s">
        <v>46</v>
      </c>
      <c r="D3305" s="0" t="n">
        <v>13</v>
      </c>
      <c r="E3305" s="5" t="n">
        <v>45983.2402314815</v>
      </c>
      <c r="F3305" s="0" t="n">
        <v>2.1</v>
      </c>
      <c r="G3305" s="0" t="n">
        <v>17064</v>
      </c>
      <c r="H3305" s="6" t="s">
        <v>74</v>
      </c>
      <c r="I3305" s="6" t="n">
        <f aca="false">D3305*F3305</f>
        <v>27.3</v>
      </c>
      <c r="J3305" s="6" t="n">
        <f aca="false">HOUR(E3305)</f>
        <v>5</v>
      </c>
      <c r="K3305" s="6" t="n">
        <f aca="false">IF(COUNTIF($A$2:$A3305,A3305)=1,1,0)</f>
        <v>0</v>
      </c>
    </row>
    <row r="3306" customFormat="false" ht="15" hidden="false" customHeight="false" outlineLevel="0" collapsed="false">
      <c r="A3306" s="0" t="s">
        <v>727</v>
      </c>
      <c r="B3306" s="0" t="s">
        <v>65</v>
      </c>
      <c r="C3306" s="0" t="s">
        <v>66</v>
      </c>
      <c r="D3306" s="0" t="n">
        <v>22</v>
      </c>
      <c r="E3306" s="5" t="n">
        <v>45983.3791666667</v>
      </c>
      <c r="F3306" s="0" t="n">
        <v>1.65</v>
      </c>
      <c r="G3306" s="0" t="n">
        <v>17014</v>
      </c>
      <c r="H3306" s="6" t="s">
        <v>68</v>
      </c>
      <c r="I3306" s="6" t="n">
        <f aca="false">D3306*F3306</f>
        <v>36.3</v>
      </c>
      <c r="J3306" s="6" t="n">
        <f aca="false">HOUR(E3306)</f>
        <v>9</v>
      </c>
      <c r="K3306" s="6" t="n">
        <f aca="false">IF(COUNTIF($A$2:$A3306,A3306)=1,1,0)</f>
        <v>1</v>
      </c>
    </row>
    <row r="3307" customFormat="false" ht="15" hidden="false" customHeight="false" outlineLevel="0" collapsed="false">
      <c r="A3307" s="0" t="s">
        <v>727</v>
      </c>
      <c r="B3307" s="0" t="s">
        <v>137</v>
      </c>
      <c r="C3307" s="0" t="s">
        <v>138</v>
      </c>
      <c r="D3307" s="0" t="n">
        <v>2</v>
      </c>
      <c r="E3307" s="5" t="n">
        <v>45983.3791666667</v>
      </c>
      <c r="F3307" s="0" t="n">
        <v>2.1</v>
      </c>
      <c r="G3307" s="0" t="n">
        <v>17014</v>
      </c>
      <c r="H3307" s="6" t="s">
        <v>68</v>
      </c>
      <c r="I3307" s="6" t="n">
        <f aca="false">D3307*F3307</f>
        <v>4.2</v>
      </c>
      <c r="J3307" s="6" t="n">
        <f aca="false">HOUR(E3307)</f>
        <v>9</v>
      </c>
      <c r="K3307" s="6" t="n">
        <f aca="false">IF(COUNTIF($A$2:$A3307,A3307)=1,1,0)</f>
        <v>0</v>
      </c>
    </row>
    <row r="3308" customFormat="false" ht="15" hidden="false" customHeight="false" outlineLevel="0" collapsed="false">
      <c r="A3308" s="0" t="s">
        <v>727</v>
      </c>
      <c r="B3308" s="0" t="s">
        <v>40</v>
      </c>
      <c r="C3308" s="0" t="s">
        <v>41</v>
      </c>
      <c r="D3308" s="0" t="n">
        <v>10</v>
      </c>
      <c r="E3308" s="5" t="n">
        <v>45983.3791666667</v>
      </c>
      <c r="F3308" s="0" t="n">
        <v>1.06</v>
      </c>
      <c r="G3308" s="0" t="n">
        <v>17014</v>
      </c>
      <c r="H3308" s="6" t="s">
        <v>68</v>
      </c>
      <c r="I3308" s="6" t="n">
        <f aca="false">D3308*F3308</f>
        <v>10.6</v>
      </c>
      <c r="J3308" s="6" t="n">
        <f aca="false">HOUR(E3308)</f>
        <v>9</v>
      </c>
      <c r="K3308" s="6" t="n">
        <f aca="false">IF(COUNTIF($A$2:$A3308,A3308)=1,1,0)</f>
        <v>0</v>
      </c>
    </row>
    <row r="3309" customFormat="false" ht="15" hidden="false" customHeight="false" outlineLevel="0" collapsed="false">
      <c r="A3309" s="0" t="s">
        <v>727</v>
      </c>
      <c r="B3309" s="0" t="s">
        <v>75</v>
      </c>
      <c r="C3309" s="0" t="s">
        <v>76</v>
      </c>
      <c r="D3309" s="0" t="n">
        <v>6</v>
      </c>
      <c r="E3309" s="5" t="n">
        <v>45983.3791666667</v>
      </c>
      <c r="F3309" s="0" t="n">
        <v>3.39</v>
      </c>
      <c r="G3309" s="0" t="n">
        <v>17014</v>
      </c>
      <c r="H3309" s="6" t="s">
        <v>68</v>
      </c>
      <c r="I3309" s="6" t="n">
        <f aca="false">D3309*F3309</f>
        <v>20.34</v>
      </c>
      <c r="J3309" s="6" t="n">
        <f aca="false">HOUR(E3309)</f>
        <v>9</v>
      </c>
      <c r="K3309" s="6" t="n">
        <f aca="false">IF(COUNTIF($A$2:$A3309,A3309)=1,1,0)</f>
        <v>0</v>
      </c>
    </row>
    <row r="3310" customFormat="false" ht="15" hidden="false" customHeight="false" outlineLevel="0" collapsed="false">
      <c r="A3310" s="0" t="s">
        <v>727</v>
      </c>
      <c r="B3310" s="0" t="s">
        <v>134</v>
      </c>
      <c r="C3310" s="0" t="s">
        <v>135</v>
      </c>
      <c r="D3310" s="0" t="n">
        <v>23</v>
      </c>
      <c r="E3310" s="5" t="n">
        <v>45983.3791666667</v>
      </c>
      <c r="F3310" s="0" t="n">
        <v>5.95</v>
      </c>
      <c r="G3310" s="0" t="n">
        <v>17014</v>
      </c>
      <c r="H3310" s="6" t="s">
        <v>68</v>
      </c>
      <c r="I3310" s="6" t="n">
        <f aca="false">D3310*F3310</f>
        <v>136.85</v>
      </c>
      <c r="J3310" s="6" t="n">
        <f aca="false">HOUR(E3310)</f>
        <v>9</v>
      </c>
      <c r="K3310" s="6" t="n">
        <f aca="false">IF(COUNTIF($A$2:$A3310,A3310)=1,1,0)</f>
        <v>0</v>
      </c>
    </row>
    <row r="3311" customFormat="false" ht="15" hidden="false" customHeight="false" outlineLevel="0" collapsed="false">
      <c r="A3311" s="0" t="s">
        <v>727</v>
      </c>
      <c r="B3311" s="0" t="s">
        <v>50</v>
      </c>
      <c r="C3311" s="0" t="s">
        <v>51</v>
      </c>
      <c r="D3311" s="0" t="n">
        <v>11</v>
      </c>
      <c r="E3311" s="5" t="n">
        <v>45983.3791666667</v>
      </c>
      <c r="F3311" s="0" t="n">
        <v>5.95</v>
      </c>
      <c r="G3311" s="0" t="n">
        <v>17014</v>
      </c>
      <c r="H3311" s="6" t="s">
        <v>68</v>
      </c>
      <c r="I3311" s="6" t="n">
        <f aca="false">D3311*F3311</f>
        <v>65.45</v>
      </c>
      <c r="J3311" s="6" t="n">
        <f aca="false">HOUR(E3311)</f>
        <v>9</v>
      </c>
      <c r="K3311" s="6" t="n">
        <f aca="false">IF(COUNTIF($A$2:$A3311,A3311)=1,1,0)</f>
        <v>0</v>
      </c>
    </row>
    <row r="3312" customFormat="false" ht="15" hidden="false" customHeight="false" outlineLevel="0" collapsed="false">
      <c r="A3312" s="0" t="s">
        <v>727</v>
      </c>
      <c r="B3312" s="0" t="s">
        <v>55</v>
      </c>
      <c r="D3312" s="0" t="n">
        <v>24</v>
      </c>
      <c r="E3312" s="5" t="n">
        <v>45983.3791666667</v>
      </c>
      <c r="F3312" s="0" t="n">
        <v>1.65</v>
      </c>
      <c r="G3312" s="0" t="n">
        <v>17014</v>
      </c>
      <c r="H3312" s="6" t="s">
        <v>68</v>
      </c>
      <c r="I3312" s="6" t="n">
        <f aca="false">D3312*F3312</f>
        <v>39.6</v>
      </c>
      <c r="J3312" s="6" t="n">
        <f aca="false">HOUR(E3312)</f>
        <v>9</v>
      </c>
      <c r="K3312" s="6" t="n">
        <f aca="false">IF(COUNTIF($A$2:$A3312,A3312)=1,1,0)</f>
        <v>0</v>
      </c>
    </row>
    <row r="3313" customFormat="false" ht="15" hidden="false" customHeight="false" outlineLevel="0" collapsed="false">
      <c r="A3313" s="0" t="s">
        <v>727</v>
      </c>
      <c r="B3313" s="0" t="s">
        <v>131</v>
      </c>
      <c r="C3313" s="0" t="s">
        <v>132</v>
      </c>
      <c r="D3313" s="0" t="n">
        <v>8</v>
      </c>
      <c r="E3313" s="5" t="n">
        <v>45983.3791666667</v>
      </c>
      <c r="F3313" s="0" t="n">
        <v>3.39</v>
      </c>
      <c r="G3313" s="0" t="n">
        <v>17014</v>
      </c>
      <c r="H3313" s="6" t="s">
        <v>68</v>
      </c>
      <c r="I3313" s="6" t="n">
        <f aca="false">D3313*F3313</f>
        <v>27.12</v>
      </c>
      <c r="J3313" s="6" t="n">
        <f aca="false">HOUR(E3313)</f>
        <v>9</v>
      </c>
      <c r="K3313" s="6" t="n">
        <f aca="false">IF(COUNTIF($A$2:$A3313,A3313)=1,1,0)</f>
        <v>0</v>
      </c>
    </row>
    <row r="3314" customFormat="false" ht="15" hidden="false" customHeight="false" outlineLevel="0" collapsed="false">
      <c r="A3314" s="0" t="s">
        <v>727</v>
      </c>
      <c r="B3314" s="0" t="s">
        <v>69</v>
      </c>
      <c r="C3314" s="0" t="s">
        <v>70</v>
      </c>
      <c r="D3314" s="0" t="n">
        <v>18</v>
      </c>
      <c r="E3314" s="5" t="n">
        <v>45983.3791666667</v>
      </c>
      <c r="F3314" s="0" t="n">
        <v>2.08</v>
      </c>
      <c r="G3314" s="0" t="n">
        <v>17014</v>
      </c>
      <c r="H3314" s="6" t="s">
        <v>68</v>
      </c>
      <c r="I3314" s="6" t="n">
        <f aca="false">D3314*F3314</f>
        <v>37.44</v>
      </c>
      <c r="J3314" s="6" t="n">
        <f aca="false">HOUR(E3314)</f>
        <v>9</v>
      </c>
      <c r="K3314" s="6" t="n">
        <f aca="false">IF(COUNTIF($A$2:$A3314,A3314)=1,1,0)</f>
        <v>0</v>
      </c>
    </row>
    <row r="3315" customFormat="false" ht="15" hidden="false" customHeight="false" outlineLevel="0" collapsed="false">
      <c r="A3315" s="0" t="s">
        <v>728</v>
      </c>
      <c r="B3315" s="0" t="s">
        <v>50</v>
      </c>
      <c r="D3315" s="0" t="n">
        <v>8</v>
      </c>
      <c r="E3315" s="5" t="n">
        <v>45983.3826273148</v>
      </c>
      <c r="F3315" s="0" t="n">
        <v>5.95</v>
      </c>
      <c r="H3315" s="6" t="s">
        <v>74</v>
      </c>
      <c r="I3315" s="6" t="n">
        <f aca="false">D3315*F3315</f>
        <v>47.6</v>
      </c>
      <c r="J3315" s="6" t="n">
        <f aca="false">HOUR(E3315)</f>
        <v>9</v>
      </c>
      <c r="K3315" s="6" t="n">
        <f aca="false">IF(COUNTIF($A$2:$A3315,A3315)=1,1,0)</f>
        <v>1</v>
      </c>
    </row>
    <row r="3316" customFormat="false" ht="15" hidden="false" customHeight="false" outlineLevel="0" collapsed="false">
      <c r="A3316" s="0" t="s">
        <v>728</v>
      </c>
      <c r="B3316" s="0" t="s">
        <v>61</v>
      </c>
      <c r="C3316" s="0" t="s">
        <v>62</v>
      </c>
      <c r="D3316" s="0" t="n">
        <v>23</v>
      </c>
      <c r="E3316" s="5" t="n">
        <v>45983.3826273148</v>
      </c>
      <c r="F3316" s="0" t="n">
        <v>1.65</v>
      </c>
      <c r="H3316" s="6" t="s">
        <v>74</v>
      </c>
      <c r="I3316" s="6" t="n">
        <f aca="false">D3316*F3316</f>
        <v>37.95</v>
      </c>
      <c r="J3316" s="6" t="n">
        <f aca="false">HOUR(E3316)</f>
        <v>9</v>
      </c>
      <c r="K3316" s="6" t="n">
        <f aca="false">IF(COUNTIF($A$2:$A3316,A3316)=1,1,0)</f>
        <v>0</v>
      </c>
    </row>
    <row r="3317" customFormat="false" ht="15" hidden="false" customHeight="false" outlineLevel="0" collapsed="false">
      <c r="A3317" s="0" t="s">
        <v>728</v>
      </c>
      <c r="B3317" s="0" t="s">
        <v>57</v>
      </c>
      <c r="C3317" s="0" t="s">
        <v>58</v>
      </c>
      <c r="D3317" s="0" t="n">
        <v>4</v>
      </c>
      <c r="E3317" s="5" t="n">
        <v>45983.3826273148</v>
      </c>
      <c r="F3317" s="0" t="n">
        <v>2.08</v>
      </c>
      <c r="H3317" s="6" t="s">
        <v>74</v>
      </c>
      <c r="I3317" s="6" t="n">
        <f aca="false">D3317*F3317</f>
        <v>8.32</v>
      </c>
      <c r="J3317" s="6" t="n">
        <f aca="false">HOUR(E3317)</f>
        <v>9</v>
      </c>
      <c r="K3317" s="6" t="n">
        <f aca="false">IF(COUNTIF($A$2:$A3317,A3317)=1,1,0)</f>
        <v>0</v>
      </c>
    </row>
    <row r="3318" customFormat="false" ht="15" hidden="false" customHeight="false" outlineLevel="0" collapsed="false">
      <c r="A3318" s="0" t="s">
        <v>728</v>
      </c>
      <c r="B3318" s="0" t="s">
        <v>107</v>
      </c>
      <c r="C3318" s="0" t="s">
        <v>108</v>
      </c>
      <c r="D3318" s="0" t="n">
        <v>14</v>
      </c>
      <c r="E3318" s="5" t="n">
        <v>45983.3826273148</v>
      </c>
      <c r="F3318" s="0" t="n">
        <v>3.75</v>
      </c>
      <c r="H3318" s="6" t="s">
        <v>74</v>
      </c>
      <c r="I3318" s="6" t="n">
        <f aca="false">D3318*F3318</f>
        <v>52.5</v>
      </c>
      <c r="J3318" s="6" t="n">
        <f aca="false">HOUR(E3318)</f>
        <v>9</v>
      </c>
      <c r="K3318" s="6" t="n">
        <f aca="false">IF(COUNTIF($A$2:$A3318,A3318)=1,1,0)</f>
        <v>0</v>
      </c>
    </row>
    <row r="3319" customFormat="false" ht="15" hidden="false" customHeight="false" outlineLevel="0" collapsed="false">
      <c r="A3319" s="0" t="s">
        <v>729</v>
      </c>
      <c r="B3319" s="0" t="s">
        <v>134</v>
      </c>
      <c r="C3319" s="0" t="s">
        <v>135</v>
      </c>
      <c r="D3319" s="0" t="n">
        <v>3</v>
      </c>
      <c r="E3319" s="5" t="n">
        <v>45983.4176851852</v>
      </c>
      <c r="F3319" s="0" t="n">
        <v>5.95</v>
      </c>
      <c r="G3319" s="0" t="n">
        <v>17128</v>
      </c>
      <c r="H3319" s="6" t="s">
        <v>68</v>
      </c>
      <c r="I3319" s="6" t="n">
        <f aca="false">D3319*F3319</f>
        <v>17.85</v>
      </c>
      <c r="J3319" s="6" t="n">
        <f aca="false">HOUR(E3319)</f>
        <v>10</v>
      </c>
      <c r="K3319" s="6" t="n">
        <f aca="false">IF(COUNTIF($A$2:$A3319,A3319)=1,1,0)</f>
        <v>1</v>
      </c>
    </row>
    <row r="3320" customFormat="false" ht="15" hidden="false" customHeight="false" outlineLevel="0" collapsed="false">
      <c r="A3320" s="0" t="s">
        <v>729</v>
      </c>
      <c r="B3320" s="0" t="s">
        <v>127</v>
      </c>
      <c r="C3320" s="0" t="s">
        <v>128</v>
      </c>
      <c r="D3320" s="0" t="n">
        <v>23</v>
      </c>
      <c r="E3320" s="5" t="n">
        <v>45983.4176851852</v>
      </c>
      <c r="F3320" s="0" t="n">
        <v>1.45</v>
      </c>
      <c r="G3320" s="0" t="n">
        <v>17128</v>
      </c>
      <c r="H3320" s="6" t="s">
        <v>68</v>
      </c>
      <c r="I3320" s="6" t="n">
        <f aca="false">D3320*F3320</f>
        <v>33.35</v>
      </c>
      <c r="J3320" s="6" t="n">
        <f aca="false">HOUR(E3320)</f>
        <v>10</v>
      </c>
      <c r="K3320" s="6" t="n">
        <f aca="false">IF(COUNTIF($A$2:$A3320,A3320)=1,1,0)</f>
        <v>0</v>
      </c>
    </row>
    <row r="3321" customFormat="false" ht="15" hidden="false" customHeight="false" outlineLevel="0" collapsed="false">
      <c r="A3321" s="0" t="s">
        <v>729</v>
      </c>
      <c r="B3321" s="0" t="s">
        <v>118</v>
      </c>
      <c r="C3321" s="0" t="s">
        <v>119</v>
      </c>
      <c r="D3321" s="0" t="n">
        <v>7</v>
      </c>
      <c r="E3321" s="5" t="n">
        <v>45983.4176851852</v>
      </c>
      <c r="F3321" s="0" t="n">
        <v>4.95</v>
      </c>
      <c r="G3321" s="0" t="n">
        <v>17128</v>
      </c>
      <c r="H3321" s="6" t="s">
        <v>68</v>
      </c>
      <c r="I3321" s="6" t="n">
        <f aca="false">D3321*F3321</f>
        <v>34.65</v>
      </c>
      <c r="J3321" s="6" t="n">
        <f aca="false">HOUR(E3321)</f>
        <v>10</v>
      </c>
      <c r="K3321" s="6" t="n">
        <f aca="false">IF(COUNTIF($A$2:$A3321,A3321)=1,1,0)</f>
        <v>0</v>
      </c>
    </row>
    <row r="3322" customFormat="false" ht="15" hidden="false" customHeight="false" outlineLevel="0" collapsed="false">
      <c r="A3322" s="0" t="s">
        <v>729</v>
      </c>
      <c r="B3322" s="0" t="s">
        <v>102</v>
      </c>
      <c r="C3322" s="0" t="s">
        <v>103</v>
      </c>
      <c r="D3322" s="0" t="n">
        <v>12</v>
      </c>
      <c r="E3322" s="5" t="n">
        <v>45983.4176851852</v>
      </c>
      <c r="F3322" s="0" t="n">
        <v>8.5</v>
      </c>
      <c r="G3322" s="0" t="n">
        <v>17128</v>
      </c>
      <c r="H3322" s="6" t="s">
        <v>68</v>
      </c>
      <c r="I3322" s="6" t="n">
        <f aca="false">D3322*F3322</f>
        <v>102</v>
      </c>
      <c r="J3322" s="6" t="n">
        <f aca="false">HOUR(E3322)</f>
        <v>10</v>
      </c>
      <c r="K3322" s="6" t="n">
        <f aca="false">IF(COUNTIF($A$2:$A3322,A3322)=1,1,0)</f>
        <v>0</v>
      </c>
    </row>
    <row r="3323" customFormat="false" ht="15" hidden="false" customHeight="false" outlineLevel="0" collapsed="false">
      <c r="A3323" s="0" t="s">
        <v>729</v>
      </c>
      <c r="B3323" s="0" t="s">
        <v>65</v>
      </c>
      <c r="C3323" s="0" t="s">
        <v>66</v>
      </c>
      <c r="D3323" s="0" t="n">
        <v>5</v>
      </c>
      <c r="E3323" s="5" t="n">
        <v>45983.4176851852</v>
      </c>
      <c r="F3323" s="0" t="n">
        <v>1.65</v>
      </c>
      <c r="G3323" s="0" t="n">
        <v>17128</v>
      </c>
      <c r="H3323" s="6" t="s">
        <v>68</v>
      </c>
      <c r="I3323" s="6" t="n">
        <f aca="false">D3323*F3323</f>
        <v>8.25</v>
      </c>
      <c r="J3323" s="6" t="n">
        <f aca="false">HOUR(E3323)</f>
        <v>10</v>
      </c>
      <c r="K3323" s="6" t="n">
        <f aca="false">IF(COUNTIF($A$2:$A3323,A3323)=1,1,0)</f>
        <v>0</v>
      </c>
    </row>
    <row r="3324" customFormat="false" ht="15" hidden="false" customHeight="false" outlineLevel="0" collapsed="false">
      <c r="A3324" s="0" t="s">
        <v>730</v>
      </c>
      <c r="B3324" s="0" t="s">
        <v>72</v>
      </c>
      <c r="C3324" s="0" t="s">
        <v>73</v>
      </c>
      <c r="D3324" s="0" t="n">
        <v>26</v>
      </c>
      <c r="E3324" s="5" t="n">
        <v>45983.5023148148</v>
      </c>
      <c r="F3324" s="0" t="n">
        <v>4.95</v>
      </c>
      <c r="G3324" s="0" t="n">
        <v>17159</v>
      </c>
      <c r="H3324" s="6" t="s">
        <v>74</v>
      </c>
      <c r="I3324" s="6" t="n">
        <f aca="false">D3324*F3324</f>
        <v>128.7</v>
      </c>
      <c r="J3324" s="6" t="n">
        <f aca="false">HOUR(E3324)</f>
        <v>12</v>
      </c>
      <c r="K3324" s="6" t="n">
        <f aca="false">IF(COUNTIF($A$2:$A3324,A3324)=1,1,0)</f>
        <v>1</v>
      </c>
    </row>
    <row r="3325" customFormat="false" ht="15" hidden="false" customHeight="false" outlineLevel="0" collapsed="false">
      <c r="A3325" s="0" t="s">
        <v>730</v>
      </c>
      <c r="B3325" s="0" t="s">
        <v>109</v>
      </c>
      <c r="C3325" s="0" t="s">
        <v>110</v>
      </c>
      <c r="D3325" s="0" t="n">
        <v>7</v>
      </c>
      <c r="E3325" s="5" t="n">
        <v>45983.5023148148</v>
      </c>
      <c r="F3325" s="0" t="n">
        <v>0.85</v>
      </c>
      <c r="G3325" s="0" t="n">
        <v>17159</v>
      </c>
      <c r="H3325" s="6" t="s">
        <v>74</v>
      </c>
      <c r="I3325" s="6" t="n">
        <f aca="false">D3325*F3325</f>
        <v>5.95</v>
      </c>
      <c r="J3325" s="6" t="n">
        <f aca="false">HOUR(E3325)</f>
        <v>12</v>
      </c>
      <c r="K3325" s="6" t="n">
        <f aca="false">IF(COUNTIF($A$2:$A3325,A3325)=1,1,0)</f>
        <v>0</v>
      </c>
    </row>
    <row r="3326" customFormat="false" ht="15" hidden="false" customHeight="false" outlineLevel="0" collapsed="false">
      <c r="A3326" s="0" t="s">
        <v>730</v>
      </c>
      <c r="B3326" s="0" t="s">
        <v>77</v>
      </c>
      <c r="C3326" s="0" t="s">
        <v>78</v>
      </c>
      <c r="D3326" s="0" t="n">
        <v>12</v>
      </c>
      <c r="E3326" s="5" t="n">
        <v>45983.5023148148</v>
      </c>
      <c r="F3326" s="0" t="n">
        <v>1.65</v>
      </c>
      <c r="G3326" s="0" t="n">
        <v>17159</v>
      </c>
      <c r="H3326" s="6" t="s">
        <v>74</v>
      </c>
      <c r="I3326" s="6" t="n">
        <f aca="false">D3326*F3326</f>
        <v>19.8</v>
      </c>
      <c r="J3326" s="6" t="n">
        <f aca="false">HOUR(E3326)</f>
        <v>12</v>
      </c>
      <c r="K3326" s="6" t="n">
        <f aca="false">IF(COUNTIF($A$2:$A3326,A3326)=1,1,0)</f>
        <v>0</v>
      </c>
    </row>
    <row r="3327" customFormat="false" ht="15" hidden="false" customHeight="false" outlineLevel="0" collapsed="false">
      <c r="A3327" s="0" t="s">
        <v>730</v>
      </c>
      <c r="B3327" s="0" t="s">
        <v>99</v>
      </c>
      <c r="C3327" s="0" t="s">
        <v>100</v>
      </c>
      <c r="D3327" s="0" t="n">
        <v>5</v>
      </c>
      <c r="E3327" s="5" t="n">
        <v>45983.5023148148</v>
      </c>
      <c r="F3327" s="0" t="n">
        <v>2.08</v>
      </c>
      <c r="G3327" s="0" t="n">
        <v>17159</v>
      </c>
      <c r="H3327" s="6" t="s">
        <v>74</v>
      </c>
      <c r="I3327" s="6" t="n">
        <f aca="false">D3327*F3327</f>
        <v>10.4</v>
      </c>
      <c r="J3327" s="6" t="n">
        <f aca="false">HOUR(E3327)</f>
        <v>12</v>
      </c>
      <c r="K3327" s="6" t="n">
        <f aca="false">IF(COUNTIF($A$2:$A3327,A3327)=1,1,0)</f>
        <v>0</v>
      </c>
    </row>
    <row r="3328" customFormat="false" ht="15" hidden="false" customHeight="false" outlineLevel="0" collapsed="false">
      <c r="A3328" s="0" t="s">
        <v>730</v>
      </c>
      <c r="B3328" s="0" t="s">
        <v>134</v>
      </c>
      <c r="C3328" s="0" t="s">
        <v>135</v>
      </c>
      <c r="D3328" s="0" t="n">
        <v>20</v>
      </c>
      <c r="E3328" s="5" t="n">
        <v>45983.5023148148</v>
      </c>
      <c r="F3328" s="0" t="n">
        <v>5.95</v>
      </c>
      <c r="G3328" s="0" t="n">
        <v>17159</v>
      </c>
      <c r="H3328" s="6" t="s">
        <v>74</v>
      </c>
      <c r="I3328" s="6" t="n">
        <f aca="false">D3328*F3328</f>
        <v>119</v>
      </c>
      <c r="J3328" s="6" t="n">
        <f aca="false">HOUR(E3328)</f>
        <v>12</v>
      </c>
      <c r="K3328" s="6" t="n">
        <f aca="false">IF(COUNTIF($A$2:$A3328,A3328)=1,1,0)</f>
        <v>0</v>
      </c>
    </row>
    <row r="3329" customFormat="false" ht="15" hidden="false" customHeight="false" outlineLevel="0" collapsed="false">
      <c r="A3329" s="0" t="s">
        <v>730</v>
      </c>
      <c r="B3329" s="0" t="s">
        <v>127</v>
      </c>
      <c r="C3329" s="0" t="s">
        <v>128</v>
      </c>
      <c r="D3329" s="0" t="n">
        <v>19</v>
      </c>
      <c r="E3329" s="5" t="n">
        <v>45983.5023148148</v>
      </c>
      <c r="F3329" s="0" t="n">
        <v>1.45</v>
      </c>
      <c r="G3329" s="0" t="n">
        <v>17159</v>
      </c>
      <c r="H3329" s="6" t="s">
        <v>74</v>
      </c>
      <c r="I3329" s="6" t="n">
        <f aca="false">D3329*F3329</f>
        <v>27.55</v>
      </c>
      <c r="J3329" s="6" t="n">
        <f aca="false">HOUR(E3329)</f>
        <v>12</v>
      </c>
      <c r="K3329" s="6" t="n">
        <f aca="false">IF(COUNTIF($A$2:$A3329,A3329)=1,1,0)</f>
        <v>0</v>
      </c>
    </row>
    <row r="3330" customFormat="false" ht="15" hidden="false" customHeight="false" outlineLevel="0" collapsed="false">
      <c r="A3330" s="0" t="s">
        <v>731</v>
      </c>
      <c r="B3330" s="0" t="s">
        <v>95</v>
      </c>
      <c r="C3330" s="0" t="s">
        <v>96</v>
      </c>
      <c r="D3330" s="0" t="n">
        <v>17</v>
      </c>
      <c r="E3330" s="5" t="n">
        <v>45983.6280208333</v>
      </c>
      <c r="F3330" s="0" t="n">
        <v>2.55</v>
      </c>
      <c r="G3330" s="0" t="n">
        <v>17139</v>
      </c>
      <c r="H3330" s="6" t="s">
        <v>74</v>
      </c>
      <c r="I3330" s="6" t="n">
        <f aca="false">D3330*F3330</f>
        <v>43.35</v>
      </c>
      <c r="J3330" s="6" t="n">
        <f aca="false">HOUR(E3330)</f>
        <v>15</v>
      </c>
      <c r="K3330" s="6" t="n">
        <f aca="false">IF(COUNTIF($A$2:$A3330,A3330)=1,1,0)</f>
        <v>1</v>
      </c>
    </row>
    <row r="3331" customFormat="false" ht="15" hidden="false" customHeight="false" outlineLevel="0" collapsed="false">
      <c r="A3331" s="0" t="s">
        <v>731</v>
      </c>
      <c r="B3331" s="0" t="s">
        <v>65</v>
      </c>
      <c r="C3331" s="0" t="s">
        <v>66</v>
      </c>
      <c r="D3331" s="0" t="n">
        <v>4</v>
      </c>
      <c r="E3331" s="5" t="n">
        <v>45983.6280208333</v>
      </c>
      <c r="F3331" s="0" t="n">
        <v>1.65</v>
      </c>
      <c r="G3331" s="0" t="n">
        <v>17139</v>
      </c>
      <c r="H3331" s="6" t="s">
        <v>74</v>
      </c>
      <c r="I3331" s="6" t="n">
        <f aca="false">D3331*F3331</f>
        <v>6.6</v>
      </c>
      <c r="J3331" s="6" t="n">
        <f aca="false">HOUR(E3331)</f>
        <v>15</v>
      </c>
      <c r="K3331" s="6" t="n">
        <f aca="false">IF(COUNTIF($A$2:$A3331,A3331)=1,1,0)</f>
        <v>0</v>
      </c>
    </row>
    <row r="3332" customFormat="false" ht="15" hidden="false" customHeight="false" outlineLevel="0" collapsed="false">
      <c r="A3332" s="0" t="s">
        <v>731</v>
      </c>
      <c r="B3332" s="0" t="s">
        <v>59</v>
      </c>
      <c r="C3332" s="0" t="s">
        <v>60</v>
      </c>
      <c r="D3332" s="0" t="n">
        <v>8</v>
      </c>
      <c r="E3332" s="5" t="n">
        <v>45983.6280208333</v>
      </c>
      <c r="F3332" s="0" t="n">
        <v>0.42</v>
      </c>
      <c r="G3332" s="0" t="n">
        <v>17139</v>
      </c>
      <c r="H3332" s="6" t="s">
        <v>74</v>
      </c>
      <c r="I3332" s="6" t="n">
        <f aca="false">D3332*F3332</f>
        <v>3.36</v>
      </c>
      <c r="J3332" s="6" t="n">
        <f aca="false">HOUR(E3332)</f>
        <v>15</v>
      </c>
      <c r="K3332" s="6" t="n">
        <f aca="false">IF(COUNTIF($A$2:$A3332,A3332)=1,1,0)</f>
        <v>0</v>
      </c>
    </row>
    <row r="3333" customFormat="false" ht="15" hidden="false" customHeight="false" outlineLevel="0" collapsed="false">
      <c r="A3333" s="0" t="s">
        <v>732</v>
      </c>
      <c r="B3333" s="0" t="s">
        <v>99</v>
      </c>
      <c r="C3333" s="0" t="s">
        <v>100</v>
      </c>
      <c r="D3333" s="0" t="n">
        <v>13</v>
      </c>
      <c r="E3333" s="5" t="n">
        <v>45983.6412847222</v>
      </c>
      <c r="F3333" s="0" t="n">
        <v>2.08</v>
      </c>
      <c r="G3333" s="0" t="n">
        <v>17170</v>
      </c>
      <c r="H3333" s="6" t="s">
        <v>74</v>
      </c>
      <c r="I3333" s="6" t="n">
        <f aca="false">D3333*F3333</f>
        <v>27.04</v>
      </c>
      <c r="J3333" s="6" t="n">
        <f aca="false">HOUR(E3333)</f>
        <v>15</v>
      </c>
      <c r="K3333" s="6" t="n">
        <f aca="false">IF(COUNTIF($A$2:$A3333,A3333)=1,1,0)</f>
        <v>1</v>
      </c>
    </row>
    <row r="3334" customFormat="false" ht="15" hidden="false" customHeight="false" outlineLevel="0" collapsed="false">
      <c r="A3334" s="0" t="s">
        <v>732</v>
      </c>
      <c r="B3334" s="0" t="s">
        <v>88</v>
      </c>
      <c r="C3334" s="0" t="s">
        <v>89</v>
      </c>
      <c r="D3334" s="0" t="n">
        <v>7</v>
      </c>
      <c r="E3334" s="5" t="n">
        <v>45983.6412847222</v>
      </c>
      <c r="F3334" s="0" t="n">
        <v>2.75</v>
      </c>
      <c r="G3334" s="0" t="n">
        <v>17170</v>
      </c>
      <c r="H3334" s="6" t="s">
        <v>74</v>
      </c>
      <c r="I3334" s="6" t="n">
        <f aca="false">D3334*F3334</f>
        <v>19.25</v>
      </c>
      <c r="J3334" s="6" t="n">
        <f aca="false">HOUR(E3334)</f>
        <v>15</v>
      </c>
      <c r="K3334" s="6" t="n">
        <f aca="false">IF(COUNTIF($A$2:$A3334,A3334)=1,1,0)</f>
        <v>0</v>
      </c>
    </row>
    <row r="3335" customFormat="false" ht="15" hidden="false" customHeight="false" outlineLevel="0" collapsed="false">
      <c r="A3335" s="0" t="s">
        <v>732</v>
      </c>
      <c r="B3335" s="0" t="s">
        <v>121</v>
      </c>
      <c r="C3335" s="0" t="s">
        <v>122</v>
      </c>
      <c r="D3335" s="0" t="n">
        <v>19</v>
      </c>
      <c r="E3335" s="5" t="n">
        <v>45983.6412847222</v>
      </c>
      <c r="F3335" s="0" t="n">
        <v>2.1</v>
      </c>
      <c r="G3335" s="0" t="n">
        <v>17170</v>
      </c>
      <c r="H3335" s="6" t="s">
        <v>74</v>
      </c>
      <c r="I3335" s="6" t="n">
        <f aca="false">D3335*F3335</f>
        <v>39.9</v>
      </c>
      <c r="J3335" s="6" t="n">
        <f aca="false">HOUR(E3335)</f>
        <v>15</v>
      </c>
      <c r="K3335" s="6" t="n">
        <f aca="false">IF(COUNTIF($A$2:$A3335,A3335)=1,1,0)</f>
        <v>0</v>
      </c>
    </row>
    <row r="3336" customFormat="false" ht="15" hidden="false" customHeight="false" outlineLevel="0" collapsed="false">
      <c r="A3336" s="0" t="s">
        <v>732</v>
      </c>
      <c r="B3336" s="0" t="s">
        <v>77</v>
      </c>
      <c r="C3336" s="0" t="s">
        <v>78</v>
      </c>
      <c r="D3336" s="0" t="n">
        <v>24</v>
      </c>
      <c r="E3336" s="5" t="n">
        <v>45983.6412847222</v>
      </c>
      <c r="F3336" s="0" t="n">
        <v>1.65</v>
      </c>
      <c r="G3336" s="0" t="n">
        <v>17170</v>
      </c>
      <c r="H3336" s="6" t="s">
        <v>74</v>
      </c>
      <c r="I3336" s="6" t="n">
        <f aca="false">D3336*F3336</f>
        <v>39.6</v>
      </c>
      <c r="J3336" s="6" t="n">
        <f aca="false">HOUR(E3336)</f>
        <v>15</v>
      </c>
      <c r="K3336" s="6" t="n">
        <f aca="false">IF(COUNTIF($A$2:$A3336,A3336)=1,1,0)</f>
        <v>0</v>
      </c>
    </row>
    <row r="3337" customFormat="false" ht="15" hidden="false" customHeight="false" outlineLevel="0" collapsed="false">
      <c r="A3337" s="0" t="s">
        <v>732</v>
      </c>
      <c r="B3337" s="0" t="s">
        <v>134</v>
      </c>
      <c r="C3337" s="0" t="s">
        <v>135</v>
      </c>
      <c r="D3337" s="0" t="n">
        <v>11</v>
      </c>
      <c r="E3337" s="5" t="n">
        <v>45983.6412847222</v>
      </c>
      <c r="F3337" s="0" t="n">
        <v>5.95</v>
      </c>
      <c r="G3337" s="0" t="n">
        <v>17170</v>
      </c>
      <c r="H3337" s="6" t="s">
        <v>74</v>
      </c>
      <c r="I3337" s="6" t="n">
        <f aca="false">D3337*F3337</f>
        <v>65.45</v>
      </c>
      <c r="J3337" s="6" t="n">
        <f aca="false">HOUR(E3337)</f>
        <v>15</v>
      </c>
      <c r="K3337" s="6" t="n">
        <f aca="false">IF(COUNTIF($A$2:$A3337,A3337)=1,1,0)</f>
        <v>0</v>
      </c>
    </row>
    <row r="3338" customFormat="false" ht="15" hidden="false" customHeight="false" outlineLevel="0" collapsed="false">
      <c r="A3338" s="0" t="s">
        <v>732</v>
      </c>
      <c r="B3338" s="0" t="s">
        <v>50</v>
      </c>
      <c r="C3338" s="0" t="s">
        <v>51</v>
      </c>
      <c r="D3338" s="0" t="n">
        <v>21</v>
      </c>
      <c r="E3338" s="5" t="n">
        <v>45983.6412847222</v>
      </c>
      <c r="F3338" s="0" t="n">
        <v>5.95</v>
      </c>
      <c r="G3338" s="0" t="n">
        <v>17170</v>
      </c>
      <c r="H3338" s="6" t="s">
        <v>74</v>
      </c>
      <c r="I3338" s="6" t="n">
        <f aca="false">D3338*F3338</f>
        <v>124.95</v>
      </c>
      <c r="J3338" s="6" t="n">
        <f aca="false">HOUR(E3338)</f>
        <v>15</v>
      </c>
      <c r="K3338" s="6" t="n">
        <f aca="false">IF(COUNTIF($A$2:$A3338,A3338)=1,1,0)</f>
        <v>0</v>
      </c>
    </row>
    <row r="3339" customFormat="false" ht="15" hidden="false" customHeight="false" outlineLevel="0" collapsed="false">
      <c r="A3339" s="0" t="s">
        <v>733</v>
      </c>
      <c r="B3339" s="0" t="s">
        <v>57</v>
      </c>
      <c r="C3339" s="0" t="s">
        <v>58</v>
      </c>
      <c r="D3339" s="0" t="n">
        <v>17</v>
      </c>
      <c r="E3339" s="5" t="n">
        <v>45983.6418287037</v>
      </c>
      <c r="F3339" s="0" t="n">
        <v>2.08</v>
      </c>
      <c r="G3339" s="0" t="n">
        <v>17226</v>
      </c>
      <c r="H3339" s="6" t="s">
        <v>74</v>
      </c>
      <c r="I3339" s="6" t="n">
        <f aca="false">D3339*F3339</f>
        <v>35.36</v>
      </c>
      <c r="J3339" s="6" t="n">
        <f aca="false">HOUR(E3339)</f>
        <v>15</v>
      </c>
      <c r="K3339" s="6" t="n">
        <f aca="false">IF(COUNTIF($A$2:$A3339,A3339)=1,1,0)</f>
        <v>1</v>
      </c>
    </row>
    <row r="3340" customFormat="false" ht="15" hidden="false" customHeight="false" outlineLevel="0" collapsed="false">
      <c r="A3340" s="0" t="s">
        <v>733</v>
      </c>
      <c r="B3340" s="0" t="s">
        <v>79</v>
      </c>
      <c r="C3340" s="0" t="s">
        <v>80</v>
      </c>
      <c r="D3340" s="0" t="n">
        <v>20</v>
      </c>
      <c r="E3340" s="5" t="n">
        <v>45983.6418287037</v>
      </c>
      <c r="F3340" s="0" t="n">
        <v>3.39</v>
      </c>
      <c r="G3340" s="0" t="n">
        <v>17226</v>
      </c>
      <c r="H3340" s="6" t="s">
        <v>74</v>
      </c>
      <c r="I3340" s="6" t="n">
        <f aca="false">D3340*F3340</f>
        <v>67.8</v>
      </c>
      <c r="J3340" s="6" t="n">
        <f aca="false">HOUR(E3340)</f>
        <v>15</v>
      </c>
      <c r="K3340" s="6" t="n">
        <f aca="false">IF(COUNTIF($A$2:$A3340,A3340)=1,1,0)</f>
        <v>0</v>
      </c>
    </row>
    <row r="3341" customFormat="false" ht="15" hidden="false" customHeight="false" outlineLevel="0" collapsed="false">
      <c r="A3341" s="0" t="s">
        <v>733</v>
      </c>
      <c r="B3341" s="0" t="s">
        <v>121</v>
      </c>
      <c r="C3341" s="0" t="s">
        <v>122</v>
      </c>
      <c r="D3341" s="0" t="n">
        <v>3</v>
      </c>
      <c r="E3341" s="5" t="n">
        <v>45983.6418287037</v>
      </c>
      <c r="F3341" s="0" t="n">
        <v>2.1</v>
      </c>
      <c r="G3341" s="0" t="n">
        <v>17226</v>
      </c>
      <c r="H3341" s="6" t="s">
        <v>74</v>
      </c>
      <c r="I3341" s="6" t="n">
        <f aca="false">D3341*F3341</f>
        <v>6.3</v>
      </c>
      <c r="J3341" s="6" t="n">
        <f aca="false">HOUR(E3341)</f>
        <v>15</v>
      </c>
      <c r="K3341" s="6" t="n">
        <f aca="false">IF(COUNTIF($A$2:$A3341,A3341)=1,1,0)</f>
        <v>0</v>
      </c>
    </row>
    <row r="3342" customFormat="false" ht="15" hidden="false" customHeight="false" outlineLevel="0" collapsed="false">
      <c r="A3342" s="0" t="s">
        <v>733</v>
      </c>
      <c r="B3342" s="0" t="s">
        <v>91</v>
      </c>
      <c r="C3342" s="0" t="s">
        <v>92</v>
      </c>
      <c r="D3342" s="0" t="n">
        <v>4</v>
      </c>
      <c r="E3342" s="5" t="n">
        <v>45983.6418287037</v>
      </c>
      <c r="F3342" s="0" t="n">
        <v>7.65</v>
      </c>
      <c r="G3342" s="0" t="n">
        <v>17226</v>
      </c>
      <c r="H3342" s="6" t="s">
        <v>74</v>
      </c>
      <c r="I3342" s="6" t="n">
        <f aca="false">D3342*F3342</f>
        <v>30.6</v>
      </c>
      <c r="J3342" s="6" t="n">
        <f aca="false">HOUR(E3342)</f>
        <v>15</v>
      </c>
      <c r="K3342" s="6" t="n">
        <f aca="false">IF(COUNTIF($A$2:$A3342,A3342)=1,1,0)</f>
        <v>0</v>
      </c>
    </row>
    <row r="3343" customFormat="false" ht="15" hidden="false" customHeight="false" outlineLevel="0" collapsed="false">
      <c r="A3343" s="0" t="s">
        <v>733</v>
      </c>
      <c r="B3343" s="0" t="s">
        <v>125</v>
      </c>
      <c r="C3343" s="0" t="s">
        <v>126</v>
      </c>
      <c r="D3343" s="0" t="n">
        <v>2</v>
      </c>
      <c r="E3343" s="5" t="n">
        <v>45983.6418287037</v>
      </c>
      <c r="F3343" s="0" t="n">
        <v>1.25</v>
      </c>
      <c r="G3343" s="0" t="n">
        <v>17226</v>
      </c>
      <c r="H3343" s="6" t="s">
        <v>74</v>
      </c>
      <c r="I3343" s="6" t="n">
        <f aca="false">D3343*F3343</f>
        <v>2.5</v>
      </c>
      <c r="J3343" s="6" t="n">
        <f aca="false">HOUR(E3343)</f>
        <v>15</v>
      </c>
      <c r="K3343" s="6" t="n">
        <f aca="false">IF(COUNTIF($A$2:$A3343,A3343)=1,1,0)</f>
        <v>0</v>
      </c>
    </row>
    <row r="3344" customFormat="false" ht="15" hidden="false" customHeight="false" outlineLevel="0" collapsed="false">
      <c r="A3344" s="0" t="s">
        <v>734</v>
      </c>
      <c r="B3344" s="0" t="s">
        <v>50</v>
      </c>
      <c r="C3344" s="0" t="s">
        <v>51</v>
      </c>
      <c r="D3344" s="0" t="n">
        <v>4</v>
      </c>
      <c r="E3344" s="5" t="n">
        <v>45983.7484606481</v>
      </c>
      <c r="F3344" s="0" t="n">
        <v>5.95</v>
      </c>
      <c r="G3344" s="0" t="n">
        <v>17206</v>
      </c>
      <c r="H3344" s="6" t="s">
        <v>74</v>
      </c>
      <c r="I3344" s="6" t="n">
        <f aca="false">D3344*F3344</f>
        <v>23.8</v>
      </c>
      <c r="J3344" s="6" t="n">
        <f aca="false">HOUR(E3344)</f>
        <v>17</v>
      </c>
      <c r="K3344" s="6" t="n">
        <f aca="false">IF(COUNTIF($A$2:$A3344,A3344)=1,1,0)</f>
        <v>1</v>
      </c>
    </row>
    <row r="3345" customFormat="false" ht="15" hidden="false" customHeight="false" outlineLevel="0" collapsed="false">
      <c r="A3345" s="0" t="s">
        <v>734</v>
      </c>
      <c r="B3345" s="0" t="s">
        <v>86</v>
      </c>
      <c r="D3345" s="0" t="n">
        <v>3</v>
      </c>
      <c r="E3345" s="5" t="n">
        <v>45983.7484606481</v>
      </c>
      <c r="F3345" s="0" t="n">
        <v>4.25</v>
      </c>
      <c r="G3345" s="0" t="n">
        <v>17206</v>
      </c>
      <c r="H3345" s="6" t="s">
        <v>74</v>
      </c>
      <c r="I3345" s="6" t="n">
        <f aca="false">D3345*F3345</f>
        <v>12.75</v>
      </c>
      <c r="J3345" s="6" t="n">
        <f aca="false">HOUR(E3345)</f>
        <v>17</v>
      </c>
      <c r="K3345" s="6" t="n">
        <f aca="false">IF(COUNTIF($A$2:$A3345,A3345)=1,1,0)</f>
        <v>0</v>
      </c>
    </row>
    <row r="3346" customFormat="false" ht="15" hidden="false" customHeight="false" outlineLevel="0" collapsed="false">
      <c r="A3346" s="0" t="s">
        <v>734</v>
      </c>
      <c r="B3346" s="0" t="s">
        <v>118</v>
      </c>
      <c r="C3346" s="0" t="s">
        <v>119</v>
      </c>
      <c r="D3346" s="0" t="n">
        <v>25</v>
      </c>
      <c r="E3346" s="5" t="n">
        <v>45983.7484606481</v>
      </c>
      <c r="F3346" s="0" t="n">
        <v>4.95</v>
      </c>
      <c r="G3346" s="0" t="n">
        <v>17206</v>
      </c>
      <c r="H3346" s="6" t="s">
        <v>74</v>
      </c>
      <c r="I3346" s="6" t="n">
        <f aca="false">D3346*F3346</f>
        <v>123.75</v>
      </c>
      <c r="J3346" s="6" t="n">
        <f aca="false">HOUR(E3346)</f>
        <v>17</v>
      </c>
      <c r="K3346" s="6" t="n">
        <f aca="false">IF(COUNTIF($A$2:$A3346,A3346)=1,1,0)</f>
        <v>0</v>
      </c>
    </row>
    <row r="3347" customFormat="false" ht="15" hidden="false" customHeight="false" outlineLevel="0" collapsed="false">
      <c r="A3347" s="0" t="s">
        <v>735</v>
      </c>
      <c r="B3347" s="0" t="s">
        <v>145</v>
      </c>
      <c r="C3347" s="0" t="s">
        <v>146</v>
      </c>
      <c r="D3347" s="0" t="n">
        <v>17</v>
      </c>
      <c r="E3347" s="5" t="n">
        <v>45983.8879282407</v>
      </c>
      <c r="F3347" s="0" t="n">
        <v>1.85</v>
      </c>
      <c r="G3347" s="0" t="n">
        <v>17248</v>
      </c>
      <c r="H3347" s="6" t="s">
        <v>74</v>
      </c>
      <c r="I3347" s="6" t="n">
        <f aca="false">D3347*F3347</f>
        <v>31.45</v>
      </c>
      <c r="J3347" s="6" t="n">
        <f aca="false">HOUR(E3347)</f>
        <v>21</v>
      </c>
      <c r="K3347" s="6" t="n">
        <f aca="false">IF(COUNTIF($A$2:$A3347,A3347)=1,1,0)</f>
        <v>1</v>
      </c>
    </row>
    <row r="3348" customFormat="false" ht="15" hidden="false" customHeight="false" outlineLevel="0" collapsed="false">
      <c r="A3348" s="0" t="s">
        <v>735</v>
      </c>
      <c r="B3348" s="0" t="s">
        <v>55</v>
      </c>
      <c r="C3348" s="0" t="s">
        <v>56</v>
      </c>
      <c r="D3348" s="0" t="n">
        <v>19</v>
      </c>
      <c r="E3348" s="5" t="n">
        <v>45983.8879282407</v>
      </c>
      <c r="F3348" s="0" t="n">
        <v>1.65</v>
      </c>
      <c r="G3348" s="0" t="n">
        <v>17248</v>
      </c>
      <c r="H3348" s="6" t="s">
        <v>74</v>
      </c>
      <c r="I3348" s="6" t="n">
        <f aca="false">D3348*F3348</f>
        <v>31.35</v>
      </c>
      <c r="J3348" s="6" t="n">
        <f aca="false">HOUR(E3348)</f>
        <v>21</v>
      </c>
      <c r="K3348" s="6" t="n">
        <f aca="false">IF(COUNTIF($A$2:$A3348,A3348)=1,1,0)</f>
        <v>0</v>
      </c>
    </row>
    <row r="3349" customFormat="false" ht="15" hidden="false" customHeight="false" outlineLevel="0" collapsed="false">
      <c r="A3349" s="0" t="s">
        <v>735</v>
      </c>
      <c r="B3349" s="0" t="s">
        <v>131</v>
      </c>
      <c r="C3349" s="0" t="s">
        <v>132</v>
      </c>
      <c r="D3349" s="0" t="n">
        <v>6</v>
      </c>
      <c r="E3349" s="5" t="n">
        <v>45983.8879282407</v>
      </c>
      <c r="F3349" s="0" t="n">
        <v>3.39</v>
      </c>
      <c r="G3349" s="0" t="n">
        <v>17248</v>
      </c>
      <c r="H3349" s="6" t="s">
        <v>74</v>
      </c>
      <c r="I3349" s="6" t="n">
        <f aca="false">D3349*F3349</f>
        <v>20.34</v>
      </c>
      <c r="J3349" s="6" t="n">
        <f aca="false">HOUR(E3349)</f>
        <v>21</v>
      </c>
      <c r="K3349" s="6" t="n">
        <f aca="false">IF(COUNTIF($A$2:$A3349,A3349)=1,1,0)</f>
        <v>0</v>
      </c>
    </row>
    <row r="3350" customFormat="false" ht="15" hidden="false" customHeight="false" outlineLevel="0" collapsed="false">
      <c r="A3350" s="0" t="s">
        <v>736</v>
      </c>
      <c r="B3350" s="0" t="s">
        <v>95</v>
      </c>
      <c r="C3350" s="0" t="s">
        <v>96</v>
      </c>
      <c r="D3350" s="0" t="n">
        <v>20</v>
      </c>
      <c r="E3350" s="5" t="n">
        <v>45984.3306365741</v>
      </c>
      <c r="F3350" s="0" t="n">
        <v>2.55</v>
      </c>
      <c r="H3350" s="6" t="s">
        <v>42</v>
      </c>
      <c r="I3350" s="6" t="n">
        <f aca="false">D3350*F3350</f>
        <v>51</v>
      </c>
      <c r="J3350" s="6" t="n">
        <f aca="false">HOUR(E3350)</f>
        <v>7</v>
      </c>
      <c r="K3350" s="6" t="n">
        <f aca="false">IF(COUNTIF($A$2:$A3350,A3350)=1,1,0)</f>
        <v>1</v>
      </c>
    </row>
    <row r="3351" customFormat="false" ht="15" hidden="false" customHeight="false" outlineLevel="0" collapsed="false">
      <c r="A3351" s="0" t="s">
        <v>736</v>
      </c>
      <c r="B3351" s="0" t="s">
        <v>125</v>
      </c>
      <c r="C3351" s="0" t="s">
        <v>126</v>
      </c>
      <c r="D3351" s="0" t="n">
        <v>18</v>
      </c>
      <c r="E3351" s="5" t="n">
        <v>45984.3306365741</v>
      </c>
      <c r="F3351" s="0" t="n">
        <v>1.25</v>
      </c>
      <c r="H3351" s="6" t="s">
        <v>42</v>
      </c>
      <c r="I3351" s="6" t="n">
        <f aca="false">D3351*F3351</f>
        <v>22.5</v>
      </c>
      <c r="J3351" s="6" t="n">
        <f aca="false">HOUR(E3351)</f>
        <v>7</v>
      </c>
      <c r="K3351" s="6" t="n">
        <f aca="false">IF(COUNTIF($A$2:$A3351,A3351)=1,1,0)</f>
        <v>0</v>
      </c>
    </row>
    <row r="3352" customFormat="false" ht="15" hidden="false" customHeight="false" outlineLevel="0" collapsed="false">
      <c r="A3352" s="0" t="s">
        <v>737</v>
      </c>
      <c r="B3352" s="0" t="s">
        <v>50</v>
      </c>
      <c r="C3352" s="0" t="s">
        <v>51</v>
      </c>
      <c r="D3352" s="0" t="n">
        <v>11</v>
      </c>
      <c r="E3352" s="5" t="n">
        <v>45984.3563310185</v>
      </c>
      <c r="F3352" s="0" t="n">
        <v>5.95</v>
      </c>
      <c r="G3352" s="0" t="n">
        <v>17185</v>
      </c>
      <c r="H3352" s="6" t="s">
        <v>113</v>
      </c>
      <c r="I3352" s="6" t="n">
        <f aca="false">D3352*F3352</f>
        <v>65.45</v>
      </c>
      <c r="J3352" s="6" t="n">
        <f aca="false">HOUR(E3352)</f>
        <v>8</v>
      </c>
      <c r="K3352" s="6" t="n">
        <f aca="false">IF(COUNTIF($A$2:$A3352,A3352)=1,1,0)</f>
        <v>1</v>
      </c>
    </row>
    <row r="3353" customFormat="false" ht="15" hidden="false" customHeight="false" outlineLevel="0" collapsed="false">
      <c r="A3353" s="0" t="s">
        <v>737</v>
      </c>
      <c r="B3353" s="0" t="s">
        <v>134</v>
      </c>
      <c r="C3353" s="0" t="s">
        <v>135</v>
      </c>
      <c r="D3353" s="0" t="n">
        <v>4</v>
      </c>
      <c r="E3353" s="5" t="n">
        <v>45984.3563310185</v>
      </c>
      <c r="F3353" s="0" t="n">
        <v>5.95</v>
      </c>
      <c r="G3353" s="0" t="n">
        <v>17185</v>
      </c>
      <c r="H3353" s="6" t="s">
        <v>113</v>
      </c>
      <c r="I3353" s="6" t="n">
        <f aca="false">D3353*F3353</f>
        <v>23.8</v>
      </c>
      <c r="J3353" s="6" t="n">
        <f aca="false">HOUR(E3353)</f>
        <v>8</v>
      </c>
      <c r="K3353" s="6" t="n">
        <f aca="false">IF(COUNTIF($A$2:$A3353,A3353)=1,1,0)</f>
        <v>0</v>
      </c>
    </row>
    <row r="3354" customFormat="false" ht="15" hidden="false" customHeight="false" outlineLevel="0" collapsed="false">
      <c r="A3354" s="0" t="s">
        <v>737</v>
      </c>
      <c r="B3354" s="0" t="s">
        <v>88</v>
      </c>
      <c r="C3354" s="0" t="s">
        <v>89</v>
      </c>
      <c r="D3354" s="0" t="n">
        <v>5</v>
      </c>
      <c r="E3354" s="5" t="n">
        <v>45984.3563310185</v>
      </c>
      <c r="F3354" s="0" t="n">
        <v>2.75</v>
      </c>
      <c r="G3354" s="0" t="n">
        <v>17185</v>
      </c>
      <c r="H3354" s="6" t="s">
        <v>113</v>
      </c>
      <c r="I3354" s="6" t="n">
        <f aca="false">D3354*F3354</f>
        <v>13.75</v>
      </c>
      <c r="J3354" s="6" t="n">
        <f aca="false">HOUR(E3354)</f>
        <v>8</v>
      </c>
      <c r="K3354" s="6" t="n">
        <f aca="false">IF(COUNTIF($A$2:$A3354,A3354)=1,1,0)</f>
        <v>0</v>
      </c>
    </row>
    <row r="3355" customFormat="false" ht="15" hidden="false" customHeight="false" outlineLevel="0" collapsed="false">
      <c r="A3355" s="0" t="s">
        <v>737</v>
      </c>
      <c r="B3355" s="0" t="s">
        <v>53</v>
      </c>
      <c r="C3355" s="0" t="s">
        <v>54</v>
      </c>
      <c r="D3355" s="0" t="n">
        <v>9</v>
      </c>
      <c r="E3355" s="5" t="n">
        <v>45984.3563310185</v>
      </c>
      <c r="F3355" s="0" t="n">
        <v>2.95</v>
      </c>
      <c r="G3355" s="0" t="n">
        <v>17185</v>
      </c>
      <c r="H3355" s="6" t="s">
        <v>113</v>
      </c>
      <c r="I3355" s="6" t="n">
        <f aca="false">D3355*F3355</f>
        <v>26.55</v>
      </c>
      <c r="J3355" s="6" t="n">
        <f aca="false">HOUR(E3355)</f>
        <v>8</v>
      </c>
      <c r="K3355" s="6" t="n">
        <f aca="false">IF(COUNTIF($A$2:$A3355,A3355)=1,1,0)</f>
        <v>0</v>
      </c>
    </row>
    <row r="3356" customFormat="false" ht="15" hidden="false" customHeight="false" outlineLevel="0" collapsed="false">
      <c r="A3356" s="0" t="s">
        <v>737</v>
      </c>
      <c r="B3356" s="0" t="s">
        <v>57</v>
      </c>
      <c r="C3356" s="0" t="s">
        <v>58</v>
      </c>
      <c r="D3356" s="0" t="n">
        <v>19</v>
      </c>
      <c r="E3356" s="5" t="n">
        <v>45984.3563310185</v>
      </c>
      <c r="F3356" s="0" t="n">
        <v>2.08</v>
      </c>
      <c r="G3356" s="0" t="n">
        <v>17185</v>
      </c>
      <c r="H3356" s="6" t="s">
        <v>113</v>
      </c>
      <c r="I3356" s="6" t="n">
        <f aca="false">D3356*F3356</f>
        <v>39.52</v>
      </c>
      <c r="J3356" s="6" t="n">
        <f aca="false">HOUR(E3356)</f>
        <v>8</v>
      </c>
      <c r="K3356" s="6" t="n">
        <f aca="false">IF(COUNTIF($A$2:$A3356,A3356)=1,1,0)</f>
        <v>0</v>
      </c>
    </row>
    <row r="3357" customFormat="false" ht="15" hidden="false" customHeight="false" outlineLevel="0" collapsed="false">
      <c r="A3357" s="0" t="s">
        <v>737</v>
      </c>
      <c r="B3357" s="0" t="s">
        <v>86</v>
      </c>
      <c r="C3357" s="0" t="s">
        <v>87</v>
      </c>
      <c r="D3357" s="0" t="n">
        <v>13</v>
      </c>
      <c r="E3357" s="5" t="n">
        <v>45984.3563310185</v>
      </c>
      <c r="F3357" s="0" t="n">
        <v>4.25</v>
      </c>
      <c r="G3357" s="0" t="n">
        <v>17185</v>
      </c>
      <c r="H3357" s="6" t="s">
        <v>113</v>
      </c>
      <c r="I3357" s="6" t="n">
        <f aca="false">D3357*F3357</f>
        <v>55.25</v>
      </c>
      <c r="J3357" s="6" t="n">
        <f aca="false">HOUR(E3357)</f>
        <v>8</v>
      </c>
      <c r="K3357" s="6" t="n">
        <f aca="false">IF(COUNTIF($A$2:$A3357,A3357)=1,1,0)</f>
        <v>0</v>
      </c>
    </row>
    <row r="3358" customFormat="false" ht="15" hidden="false" customHeight="false" outlineLevel="0" collapsed="false">
      <c r="A3358" s="0" t="s">
        <v>737</v>
      </c>
      <c r="B3358" s="0" t="s">
        <v>102</v>
      </c>
      <c r="C3358" s="0" t="s">
        <v>103</v>
      </c>
      <c r="D3358" s="0" t="n">
        <v>9</v>
      </c>
      <c r="E3358" s="5" t="n">
        <v>45984.3563310185</v>
      </c>
      <c r="F3358" s="0" t="n">
        <v>8.5</v>
      </c>
      <c r="G3358" s="0" t="n">
        <v>17185</v>
      </c>
      <c r="H3358" s="6" t="s">
        <v>113</v>
      </c>
      <c r="I3358" s="6" t="n">
        <f aca="false">D3358*F3358</f>
        <v>76.5</v>
      </c>
      <c r="J3358" s="6" t="n">
        <f aca="false">HOUR(E3358)</f>
        <v>8</v>
      </c>
      <c r="K3358" s="6" t="n">
        <f aca="false">IF(COUNTIF($A$2:$A3358,A3358)=1,1,0)</f>
        <v>0</v>
      </c>
    </row>
    <row r="3359" customFormat="false" ht="15" hidden="false" customHeight="false" outlineLevel="0" collapsed="false">
      <c r="A3359" s="0" t="s">
        <v>737</v>
      </c>
      <c r="B3359" s="0" t="s">
        <v>59</v>
      </c>
      <c r="C3359" s="0" t="s">
        <v>60</v>
      </c>
      <c r="D3359" s="0" t="n">
        <v>3</v>
      </c>
      <c r="E3359" s="5" t="n">
        <v>45984.3563310185</v>
      </c>
      <c r="F3359" s="0" t="n">
        <v>0.42</v>
      </c>
      <c r="G3359" s="0" t="n">
        <v>17185</v>
      </c>
      <c r="H3359" s="6" t="s">
        <v>113</v>
      </c>
      <c r="I3359" s="6" t="n">
        <f aca="false">D3359*F3359</f>
        <v>1.26</v>
      </c>
      <c r="J3359" s="6" t="n">
        <f aca="false">HOUR(E3359)</f>
        <v>8</v>
      </c>
      <c r="K3359" s="6" t="n">
        <f aca="false">IF(COUNTIF($A$2:$A3359,A3359)=1,1,0)</f>
        <v>0</v>
      </c>
    </row>
    <row r="3360" customFormat="false" ht="15" hidden="false" customHeight="false" outlineLevel="0" collapsed="false">
      <c r="A3360" s="0" t="s">
        <v>737</v>
      </c>
      <c r="B3360" s="0" t="s">
        <v>40</v>
      </c>
      <c r="C3360" s="0" t="s">
        <v>41</v>
      </c>
      <c r="D3360" s="0" t="n">
        <v>15</v>
      </c>
      <c r="E3360" s="5" t="n">
        <v>45984.3563310185</v>
      </c>
      <c r="F3360" s="0" t="n">
        <v>1.06</v>
      </c>
      <c r="G3360" s="0" t="n">
        <v>17185</v>
      </c>
      <c r="H3360" s="6" t="s">
        <v>113</v>
      </c>
      <c r="I3360" s="6" t="n">
        <f aca="false">D3360*F3360</f>
        <v>15.9</v>
      </c>
      <c r="J3360" s="6" t="n">
        <f aca="false">HOUR(E3360)</f>
        <v>8</v>
      </c>
      <c r="K3360" s="6" t="n">
        <f aca="false">IF(COUNTIF($A$2:$A3360,A3360)=1,1,0)</f>
        <v>0</v>
      </c>
    </row>
    <row r="3361" customFormat="false" ht="15" hidden="false" customHeight="false" outlineLevel="0" collapsed="false">
      <c r="A3361" s="0" t="s">
        <v>738</v>
      </c>
      <c r="B3361" s="0" t="s">
        <v>55</v>
      </c>
      <c r="C3361" s="0" t="s">
        <v>56</v>
      </c>
      <c r="D3361" s="0" t="n">
        <v>16</v>
      </c>
      <c r="E3361" s="5" t="n">
        <v>45984.4076967593</v>
      </c>
      <c r="F3361" s="0" t="n">
        <v>1.65</v>
      </c>
      <c r="G3361" s="0" t="n">
        <v>17230</v>
      </c>
      <c r="H3361" s="6" t="s">
        <v>74</v>
      </c>
      <c r="I3361" s="6" t="n">
        <f aca="false">D3361*F3361</f>
        <v>26.4</v>
      </c>
      <c r="J3361" s="6" t="n">
        <f aca="false">HOUR(E3361)</f>
        <v>9</v>
      </c>
      <c r="K3361" s="6" t="n">
        <f aca="false">IF(COUNTIF($A$2:$A3361,A3361)=1,1,0)</f>
        <v>1</v>
      </c>
    </row>
    <row r="3362" customFormat="false" ht="15" hidden="false" customHeight="false" outlineLevel="0" collapsed="false">
      <c r="A3362" s="0" t="s">
        <v>738</v>
      </c>
      <c r="B3362" s="0" t="s">
        <v>95</v>
      </c>
      <c r="C3362" s="0" t="s">
        <v>96</v>
      </c>
      <c r="D3362" s="0" t="n">
        <v>37</v>
      </c>
      <c r="E3362" s="5" t="n">
        <v>45984.4076967593</v>
      </c>
      <c r="F3362" s="0" t="n">
        <v>2.55</v>
      </c>
      <c r="G3362" s="0" t="n">
        <v>17230</v>
      </c>
      <c r="H3362" s="6" t="s">
        <v>74</v>
      </c>
      <c r="I3362" s="6" t="n">
        <f aca="false">D3362*F3362</f>
        <v>94.35</v>
      </c>
      <c r="J3362" s="6" t="n">
        <f aca="false">HOUR(E3362)</f>
        <v>9</v>
      </c>
      <c r="K3362" s="6" t="n">
        <f aca="false">IF(COUNTIF($A$2:$A3362,A3362)=1,1,0)</f>
        <v>0</v>
      </c>
    </row>
    <row r="3363" customFormat="false" ht="15" hidden="false" customHeight="false" outlineLevel="0" collapsed="false">
      <c r="A3363" s="0" t="s">
        <v>738</v>
      </c>
      <c r="B3363" s="0" t="s">
        <v>43</v>
      </c>
      <c r="C3363" s="0" t="s">
        <v>44</v>
      </c>
      <c r="D3363" s="0" t="n">
        <v>17</v>
      </c>
      <c r="E3363" s="5" t="n">
        <v>45984.4076967593</v>
      </c>
      <c r="F3363" s="0" t="n">
        <v>4.25</v>
      </c>
      <c r="G3363" s="0" t="n">
        <v>17230</v>
      </c>
      <c r="H3363" s="6" t="s">
        <v>74</v>
      </c>
      <c r="I3363" s="6" t="n">
        <f aca="false">D3363*F3363</f>
        <v>72.25</v>
      </c>
      <c r="J3363" s="6" t="n">
        <f aca="false">HOUR(E3363)</f>
        <v>9</v>
      </c>
      <c r="K3363" s="6" t="n">
        <f aca="false">IF(COUNTIF($A$2:$A3363,A3363)=1,1,0)</f>
        <v>0</v>
      </c>
    </row>
    <row r="3364" customFormat="false" ht="15" hidden="false" customHeight="false" outlineLevel="0" collapsed="false">
      <c r="A3364" s="0" t="s">
        <v>738</v>
      </c>
      <c r="B3364" s="0" t="s">
        <v>134</v>
      </c>
      <c r="C3364" s="0" t="s">
        <v>135</v>
      </c>
      <c r="D3364" s="0" t="n">
        <v>6</v>
      </c>
      <c r="E3364" s="5" t="n">
        <v>45984.4076967593</v>
      </c>
      <c r="F3364" s="0" t="n">
        <v>5.95</v>
      </c>
      <c r="G3364" s="0" t="n">
        <v>17230</v>
      </c>
      <c r="H3364" s="6" t="s">
        <v>74</v>
      </c>
      <c r="I3364" s="6" t="n">
        <f aca="false">D3364*F3364</f>
        <v>35.7</v>
      </c>
      <c r="J3364" s="6" t="n">
        <f aca="false">HOUR(E3364)</f>
        <v>9</v>
      </c>
      <c r="K3364" s="6" t="n">
        <f aca="false">IF(COUNTIF($A$2:$A3364,A3364)=1,1,0)</f>
        <v>0</v>
      </c>
    </row>
    <row r="3365" customFormat="false" ht="15" hidden="false" customHeight="false" outlineLevel="0" collapsed="false">
      <c r="A3365" s="0" t="s">
        <v>738</v>
      </c>
      <c r="B3365" s="0" t="s">
        <v>107</v>
      </c>
      <c r="C3365" s="0" t="s">
        <v>108</v>
      </c>
      <c r="D3365" s="0" t="n">
        <v>14</v>
      </c>
      <c r="E3365" s="5" t="n">
        <v>45984.4076967593</v>
      </c>
      <c r="F3365" s="0" t="n">
        <v>3.75</v>
      </c>
      <c r="G3365" s="0" t="n">
        <v>17230</v>
      </c>
      <c r="H3365" s="6" t="s">
        <v>74</v>
      </c>
      <c r="I3365" s="6" t="n">
        <f aca="false">D3365*F3365</f>
        <v>52.5</v>
      </c>
      <c r="J3365" s="6" t="n">
        <f aca="false">HOUR(E3365)</f>
        <v>9</v>
      </c>
      <c r="K3365" s="6" t="n">
        <f aca="false">IF(COUNTIF($A$2:$A3365,A3365)=1,1,0)</f>
        <v>0</v>
      </c>
    </row>
    <row r="3366" customFormat="false" ht="15" hidden="false" customHeight="false" outlineLevel="0" collapsed="false">
      <c r="A3366" s="0" t="s">
        <v>738</v>
      </c>
      <c r="B3366" s="0" t="s">
        <v>102</v>
      </c>
      <c r="C3366" s="0" t="s">
        <v>103</v>
      </c>
      <c r="D3366" s="0" t="n">
        <v>7</v>
      </c>
      <c r="E3366" s="5" t="n">
        <v>45984.4076967593</v>
      </c>
      <c r="F3366" s="0" t="n">
        <v>8.5</v>
      </c>
      <c r="G3366" s="0" t="n">
        <v>17230</v>
      </c>
      <c r="H3366" s="6" t="s">
        <v>74</v>
      </c>
      <c r="I3366" s="6" t="n">
        <f aca="false">D3366*F3366</f>
        <v>59.5</v>
      </c>
      <c r="J3366" s="6" t="n">
        <f aca="false">HOUR(E3366)</f>
        <v>9</v>
      </c>
      <c r="K3366" s="6" t="n">
        <f aca="false">IF(COUNTIF($A$2:$A3366,A3366)=1,1,0)</f>
        <v>0</v>
      </c>
    </row>
    <row r="3367" customFormat="false" ht="15" hidden="false" customHeight="false" outlineLevel="0" collapsed="false">
      <c r="A3367" s="0" t="s">
        <v>738</v>
      </c>
      <c r="B3367" s="0" t="s">
        <v>140</v>
      </c>
      <c r="C3367" s="0" t="s">
        <v>141</v>
      </c>
      <c r="D3367" s="0" t="n">
        <v>12</v>
      </c>
      <c r="E3367" s="5" t="n">
        <v>45984.4076967593</v>
      </c>
      <c r="F3367" s="0" t="n">
        <v>2.08</v>
      </c>
      <c r="G3367" s="0" t="n">
        <v>17230</v>
      </c>
      <c r="H3367" s="6" t="s">
        <v>74</v>
      </c>
      <c r="I3367" s="6" t="n">
        <f aca="false">D3367*F3367</f>
        <v>24.96</v>
      </c>
      <c r="J3367" s="6" t="n">
        <f aca="false">HOUR(E3367)</f>
        <v>9</v>
      </c>
      <c r="K3367" s="6" t="n">
        <f aca="false">IF(COUNTIF($A$2:$A3367,A3367)=1,1,0)</f>
        <v>0</v>
      </c>
    </row>
    <row r="3368" customFormat="false" ht="15" hidden="false" customHeight="false" outlineLevel="0" collapsed="false">
      <c r="A3368" s="0" t="s">
        <v>739</v>
      </c>
      <c r="B3368" s="0" t="s">
        <v>137</v>
      </c>
      <c r="C3368" s="0" t="s">
        <v>138</v>
      </c>
      <c r="D3368" s="0" t="n">
        <v>14</v>
      </c>
      <c r="E3368" s="5" t="n">
        <v>45984.4411111111</v>
      </c>
      <c r="F3368" s="0" t="n">
        <v>2.1</v>
      </c>
      <c r="G3368" s="0" t="n">
        <v>17236</v>
      </c>
      <c r="H3368" s="6" t="s">
        <v>74</v>
      </c>
      <c r="I3368" s="6" t="n">
        <f aca="false">D3368*F3368</f>
        <v>29.4</v>
      </c>
      <c r="J3368" s="6" t="n">
        <f aca="false">HOUR(E3368)</f>
        <v>10</v>
      </c>
      <c r="K3368" s="6" t="n">
        <f aca="false">IF(COUNTIF($A$2:$A3368,A3368)=1,1,0)</f>
        <v>1</v>
      </c>
    </row>
    <row r="3369" customFormat="false" ht="15" hidden="false" customHeight="false" outlineLevel="0" collapsed="false">
      <c r="A3369" s="0" t="s">
        <v>739</v>
      </c>
      <c r="B3369" s="0" t="s">
        <v>69</v>
      </c>
      <c r="C3369" s="0" t="s">
        <v>70</v>
      </c>
      <c r="D3369" s="0" t="n">
        <v>35</v>
      </c>
      <c r="E3369" s="5" t="n">
        <v>45984.4411111111</v>
      </c>
      <c r="F3369" s="0" t="n">
        <v>2.08</v>
      </c>
      <c r="G3369" s="0" t="n">
        <v>17236</v>
      </c>
      <c r="H3369" s="6" t="s">
        <v>74</v>
      </c>
      <c r="I3369" s="6" t="n">
        <f aca="false">D3369*F3369</f>
        <v>72.8</v>
      </c>
      <c r="J3369" s="6" t="n">
        <f aca="false">HOUR(E3369)</f>
        <v>10</v>
      </c>
      <c r="K3369" s="6" t="n">
        <f aca="false">IF(COUNTIF($A$2:$A3369,A3369)=1,1,0)</f>
        <v>0</v>
      </c>
    </row>
    <row r="3370" customFormat="false" ht="15" hidden="false" customHeight="false" outlineLevel="0" collapsed="false">
      <c r="A3370" s="0" t="s">
        <v>739</v>
      </c>
      <c r="B3370" s="0" t="s">
        <v>127</v>
      </c>
      <c r="C3370" s="0" t="s">
        <v>128</v>
      </c>
      <c r="D3370" s="0" t="n">
        <v>18</v>
      </c>
      <c r="E3370" s="5" t="n">
        <v>45984.4411111111</v>
      </c>
      <c r="F3370" s="0" t="n">
        <v>1.45</v>
      </c>
      <c r="G3370" s="0" t="n">
        <v>17236</v>
      </c>
      <c r="H3370" s="6" t="s">
        <v>74</v>
      </c>
      <c r="I3370" s="6" t="n">
        <f aca="false">D3370*F3370</f>
        <v>26.1</v>
      </c>
      <c r="J3370" s="6" t="n">
        <f aca="false">HOUR(E3370)</f>
        <v>10</v>
      </c>
      <c r="K3370" s="6" t="n">
        <f aca="false">IF(COUNTIF($A$2:$A3370,A3370)=1,1,0)</f>
        <v>0</v>
      </c>
    </row>
    <row r="3371" customFormat="false" ht="15" hidden="false" customHeight="false" outlineLevel="0" collapsed="false">
      <c r="A3371" s="0" t="s">
        <v>739</v>
      </c>
      <c r="B3371" s="0" t="s">
        <v>145</v>
      </c>
      <c r="C3371" s="0" t="s">
        <v>146</v>
      </c>
      <c r="D3371" s="0" t="n">
        <v>5</v>
      </c>
      <c r="E3371" s="5" t="n">
        <v>45984.4411111111</v>
      </c>
      <c r="F3371" s="0" t="n">
        <v>1.85</v>
      </c>
      <c r="G3371" s="0" t="n">
        <v>17236</v>
      </c>
      <c r="H3371" s="6" t="s">
        <v>74</v>
      </c>
      <c r="I3371" s="6" t="n">
        <f aca="false">D3371*F3371</f>
        <v>9.25</v>
      </c>
      <c r="J3371" s="6" t="n">
        <f aca="false">HOUR(E3371)</f>
        <v>10</v>
      </c>
      <c r="K3371" s="6" t="n">
        <f aca="false">IF(COUNTIF($A$2:$A3371,A3371)=1,1,0)</f>
        <v>0</v>
      </c>
    </row>
    <row r="3372" customFormat="false" ht="15" hidden="false" customHeight="false" outlineLevel="0" collapsed="false">
      <c r="A3372" s="0" t="s">
        <v>739</v>
      </c>
      <c r="B3372" s="0" t="s">
        <v>53</v>
      </c>
      <c r="C3372" s="0" t="s">
        <v>54</v>
      </c>
      <c r="D3372" s="0" t="n">
        <v>10</v>
      </c>
      <c r="E3372" s="5" t="n">
        <v>45984.4411111111</v>
      </c>
      <c r="F3372" s="0" t="n">
        <v>2.95</v>
      </c>
      <c r="G3372" s="0" t="n">
        <v>17236</v>
      </c>
      <c r="H3372" s="6" t="s">
        <v>74</v>
      </c>
      <c r="I3372" s="6" t="n">
        <f aca="false">D3372*F3372</f>
        <v>29.5</v>
      </c>
      <c r="J3372" s="6" t="n">
        <f aca="false">HOUR(E3372)</f>
        <v>10</v>
      </c>
      <c r="K3372" s="6" t="n">
        <f aca="false">IF(COUNTIF($A$2:$A3372,A3372)=1,1,0)</f>
        <v>0</v>
      </c>
    </row>
    <row r="3373" customFormat="false" ht="15" hidden="false" customHeight="false" outlineLevel="0" collapsed="false">
      <c r="A3373" s="0" t="s">
        <v>739</v>
      </c>
      <c r="B3373" s="0" t="s">
        <v>47</v>
      </c>
      <c r="C3373" s="0" t="s">
        <v>48</v>
      </c>
      <c r="D3373" s="0" t="n">
        <v>24</v>
      </c>
      <c r="E3373" s="5" t="n">
        <v>45984.4411111111</v>
      </c>
      <c r="F3373" s="0" t="n">
        <v>12.75</v>
      </c>
      <c r="G3373" s="0" t="n">
        <v>17236</v>
      </c>
      <c r="H3373" s="6" t="s">
        <v>74</v>
      </c>
      <c r="I3373" s="6" t="n">
        <f aca="false">D3373*F3373</f>
        <v>306</v>
      </c>
      <c r="J3373" s="6" t="n">
        <f aca="false">HOUR(E3373)</f>
        <v>10</v>
      </c>
      <c r="K3373" s="6" t="n">
        <f aca="false">IF(COUNTIF($A$2:$A3373,A3373)=1,1,0)</f>
        <v>0</v>
      </c>
    </row>
    <row r="3374" customFormat="false" ht="15" hidden="false" customHeight="false" outlineLevel="0" collapsed="false">
      <c r="A3374" s="0" t="s">
        <v>739</v>
      </c>
      <c r="B3374" s="0" t="s">
        <v>140</v>
      </c>
      <c r="C3374" s="0" t="s">
        <v>141</v>
      </c>
      <c r="D3374" s="0" t="n">
        <v>5</v>
      </c>
      <c r="E3374" s="5" t="n">
        <v>45984.4411111111</v>
      </c>
      <c r="F3374" s="0" t="n">
        <v>2.08</v>
      </c>
      <c r="G3374" s="0" t="n">
        <v>17236</v>
      </c>
      <c r="H3374" s="6" t="s">
        <v>74</v>
      </c>
      <c r="I3374" s="6" t="n">
        <f aca="false">D3374*F3374</f>
        <v>10.4</v>
      </c>
      <c r="J3374" s="6" t="n">
        <f aca="false">HOUR(E3374)</f>
        <v>10</v>
      </c>
      <c r="K3374" s="6" t="n">
        <f aca="false">IF(COUNTIF($A$2:$A3374,A3374)=1,1,0)</f>
        <v>0</v>
      </c>
    </row>
    <row r="3375" customFormat="false" ht="15" hidden="false" customHeight="false" outlineLevel="0" collapsed="false">
      <c r="A3375" s="0" t="s">
        <v>739</v>
      </c>
      <c r="B3375" s="0" t="s">
        <v>134</v>
      </c>
      <c r="C3375" s="0" t="s">
        <v>135</v>
      </c>
      <c r="D3375" s="0" t="n">
        <v>19</v>
      </c>
      <c r="E3375" s="5" t="n">
        <v>45984.4411111111</v>
      </c>
      <c r="F3375" s="0" t="n">
        <v>5.95</v>
      </c>
      <c r="G3375" s="0" t="n">
        <v>17236</v>
      </c>
      <c r="H3375" s="6" t="s">
        <v>74</v>
      </c>
      <c r="I3375" s="6" t="n">
        <f aca="false">D3375*F3375</f>
        <v>113.05</v>
      </c>
      <c r="J3375" s="6" t="n">
        <f aca="false">HOUR(E3375)</f>
        <v>10</v>
      </c>
      <c r="K3375" s="6" t="n">
        <f aca="false">IF(COUNTIF($A$2:$A3375,A3375)=1,1,0)</f>
        <v>0</v>
      </c>
    </row>
    <row r="3376" customFormat="false" ht="15" hidden="false" customHeight="false" outlineLevel="0" collapsed="false">
      <c r="A3376" s="0" t="s">
        <v>739</v>
      </c>
      <c r="B3376" s="0" t="s">
        <v>86</v>
      </c>
      <c r="C3376" s="0" t="s">
        <v>87</v>
      </c>
      <c r="D3376" s="0" t="n">
        <v>14</v>
      </c>
      <c r="E3376" s="5" t="n">
        <v>45984.4411111111</v>
      </c>
      <c r="F3376" s="0" t="n">
        <v>4.25</v>
      </c>
      <c r="G3376" s="0" t="n">
        <v>17236</v>
      </c>
      <c r="H3376" s="6" t="s">
        <v>74</v>
      </c>
      <c r="I3376" s="6" t="n">
        <f aca="false">D3376*F3376</f>
        <v>59.5</v>
      </c>
      <c r="J3376" s="6" t="n">
        <f aca="false">HOUR(E3376)</f>
        <v>10</v>
      </c>
      <c r="K3376" s="6" t="n">
        <f aca="false">IF(COUNTIF($A$2:$A3376,A3376)=1,1,0)</f>
        <v>0</v>
      </c>
    </row>
    <row r="3377" customFormat="false" ht="15" hidden="false" customHeight="false" outlineLevel="0" collapsed="false">
      <c r="A3377" s="0" t="s">
        <v>740</v>
      </c>
      <c r="B3377" s="0" t="s">
        <v>75</v>
      </c>
      <c r="C3377" s="0" t="s">
        <v>76</v>
      </c>
      <c r="D3377" s="0" t="n">
        <v>23</v>
      </c>
      <c r="E3377" s="5" t="n">
        <v>45984.4435300926</v>
      </c>
      <c r="F3377" s="0" t="n">
        <v>3.39</v>
      </c>
      <c r="G3377" s="0" t="n">
        <v>17208</v>
      </c>
      <c r="H3377" s="6" t="s">
        <v>113</v>
      </c>
      <c r="I3377" s="6" t="n">
        <f aca="false">D3377*F3377</f>
        <v>77.97</v>
      </c>
      <c r="J3377" s="6" t="n">
        <f aca="false">HOUR(E3377)</f>
        <v>10</v>
      </c>
      <c r="K3377" s="6" t="n">
        <f aca="false">IF(COUNTIF($A$2:$A3377,A3377)=1,1,0)</f>
        <v>1</v>
      </c>
    </row>
    <row r="3378" customFormat="false" ht="15" hidden="false" customHeight="false" outlineLevel="0" collapsed="false">
      <c r="A3378" s="0" t="s">
        <v>740</v>
      </c>
      <c r="B3378" s="0" t="s">
        <v>131</v>
      </c>
      <c r="C3378" s="0" t="s">
        <v>132</v>
      </c>
      <c r="D3378" s="0" t="n">
        <v>7</v>
      </c>
      <c r="E3378" s="5" t="n">
        <v>45984.4435300926</v>
      </c>
      <c r="F3378" s="0" t="n">
        <v>3.39</v>
      </c>
      <c r="G3378" s="0" t="n">
        <v>17208</v>
      </c>
      <c r="H3378" s="6" t="s">
        <v>113</v>
      </c>
      <c r="I3378" s="6" t="n">
        <f aca="false">D3378*F3378</f>
        <v>23.73</v>
      </c>
      <c r="J3378" s="6" t="n">
        <f aca="false">HOUR(E3378)</f>
        <v>10</v>
      </c>
      <c r="K3378" s="6" t="n">
        <f aca="false">IF(COUNTIF($A$2:$A3378,A3378)=1,1,0)</f>
        <v>0</v>
      </c>
    </row>
    <row r="3379" customFormat="false" ht="15" hidden="false" customHeight="false" outlineLevel="0" collapsed="false">
      <c r="A3379" s="0" t="s">
        <v>740</v>
      </c>
      <c r="B3379" s="0" t="s">
        <v>72</v>
      </c>
      <c r="C3379" s="0" t="s">
        <v>73</v>
      </c>
      <c r="D3379" s="0" t="n">
        <v>17</v>
      </c>
      <c r="E3379" s="5" t="n">
        <v>45984.4435300926</v>
      </c>
      <c r="F3379" s="0" t="n">
        <v>4.95</v>
      </c>
      <c r="G3379" s="0" t="n">
        <v>17208</v>
      </c>
      <c r="H3379" s="6" t="s">
        <v>113</v>
      </c>
      <c r="I3379" s="6" t="n">
        <f aca="false">D3379*F3379</f>
        <v>84.15</v>
      </c>
      <c r="J3379" s="6" t="n">
        <f aca="false">HOUR(E3379)</f>
        <v>10</v>
      </c>
      <c r="K3379" s="6" t="n">
        <f aca="false">IF(COUNTIF($A$2:$A3379,A3379)=1,1,0)</f>
        <v>0</v>
      </c>
    </row>
    <row r="3380" customFormat="false" ht="15" hidden="false" customHeight="false" outlineLevel="0" collapsed="false">
      <c r="A3380" s="0" t="s">
        <v>740</v>
      </c>
      <c r="B3380" s="0" t="s">
        <v>53</v>
      </c>
      <c r="C3380" s="0" t="s">
        <v>54</v>
      </c>
      <c r="D3380" s="0" t="n">
        <v>17</v>
      </c>
      <c r="E3380" s="5" t="n">
        <v>45984.4435300926</v>
      </c>
      <c r="F3380" s="0" t="n">
        <v>2.95</v>
      </c>
      <c r="G3380" s="0" t="n">
        <v>17208</v>
      </c>
      <c r="H3380" s="6" t="s">
        <v>113</v>
      </c>
      <c r="I3380" s="6" t="n">
        <f aca="false">D3380*F3380</f>
        <v>50.15</v>
      </c>
      <c r="J3380" s="6" t="n">
        <f aca="false">HOUR(E3380)</f>
        <v>10</v>
      </c>
      <c r="K3380" s="6" t="n">
        <f aca="false">IF(COUNTIF($A$2:$A3380,A3380)=1,1,0)</f>
        <v>0</v>
      </c>
    </row>
    <row r="3381" customFormat="false" ht="15" hidden="false" customHeight="false" outlineLevel="0" collapsed="false">
      <c r="A3381" s="0" t="s">
        <v>740</v>
      </c>
      <c r="B3381" s="0" t="s">
        <v>125</v>
      </c>
      <c r="C3381" s="0" t="s">
        <v>126</v>
      </c>
      <c r="D3381" s="0" t="n">
        <v>17</v>
      </c>
      <c r="E3381" s="5" t="n">
        <v>45984.4435300926</v>
      </c>
      <c r="F3381" s="0" t="n">
        <v>1.25</v>
      </c>
      <c r="G3381" s="0" t="n">
        <v>17208</v>
      </c>
      <c r="H3381" s="6" t="s">
        <v>113</v>
      </c>
      <c r="I3381" s="6" t="n">
        <f aca="false">D3381*F3381</f>
        <v>21.25</v>
      </c>
      <c r="J3381" s="6" t="n">
        <f aca="false">HOUR(E3381)</f>
        <v>10</v>
      </c>
      <c r="K3381" s="6" t="n">
        <f aca="false">IF(COUNTIF($A$2:$A3381,A3381)=1,1,0)</f>
        <v>0</v>
      </c>
    </row>
    <row r="3382" customFormat="false" ht="15" hidden="false" customHeight="false" outlineLevel="0" collapsed="false">
      <c r="A3382" s="0" t="s">
        <v>740</v>
      </c>
      <c r="B3382" s="0" t="s">
        <v>40</v>
      </c>
      <c r="C3382" s="0" t="s">
        <v>41</v>
      </c>
      <c r="D3382" s="0" t="n">
        <v>8</v>
      </c>
      <c r="E3382" s="5" t="n">
        <v>45984.4435300926</v>
      </c>
      <c r="F3382" s="0" t="n">
        <v>1.06</v>
      </c>
      <c r="G3382" s="0" t="n">
        <v>17208</v>
      </c>
      <c r="H3382" s="6" t="s">
        <v>113</v>
      </c>
      <c r="I3382" s="6" t="n">
        <f aca="false">D3382*F3382</f>
        <v>8.48</v>
      </c>
      <c r="J3382" s="6" t="n">
        <f aca="false">HOUR(E3382)</f>
        <v>10</v>
      </c>
      <c r="K3382" s="6" t="n">
        <f aca="false">IF(COUNTIF($A$2:$A3382,A3382)=1,1,0)</f>
        <v>0</v>
      </c>
    </row>
    <row r="3383" customFormat="false" ht="15" hidden="false" customHeight="false" outlineLevel="0" collapsed="false">
      <c r="A3383" s="0" t="s">
        <v>740</v>
      </c>
      <c r="B3383" s="0" t="s">
        <v>57</v>
      </c>
      <c r="C3383" s="0" t="s">
        <v>58</v>
      </c>
      <c r="D3383" s="0" t="n">
        <v>12</v>
      </c>
      <c r="E3383" s="5" t="n">
        <v>45984.4435300926</v>
      </c>
      <c r="F3383" s="0" t="n">
        <v>2.08</v>
      </c>
      <c r="G3383" s="0" t="n">
        <v>17208</v>
      </c>
      <c r="H3383" s="6" t="s">
        <v>113</v>
      </c>
      <c r="I3383" s="6" t="n">
        <f aca="false">D3383*F3383</f>
        <v>24.96</v>
      </c>
      <c r="J3383" s="6" t="n">
        <f aca="false">HOUR(E3383)</f>
        <v>10</v>
      </c>
      <c r="K3383" s="6" t="n">
        <f aca="false">IF(COUNTIF($A$2:$A3383,A3383)=1,1,0)</f>
        <v>0</v>
      </c>
    </row>
    <row r="3384" customFormat="false" ht="15" hidden="false" customHeight="false" outlineLevel="0" collapsed="false">
      <c r="A3384" s="0" t="s">
        <v>740</v>
      </c>
      <c r="B3384" s="0" t="s">
        <v>121</v>
      </c>
      <c r="C3384" s="0" t="s">
        <v>122</v>
      </c>
      <c r="D3384" s="0" t="n">
        <v>2</v>
      </c>
      <c r="E3384" s="5" t="n">
        <v>45984.4435300926</v>
      </c>
      <c r="F3384" s="0" t="n">
        <v>2.1</v>
      </c>
      <c r="G3384" s="0" t="n">
        <v>17208</v>
      </c>
      <c r="H3384" s="6" t="s">
        <v>113</v>
      </c>
      <c r="I3384" s="6" t="n">
        <f aca="false">D3384*F3384</f>
        <v>4.2</v>
      </c>
      <c r="J3384" s="6" t="n">
        <f aca="false">HOUR(E3384)</f>
        <v>10</v>
      </c>
      <c r="K3384" s="6" t="n">
        <f aca="false">IF(COUNTIF($A$2:$A3384,A3384)=1,1,0)</f>
        <v>0</v>
      </c>
    </row>
    <row r="3385" customFormat="false" ht="15" hidden="false" customHeight="false" outlineLevel="0" collapsed="false">
      <c r="A3385" s="0" t="s">
        <v>741</v>
      </c>
      <c r="B3385" s="0" t="s">
        <v>107</v>
      </c>
      <c r="C3385" s="0" t="s">
        <v>108</v>
      </c>
      <c r="D3385" s="0" t="n">
        <v>4</v>
      </c>
      <c r="E3385" s="5" t="n">
        <v>45984.5286805556</v>
      </c>
      <c r="F3385" s="0" t="n">
        <v>3.75</v>
      </c>
      <c r="G3385" s="0" t="n">
        <v>17095</v>
      </c>
      <c r="H3385" s="6" t="s">
        <v>74</v>
      </c>
      <c r="I3385" s="6" t="n">
        <f aca="false">D3385*F3385</f>
        <v>15</v>
      </c>
      <c r="J3385" s="6" t="n">
        <f aca="false">HOUR(E3385)</f>
        <v>12</v>
      </c>
      <c r="K3385" s="6" t="n">
        <f aca="false">IF(COUNTIF($A$2:$A3385,A3385)=1,1,0)</f>
        <v>1</v>
      </c>
    </row>
    <row r="3386" customFormat="false" ht="15" hidden="false" customHeight="false" outlineLevel="0" collapsed="false">
      <c r="A3386" s="0" t="s">
        <v>741</v>
      </c>
      <c r="B3386" s="0" t="s">
        <v>109</v>
      </c>
      <c r="C3386" s="0" t="s">
        <v>110</v>
      </c>
      <c r="D3386" s="0" t="n">
        <v>7</v>
      </c>
      <c r="E3386" s="5" t="n">
        <v>45984.5286805556</v>
      </c>
      <c r="F3386" s="0" t="n">
        <v>0.85</v>
      </c>
      <c r="G3386" s="0" t="n">
        <v>17095</v>
      </c>
      <c r="H3386" s="6" t="s">
        <v>74</v>
      </c>
      <c r="I3386" s="6" t="n">
        <f aca="false">D3386*F3386</f>
        <v>5.95</v>
      </c>
      <c r="J3386" s="6" t="n">
        <f aca="false">HOUR(E3386)</f>
        <v>12</v>
      </c>
      <c r="K3386" s="6" t="n">
        <f aca="false">IF(COUNTIF($A$2:$A3386,A3386)=1,1,0)</f>
        <v>0</v>
      </c>
    </row>
    <row r="3387" customFormat="false" ht="15" hidden="false" customHeight="false" outlineLevel="0" collapsed="false">
      <c r="A3387" s="0" t="s">
        <v>741</v>
      </c>
      <c r="B3387" s="0" t="s">
        <v>137</v>
      </c>
      <c r="C3387" s="0" t="s">
        <v>138</v>
      </c>
      <c r="D3387" s="0" t="n">
        <v>2</v>
      </c>
      <c r="E3387" s="5" t="n">
        <v>45984.5286805556</v>
      </c>
      <c r="F3387" s="0" t="n">
        <v>2.1</v>
      </c>
      <c r="G3387" s="0" t="n">
        <v>17095</v>
      </c>
      <c r="H3387" s="6" t="s">
        <v>74</v>
      </c>
      <c r="I3387" s="6" t="n">
        <f aca="false">D3387*F3387</f>
        <v>4.2</v>
      </c>
      <c r="J3387" s="6" t="n">
        <f aca="false">HOUR(E3387)</f>
        <v>12</v>
      </c>
      <c r="K3387" s="6" t="n">
        <f aca="false">IF(COUNTIF($A$2:$A3387,A3387)=1,1,0)</f>
        <v>0</v>
      </c>
    </row>
    <row r="3388" customFormat="false" ht="15" hidden="false" customHeight="false" outlineLevel="0" collapsed="false">
      <c r="A3388" s="0" t="s">
        <v>742</v>
      </c>
      <c r="B3388" s="0" t="s">
        <v>65</v>
      </c>
      <c r="C3388" s="0" t="s">
        <v>66</v>
      </c>
      <c r="D3388" s="0" t="n">
        <v>-22</v>
      </c>
      <c r="E3388" s="5" t="n">
        <v>45984.5345949074</v>
      </c>
      <c r="F3388" s="0" t="n">
        <v>1.65</v>
      </c>
      <c r="G3388" s="0" t="n">
        <v>17258</v>
      </c>
      <c r="H3388" s="6" t="s">
        <v>113</v>
      </c>
      <c r="I3388" s="6" t="n">
        <f aca="false">D3388*F3388</f>
        <v>-36.3</v>
      </c>
      <c r="J3388" s="6" t="n">
        <f aca="false">HOUR(E3388)</f>
        <v>12</v>
      </c>
      <c r="K3388" s="6" t="n">
        <f aca="false">IF(COUNTIF($A$2:$A3388,A3388)=1,1,0)</f>
        <v>1</v>
      </c>
    </row>
    <row r="3389" customFormat="false" ht="15" hidden="false" customHeight="false" outlineLevel="0" collapsed="false">
      <c r="A3389" s="0" t="s">
        <v>742</v>
      </c>
      <c r="B3389" s="0" t="s">
        <v>91</v>
      </c>
      <c r="C3389" s="0" t="s">
        <v>92</v>
      </c>
      <c r="D3389" s="0" t="n">
        <v>-14</v>
      </c>
      <c r="E3389" s="5" t="n">
        <v>45984.5345949074</v>
      </c>
      <c r="F3389" s="0" t="n">
        <v>7.65</v>
      </c>
      <c r="G3389" s="0" t="n">
        <v>17258</v>
      </c>
      <c r="H3389" s="6" t="s">
        <v>113</v>
      </c>
      <c r="I3389" s="6" t="n">
        <f aca="false">D3389*F3389</f>
        <v>-107.1</v>
      </c>
      <c r="J3389" s="6" t="n">
        <f aca="false">HOUR(E3389)</f>
        <v>12</v>
      </c>
      <c r="K3389" s="6" t="n">
        <f aca="false">IF(COUNTIF($A$2:$A3389,A3389)=1,1,0)</f>
        <v>0</v>
      </c>
    </row>
    <row r="3390" customFormat="false" ht="15" hidden="false" customHeight="false" outlineLevel="0" collapsed="false">
      <c r="A3390" s="0" t="s">
        <v>742</v>
      </c>
      <c r="B3390" s="0" t="s">
        <v>72</v>
      </c>
      <c r="C3390" s="0" t="s">
        <v>73</v>
      </c>
      <c r="D3390" s="0" t="n">
        <v>-32</v>
      </c>
      <c r="E3390" s="5" t="n">
        <v>45984.5345949074</v>
      </c>
      <c r="F3390" s="0" t="n">
        <v>4.95</v>
      </c>
      <c r="G3390" s="0" t="n">
        <v>17258</v>
      </c>
      <c r="H3390" s="6" t="s">
        <v>113</v>
      </c>
      <c r="I3390" s="6" t="n">
        <f aca="false">D3390*F3390</f>
        <v>-158.4</v>
      </c>
      <c r="J3390" s="6" t="n">
        <f aca="false">HOUR(E3390)</f>
        <v>12</v>
      </c>
      <c r="K3390" s="6" t="n">
        <f aca="false">IF(COUNTIF($A$2:$A3390,A3390)=1,1,0)</f>
        <v>0</v>
      </c>
    </row>
    <row r="3391" customFormat="false" ht="15" hidden="false" customHeight="false" outlineLevel="0" collapsed="false">
      <c r="A3391" s="0" t="s">
        <v>743</v>
      </c>
      <c r="B3391" s="0" t="s">
        <v>59</v>
      </c>
      <c r="C3391" s="0" t="s">
        <v>60</v>
      </c>
      <c r="D3391" s="0" t="n">
        <v>9</v>
      </c>
      <c r="E3391" s="5" t="n">
        <v>45984.6568634259</v>
      </c>
      <c r="F3391" s="0" t="n">
        <v>0.42</v>
      </c>
      <c r="H3391" s="6" t="s">
        <v>74</v>
      </c>
      <c r="I3391" s="6" t="n">
        <f aca="false">D3391*F3391</f>
        <v>3.78</v>
      </c>
      <c r="J3391" s="6" t="n">
        <f aca="false">HOUR(E3391)</f>
        <v>15</v>
      </c>
      <c r="K3391" s="6" t="n">
        <f aca="false">IF(COUNTIF($A$2:$A3391,A3391)=1,1,0)</f>
        <v>1</v>
      </c>
    </row>
    <row r="3392" customFormat="false" ht="15" hidden="false" customHeight="false" outlineLevel="0" collapsed="false">
      <c r="A3392" s="0" t="s">
        <v>744</v>
      </c>
      <c r="B3392" s="0" t="s">
        <v>109</v>
      </c>
      <c r="C3392" s="0" t="s">
        <v>110</v>
      </c>
      <c r="D3392" s="0" t="n">
        <v>6</v>
      </c>
      <c r="E3392" s="5" t="n">
        <v>45984.6910185185</v>
      </c>
      <c r="F3392" s="0" t="n">
        <v>0.85</v>
      </c>
      <c r="H3392" s="6" t="s">
        <v>68</v>
      </c>
      <c r="I3392" s="6" t="n">
        <f aca="false">D3392*F3392</f>
        <v>5.1</v>
      </c>
      <c r="J3392" s="6" t="n">
        <f aca="false">HOUR(E3392)</f>
        <v>16</v>
      </c>
      <c r="K3392" s="6" t="n">
        <f aca="false">IF(COUNTIF($A$2:$A3392,A3392)=1,1,0)</f>
        <v>1</v>
      </c>
    </row>
    <row r="3393" customFormat="false" ht="15" hidden="false" customHeight="false" outlineLevel="0" collapsed="false">
      <c r="A3393" s="0" t="s">
        <v>744</v>
      </c>
      <c r="B3393" s="0" t="s">
        <v>95</v>
      </c>
      <c r="C3393" s="0" t="s">
        <v>96</v>
      </c>
      <c r="D3393" s="0" t="n">
        <v>40</v>
      </c>
      <c r="E3393" s="5" t="n">
        <v>45984.6910185185</v>
      </c>
      <c r="F3393" s="0" t="n">
        <v>2.55</v>
      </c>
      <c r="H3393" s="6" t="s">
        <v>68</v>
      </c>
      <c r="I3393" s="6" t="n">
        <f aca="false">D3393*F3393</f>
        <v>102</v>
      </c>
      <c r="J3393" s="6" t="n">
        <f aca="false">HOUR(E3393)</f>
        <v>16</v>
      </c>
      <c r="K3393" s="6" t="n">
        <f aca="false">IF(COUNTIF($A$2:$A3393,A3393)=1,1,0)</f>
        <v>0</v>
      </c>
    </row>
    <row r="3394" customFormat="false" ht="15" hidden="false" customHeight="false" outlineLevel="0" collapsed="false">
      <c r="A3394" s="0" t="s">
        <v>744</v>
      </c>
      <c r="B3394" s="0" t="s">
        <v>47</v>
      </c>
      <c r="D3394" s="0" t="n">
        <v>45</v>
      </c>
      <c r="E3394" s="5" t="n">
        <v>45984.6910185185</v>
      </c>
      <c r="F3394" s="0" t="n">
        <v>12.75</v>
      </c>
      <c r="H3394" s="6" t="s">
        <v>68</v>
      </c>
      <c r="I3394" s="6" t="n">
        <f aca="false">D3394*F3394</f>
        <v>573.75</v>
      </c>
      <c r="J3394" s="6" t="n">
        <f aca="false">HOUR(E3394)</f>
        <v>16</v>
      </c>
      <c r="K3394" s="6" t="n">
        <f aca="false">IF(COUNTIF($A$2:$A3394,A3394)=1,1,0)</f>
        <v>0</v>
      </c>
    </row>
    <row r="3395" customFormat="false" ht="15" hidden="false" customHeight="false" outlineLevel="0" collapsed="false">
      <c r="A3395" s="0" t="s">
        <v>744</v>
      </c>
      <c r="B3395" s="0" t="s">
        <v>102</v>
      </c>
      <c r="C3395" s="0" t="s">
        <v>103</v>
      </c>
      <c r="D3395" s="0" t="n">
        <v>29</v>
      </c>
      <c r="E3395" s="5" t="n">
        <v>45984.6910185185</v>
      </c>
      <c r="F3395" s="0" t="n">
        <v>8.5</v>
      </c>
      <c r="H3395" s="6" t="s">
        <v>68</v>
      </c>
      <c r="I3395" s="6" t="n">
        <f aca="false">D3395*F3395</f>
        <v>246.5</v>
      </c>
      <c r="J3395" s="6" t="n">
        <f aca="false">HOUR(E3395)</f>
        <v>16</v>
      </c>
      <c r="K3395" s="6" t="n">
        <f aca="false">IF(COUNTIF($A$2:$A3395,A3395)=1,1,0)</f>
        <v>0</v>
      </c>
    </row>
    <row r="3396" customFormat="false" ht="15" hidden="false" customHeight="false" outlineLevel="0" collapsed="false">
      <c r="A3396" s="0" t="s">
        <v>745</v>
      </c>
      <c r="B3396" s="0" t="s">
        <v>47</v>
      </c>
      <c r="C3396" s="0" t="s">
        <v>48</v>
      </c>
      <c r="D3396" s="0" t="n">
        <v>-7</v>
      </c>
      <c r="E3396" s="5" t="n">
        <v>45984.6919097222</v>
      </c>
      <c r="F3396" s="0" t="n">
        <v>12.75</v>
      </c>
      <c r="G3396" s="0" t="n">
        <v>17156</v>
      </c>
      <c r="H3396" s="6" t="s">
        <v>74</v>
      </c>
      <c r="I3396" s="6" t="n">
        <f aca="false">D3396*F3396</f>
        <v>-89.25</v>
      </c>
      <c r="J3396" s="6" t="n">
        <f aca="false">HOUR(E3396)</f>
        <v>16</v>
      </c>
      <c r="K3396" s="6" t="n">
        <f aca="false">IF(COUNTIF($A$2:$A3396,A3396)=1,1,0)</f>
        <v>1</v>
      </c>
    </row>
    <row r="3397" customFormat="false" ht="15" hidden="false" customHeight="false" outlineLevel="0" collapsed="false">
      <c r="A3397" s="0" t="s">
        <v>745</v>
      </c>
      <c r="B3397" s="0" t="s">
        <v>86</v>
      </c>
      <c r="C3397" s="0" t="s">
        <v>87</v>
      </c>
      <c r="D3397" s="0" t="n">
        <v>-4</v>
      </c>
      <c r="E3397" s="5" t="n">
        <v>45984.6919097222</v>
      </c>
      <c r="F3397" s="0" t="n">
        <v>4.25</v>
      </c>
      <c r="G3397" s="0" t="n">
        <v>17156</v>
      </c>
      <c r="H3397" s="6" t="s">
        <v>74</v>
      </c>
      <c r="I3397" s="6" t="n">
        <f aca="false">D3397*F3397</f>
        <v>-17</v>
      </c>
      <c r="J3397" s="6" t="n">
        <f aca="false">HOUR(E3397)</f>
        <v>16</v>
      </c>
      <c r="K3397" s="6" t="n">
        <f aca="false">IF(COUNTIF($A$2:$A3397,A3397)=1,1,0)</f>
        <v>0</v>
      </c>
    </row>
    <row r="3398" customFormat="false" ht="15" hidden="false" customHeight="false" outlineLevel="0" collapsed="false">
      <c r="A3398" s="0" t="s">
        <v>745</v>
      </c>
      <c r="B3398" s="0" t="s">
        <v>102</v>
      </c>
      <c r="C3398" s="0" t="s">
        <v>103</v>
      </c>
      <c r="D3398" s="0" t="n">
        <v>-28</v>
      </c>
      <c r="E3398" s="5" t="n">
        <v>45984.6919097222</v>
      </c>
      <c r="F3398" s="0" t="n">
        <v>8.5</v>
      </c>
      <c r="G3398" s="0" t="n">
        <v>17156</v>
      </c>
      <c r="H3398" s="6" t="s">
        <v>74</v>
      </c>
      <c r="I3398" s="6" t="n">
        <f aca="false">D3398*F3398</f>
        <v>-238</v>
      </c>
      <c r="J3398" s="6" t="n">
        <f aca="false">HOUR(E3398)</f>
        <v>16</v>
      </c>
      <c r="K3398" s="6" t="n">
        <f aca="false">IF(COUNTIF($A$2:$A3398,A3398)=1,1,0)</f>
        <v>0</v>
      </c>
    </row>
    <row r="3399" customFormat="false" ht="15" hidden="false" customHeight="false" outlineLevel="0" collapsed="false">
      <c r="A3399" s="0" t="s">
        <v>745</v>
      </c>
      <c r="B3399" s="0" t="s">
        <v>55</v>
      </c>
      <c r="C3399" s="0" t="s">
        <v>56</v>
      </c>
      <c r="D3399" s="0" t="n">
        <v>-20</v>
      </c>
      <c r="E3399" s="5" t="n">
        <v>45984.6919097222</v>
      </c>
      <c r="F3399" s="0" t="n">
        <v>1.65</v>
      </c>
      <c r="G3399" s="0" t="n">
        <v>17156</v>
      </c>
      <c r="H3399" s="6" t="s">
        <v>74</v>
      </c>
      <c r="I3399" s="6" t="n">
        <f aca="false">D3399*F3399</f>
        <v>-33</v>
      </c>
      <c r="J3399" s="6" t="n">
        <f aca="false">HOUR(E3399)</f>
        <v>16</v>
      </c>
      <c r="K3399" s="6" t="n">
        <f aca="false">IF(COUNTIF($A$2:$A3399,A3399)=1,1,0)</f>
        <v>0</v>
      </c>
    </row>
    <row r="3400" customFormat="false" ht="15" hidden="false" customHeight="false" outlineLevel="0" collapsed="false">
      <c r="A3400" s="0" t="s">
        <v>745</v>
      </c>
      <c r="B3400" s="0" t="s">
        <v>107</v>
      </c>
      <c r="C3400" s="0" t="s">
        <v>108</v>
      </c>
      <c r="D3400" s="0" t="n">
        <v>-8</v>
      </c>
      <c r="E3400" s="5" t="n">
        <v>45984.6919097222</v>
      </c>
      <c r="F3400" s="0" t="n">
        <v>3.75</v>
      </c>
      <c r="G3400" s="0" t="n">
        <v>17156</v>
      </c>
      <c r="H3400" s="6" t="s">
        <v>74</v>
      </c>
      <c r="I3400" s="6" t="n">
        <f aca="false">D3400*F3400</f>
        <v>-30</v>
      </c>
      <c r="J3400" s="6" t="n">
        <f aca="false">HOUR(E3400)</f>
        <v>16</v>
      </c>
      <c r="K3400" s="6" t="n">
        <f aca="false">IF(COUNTIF($A$2:$A3400,A3400)=1,1,0)</f>
        <v>0</v>
      </c>
    </row>
    <row r="3401" customFormat="false" ht="15" hidden="false" customHeight="false" outlineLevel="0" collapsed="false">
      <c r="A3401" s="0" t="s">
        <v>745</v>
      </c>
      <c r="B3401" s="0" t="s">
        <v>118</v>
      </c>
      <c r="C3401" s="0" t="s">
        <v>119</v>
      </c>
      <c r="D3401" s="0" t="n">
        <v>-20</v>
      </c>
      <c r="E3401" s="5" t="n">
        <v>45984.6919097222</v>
      </c>
      <c r="F3401" s="0" t="n">
        <v>4.95</v>
      </c>
      <c r="G3401" s="0" t="n">
        <v>17156</v>
      </c>
      <c r="H3401" s="6" t="s">
        <v>74</v>
      </c>
      <c r="I3401" s="6" t="n">
        <f aca="false">D3401*F3401</f>
        <v>-99</v>
      </c>
      <c r="J3401" s="6" t="n">
        <f aca="false">HOUR(E3401)</f>
        <v>16</v>
      </c>
      <c r="K3401" s="6" t="n">
        <f aca="false">IF(COUNTIF($A$2:$A3401,A3401)=1,1,0)</f>
        <v>0</v>
      </c>
    </row>
    <row r="3402" customFormat="false" ht="15" hidden="false" customHeight="false" outlineLevel="0" collapsed="false">
      <c r="A3402" s="0" t="s">
        <v>745</v>
      </c>
      <c r="B3402" s="0" t="s">
        <v>65</v>
      </c>
      <c r="C3402" s="0" t="s">
        <v>66</v>
      </c>
      <c r="D3402" s="0" t="n">
        <v>-8</v>
      </c>
      <c r="E3402" s="5" t="n">
        <v>45984.6919097222</v>
      </c>
      <c r="F3402" s="0" t="n">
        <v>1.65</v>
      </c>
      <c r="G3402" s="0" t="n">
        <v>17156</v>
      </c>
      <c r="H3402" s="6" t="s">
        <v>74</v>
      </c>
      <c r="I3402" s="6" t="n">
        <f aca="false">D3402*F3402</f>
        <v>-13.2</v>
      </c>
      <c r="J3402" s="6" t="n">
        <f aca="false">HOUR(E3402)</f>
        <v>16</v>
      </c>
      <c r="K3402" s="6" t="n">
        <f aca="false">IF(COUNTIF($A$2:$A3402,A3402)=1,1,0)</f>
        <v>0</v>
      </c>
    </row>
    <row r="3403" customFormat="false" ht="15" hidden="false" customHeight="false" outlineLevel="0" collapsed="false">
      <c r="A3403" s="0" t="s">
        <v>746</v>
      </c>
      <c r="B3403" s="0" t="s">
        <v>59</v>
      </c>
      <c r="C3403" s="0" t="s">
        <v>60</v>
      </c>
      <c r="D3403" s="0" t="n">
        <v>10</v>
      </c>
      <c r="E3403" s="5" t="n">
        <v>45984.8291435185</v>
      </c>
      <c r="F3403" s="0" t="n">
        <v>0.42</v>
      </c>
      <c r="G3403" s="0" t="n">
        <v>17020</v>
      </c>
      <c r="H3403" s="6" t="s">
        <v>208</v>
      </c>
      <c r="I3403" s="6" t="n">
        <f aca="false">D3403*F3403</f>
        <v>4.2</v>
      </c>
      <c r="J3403" s="6" t="n">
        <f aca="false">HOUR(E3403)</f>
        <v>19</v>
      </c>
      <c r="K3403" s="6" t="n">
        <f aca="false">IF(COUNTIF($A$2:$A3403,A3403)=1,1,0)</f>
        <v>1</v>
      </c>
    </row>
    <row r="3404" customFormat="false" ht="15" hidden="false" customHeight="false" outlineLevel="0" collapsed="false">
      <c r="A3404" s="0" t="s">
        <v>746</v>
      </c>
      <c r="B3404" s="0" t="s">
        <v>118</v>
      </c>
      <c r="C3404" s="0" t="s">
        <v>119</v>
      </c>
      <c r="D3404" s="0" t="n">
        <v>25</v>
      </c>
      <c r="E3404" s="5" t="n">
        <v>45984.8291435185</v>
      </c>
      <c r="F3404" s="0" t="n">
        <v>4.95</v>
      </c>
      <c r="G3404" s="0" t="n">
        <v>17020</v>
      </c>
      <c r="H3404" s="6" t="s">
        <v>208</v>
      </c>
      <c r="I3404" s="6" t="n">
        <f aca="false">D3404*F3404</f>
        <v>123.75</v>
      </c>
      <c r="J3404" s="6" t="n">
        <f aca="false">HOUR(E3404)</f>
        <v>19</v>
      </c>
      <c r="K3404" s="6" t="n">
        <f aca="false">IF(COUNTIF($A$2:$A3404,A3404)=1,1,0)</f>
        <v>0</v>
      </c>
    </row>
    <row r="3405" customFormat="false" ht="15" hidden="false" customHeight="false" outlineLevel="0" collapsed="false">
      <c r="A3405" s="0" t="s">
        <v>746</v>
      </c>
      <c r="B3405" s="0" t="s">
        <v>40</v>
      </c>
      <c r="C3405" s="0" t="s">
        <v>41</v>
      </c>
      <c r="D3405" s="0" t="n">
        <v>22</v>
      </c>
      <c r="E3405" s="5" t="n">
        <v>45984.8291435185</v>
      </c>
      <c r="F3405" s="0" t="n">
        <v>1.06</v>
      </c>
      <c r="G3405" s="0" t="n">
        <v>17020</v>
      </c>
      <c r="H3405" s="6" t="s">
        <v>208</v>
      </c>
      <c r="I3405" s="6" t="n">
        <f aca="false">D3405*F3405</f>
        <v>23.32</v>
      </c>
      <c r="J3405" s="6" t="n">
        <f aca="false">HOUR(E3405)</f>
        <v>19</v>
      </c>
      <c r="K3405" s="6" t="n">
        <f aca="false">IF(COUNTIF($A$2:$A3405,A3405)=1,1,0)</f>
        <v>0</v>
      </c>
    </row>
    <row r="3406" customFormat="false" ht="15" hidden="false" customHeight="false" outlineLevel="0" collapsed="false">
      <c r="A3406" s="0" t="s">
        <v>746</v>
      </c>
      <c r="B3406" s="0" t="s">
        <v>91</v>
      </c>
      <c r="C3406" s="0" t="s">
        <v>92</v>
      </c>
      <c r="D3406" s="0" t="n">
        <v>13</v>
      </c>
      <c r="E3406" s="5" t="n">
        <v>45984.8291435185</v>
      </c>
      <c r="F3406" s="0" t="n">
        <v>7.65</v>
      </c>
      <c r="G3406" s="0" t="n">
        <v>17020</v>
      </c>
      <c r="H3406" s="6" t="s">
        <v>208</v>
      </c>
      <c r="I3406" s="6" t="n">
        <f aca="false">D3406*F3406</f>
        <v>99.45</v>
      </c>
      <c r="J3406" s="6" t="n">
        <f aca="false">HOUR(E3406)</f>
        <v>19</v>
      </c>
      <c r="K3406" s="6" t="n">
        <f aca="false">IF(COUNTIF($A$2:$A3406,A3406)=1,1,0)</f>
        <v>0</v>
      </c>
    </row>
    <row r="3407" customFormat="false" ht="15" hidden="false" customHeight="false" outlineLevel="0" collapsed="false">
      <c r="A3407" s="0" t="s">
        <v>746</v>
      </c>
      <c r="B3407" s="0" t="s">
        <v>93</v>
      </c>
      <c r="C3407" s="0" t="s">
        <v>94</v>
      </c>
      <c r="D3407" s="0" t="n">
        <v>15</v>
      </c>
      <c r="E3407" s="5" t="n">
        <v>45984.8291435185</v>
      </c>
      <c r="F3407" s="0" t="n">
        <v>1.69</v>
      </c>
      <c r="G3407" s="0" t="n">
        <v>17020</v>
      </c>
      <c r="H3407" s="6" t="s">
        <v>208</v>
      </c>
      <c r="I3407" s="6" t="n">
        <f aca="false">D3407*F3407</f>
        <v>25.35</v>
      </c>
      <c r="J3407" s="6" t="n">
        <f aca="false">HOUR(E3407)</f>
        <v>19</v>
      </c>
      <c r="K3407" s="6" t="n">
        <f aca="false">IF(COUNTIF($A$2:$A3407,A3407)=1,1,0)</f>
        <v>0</v>
      </c>
    </row>
    <row r="3408" customFormat="false" ht="15" hidden="false" customHeight="false" outlineLevel="0" collapsed="false">
      <c r="A3408" s="0" t="s">
        <v>746</v>
      </c>
      <c r="B3408" s="0" t="s">
        <v>114</v>
      </c>
      <c r="C3408" s="0" t="s">
        <v>115</v>
      </c>
      <c r="D3408" s="0" t="n">
        <v>7</v>
      </c>
      <c r="E3408" s="5" t="n">
        <v>45984.8291435185</v>
      </c>
      <c r="F3408" s="0" t="n">
        <v>2.08</v>
      </c>
      <c r="G3408" s="0" t="n">
        <v>17020</v>
      </c>
      <c r="H3408" s="6" t="s">
        <v>208</v>
      </c>
      <c r="I3408" s="6" t="n">
        <f aca="false">D3408*F3408</f>
        <v>14.56</v>
      </c>
      <c r="J3408" s="6" t="n">
        <f aca="false">HOUR(E3408)</f>
        <v>19</v>
      </c>
      <c r="K3408" s="6" t="n">
        <f aca="false">IF(COUNTIF($A$2:$A3408,A3408)=1,1,0)</f>
        <v>0</v>
      </c>
    </row>
    <row r="3409" customFormat="false" ht="15" hidden="false" customHeight="false" outlineLevel="0" collapsed="false">
      <c r="A3409" s="0" t="s">
        <v>746</v>
      </c>
      <c r="B3409" s="0" t="s">
        <v>72</v>
      </c>
      <c r="C3409" s="0" t="s">
        <v>73</v>
      </c>
      <c r="D3409" s="0" t="n">
        <v>32</v>
      </c>
      <c r="E3409" s="5" t="n">
        <v>45984.8291435185</v>
      </c>
      <c r="F3409" s="0" t="n">
        <v>4.95</v>
      </c>
      <c r="G3409" s="0" t="n">
        <v>17020</v>
      </c>
      <c r="H3409" s="6" t="s">
        <v>208</v>
      </c>
      <c r="I3409" s="6" t="n">
        <f aca="false">D3409*F3409</f>
        <v>158.4</v>
      </c>
      <c r="J3409" s="6" t="n">
        <f aca="false">HOUR(E3409)</f>
        <v>19</v>
      </c>
      <c r="K3409" s="6" t="n">
        <f aca="false">IF(COUNTIF($A$2:$A3409,A3409)=1,1,0)</f>
        <v>0</v>
      </c>
    </row>
    <row r="3410" customFormat="false" ht="15" hidden="false" customHeight="false" outlineLevel="0" collapsed="false">
      <c r="A3410" s="0" t="s">
        <v>747</v>
      </c>
      <c r="B3410" s="0" t="s">
        <v>137</v>
      </c>
      <c r="D3410" s="0" t="n">
        <v>24</v>
      </c>
      <c r="E3410" s="5" t="n">
        <v>45984.9671643519</v>
      </c>
      <c r="F3410" s="0" t="n">
        <v>2.1</v>
      </c>
      <c r="G3410" s="0" t="n">
        <v>17111</v>
      </c>
      <c r="H3410" s="6" t="s">
        <v>74</v>
      </c>
      <c r="I3410" s="6" t="n">
        <f aca="false">D3410*F3410</f>
        <v>50.4</v>
      </c>
      <c r="J3410" s="6" t="n">
        <f aca="false">HOUR(E3410)</f>
        <v>23</v>
      </c>
      <c r="K3410" s="6" t="n">
        <f aca="false">IF(COUNTIF($A$2:$A3410,A3410)=1,1,0)</f>
        <v>1</v>
      </c>
    </row>
    <row r="3411" customFormat="false" ht="15" hidden="false" customHeight="false" outlineLevel="0" collapsed="false">
      <c r="A3411" s="0" t="s">
        <v>747</v>
      </c>
      <c r="B3411" s="0" t="s">
        <v>69</v>
      </c>
      <c r="C3411" s="0" t="s">
        <v>70</v>
      </c>
      <c r="D3411" s="0" t="n">
        <v>17</v>
      </c>
      <c r="E3411" s="5" t="n">
        <v>45984.9671643519</v>
      </c>
      <c r="F3411" s="0" t="n">
        <v>2.08</v>
      </c>
      <c r="G3411" s="0" t="n">
        <v>17111</v>
      </c>
      <c r="H3411" s="6" t="s">
        <v>74</v>
      </c>
      <c r="I3411" s="6" t="n">
        <f aca="false">D3411*F3411</f>
        <v>35.36</v>
      </c>
      <c r="J3411" s="6" t="n">
        <f aca="false">HOUR(E3411)</f>
        <v>23</v>
      </c>
      <c r="K3411" s="6" t="n">
        <f aca="false">IF(COUNTIF($A$2:$A3411,A3411)=1,1,0)</f>
        <v>0</v>
      </c>
    </row>
    <row r="3412" customFormat="false" ht="15" hidden="false" customHeight="false" outlineLevel="0" collapsed="false">
      <c r="A3412" s="0" t="s">
        <v>747</v>
      </c>
      <c r="B3412" s="0" t="s">
        <v>55</v>
      </c>
      <c r="C3412" s="0" t="s">
        <v>56</v>
      </c>
      <c r="D3412" s="0" t="n">
        <v>22</v>
      </c>
      <c r="E3412" s="5" t="n">
        <v>45984.9671643519</v>
      </c>
      <c r="F3412" s="0" t="n">
        <v>1.65</v>
      </c>
      <c r="G3412" s="0" t="n">
        <v>17111</v>
      </c>
      <c r="H3412" s="6" t="s">
        <v>74</v>
      </c>
      <c r="I3412" s="6" t="n">
        <f aca="false">D3412*F3412</f>
        <v>36.3</v>
      </c>
      <c r="J3412" s="6" t="n">
        <f aca="false">HOUR(E3412)</f>
        <v>23</v>
      </c>
      <c r="K3412" s="6" t="n">
        <f aca="false">IF(COUNTIF($A$2:$A3412,A3412)=1,1,0)</f>
        <v>0</v>
      </c>
    </row>
    <row r="3413" customFormat="false" ht="15" hidden="false" customHeight="false" outlineLevel="0" collapsed="false">
      <c r="A3413" s="0" t="s">
        <v>747</v>
      </c>
      <c r="B3413" s="0" t="s">
        <v>99</v>
      </c>
      <c r="C3413" s="0" t="s">
        <v>100</v>
      </c>
      <c r="D3413" s="0" t="n">
        <v>5</v>
      </c>
      <c r="E3413" s="5" t="n">
        <v>45984.9671643519</v>
      </c>
      <c r="F3413" s="0" t="n">
        <v>2.08</v>
      </c>
      <c r="G3413" s="0" t="n">
        <v>17111</v>
      </c>
      <c r="H3413" s="6" t="s">
        <v>74</v>
      </c>
      <c r="I3413" s="6" t="n">
        <f aca="false">D3413*F3413</f>
        <v>10.4</v>
      </c>
      <c r="J3413" s="6" t="n">
        <f aca="false">HOUR(E3413)</f>
        <v>23</v>
      </c>
      <c r="K3413" s="6" t="n">
        <f aca="false">IF(COUNTIF($A$2:$A3413,A3413)=1,1,0)</f>
        <v>0</v>
      </c>
    </row>
    <row r="3414" customFormat="false" ht="15" hidden="false" customHeight="false" outlineLevel="0" collapsed="false">
      <c r="A3414" s="0" t="s">
        <v>747</v>
      </c>
      <c r="B3414" s="0" t="s">
        <v>53</v>
      </c>
      <c r="C3414" s="0" t="s">
        <v>54</v>
      </c>
      <c r="D3414" s="0" t="n">
        <v>22</v>
      </c>
      <c r="E3414" s="5" t="n">
        <v>45984.9671643519</v>
      </c>
      <c r="F3414" s="0" t="n">
        <v>2.95</v>
      </c>
      <c r="G3414" s="0" t="n">
        <v>17111</v>
      </c>
      <c r="H3414" s="6" t="s">
        <v>74</v>
      </c>
      <c r="I3414" s="6" t="n">
        <f aca="false">D3414*F3414</f>
        <v>64.9</v>
      </c>
      <c r="J3414" s="6" t="n">
        <f aca="false">HOUR(E3414)</f>
        <v>23</v>
      </c>
      <c r="K3414" s="6" t="n">
        <f aca="false">IF(COUNTIF($A$2:$A3414,A3414)=1,1,0)</f>
        <v>0</v>
      </c>
    </row>
    <row r="3415" customFormat="false" ht="15" hidden="false" customHeight="false" outlineLevel="0" collapsed="false">
      <c r="A3415" s="0" t="s">
        <v>747</v>
      </c>
      <c r="B3415" s="0" t="s">
        <v>114</v>
      </c>
      <c r="C3415" s="0" t="s">
        <v>115</v>
      </c>
      <c r="D3415" s="0" t="n">
        <v>16</v>
      </c>
      <c r="E3415" s="5" t="n">
        <v>45984.9671643519</v>
      </c>
      <c r="F3415" s="0" t="n">
        <v>2.08</v>
      </c>
      <c r="G3415" s="0" t="n">
        <v>17111</v>
      </c>
      <c r="H3415" s="6" t="s">
        <v>74</v>
      </c>
      <c r="I3415" s="6" t="n">
        <f aca="false">D3415*F3415</f>
        <v>33.28</v>
      </c>
      <c r="J3415" s="6" t="n">
        <f aca="false">HOUR(E3415)</f>
        <v>23</v>
      </c>
      <c r="K3415" s="6" t="n">
        <f aca="false">IF(COUNTIF($A$2:$A3415,A3415)=1,1,0)</f>
        <v>0</v>
      </c>
    </row>
    <row r="3416" customFormat="false" ht="15" hidden="false" customHeight="false" outlineLevel="0" collapsed="false">
      <c r="A3416" s="0" t="s">
        <v>748</v>
      </c>
      <c r="B3416" s="0" t="s">
        <v>121</v>
      </c>
      <c r="C3416" s="0" t="s">
        <v>122</v>
      </c>
      <c r="D3416" s="0" t="n">
        <v>14</v>
      </c>
      <c r="E3416" s="5" t="n">
        <v>45985.0453819444</v>
      </c>
      <c r="F3416" s="0" t="n">
        <v>2.1</v>
      </c>
      <c r="H3416" s="6" t="s">
        <v>113</v>
      </c>
      <c r="I3416" s="6" t="n">
        <f aca="false">D3416*F3416</f>
        <v>29.4</v>
      </c>
      <c r="J3416" s="6" t="n">
        <f aca="false">HOUR(E3416)</f>
        <v>1</v>
      </c>
      <c r="K3416" s="6" t="n">
        <f aca="false">IF(COUNTIF($A$2:$A3416,A3416)=1,1,0)</f>
        <v>1</v>
      </c>
    </row>
    <row r="3417" customFormat="false" ht="15" hidden="false" customHeight="false" outlineLevel="0" collapsed="false">
      <c r="A3417" s="0" t="s">
        <v>748</v>
      </c>
      <c r="B3417" s="0" t="s">
        <v>61</v>
      </c>
      <c r="C3417" s="0" t="s">
        <v>62</v>
      </c>
      <c r="D3417" s="0" t="n">
        <v>6</v>
      </c>
      <c r="E3417" s="5" t="n">
        <v>45985.0453819444</v>
      </c>
      <c r="F3417" s="0" t="n">
        <v>1.65</v>
      </c>
      <c r="H3417" s="6" t="s">
        <v>113</v>
      </c>
      <c r="I3417" s="6" t="n">
        <f aca="false">D3417*F3417</f>
        <v>9.9</v>
      </c>
      <c r="J3417" s="6" t="n">
        <f aca="false">HOUR(E3417)</f>
        <v>1</v>
      </c>
      <c r="K3417" s="6" t="n">
        <f aca="false">IF(COUNTIF($A$2:$A3417,A3417)=1,1,0)</f>
        <v>0</v>
      </c>
    </row>
    <row r="3418" customFormat="false" ht="15" hidden="false" customHeight="false" outlineLevel="0" collapsed="false">
      <c r="A3418" s="0" t="s">
        <v>748</v>
      </c>
      <c r="B3418" s="0" t="s">
        <v>55</v>
      </c>
      <c r="C3418" s="0" t="s">
        <v>56</v>
      </c>
      <c r="D3418" s="0" t="n">
        <v>14</v>
      </c>
      <c r="E3418" s="5" t="n">
        <v>45985.0453819444</v>
      </c>
      <c r="F3418" s="0" t="n">
        <v>1.65</v>
      </c>
      <c r="H3418" s="6" t="s">
        <v>113</v>
      </c>
      <c r="I3418" s="6" t="n">
        <f aca="false">D3418*F3418</f>
        <v>23.1</v>
      </c>
      <c r="J3418" s="6" t="n">
        <f aca="false">HOUR(E3418)</f>
        <v>1</v>
      </c>
      <c r="K3418" s="6" t="n">
        <f aca="false">IF(COUNTIF($A$2:$A3418,A3418)=1,1,0)</f>
        <v>0</v>
      </c>
    </row>
    <row r="3419" customFormat="false" ht="15" hidden="false" customHeight="false" outlineLevel="0" collapsed="false">
      <c r="A3419" s="0" t="s">
        <v>749</v>
      </c>
      <c r="B3419" s="0" t="s">
        <v>79</v>
      </c>
      <c r="C3419" s="0" t="s">
        <v>80</v>
      </c>
      <c r="D3419" s="0" t="n">
        <v>18</v>
      </c>
      <c r="E3419" s="5" t="n">
        <v>45985.3710300926</v>
      </c>
      <c r="F3419" s="0" t="n">
        <v>3.39</v>
      </c>
      <c r="G3419" s="0" t="n">
        <v>17204</v>
      </c>
      <c r="H3419" s="6" t="s">
        <v>74</v>
      </c>
      <c r="I3419" s="6" t="n">
        <f aca="false">D3419*F3419</f>
        <v>61.02</v>
      </c>
      <c r="J3419" s="6" t="n">
        <f aca="false">HOUR(E3419)</f>
        <v>8</v>
      </c>
      <c r="K3419" s="6" t="n">
        <f aca="false">IF(COUNTIF($A$2:$A3419,A3419)=1,1,0)</f>
        <v>1</v>
      </c>
    </row>
    <row r="3420" customFormat="false" ht="15" hidden="false" customHeight="false" outlineLevel="0" collapsed="false">
      <c r="A3420" s="0" t="s">
        <v>749</v>
      </c>
      <c r="B3420" s="0" t="s">
        <v>86</v>
      </c>
      <c r="C3420" s="0" t="s">
        <v>87</v>
      </c>
      <c r="D3420" s="0" t="n">
        <v>19</v>
      </c>
      <c r="E3420" s="5" t="n">
        <v>45985.3710300926</v>
      </c>
      <c r="F3420" s="0" t="n">
        <v>4.25</v>
      </c>
      <c r="G3420" s="0" t="n">
        <v>17204</v>
      </c>
      <c r="H3420" s="6" t="s">
        <v>74</v>
      </c>
      <c r="I3420" s="6" t="n">
        <f aca="false">D3420*F3420</f>
        <v>80.75</v>
      </c>
      <c r="J3420" s="6" t="n">
        <f aca="false">HOUR(E3420)</f>
        <v>8</v>
      </c>
      <c r="K3420" s="6" t="n">
        <f aca="false">IF(COUNTIF($A$2:$A3420,A3420)=1,1,0)</f>
        <v>0</v>
      </c>
    </row>
    <row r="3421" customFormat="false" ht="15" hidden="false" customHeight="false" outlineLevel="0" collapsed="false">
      <c r="A3421" s="0" t="s">
        <v>749</v>
      </c>
      <c r="B3421" s="0" t="s">
        <v>69</v>
      </c>
      <c r="C3421" s="0" t="s">
        <v>70</v>
      </c>
      <c r="D3421" s="0" t="n">
        <v>20</v>
      </c>
      <c r="E3421" s="5" t="n">
        <v>45985.3710300926</v>
      </c>
      <c r="F3421" s="0" t="n">
        <v>2.08</v>
      </c>
      <c r="G3421" s="0" t="n">
        <v>17204</v>
      </c>
      <c r="H3421" s="6" t="s">
        <v>74</v>
      </c>
      <c r="I3421" s="6" t="n">
        <f aca="false">D3421*F3421</f>
        <v>41.6</v>
      </c>
      <c r="J3421" s="6" t="n">
        <f aca="false">HOUR(E3421)</f>
        <v>8</v>
      </c>
      <c r="K3421" s="6" t="n">
        <f aca="false">IF(COUNTIF($A$2:$A3421,A3421)=1,1,0)</f>
        <v>0</v>
      </c>
    </row>
    <row r="3422" customFormat="false" ht="15" hidden="false" customHeight="false" outlineLevel="0" collapsed="false">
      <c r="A3422" s="0" t="s">
        <v>749</v>
      </c>
      <c r="B3422" s="0" t="s">
        <v>93</v>
      </c>
      <c r="C3422" s="0" t="s">
        <v>94</v>
      </c>
      <c r="D3422" s="0" t="n">
        <v>22</v>
      </c>
      <c r="E3422" s="5" t="n">
        <v>45985.3710300926</v>
      </c>
      <c r="F3422" s="0" t="n">
        <v>1.69</v>
      </c>
      <c r="G3422" s="0" t="n">
        <v>17204</v>
      </c>
      <c r="H3422" s="6" t="s">
        <v>74</v>
      </c>
      <c r="I3422" s="6" t="n">
        <f aca="false">D3422*F3422</f>
        <v>37.18</v>
      </c>
      <c r="J3422" s="6" t="n">
        <f aca="false">HOUR(E3422)</f>
        <v>8</v>
      </c>
      <c r="K3422" s="6" t="n">
        <f aca="false">IF(COUNTIF($A$2:$A3422,A3422)=1,1,0)</f>
        <v>0</v>
      </c>
    </row>
    <row r="3423" customFormat="false" ht="15" hidden="false" customHeight="false" outlineLevel="0" collapsed="false">
      <c r="A3423" s="0" t="s">
        <v>749</v>
      </c>
      <c r="B3423" s="0" t="s">
        <v>116</v>
      </c>
      <c r="C3423" s="0" t="s">
        <v>117</v>
      </c>
      <c r="D3423" s="0" t="n">
        <v>11</v>
      </c>
      <c r="E3423" s="5" t="n">
        <v>45985.3710300926</v>
      </c>
      <c r="F3423" s="0" t="n">
        <v>1.95</v>
      </c>
      <c r="G3423" s="0" t="n">
        <v>17204</v>
      </c>
      <c r="H3423" s="6" t="s">
        <v>74</v>
      </c>
      <c r="I3423" s="6" t="n">
        <f aca="false">D3423*F3423</f>
        <v>21.45</v>
      </c>
      <c r="J3423" s="6" t="n">
        <f aca="false">HOUR(E3423)</f>
        <v>8</v>
      </c>
      <c r="K3423" s="6" t="n">
        <f aca="false">IF(COUNTIF($A$2:$A3423,A3423)=1,1,0)</f>
        <v>0</v>
      </c>
    </row>
    <row r="3424" customFormat="false" ht="15" hidden="false" customHeight="false" outlineLevel="0" collapsed="false">
      <c r="A3424" s="0" t="s">
        <v>750</v>
      </c>
      <c r="B3424" s="0" t="s">
        <v>145</v>
      </c>
      <c r="C3424" s="0" t="s">
        <v>146</v>
      </c>
      <c r="D3424" s="0" t="n">
        <v>7</v>
      </c>
      <c r="E3424" s="5" t="n">
        <v>45985.4633217593</v>
      </c>
      <c r="F3424" s="0" t="n">
        <v>1.85</v>
      </c>
      <c r="G3424" s="0" t="n">
        <v>17177</v>
      </c>
      <c r="H3424" s="6" t="s">
        <v>74</v>
      </c>
      <c r="I3424" s="6" t="n">
        <f aca="false">D3424*F3424</f>
        <v>12.95</v>
      </c>
      <c r="J3424" s="6" t="n">
        <f aca="false">HOUR(E3424)</f>
        <v>11</v>
      </c>
      <c r="K3424" s="6" t="n">
        <f aca="false">IF(COUNTIF($A$2:$A3424,A3424)=1,1,0)</f>
        <v>1</v>
      </c>
    </row>
    <row r="3425" customFormat="false" ht="15" hidden="false" customHeight="false" outlineLevel="0" collapsed="false">
      <c r="A3425" s="0" t="s">
        <v>750</v>
      </c>
      <c r="B3425" s="0" t="s">
        <v>79</v>
      </c>
      <c r="C3425" s="0" t="s">
        <v>80</v>
      </c>
      <c r="D3425" s="0" t="n">
        <v>9</v>
      </c>
      <c r="E3425" s="5" t="n">
        <v>45985.4633217593</v>
      </c>
      <c r="F3425" s="0" t="n">
        <v>3.39</v>
      </c>
      <c r="G3425" s="0" t="n">
        <v>17177</v>
      </c>
      <c r="H3425" s="6" t="s">
        <v>74</v>
      </c>
      <c r="I3425" s="6" t="n">
        <f aca="false">D3425*F3425</f>
        <v>30.51</v>
      </c>
      <c r="J3425" s="6" t="n">
        <f aca="false">HOUR(E3425)</f>
        <v>11</v>
      </c>
      <c r="K3425" s="6" t="n">
        <f aca="false">IF(COUNTIF($A$2:$A3425,A3425)=1,1,0)</f>
        <v>0</v>
      </c>
    </row>
    <row r="3426" customFormat="false" ht="15" hidden="false" customHeight="false" outlineLevel="0" collapsed="false">
      <c r="A3426" s="0" t="s">
        <v>750</v>
      </c>
      <c r="B3426" s="0" t="s">
        <v>61</v>
      </c>
      <c r="C3426" s="0" t="s">
        <v>62</v>
      </c>
      <c r="D3426" s="0" t="n">
        <v>9</v>
      </c>
      <c r="E3426" s="5" t="n">
        <v>45985.4633217593</v>
      </c>
      <c r="F3426" s="0" t="n">
        <v>1.65</v>
      </c>
      <c r="G3426" s="0" t="n">
        <v>17177</v>
      </c>
      <c r="H3426" s="6" t="s">
        <v>74</v>
      </c>
      <c r="I3426" s="6" t="n">
        <f aca="false">D3426*F3426</f>
        <v>14.85</v>
      </c>
      <c r="J3426" s="6" t="n">
        <f aca="false">HOUR(E3426)</f>
        <v>11</v>
      </c>
      <c r="K3426" s="6" t="n">
        <f aca="false">IF(COUNTIF($A$2:$A3426,A3426)=1,1,0)</f>
        <v>0</v>
      </c>
    </row>
    <row r="3427" customFormat="false" ht="15" hidden="false" customHeight="false" outlineLevel="0" collapsed="false">
      <c r="A3427" s="0" t="s">
        <v>750</v>
      </c>
      <c r="B3427" s="0" t="s">
        <v>104</v>
      </c>
      <c r="C3427" s="0" t="s">
        <v>105</v>
      </c>
      <c r="D3427" s="0" t="n">
        <v>15</v>
      </c>
      <c r="E3427" s="5" t="n">
        <v>45985.4633217593</v>
      </c>
      <c r="F3427" s="0" t="n">
        <v>1.65</v>
      </c>
      <c r="G3427" s="0" t="n">
        <v>17177</v>
      </c>
      <c r="H3427" s="6" t="s">
        <v>74</v>
      </c>
      <c r="I3427" s="6" t="n">
        <f aca="false">D3427*F3427</f>
        <v>24.75</v>
      </c>
      <c r="J3427" s="6" t="n">
        <f aca="false">HOUR(E3427)</f>
        <v>11</v>
      </c>
      <c r="K3427" s="6" t="n">
        <f aca="false">IF(COUNTIF($A$2:$A3427,A3427)=1,1,0)</f>
        <v>0</v>
      </c>
    </row>
    <row r="3428" customFormat="false" ht="15" hidden="false" customHeight="false" outlineLevel="0" collapsed="false">
      <c r="A3428" s="0" t="s">
        <v>750</v>
      </c>
      <c r="B3428" s="0" t="s">
        <v>43</v>
      </c>
      <c r="C3428" s="0" t="s">
        <v>44</v>
      </c>
      <c r="D3428" s="0" t="n">
        <v>11</v>
      </c>
      <c r="E3428" s="5" t="n">
        <v>45985.4633217593</v>
      </c>
      <c r="F3428" s="0" t="n">
        <v>4.25</v>
      </c>
      <c r="G3428" s="0" t="n">
        <v>17177</v>
      </c>
      <c r="H3428" s="6" t="s">
        <v>74</v>
      </c>
      <c r="I3428" s="6" t="n">
        <f aca="false">D3428*F3428</f>
        <v>46.75</v>
      </c>
      <c r="J3428" s="6" t="n">
        <f aca="false">HOUR(E3428)</f>
        <v>11</v>
      </c>
      <c r="K3428" s="6" t="n">
        <f aca="false">IF(COUNTIF($A$2:$A3428,A3428)=1,1,0)</f>
        <v>0</v>
      </c>
    </row>
    <row r="3429" customFormat="false" ht="15" hidden="false" customHeight="false" outlineLevel="0" collapsed="false">
      <c r="A3429" s="0" t="s">
        <v>750</v>
      </c>
      <c r="B3429" s="0" t="s">
        <v>109</v>
      </c>
      <c r="C3429" s="0" t="s">
        <v>110</v>
      </c>
      <c r="D3429" s="0" t="n">
        <v>11</v>
      </c>
      <c r="E3429" s="5" t="n">
        <v>45985.4633217593</v>
      </c>
      <c r="F3429" s="0" t="n">
        <v>0.85</v>
      </c>
      <c r="G3429" s="0" t="n">
        <v>17177</v>
      </c>
      <c r="H3429" s="6" t="s">
        <v>74</v>
      </c>
      <c r="I3429" s="6" t="n">
        <f aca="false">D3429*F3429</f>
        <v>9.35</v>
      </c>
      <c r="J3429" s="6" t="n">
        <f aca="false">HOUR(E3429)</f>
        <v>11</v>
      </c>
      <c r="K3429" s="6" t="n">
        <f aca="false">IF(COUNTIF($A$2:$A3429,A3429)=1,1,0)</f>
        <v>0</v>
      </c>
    </row>
    <row r="3430" customFormat="false" ht="15" hidden="false" customHeight="false" outlineLevel="0" collapsed="false">
      <c r="A3430" s="0" t="s">
        <v>750</v>
      </c>
      <c r="B3430" s="0" t="s">
        <v>83</v>
      </c>
      <c r="C3430" s="0" t="s">
        <v>84</v>
      </c>
      <c r="D3430" s="0" t="n">
        <v>14</v>
      </c>
      <c r="E3430" s="5" t="n">
        <v>45985.4633217593</v>
      </c>
      <c r="F3430" s="0" t="n">
        <v>2.95</v>
      </c>
      <c r="G3430" s="0" t="n">
        <v>17177</v>
      </c>
      <c r="H3430" s="6" t="s">
        <v>74</v>
      </c>
      <c r="I3430" s="6" t="n">
        <f aca="false">D3430*F3430</f>
        <v>41.3</v>
      </c>
      <c r="J3430" s="6" t="n">
        <f aca="false">HOUR(E3430)</f>
        <v>11</v>
      </c>
      <c r="K3430" s="6" t="n">
        <f aca="false">IF(COUNTIF($A$2:$A3430,A3430)=1,1,0)</f>
        <v>0</v>
      </c>
    </row>
    <row r="3431" customFormat="false" ht="15" hidden="false" customHeight="false" outlineLevel="0" collapsed="false">
      <c r="A3431" s="0" t="s">
        <v>751</v>
      </c>
      <c r="B3431" s="0" t="s">
        <v>81</v>
      </c>
      <c r="C3431" s="0" t="s">
        <v>82</v>
      </c>
      <c r="D3431" s="0" t="n">
        <v>22</v>
      </c>
      <c r="E3431" s="5" t="n">
        <v>45985.5352546296</v>
      </c>
      <c r="F3431" s="0" t="n">
        <v>1.65</v>
      </c>
      <c r="H3431" s="6" t="s">
        <v>208</v>
      </c>
      <c r="I3431" s="6" t="n">
        <f aca="false">D3431*F3431</f>
        <v>36.3</v>
      </c>
      <c r="J3431" s="6" t="n">
        <f aca="false">HOUR(E3431)</f>
        <v>12</v>
      </c>
      <c r="K3431" s="6" t="n">
        <f aca="false">IF(COUNTIF($A$2:$A3431,A3431)=1,1,0)</f>
        <v>1</v>
      </c>
    </row>
    <row r="3432" customFormat="false" ht="15" hidden="false" customHeight="false" outlineLevel="0" collapsed="false">
      <c r="A3432" s="0" t="s">
        <v>751</v>
      </c>
      <c r="B3432" s="0" t="s">
        <v>69</v>
      </c>
      <c r="C3432" s="0" t="s">
        <v>70</v>
      </c>
      <c r="D3432" s="0" t="n">
        <v>35</v>
      </c>
      <c r="E3432" s="5" t="n">
        <v>45985.5352546296</v>
      </c>
      <c r="F3432" s="0" t="n">
        <v>2.08</v>
      </c>
      <c r="H3432" s="6" t="s">
        <v>208</v>
      </c>
      <c r="I3432" s="6" t="n">
        <f aca="false">D3432*F3432</f>
        <v>72.8</v>
      </c>
      <c r="J3432" s="6" t="n">
        <f aca="false">HOUR(E3432)</f>
        <v>12</v>
      </c>
      <c r="K3432" s="6" t="n">
        <f aca="false">IF(COUNTIF($A$2:$A3432,A3432)=1,1,0)</f>
        <v>0</v>
      </c>
    </row>
    <row r="3433" customFormat="false" ht="15" hidden="false" customHeight="false" outlineLevel="0" collapsed="false">
      <c r="A3433" s="0" t="s">
        <v>752</v>
      </c>
      <c r="B3433" s="0" t="s">
        <v>131</v>
      </c>
      <c r="C3433" s="0" t="s">
        <v>132</v>
      </c>
      <c r="D3433" s="0" t="n">
        <v>8</v>
      </c>
      <c r="E3433" s="5" t="n">
        <v>45985.5353703704</v>
      </c>
      <c r="F3433" s="0" t="n">
        <v>3.39</v>
      </c>
      <c r="G3433" s="0" t="n">
        <v>17064</v>
      </c>
      <c r="H3433" s="6" t="s">
        <v>42</v>
      </c>
      <c r="I3433" s="6" t="n">
        <f aca="false">D3433*F3433</f>
        <v>27.12</v>
      </c>
      <c r="J3433" s="6" t="n">
        <f aca="false">HOUR(E3433)</f>
        <v>12</v>
      </c>
      <c r="K3433" s="6" t="n">
        <f aca="false">IF(COUNTIF($A$2:$A3433,A3433)=1,1,0)</f>
        <v>1</v>
      </c>
    </row>
    <row r="3434" customFormat="false" ht="15" hidden="false" customHeight="false" outlineLevel="0" collapsed="false">
      <c r="A3434" s="0" t="s">
        <v>752</v>
      </c>
      <c r="B3434" s="0" t="s">
        <v>95</v>
      </c>
      <c r="C3434" s="0" t="s">
        <v>96</v>
      </c>
      <c r="D3434" s="0" t="n">
        <v>41</v>
      </c>
      <c r="E3434" s="5" t="n">
        <v>45985.5353703704</v>
      </c>
      <c r="F3434" s="0" t="n">
        <v>2.55</v>
      </c>
      <c r="G3434" s="0" t="n">
        <v>17064</v>
      </c>
      <c r="H3434" s="6" t="s">
        <v>42</v>
      </c>
      <c r="I3434" s="6" t="n">
        <f aca="false">D3434*F3434</f>
        <v>104.55</v>
      </c>
      <c r="J3434" s="6" t="n">
        <f aca="false">HOUR(E3434)</f>
        <v>12</v>
      </c>
      <c r="K3434" s="6" t="n">
        <f aca="false">IF(COUNTIF($A$2:$A3434,A3434)=1,1,0)</f>
        <v>0</v>
      </c>
    </row>
    <row r="3435" customFormat="false" ht="15" hidden="false" customHeight="false" outlineLevel="0" collapsed="false">
      <c r="A3435" s="0" t="s">
        <v>752</v>
      </c>
      <c r="B3435" s="0" t="s">
        <v>69</v>
      </c>
      <c r="C3435" s="0" t="s">
        <v>70</v>
      </c>
      <c r="D3435" s="0" t="n">
        <v>7</v>
      </c>
      <c r="E3435" s="5" t="n">
        <v>45985.5353703704</v>
      </c>
      <c r="F3435" s="0" t="n">
        <v>2.08</v>
      </c>
      <c r="G3435" s="0" t="n">
        <v>17064</v>
      </c>
      <c r="H3435" s="6" t="s">
        <v>42</v>
      </c>
      <c r="I3435" s="6" t="n">
        <f aca="false">D3435*F3435</f>
        <v>14.56</v>
      </c>
      <c r="J3435" s="6" t="n">
        <f aca="false">HOUR(E3435)</f>
        <v>12</v>
      </c>
      <c r="K3435" s="6" t="n">
        <f aca="false">IF(COUNTIF($A$2:$A3435,A3435)=1,1,0)</f>
        <v>0</v>
      </c>
    </row>
    <row r="3436" customFormat="false" ht="15" hidden="false" customHeight="false" outlineLevel="0" collapsed="false">
      <c r="A3436" s="0" t="s">
        <v>752</v>
      </c>
      <c r="B3436" s="0" t="s">
        <v>50</v>
      </c>
      <c r="C3436" s="0" t="s">
        <v>51</v>
      </c>
      <c r="D3436" s="0" t="n">
        <v>9</v>
      </c>
      <c r="E3436" s="5" t="n">
        <v>45985.5353703704</v>
      </c>
      <c r="F3436" s="0" t="n">
        <v>5.95</v>
      </c>
      <c r="G3436" s="0" t="n">
        <v>17064</v>
      </c>
      <c r="H3436" s="6" t="s">
        <v>42</v>
      </c>
      <c r="I3436" s="6" t="n">
        <f aca="false">D3436*F3436</f>
        <v>53.55</v>
      </c>
      <c r="J3436" s="6" t="n">
        <f aca="false">HOUR(E3436)</f>
        <v>12</v>
      </c>
      <c r="K3436" s="6" t="n">
        <f aca="false">IF(COUNTIF($A$2:$A3436,A3436)=1,1,0)</f>
        <v>0</v>
      </c>
    </row>
    <row r="3437" customFormat="false" ht="15" hidden="false" customHeight="false" outlineLevel="0" collapsed="false">
      <c r="A3437" s="0" t="s">
        <v>753</v>
      </c>
      <c r="B3437" s="0" t="s">
        <v>86</v>
      </c>
      <c r="C3437" s="0" t="s">
        <v>87</v>
      </c>
      <c r="D3437" s="0" t="n">
        <v>6</v>
      </c>
      <c r="E3437" s="5" t="n">
        <v>45985.5396990741</v>
      </c>
      <c r="F3437" s="0" t="n">
        <v>4.25</v>
      </c>
      <c r="G3437" s="0" t="n">
        <v>17039</v>
      </c>
      <c r="H3437" s="6" t="s">
        <v>74</v>
      </c>
      <c r="I3437" s="6" t="n">
        <f aca="false">D3437*F3437</f>
        <v>25.5</v>
      </c>
      <c r="J3437" s="6" t="n">
        <f aca="false">HOUR(E3437)</f>
        <v>12</v>
      </c>
      <c r="K3437" s="6" t="n">
        <f aca="false">IF(COUNTIF($A$2:$A3437,A3437)=1,1,0)</f>
        <v>1</v>
      </c>
    </row>
    <row r="3438" customFormat="false" ht="15" hidden="false" customHeight="false" outlineLevel="0" collapsed="false">
      <c r="A3438" s="0" t="s">
        <v>753</v>
      </c>
      <c r="B3438" s="0" t="s">
        <v>65</v>
      </c>
      <c r="C3438" s="0" t="s">
        <v>66</v>
      </c>
      <c r="D3438" s="0" t="n">
        <v>15</v>
      </c>
      <c r="E3438" s="5" t="n">
        <v>45985.5396990741</v>
      </c>
      <c r="F3438" s="0" t="n">
        <v>1.65</v>
      </c>
      <c r="G3438" s="0" t="n">
        <v>17039</v>
      </c>
      <c r="H3438" s="6" t="s">
        <v>74</v>
      </c>
      <c r="I3438" s="6" t="n">
        <f aca="false">D3438*F3438</f>
        <v>24.75</v>
      </c>
      <c r="J3438" s="6" t="n">
        <f aca="false">HOUR(E3438)</f>
        <v>12</v>
      </c>
      <c r="K3438" s="6" t="n">
        <f aca="false">IF(COUNTIF($A$2:$A3438,A3438)=1,1,0)</f>
        <v>0</v>
      </c>
    </row>
    <row r="3439" customFormat="false" ht="15" hidden="false" customHeight="false" outlineLevel="0" collapsed="false">
      <c r="A3439" s="0" t="s">
        <v>754</v>
      </c>
      <c r="B3439" s="0" t="s">
        <v>55</v>
      </c>
      <c r="C3439" s="0" t="s">
        <v>56</v>
      </c>
      <c r="D3439" s="0" t="n">
        <v>4</v>
      </c>
      <c r="E3439" s="5" t="n">
        <v>45985.540162037</v>
      </c>
      <c r="F3439" s="0" t="n">
        <v>1.65</v>
      </c>
      <c r="G3439" s="0" t="n">
        <v>17178</v>
      </c>
      <c r="H3439" s="6" t="s">
        <v>74</v>
      </c>
      <c r="I3439" s="6" t="n">
        <f aca="false">D3439*F3439</f>
        <v>6.6</v>
      </c>
      <c r="J3439" s="6" t="n">
        <f aca="false">HOUR(E3439)</f>
        <v>12</v>
      </c>
      <c r="K3439" s="6" t="n">
        <f aca="false">IF(COUNTIF($A$2:$A3439,A3439)=1,1,0)</f>
        <v>1</v>
      </c>
    </row>
    <row r="3440" customFormat="false" ht="15" hidden="false" customHeight="false" outlineLevel="0" collapsed="false">
      <c r="A3440" s="0" t="s">
        <v>754</v>
      </c>
      <c r="B3440" s="0" t="s">
        <v>61</v>
      </c>
      <c r="C3440" s="0" t="s">
        <v>62</v>
      </c>
      <c r="D3440" s="0" t="n">
        <v>5</v>
      </c>
      <c r="E3440" s="5" t="n">
        <v>45985.540162037</v>
      </c>
      <c r="F3440" s="0" t="n">
        <v>1.65</v>
      </c>
      <c r="G3440" s="0" t="n">
        <v>17178</v>
      </c>
      <c r="H3440" s="6" t="s">
        <v>74</v>
      </c>
      <c r="I3440" s="6" t="n">
        <f aca="false">D3440*F3440</f>
        <v>8.25</v>
      </c>
      <c r="J3440" s="6" t="n">
        <f aca="false">HOUR(E3440)</f>
        <v>12</v>
      </c>
      <c r="K3440" s="6" t="n">
        <f aca="false">IF(COUNTIF($A$2:$A3440,A3440)=1,1,0)</f>
        <v>0</v>
      </c>
    </row>
    <row r="3441" customFormat="false" ht="15" hidden="false" customHeight="false" outlineLevel="0" collapsed="false">
      <c r="A3441" s="0" t="s">
        <v>754</v>
      </c>
      <c r="B3441" s="0" t="s">
        <v>83</v>
      </c>
      <c r="C3441" s="0" t="s">
        <v>84</v>
      </c>
      <c r="D3441" s="0" t="n">
        <v>17</v>
      </c>
      <c r="E3441" s="5" t="n">
        <v>45985.540162037</v>
      </c>
      <c r="F3441" s="0" t="n">
        <v>2.95</v>
      </c>
      <c r="G3441" s="0" t="n">
        <v>17178</v>
      </c>
      <c r="H3441" s="6" t="s">
        <v>74</v>
      </c>
      <c r="I3441" s="6" t="n">
        <f aca="false">D3441*F3441</f>
        <v>50.15</v>
      </c>
      <c r="J3441" s="6" t="n">
        <f aca="false">HOUR(E3441)</f>
        <v>12</v>
      </c>
      <c r="K3441" s="6" t="n">
        <f aca="false">IF(COUNTIF($A$2:$A3441,A3441)=1,1,0)</f>
        <v>0</v>
      </c>
    </row>
    <row r="3442" customFormat="false" ht="15" hidden="false" customHeight="false" outlineLevel="0" collapsed="false">
      <c r="A3442" s="0" t="s">
        <v>754</v>
      </c>
      <c r="B3442" s="0" t="s">
        <v>104</v>
      </c>
      <c r="C3442" s="0" t="s">
        <v>105</v>
      </c>
      <c r="D3442" s="0" t="n">
        <v>18</v>
      </c>
      <c r="E3442" s="5" t="n">
        <v>45985.540162037</v>
      </c>
      <c r="F3442" s="0" t="n">
        <v>1.65</v>
      </c>
      <c r="G3442" s="0" t="n">
        <v>17178</v>
      </c>
      <c r="H3442" s="6" t="s">
        <v>74</v>
      </c>
      <c r="I3442" s="6" t="n">
        <f aca="false">D3442*F3442</f>
        <v>29.7</v>
      </c>
      <c r="J3442" s="6" t="n">
        <f aca="false">HOUR(E3442)</f>
        <v>12</v>
      </c>
      <c r="K3442" s="6" t="n">
        <f aca="false">IF(COUNTIF($A$2:$A3442,A3442)=1,1,0)</f>
        <v>0</v>
      </c>
    </row>
    <row r="3443" customFormat="false" ht="15" hidden="false" customHeight="false" outlineLevel="0" collapsed="false">
      <c r="A3443" s="0" t="s">
        <v>754</v>
      </c>
      <c r="B3443" s="0" t="s">
        <v>137</v>
      </c>
      <c r="C3443" s="0" t="s">
        <v>138</v>
      </c>
      <c r="D3443" s="0" t="n">
        <v>1</v>
      </c>
      <c r="E3443" s="5" t="n">
        <v>45985.540162037</v>
      </c>
      <c r="F3443" s="0" t="n">
        <v>2.1</v>
      </c>
      <c r="G3443" s="0" t="n">
        <v>17178</v>
      </c>
      <c r="H3443" s="6" t="s">
        <v>74</v>
      </c>
      <c r="I3443" s="6" t="n">
        <f aca="false">D3443*F3443</f>
        <v>2.1</v>
      </c>
      <c r="J3443" s="6" t="n">
        <f aca="false">HOUR(E3443)</f>
        <v>12</v>
      </c>
      <c r="K3443" s="6" t="n">
        <f aca="false">IF(COUNTIF($A$2:$A3443,A3443)=1,1,0)</f>
        <v>0</v>
      </c>
    </row>
    <row r="3444" customFormat="false" ht="15" hidden="false" customHeight="false" outlineLevel="0" collapsed="false">
      <c r="A3444" s="0" t="s">
        <v>754</v>
      </c>
      <c r="B3444" s="0" t="s">
        <v>127</v>
      </c>
      <c r="C3444" s="0" t="s">
        <v>128</v>
      </c>
      <c r="D3444" s="0" t="n">
        <v>9</v>
      </c>
      <c r="E3444" s="5" t="n">
        <v>45985.540162037</v>
      </c>
      <c r="F3444" s="0" t="n">
        <v>1.45</v>
      </c>
      <c r="G3444" s="0" t="n">
        <v>17178</v>
      </c>
      <c r="H3444" s="6" t="s">
        <v>74</v>
      </c>
      <c r="I3444" s="6" t="n">
        <f aca="false">D3444*F3444</f>
        <v>13.05</v>
      </c>
      <c r="J3444" s="6" t="n">
        <f aca="false">HOUR(E3444)</f>
        <v>12</v>
      </c>
      <c r="K3444" s="6" t="n">
        <f aca="false">IF(COUNTIF($A$2:$A3444,A3444)=1,1,0)</f>
        <v>0</v>
      </c>
    </row>
    <row r="3445" customFormat="false" ht="15" hidden="false" customHeight="false" outlineLevel="0" collapsed="false">
      <c r="A3445" s="0" t="s">
        <v>755</v>
      </c>
      <c r="B3445" s="0" t="s">
        <v>102</v>
      </c>
      <c r="C3445" s="0" t="s">
        <v>103</v>
      </c>
      <c r="D3445" s="0" t="n">
        <v>44</v>
      </c>
      <c r="E3445" s="5" t="n">
        <v>45985.5758912037</v>
      </c>
      <c r="F3445" s="0" t="n">
        <v>8.5</v>
      </c>
      <c r="G3445" s="0" t="n">
        <v>17177</v>
      </c>
      <c r="H3445" s="6" t="s">
        <v>42</v>
      </c>
      <c r="I3445" s="6" t="n">
        <f aca="false">D3445*F3445</f>
        <v>374</v>
      </c>
      <c r="J3445" s="6" t="n">
        <f aca="false">HOUR(E3445)</f>
        <v>13</v>
      </c>
      <c r="K3445" s="6" t="n">
        <f aca="false">IF(COUNTIF($A$2:$A3445,A3445)=1,1,0)</f>
        <v>1</v>
      </c>
    </row>
    <row r="3446" customFormat="false" ht="15" hidden="false" customHeight="false" outlineLevel="0" collapsed="false">
      <c r="A3446" s="0" t="s">
        <v>755</v>
      </c>
      <c r="B3446" s="0" t="s">
        <v>81</v>
      </c>
      <c r="C3446" s="0" t="s">
        <v>82</v>
      </c>
      <c r="D3446" s="0" t="n">
        <v>11</v>
      </c>
      <c r="E3446" s="5" t="n">
        <v>45985.5758912037</v>
      </c>
      <c r="F3446" s="0" t="n">
        <v>1.65</v>
      </c>
      <c r="G3446" s="0" t="n">
        <v>17177</v>
      </c>
      <c r="H3446" s="6" t="s">
        <v>42</v>
      </c>
      <c r="I3446" s="6" t="n">
        <f aca="false">D3446*F3446</f>
        <v>18.15</v>
      </c>
      <c r="J3446" s="6" t="n">
        <f aca="false">HOUR(E3446)</f>
        <v>13</v>
      </c>
      <c r="K3446" s="6" t="n">
        <f aca="false">IF(COUNTIF($A$2:$A3446,A3446)=1,1,0)</f>
        <v>0</v>
      </c>
    </row>
    <row r="3447" customFormat="false" ht="15" hidden="false" customHeight="false" outlineLevel="0" collapsed="false">
      <c r="A3447" s="0" t="s">
        <v>755</v>
      </c>
      <c r="B3447" s="0" t="s">
        <v>114</v>
      </c>
      <c r="C3447" s="0" t="s">
        <v>115</v>
      </c>
      <c r="D3447" s="0" t="n">
        <v>20</v>
      </c>
      <c r="E3447" s="5" t="n">
        <v>45985.5758912037</v>
      </c>
      <c r="F3447" s="0" t="n">
        <v>2.08</v>
      </c>
      <c r="G3447" s="0" t="n">
        <v>17177</v>
      </c>
      <c r="H3447" s="6" t="s">
        <v>42</v>
      </c>
      <c r="I3447" s="6" t="n">
        <f aca="false">D3447*F3447</f>
        <v>41.6</v>
      </c>
      <c r="J3447" s="6" t="n">
        <f aca="false">HOUR(E3447)</f>
        <v>13</v>
      </c>
      <c r="K3447" s="6" t="n">
        <f aca="false">IF(COUNTIF($A$2:$A3447,A3447)=1,1,0)</f>
        <v>0</v>
      </c>
    </row>
    <row r="3448" customFormat="false" ht="15" hidden="false" customHeight="false" outlineLevel="0" collapsed="false">
      <c r="A3448" s="0" t="s">
        <v>755</v>
      </c>
      <c r="B3448" s="0" t="s">
        <v>140</v>
      </c>
      <c r="C3448" s="0" t="s">
        <v>141</v>
      </c>
      <c r="D3448" s="0" t="n">
        <v>11</v>
      </c>
      <c r="E3448" s="5" t="n">
        <v>45985.5758912037</v>
      </c>
      <c r="F3448" s="0" t="n">
        <v>2.08</v>
      </c>
      <c r="G3448" s="0" t="n">
        <v>17177</v>
      </c>
      <c r="H3448" s="6" t="s">
        <v>42</v>
      </c>
      <c r="I3448" s="6" t="n">
        <f aca="false">D3448*F3448</f>
        <v>22.88</v>
      </c>
      <c r="J3448" s="6" t="n">
        <f aca="false">HOUR(E3448)</f>
        <v>13</v>
      </c>
      <c r="K3448" s="6" t="n">
        <f aca="false">IF(COUNTIF($A$2:$A3448,A3448)=1,1,0)</f>
        <v>0</v>
      </c>
    </row>
    <row r="3449" customFormat="false" ht="15" hidden="false" customHeight="false" outlineLevel="0" collapsed="false">
      <c r="A3449" s="0" t="s">
        <v>755</v>
      </c>
      <c r="B3449" s="0" t="s">
        <v>47</v>
      </c>
      <c r="C3449" s="0" t="s">
        <v>48</v>
      </c>
      <c r="D3449" s="0" t="n">
        <v>35</v>
      </c>
      <c r="E3449" s="5" t="n">
        <v>45985.5758912037</v>
      </c>
      <c r="F3449" s="0" t="n">
        <v>12.75</v>
      </c>
      <c r="G3449" s="0" t="n">
        <v>17177</v>
      </c>
      <c r="H3449" s="6" t="s">
        <v>42</v>
      </c>
      <c r="I3449" s="6" t="n">
        <f aca="false">D3449*F3449</f>
        <v>446.25</v>
      </c>
      <c r="J3449" s="6" t="n">
        <f aca="false">HOUR(E3449)</f>
        <v>13</v>
      </c>
      <c r="K3449" s="6" t="n">
        <f aca="false">IF(COUNTIF($A$2:$A3449,A3449)=1,1,0)</f>
        <v>0</v>
      </c>
    </row>
    <row r="3450" customFormat="false" ht="15" hidden="false" customHeight="false" outlineLevel="0" collapsed="false">
      <c r="A3450" s="0" t="s">
        <v>755</v>
      </c>
      <c r="B3450" s="0" t="s">
        <v>116</v>
      </c>
      <c r="C3450" s="0" t="s">
        <v>117</v>
      </c>
      <c r="D3450" s="0" t="n">
        <v>4</v>
      </c>
      <c r="E3450" s="5" t="n">
        <v>45985.5758912037</v>
      </c>
      <c r="F3450" s="0" t="n">
        <v>1.95</v>
      </c>
      <c r="G3450" s="0" t="n">
        <v>17177</v>
      </c>
      <c r="H3450" s="6" t="s">
        <v>42</v>
      </c>
      <c r="I3450" s="6" t="n">
        <f aca="false">D3450*F3450</f>
        <v>7.8</v>
      </c>
      <c r="J3450" s="6" t="n">
        <f aca="false">HOUR(E3450)</f>
        <v>13</v>
      </c>
      <c r="K3450" s="6" t="n">
        <f aca="false">IF(COUNTIF($A$2:$A3450,A3450)=1,1,0)</f>
        <v>0</v>
      </c>
    </row>
    <row r="3451" customFormat="false" ht="15" hidden="false" customHeight="false" outlineLevel="0" collapsed="false">
      <c r="A3451" s="0" t="s">
        <v>755</v>
      </c>
      <c r="B3451" s="0" t="s">
        <v>57</v>
      </c>
      <c r="C3451" s="0" t="s">
        <v>58</v>
      </c>
      <c r="D3451" s="0" t="n">
        <v>21</v>
      </c>
      <c r="E3451" s="5" t="n">
        <v>45985.5758912037</v>
      </c>
      <c r="F3451" s="0" t="n">
        <v>2.08</v>
      </c>
      <c r="G3451" s="0" t="n">
        <v>17177</v>
      </c>
      <c r="H3451" s="6" t="s">
        <v>42</v>
      </c>
      <c r="I3451" s="6" t="n">
        <f aca="false">D3451*F3451</f>
        <v>43.68</v>
      </c>
      <c r="J3451" s="6" t="n">
        <f aca="false">HOUR(E3451)</f>
        <v>13</v>
      </c>
      <c r="K3451" s="6" t="n">
        <f aca="false">IF(COUNTIF($A$2:$A3451,A3451)=1,1,0)</f>
        <v>0</v>
      </c>
    </row>
    <row r="3452" customFormat="false" ht="15" hidden="false" customHeight="false" outlineLevel="0" collapsed="false">
      <c r="A3452" s="0" t="s">
        <v>755</v>
      </c>
      <c r="B3452" s="0" t="s">
        <v>137</v>
      </c>
      <c r="C3452" s="0" t="s">
        <v>138</v>
      </c>
      <c r="D3452" s="0" t="n">
        <v>2</v>
      </c>
      <c r="E3452" s="5" t="n">
        <v>45985.5758912037</v>
      </c>
      <c r="F3452" s="0" t="n">
        <v>2.1</v>
      </c>
      <c r="G3452" s="0" t="n">
        <v>17177</v>
      </c>
      <c r="H3452" s="6" t="s">
        <v>42</v>
      </c>
      <c r="I3452" s="6" t="n">
        <f aca="false">D3452*F3452</f>
        <v>4.2</v>
      </c>
      <c r="J3452" s="6" t="n">
        <f aca="false">HOUR(E3452)</f>
        <v>13</v>
      </c>
      <c r="K3452" s="6" t="n">
        <f aca="false">IF(COUNTIF($A$2:$A3452,A3452)=1,1,0)</f>
        <v>0</v>
      </c>
    </row>
    <row r="3453" customFormat="false" ht="15" hidden="false" customHeight="false" outlineLevel="0" collapsed="false">
      <c r="A3453" s="0" t="s">
        <v>755</v>
      </c>
      <c r="B3453" s="0" t="s">
        <v>121</v>
      </c>
      <c r="C3453" s="0" t="s">
        <v>122</v>
      </c>
      <c r="D3453" s="0" t="n">
        <v>3</v>
      </c>
      <c r="E3453" s="5" t="n">
        <v>45985.5758912037</v>
      </c>
      <c r="F3453" s="0" t="n">
        <v>2.1</v>
      </c>
      <c r="G3453" s="0" t="n">
        <v>17177</v>
      </c>
      <c r="H3453" s="6" t="s">
        <v>42</v>
      </c>
      <c r="I3453" s="6" t="n">
        <f aca="false">D3453*F3453</f>
        <v>6.3</v>
      </c>
      <c r="J3453" s="6" t="n">
        <f aca="false">HOUR(E3453)</f>
        <v>13</v>
      </c>
      <c r="K3453" s="6" t="n">
        <f aca="false">IF(COUNTIF($A$2:$A3453,A3453)=1,1,0)</f>
        <v>0</v>
      </c>
    </row>
    <row r="3454" customFormat="false" ht="15" hidden="false" customHeight="false" outlineLevel="0" collapsed="false">
      <c r="A3454" s="0" t="s">
        <v>756</v>
      </c>
      <c r="B3454" s="0" t="s">
        <v>109</v>
      </c>
      <c r="C3454" s="0" t="s">
        <v>110</v>
      </c>
      <c r="D3454" s="0" t="n">
        <v>15</v>
      </c>
      <c r="E3454" s="5" t="n">
        <v>45985.7066782407</v>
      </c>
      <c r="F3454" s="0" t="n">
        <v>0.85</v>
      </c>
      <c r="G3454" s="0" t="n">
        <v>17070</v>
      </c>
      <c r="H3454" s="6" t="s">
        <v>74</v>
      </c>
      <c r="I3454" s="6" t="n">
        <f aca="false">D3454*F3454</f>
        <v>12.75</v>
      </c>
      <c r="J3454" s="6" t="n">
        <f aca="false">HOUR(E3454)</f>
        <v>16</v>
      </c>
      <c r="K3454" s="6" t="n">
        <f aca="false">IF(COUNTIF($A$2:$A3454,A3454)=1,1,0)</f>
        <v>1</v>
      </c>
    </row>
    <row r="3455" customFormat="false" ht="15" hidden="false" customHeight="false" outlineLevel="0" collapsed="false">
      <c r="A3455" s="0" t="s">
        <v>756</v>
      </c>
      <c r="B3455" s="0" t="s">
        <v>63</v>
      </c>
      <c r="C3455" s="0" t="s">
        <v>64</v>
      </c>
      <c r="D3455" s="0" t="n">
        <v>4</v>
      </c>
      <c r="E3455" s="5" t="n">
        <v>45985.7066782407</v>
      </c>
      <c r="F3455" s="0" t="n">
        <v>1.85</v>
      </c>
      <c r="G3455" s="0" t="n">
        <v>17070</v>
      </c>
      <c r="H3455" s="6" t="s">
        <v>74</v>
      </c>
      <c r="I3455" s="6" t="n">
        <f aca="false">D3455*F3455</f>
        <v>7.4</v>
      </c>
      <c r="J3455" s="6" t="n">
        <f aca="false">HOUR(E3455)</f>
        <v>16</v>
      </c>
      <c r="K3455" s="6" t="n">
        <f aca="false">IF(COUNTIF($A$2:$A3455,A3455)=1,1,0)</f>
        <v>0</v>
      </c>
    </row>
    <row r="3456" customFormat="false" ht="15" hidden="false" customHeight="false" outlineLevel="0" collapsed="false">
      <c r="A3456" s="0" t="s">
        <v>756</v>
      </c>
      <c r="B3456" s="0" t="s">
        <v>131</v>
      </c>
      <c r="C3456" s="0" t="s">
        <v>132</v>
      </c>
      <c r="D3456" s="0" t="n">
        <v>1</v>
      </c>
      <c r="E3456" s="5" t="n">
        <v>45985.7066782407</v>
      </c>
      <c r="F3456" s="0" t="n">
        <v>3.39</v>
      </c>
      <c r="G3456" s="0" t="n">
        <v>17070</v>
      </c>
      <c r="H3456" s="6" t="s">
        <v>74</v>
      </c>
      <c r="I3456" s="6" t="n">
        <f aca="false">D3456*F3456</f>
        <v>3.39</v>
      </c>
      <c r="J3456" s="6" t="n">
        <f aca="false">HOUR(E3456)</f>
        <v>16</v>
      </c>
      <c r="K3456" s="6" t="n">
        <f aca="false">IF(COUNTIF($A$2:$A3456,A3456)=1,1,0)</f>
        <v>0</v>
      </c>
    </row>
    <row r="3457" customFormat="false" ht="15" hidden="false" customHeight="false" outlineLevel="0" collapsed="false">
      <c r="A3457" s="0" t="s">
        <v>756</v>
      </c>
      <c r="B3457" s="0" t="s">
        <v>121</v>
      </c>
      <c r="C3457" s="0" t="s">
        <v>122</v>
      </c>
      <c r="D3457" s="0" t="n">
        <v>21</v>
      </c>
      <c r="E3457" s="5" t="n">
        <v>45985.7066782407</v>
      </c>
      <c r="F3457" s="0" t="n">
        <v>2.1</v>
      </c>
      <c r="G3457" s="0" t="n">
        <v>17070</v>
      </c>
      <c r="H3457" s="6" t="s">
        <v>74</v>
      </c>
      <c r="I3457" s="6" t="n">
        <f aca="false">D3457*F3457</f>
        <v>44.1</v>
      </c>
      <c r="J3457" s="6" t="n">
        <f aca="false">HOUR(E3457)</f>
        <v>16</v>
      </c>
      <c r="K3457" s="6" t="n">
        <f aca="false">IF(COUNTIF($A$2:$A3457,A3457)=1,1,0)</f>
        <v>0</v>
      </c>
    </row>
    <row r="3458" customFormat="false" ht="15" hidden="false" customHeight="false" outlineLevel="0" collapsed="false">
      <c r="A3458" s="0" t="s">
        <v>756</v>
      </c>
      <c r="B3458" s="0" t="s">
        <v>93</v>
      </c>
      <c r="C3458" s="0" t="s">
        <v>94</v>
      </c>
      <c r="D3458" s="0" t="n">
        <v>18</v>
      </c>
      <c r="E3458" s="5" t="n">
        <v>45985.7066782407</v>
      </c>
      <c r="F3458" s="0" t="n">
        <v>1.69</v>
      </c>
      <c r="G3458" s="0" t="n">
        <v>17070</v>
      </c>
      <c r="H3458" s="6" t="s">
        <v>74</v>
      </c>
      <c r="I3458" s="6" t="n">
        <f aca="false">D3458*F3458</f>
        <v>30.42</v>
      </c>
      <c r="J3458" s="6" t="n">
        <f aca="false">HOUR(E3458)</f>
        <v>16</v>
      </c>
      <c r="K3458" s="6" t="n">
        <f aca="false">IF(COUNTIF($A$2:$A3458,A3458)=1,1,0)</f>
        <v>0</v>
      </c>
    </row>
    <row r="3459" customFormat="false" ht="15" hidden="false" customHeight="false" outlineLevel="0" collapsed="false">
      <c r="A3459" s="0" t="s">
        <v>756</v>
      </c>
      <c r="B3459" s="0" t="s">
        <v>127</v>
      </c>
      <c r="C3459" s="0" t="s">
        <v>128</v>
      </c>
      <c r="D3459" s="0" t="n">
        <v>10</v>
      </c>
      <c r="E3459" s="5" t="n">
        <v>45985.7066782407</v>
      </c>
      <c r="F3459" s="0" t="n">
        <v>1.45</v>
      </c>
      <c r="G3459" s="0" t="n">
        <v>17070</v>
      </c>
      <c r="H3459" s="6" t="s">
        <v>74</v>
      </c>
      <c r="I3459" s="6" t="n">
        <f aca="false">D3459*F3459</f>
        <v>14.5</v>
      </c>
      <c r="J3459" s="6" t="n">
        <f aca="false">HOUR(E3459)</f>
        <v>16</v>
      </c>
      <c r="K3459" s="6" t="n">
        <f aca="false">IF(COUNTIF($A$2:$A3459,A3459)=1,1,0)</f>
        <v>0</v>
      </c>
    </row>
    <row r="3460" customFormat="false" ht="15" hidden="false" customHeight="false" outlineLevel="0" collapsed="false">
      <c r="A3460" s="0" t="s">
        <v>756</v>
      </c>
      <c r="B3460" s="0" t="s">
        <v>91</v>
      </c>
      <c r="C3460" s="0" t="s">
        <v>92</v>
      </c>
      <c r="D3460" s="0" t="n">
        <v>18</v>
      </c>
      <c r="E3460" s="5" t="n">
        <v>45985.7066782407</v>
      </c>
      <c r="F3460" s="0" t="n">
        <v>7.65</v>
      </c>
      <c r="G3460" s="0" t="n">
        <v>17070</v>
      </c>
      <c r="H3460" s="6" t="s">
        <v>74</v>
      </c>
      <c r="I3460" s="6" t="n">
        <f aca="false">D3460*F3460</f>
        <v>137.7</v>
      </c>
      <c r="J3460" s="6" t="n">
        <f aca="false">HOUR(E3460)</f>
        <v>16</v>
      </c>
      <c r="K3460" s="6" t="n">
        <f aca="false">IF(COUNTIF($A$2:$A3460,A3460)=1,1,0)</f>
        <v>0</v>
      </c>
    </row>
    <row r="3461" customFormat="false" ht="15" hidden="false" customHeight="false" outlineLevel="0" collapsed="false">
      <c r="A3461" s="0" t="s">
        <v>756</v>
      </c>
      <c r="B3461" s="0" t="s">
        <v>75</v>
      </c>
      <c r="C3461" s="0" t="s">
        <v>76</v>
      </c>
      <c r="D3461" s="0" t="n">
        <v>15</v>
      </c>
      <c r="E3461" s="5" t="n">
        <v>45985.7066782407</v>
      </c>
      <c r="F3461" s="0" t="n">
        <v>3.39</v>
      </c>
      <c r="G3461" s="0" t="n">
        <v>17070</v>
      </c>
      <c r="H3461" s="6" t="s">
        <v>74</v>
      </c>
      <c r="I3461" s="6" t="n">
        <f aca="false">D3461*F3461</f>
        <v>50.85</v>
      </c>
      <c r="J3461" s="6" t="n">
        <f aca="false">HOUR(E3461)</f>
        <v>16</v>
      </c>
      <c r="K3461" s="6" t="n">
        <f aca="false">IF(COUNTIF($A$2:$A3461,A3461)=1,1,0)</f>
        <v>0</v>
      </c>
    </row>
    <row r="3462" customFormat="false" ht="15" hidden="false" customHeight="false" outlineLevel="0" collapsed="false">
      <c r="A3462" s="0" t="s">
        <v>756</v>
      </c>
      <c r="B3462" s="0" t="s">
        <v>69</v>
      </c>
      <c r="D3462" s="0" t="n">
        <v>22</v>
      </c>
      <c r="E3462" s="5" t="n">
        <v>45985.7066782407</v>
      </c>
      <c r="F3462" s="0" t="n">
        <v>2.08</v>
      </c>
      <c r="G3462" s="0" t="n">
        <v>17070</v>
      </c>
      <c r="H3462" s="6" t="s">
        <v>74</v>
      </c>
      <c r="I3462" s="6" t="n">
        <f aca="false">D3462*F3462</f>
        <v>45.76</v>
      </c>
      <c r="J3462" s="6" t="n">
        <f aca="false">HOUR(E3462)</f>
        <v>16</v>
      </c>
      <c r="K3462" s="6" t="n">
        <f aca="false">IF(COUNTIF($A$2:$A3462,A3462)=1,1,0)</f>
        <v>0</v>
      </c>
    </row>
    <row r="3463" customFormat="false" ht="15" hidden="false" customHeight="false" outlineLevel="0" collapsed="false">
      <c r="A3463" s="0" t="s">
        <v>757</v>
      </c>
      <c r="B3463" s="0" t="s">
        <v>99</v>
      </c>
      <c r="C3463" s="0" t="s">
        <v>100</v>
      </c>
      <c r="D3463" s="0" t="n">
        <v>23</v>
      </c>
      <c r="E3463" s="5" t="n">
        <v>45985.7654166667</v>
      </c>
      <c r="F3463" s="0" t="n">
        <v>2.08</v>
      </c>
      <c r="G3463" s="0" t="n">
        <v>17035</v>
      </c>
      <c r="H3463" s="6" t="s">
        <v>98</v>
      </c>
      <c r="I3463" s="6" t="n">
        <f aca="false">D3463*F3463</f>
        <v>47.84</v>
      </c>
      <c r="J3463" s="6" t="n">
        <f aca="false">HOUR(E3463)</f>
        <v>18</v>
      </c>
      <c r="K3463" s="6" t="n">
        <f aca="false">IF(COUNTIF($A$2:$A3463,A3463)=1,1,0)</f>
        <v>1</v>
      </c>
    </row>
    <row r="3464" customFormat="false" ht="15" hidden="false" customHeight="false" outlineLevel="0" collapsed="false">
      <c r="A3464" s="0" t="s">
        <v>757</v>
      </c>
      <c r="B3464" s="0" t="s">
        <v>125</v>
      </c>
      <c r="C3464" s="0" t="s">
        <v>126</v>
      </c>
      <c r="D3464" s="0" t="n">
        <v>20</v>
      </c>
      <c r="E3464" s="5" t="n">
        <v>45985.7654166667</v>
      </c>
      <c r="F3464" s="0" t="n">
        <v>1.25</v>
      </c>
      <c r="G3464" s="0" t="n">
        <v>17035</v>
      </c>
      <c r="H3464" s="6" t="s">
        <v>98</v>
      </c>
      <c r="I3464" s="6" t="n">
        <f aca="false">D3464*F3464</f>
        <v>25</v>
      </c>
      <c r="J3464" s="6" t="n">
        <f aca="false">HOUR(E3464)</f>
        <v>18</v>
      </c>
      <c r="K3464" s="6" t="n">
        <f aca="false">IF(COUNTIF($A$2:$A3464,A3464)=1,1,0)</f>
        <v>0</v>
      </c>
    </row>
    <row r="3465" customFormat="false" ht="15" hidden="false" customHeight="false" outlineLevel="0" collapsed="false">
      <c r="A3465" s="0" t="s">
        <v>757</v>
      </c>
      <c r="B3465" s="0" t="s">
        <v>57</v>
      </c>
      <c r="C3465" s="0" t="s">
        <v>58</v>
      </c>
      <c r="D3465" s="0" t="n">
        <v>16</v>
      </c>
      <c r="E3465" s="5" t="n">
        <v>45985.7654166667</v>
      </c>
      <c r="F3465" s="0" t="n">
        <v>2.08</v>
      </c>
      <c r="G3465" s="0" t="n">
        <v>17035</v>
      </c>
      <c r="H3465" s="6" t="s">
        <v>98</v>
      </c>
      <c r="I3465" s="6" t="n">
        <f aca="false">D3465*F3465</f>
        <v>33.28</v>
      </c>
      <c r="J3465" s="6" t="n">
        <f aca="false">HOUR(E3465)</f>
        <v>18</v>
      </c>
      <c r="K3465" s="6" t="n">
        <f aca="false">IF(COUNTIF($A$2:$A3465,A3465)=1,1,0)</f>
        <v>0</v>
      </c>
    </row>
    <row r="3466" customFormat="false" ht="15" hidden="false" customHeight="false" outlineLevel="0" collapsed="false">
      <c r="A3466" s="0" t="s">
        <v>757</v>
      </c>
      <c r="B3466" s="0" t="s">
        <v>50</v>
      </c>
      <c r="C3466" s="0" t="s">
        <v>51</v>
      </c>
      <c r="D3466" s="0" t="n">
        <v>1</v>
      </c>
      <c r="E3466" s="5" t="n">
        <v>45985.7654166667</v>
      </c>
      <c r="F3466" s="0" t="n">
        <v>5.95</v>
      </c>
      <c r="G3466" s="0" t="n">
        <v>17035</v>
      </c>
      <c r="H3466" s="6" t="s">
        <v>98</v>
      </c>
      <c r="I3466" s="6" t="n">
        <f aca="false">D3466*F3466</f>
        <v>5.95</v>
      </c>
      <c r="J3466" s="6" t="n">
        <f aca="false">HOUR(E3466)</f>
        <v>18</v>
      </c>
      <c r="K3466" s="6" t="n">
        <f aca="false">IF(COUNTIF($A$2:$A3466,A3466)=1,1,0)</f>
        <v>0</v>
      </c>
    </row>
    <row r="3467" customFormat="false" ht="15" hidden="false" customHeight="false" outlineLevel="0" collapsed="false">
      <c r="A3467" s="0" t="s">
        <v>757</v>
      </c>
      <c r="B3467" s="0" t="s">
        <v>83</v>
      </c>
      <c r="C3467" s="0" t="s">
        <v>84</v>
      </c>
      <c r="D3467" s="0" t="n">
        <v>2</v>
      </c>
      <c r="E3467" s="5" t="n">
        <v>45985.7654166667</v>
      </c>
      <c r="F3467" s="0" t="n">
        <v>2.95</v>
      </c>
      <c r="G3467" s="0" t="n">
        <v>17035</v>
      </c>
      <c r="H3467" s="6" t="s">
        <v>98</v>
      </c>
      <c r="I3467" s="6" t="n">
        <f aca="false">D3467*F3467</f>
        <v>5.9</v>
      </c>
      <c r="J3467" s="6" t="n">
        <f aca="false">HOUR(E3467)</f>
        <v>18</v>
      </c>
      <c r="K3467" s="6" t="n">
        <f aca="false">IF(COUNTIF($A$2:$A3467,A3467)=1,1,0)</f>
        <v>0</v>
      </c>
    </row>
    <row r="3468" customFormat="false" ht="15" hidden="false" customHeight="false" outlineLevel="0" collapsed="false">
      <c r="A3468" s="0" t="s">
        <v>757</v>
      </c>
      <c r="B3468" s="0" t="s">
        <v>107</v>
      </c>
      <c r="C3468" s="0" t="s">
        <v>108</v>
      </c>
      <c r="D3468" s="0" t="n">
        <v>6</v>
      </c>
      <c r="E3468" s="5" t="n">
        <v>45985.7654166667</v>
      </c>
      <c r="F3468" s="0" t="n">
        <v>3.75</v>
      </c>
      <c r="G3468" s="0" t="n">
        <v>17035</v>
      </c>
      <c r="H3468" s="6" t="s">
        <v>98</v>
      </c>
      <c r="I3468" s="6" t="n">
        <f aca="false">D3468*F3468</f>
        <v>22.5</v>
      </c>
      <c r="J3468" s="6" t="n">
        <f aca="false">HOUR(E3468)</f>
        <v>18</v>
      </c>
      <c r="K3468" s="6" t="n">
        <f aca="false">IF(COUNTIF($A$2:$A3468,A3468)=1,1,0)</f>
        <v>0</v>
      </c>
    </row>
    <row r="3469" customFormat="false" ht="15" hidden="false" customHeight="false" outlineLevel="0" collapsed="false">
      <c r="A3469" s="0" t="s">
        <v>758</v>
      </c>
      <c r="B3469" s="0" t="s">
        <v>81</v>
      </c>
      <c r="C3469" s="0" t="s">
        <v>82</v>
      </c>
      <c r="D3469" s="0" t="n">
        <v>19</v>
      </c>
      <c r="E3469" s="5" t="n">
        <v>45985.7752662037</v>
      </c>
      <c r="F3469" s="0" t="n">
        <v>1.65</v>
      </c>
      <c r="G3469" s="0" t="n">
        <v>17104</v>
      </c>
      <c r="H3469" s="6" t="s">
        <v>188</v>
      </c>
      <c r="I3469" s="6" t="n">
        <f aca="false">D3469*F3469</f>
        <v>31.35</v>
      </c>
      <c r="J3469" s="6" t="n">
        <f aca="false">HOUR(E3469)</f>
        <v>18</v>
      </c>
      <c r="K3469" s="6" t="n">
        <f aca="false">IF(COUNTIF($A$2:$A3469,A3469)=1,1,0)</f>
        <v>1</v>
      </c>
    </row>
    <row r="3470" customFormat="false" ht="15" hidden="false" customHeight="false" outlineLevel="0" collapsed="false">
      <c r="A3470" s="0" t="s">
        <v>758</v>
      </c>
      <c r="B3470" s="0" t="s">
        <v>116</v>
      </c>
      <c r="C3470" s="0" t="s">
        <v>117</v>
      </c>
      <c r="D3470" s="0" t="n">
        <v>23</v>
      </c>
      <c r="E3470" s="5" t="n">
        <v>45985.7752662037</v>
      </c>
      <c r="F3470" s="0" t="n">
        <v>1.95</v>
      </c>
      <c r="G3470" s="0" t="n">
        <v>17104</v>
      </c>
      <c r="H3470" s="6" t="s">
        <v>188</v>
      </c>
      <c r="I3470" s="6" t="n">
        <f aca="false">D3470*F3470</f>
        <v>44.85</v>
      </c>
      <c r="J3470" s="6" t="n">
        <f aca="false">HOUR(E3470)</f>
        <v>18</v>
      </c>
      <c r="K3470" s="6" t="n">
        <f aca="false">IF(COUNTIF($A$2:$A3470,A3470)=1,1,0)</f>
        <v>0</v>
      </c>
    </row>
    <row r="3471" customFormat="false" ht="15" hidden="false" customHeight="false" outlineLevel="0" collapsed="false">
      <c r="A3471" s="0" t="s">
        <v>758</v>
      </c>
      <c r="B3471" s="0" t="s">
        <v>83</v>
      </c>
      <c r="C3471" s="0" t="s">
        <v>84</v>
      </c>
      <c r="D3471" s="0" t="n">
        <v>5</v>
      </c>
      <c r="E3471" s="5" t="n">
        <v>45985.7752662037</v>
      </c>
      <c r="F3471" s="0" t="n">
        <v>2.95</v>
      </c>
      <c r="G3471" s="0" t="n">
        <v>17104</v>
      </c>
      <c r="H3471" s="6" t="s">
        <v>188</v>
      </c>
      <c r="I3471" s="6" t="n">
        <f aca="false">D3471*F3471</f>
        <v>14.75</v>
      </c>
      <c r="J3471" s="6" t="n">
        <f aca="false">HOUR(E3471)</f>
        <v>18</v>
      </c>
      <c r="K3471" s="6" t="n">
        <f aca="false">IF(COUNTIF($A$2:$A3471,A3471)=1,1,0)</f>
        <v>0</v>
      </c>
    </row>
    <row r="3472" customFormat="false" ht="15" hidden="false" customHeight="false" outlineLevel="0" collapsed="false">
      <c r="A3472" s="0" t="s">
        <v>758</v>
      </c>
      <c r="B3472" s="0" t="s">
        <v>55</v>
      </c>
      <c r="C3472" s="0" t="s">
        <v>56</v>
      </c>
      <c r="D3472" s="0" t="n">
        <v>13</v>
      </c>
      <c r="E3472" s="5" t="n">
        <v>45985.7752662037</v>
      </c>
      <c r="F3472" s="0" t="n">
        <v>1.65</v>
      </c>
      <c r="G3472" s="0" t="n">
        <v>17104</v>
      </c>
      <c r="H3472" s="6" t="s">
        <v>188</v>
      </c>
      <c r="I3472" s="6" t="n">
        <f aca="false">D3472*F3472</f>
        <v>21.45</v>
      </c>
      <c r="J3472" s="6" t="n">
        <f aca="false">HOUR(E3472)</f>
        <v>18</v>
      </c>
      <c r="K3472" s="6" t="n">
        <f aca="false">IF(COUNTIF($A$2:$A3472,A3472)=1,1,0)</f>
        <v>0</v>
      </c>
    </row>
    <row r="3473" customFormat="false" ht="15" hidden="false" customHeight="false" outlineLevel="0" collapsed="false">
      <c r="A3473" s="0" t="s">
        <v>758</v>
      </c>
      <c r="B3473" s="0" t="s">
        <v>102</v>
      </c>
      <c r="C3473" s="0" t="s">
        <v>103</v>
      </c>
      <c r="D3473" s="0" t="n">
        <v>12</v>
      </c>
      <c r="E3473" s="5" t="n">
        <v>45985.7752662037</v>
      </c>
      <c r="F3473" s="0" t="n">
        <v>8.5</v>
      </c>
      <c r="G3473" s="0" t="n">
        <v>17104</v>
      </c>
      <c r="H3473" s="6" t="s">
        <v>188</v>
      </c>
      <c r="I3473" s="6" t="n">
        <f aca="false">D3473*F3473</f>
        <v>102</v>
      </c>
      <c r="J3473" s="6" t="n">
        <f aca="false">HOUR(E3473)</f>
        <v>18</v>
      </c>
      <c r="K3473" s="6" t="n">
        <f aca="false">IF(COUNTIF($A$2:$A3473,A3473)=1,1,0)</f>
        <v>0</v>
      </c>
    </row>
    <row r="3474" customFormat="false" ht="15" hidden="false" customHeight="false" outlineLevel="0" collapsed="false">
      <c r="A3474" s="0" t="s">
        <v>758</v>
      </c>
      <c r="B3474" s="0" t="s">
        <v>72</v>
      </c>
      <c r="C3474" s="0" t="s">
        <v>73</v>
      </c>
      <c r="D3474" s="0" t="n">
        <v>34</v>
      </c>
      <c r="E3474" s="5" t="n">
        <v>45985.7752662037</v>
      </c>
      <c r="F3474" s="0" t="n">
        <v>4.95</v>
      </c>
      <c r="G3474" s="0" t="n">
        <v>17104</v>
      </c>
      <c r="H3474" s="6" t="s">
        <v>188</v>
      </c>
      <c r="I3474" s="6" t="n">
        <f aca="false">D3474*F3474</f>
        <v>168.3</v>
      </c>
      <c r="J3474" s="6" t="n">
        <f aca="false">HOUR(E3474)</f>
        <v>18</v>
      </c>
      <c r="K3474" s="6" t="n">
        <f aca="false">IF(COUNTIF($A$2:$A3474,A3474)=1,1,0)</f>
        <v>0</v>
      </c>
    </row>
    <row r="3475" customFormat="false" ht="15" hidden="false" customHeight="false" outlineLevel="0" collapsed="false">
      <c r="A3475" s="0" t="s">
        <v>758</v>
      </c>
      <c r="B3475" s="0" t="s">
        <v>137</v>
      </c>
      <c r="C3475" s="0" t="s">
        <v>138</v>
      </c>
      <c r="D3475" s="0" t="n">
        <v>22</v>
      </c>
      <c r="E3475" s="5" t="n">
        <v>45985.7752662037</v>
      </c>
      <c r="F3475" s="0" t="n">
        <v>2.1</v>
      </c>
      <c r="G3475" s="0" t="n">
        <v>17104</v>
      </c>
      <c r="H3475" s="6" t="s">
        <v>188</v>
      </c>
      <c r="I3475" s="6" t="n">
        <f aca="false">D3475*F3475</f>
        <v>46.2</v>
      </c>
      <c r="J3475" s="6" t="n">
        <f aca="false">HOUR(E3475)</f>
        <v>18</v>
      </c>
      <c r="K3475" s="6" t="n">
        <f aca="false">IF(COUNTIF($A$2:$A3475,A3475)=1,1,0)</f>
        <v>0</v>
      </c>
    </row>
    <row r="3476" customFormat="false" ht="15" hidden="false" customHeight="false" outlineLevel="0" collapsed="false">
      <c r="A3476" s="0" t="s">
        <v>759</v>
      </c>
      <c r="B3476" s="0" t="s">
        <v>57</v>
      </c>
      <c r="C3476" s="0" t="s">
        <v>58</v>
      </c>
      <c r="D3476" s="0" t="n">
        <v>22</v>
      </c>
      <c r="E3476" s="5" t="n">
        <v>45985.7934259259</v>
      </c>
      <c r="F3476" s="0" t="n">
        <v>2.08</v>
      </c>
      <c r="G3476" s="0" t="n">
        <v>17036</v>
      </c>
      <c r="H3476" s="6" t="s">
        <v>208</v>
      </c>
      <c r="I3476" s="6" t="n">
        <f aca="false">D3476*F3476</f>
        <v>45.76</v>
      </c>
      <c r="J3476" s="6" t="n">
        <f aca="false">HOUR(E3476)</f>
        <v>19</v>
      </c>
      <c r="K3476" s="6" t="n">
        <f aca="false">IF(COUNTIF($A$2:$A3476,A3476)=1,1,0)</f>
        <v>1</v>
      </c>
    </row>
    <row r="3477" customFormat="false" ht="15" hidden="false" customHeight="false" outlineLevel="0" collapsed="false">
      <c r="A3477" s="0" t="s">
        <v>759</v>
      </c>
      <c r="B3477" s="0" t="s">
        <v>86</v>
      </c>
      <c r="C3477" s="0" t="s">
        <v>87</v>
      </c>
      <c r="D3477" s="0" t="n">
        <v>5</v>
      </c>
      <c r="E3477" s="5" t="n">
        <v>45985.7934259259</v>
      </c>
      <c r="F3477" s="0" t="n">
        <v>4.25</v>
      </c>
      <c r="G3477" s="0" t="n">
        <v>17036</v>
      </c>
      <c r="H3477" s="6" t="s">
        <v>208</v>
      </c>
      <c r="I3477" s="6" t="n">
        <f aca="false">D3477*F3477</f>
        <v>21.25</v>
      </c>
      <c r="J3477" s="6" t="n">
        <f aca="false">HOUR(E3477)</f>
        <v>19</v>
      </c>
      <c r="K3477" s="6" t="n">
        <f aca="false">IF(COUNTIF($A$2:$A3477,A3477)=1,1,0)</f>
        <v>0</v>
      </c>
    </row>
    <row r="3478" customFormat="false" ht="15" hidden="false" customHeight="false" outlineLevel="0" collapsed="false">
      <c r="A3478" s="0" t="s">
        <v>759</v>
      </c>
      <c r="B3478" s="0" t="s">
        <v>59</v>
      </c>
      <c r="C3478" s="0" t="s">
        <v>60</v>
      </c>
      <c r="D3478" s="0" t="n">
        <v>13</v>
      </c>
      <c r="E3478" s="5" t="n">
        <v>45985.7934259259</v>
      </c>
      <c r="F3478" s="0" t="n">
        <v>0.42</v>
      </c>
      <c r="G3478" s="0" t="n">
        <v>17036</v>
      </c>
      <c r="H3478" s="6" t="s">
        <v>208</v>
      </c>
      <c r="I3478" s="6" t="n">
        <f aca="false">D3478*F3478</f>
        <v>5.46</v>
      </c>
      <c r="J3478" s="6" t="n">
        <f aca="false">HOUR(E3478)</f>
        <v>19</v>
      </c>
      <c r="K3478" s="6" t="n">
        <f aca="false">IF(COUNTIF($A$2:$A3478,A3478)=1,1,0)</f>
        <v>0</v>
      </c>
    </row>
    <row r="3479" customFormat="false" ht="15" hidden="false" customHeight="false" outlineLevel="0" collapsed="false">
      <c r="A3479" s="0" t="s">
        <v>759</v>
      </c>
      <c r="B3479" s="0" t="s">
        <v>99</v>
      </c>
      <c r="C3479" s="0" t="s">
        <v>100</v>
      </c>
      <c r="D3479" s="0" t="n">
        <v>2</v>
      </c>
      <c r="E3479" s="5" t="n">
        <v>45985.7934259259</v>
      </c>
      <c r="F3479" s="0" t="n">
        <v>2.08</v>
      </c>
      <c r="G3479" s="0" t="n">
        <v>17036</v>
      </c>
      <c r="H3479" s="6" t="s">
        <v>208</v>
      </c>
      <c r="I3479" s="6" t="n">
        <f aca="false">D3479*F3479</f>
        <v>4.16</v>
      </c>
      <c r="J3479" s="6" t="n">
        <f aca="false">HOUR(E3479)</f>
        <v>19</v>
      </c>
      <c r="K3479" s="6" t="n">
        <f aca="false">IF(COUNTIF($A$2:$A3479,A3479)=1,1,0)</f>
        <v>0</v>
      </c>
    </row>
    <row r="3480" customFormat="false" ht="15" hidden="false" customHeight="false" outlineLevel="0" collapsed="false">
      <c r="A3480" s="0" t="s">
        <v>759</v>
      </c>
      <c r="B3480" s="0" t="s">
        <v>137</v>
      </c>
      <c r="C3480" s="0" t="s">
        <v>138</v>
      </c>
      <c r="D3480" s="0" t="n">
        <v>16</v>
      </c>
      <c r="E3480" s="5" t="n">
        <v>45985.7934259259</v>
      </c>
      <c r="F3480" s="0" t="n">
        <v>2.1</v>
      </c>
      <c r="G3480" s="0" t="n">
        <v>17036</v>
      </c>
      <c r="H3480" s="6" t="s">
        <v>208</v>
      </c>
      <c r="I3480" s="6" t="n">
        <f aca="false">D3480*F3480</f>
        <v>33.6</v>
      </c>
      <c r="J3480" s="6" t="n">
        <f aca="false">HOUR(E3480)</f>
        <v>19</v>
      </c>
      <c r="K3480" s="6" t="n">
        <f aca="false">IF(COUNTIF($A$2:$A3480,A3480)=1,1,0)</f>
        <v>0</v>
      </c>
    </row>
    <row r="3481" customFormat="false" ht="15" hidden="false" customHeight="false" outlineLevel="0" collapsed="false">
      <c r="A3481" s="0" t="s">
        <v>759</v>
      </c>
      <c r="B3481" s="0" t="s">
        <v>77</v>
      </c>
      <c r="C3481" s="0" t="s">
        <v>78</v>
      </c>
      <c r="D3481" s="0" t="n">
        <v>19</v>
      </c>
      <c r="E3481" s="5" t="n">
        <v>45985.7934259259</v>
      </c>
      <c r="F3481" s="0" t="n">
        <v>1.65</v>
      </c>
      <c r="G3481" s="0" t="n">
        <v>17036</v>
      </c>
      <c r="H3481" s="6" t="s">
        <v>208</v>
      </c>
      <c r="I3481" s="6" t="n">
        <f aca="false">D3481*F3481</f>
        <v>31.35</v>
      </c>
      <c r="J3481" s="6" t="n">
        <f aca="false">HOUR(E3481)</f>
        <v>19</v>
      </c>
      <c r="K3481" s="6" t="n">
        <f aca="false">IF(COUNTIF($A$2:$A3481,A3481)=1,1,0)</f>
        <v>0</v>
      </c>
    </row>
    <row r="3482" customFormat="false" ht="15" hidden="false" customHeight="false" outlineLevel="0" collapsed="false">
      <c r="A3482" s="0" t="s">
        <v>759</v>
      </c>
      <c r="B3482" s="0" t="s">
        <v>104</v>
      </c>
      <c r="C3482" s="0" t="s">
        <v>105</v>
      </c>
      <c r="D3482" s="0" t="n">
        <v>18</v>
      </c>
      <c r="E3482" s="5" t="n">
        <v>45985.7934259259</v>
      </c>
      <c r="F3482" s="0" t="n">
        <v>1.65</v>
      </c>
      <c r="G3482" s="0" t="n">
        <v>17036</v>
      </c>
      <c r="H3482" s="6" t="s">
        <v>208</v>
      </c>
      <c r="I3482" s="6" t="n">
        <f aca="false">D3482*F3482</f>
        <v>29.7</v>
      </c>
      <c r="J3482" s="6" t="n">
        <f aca="false">HOUR(E3482)</f>
        <v>19</v>
      </c>
      <c r="K3482" s="6" t="n">
        <f aca="false">IF(COUNTIF($A$2:$A3482,A3482)=1,1,0)</f>
        <v>0</v>
      </c>
    </row>
    <row r="3483" customFormat="false" ht="15" hidden="false" customHeight="false" outlineLevel="0" collapsed="false">
      <c r="A3483" s="0" t="s">
        <v>759</v>
      </c>
      <c r="B3483" s="0" t="s">
        <v>53</v>
      </c>
      <c r="C3483" s="0" t="s">
        <v>54</v>
      </c>
      <c r="D3483" s="0" t="n">
        <v>18</v>
      </c>
      <c r="E3483" s="5" t="n">
        <v>45985.7934259259</v>
      </c>
      <c r="F3483" s="0" t="n">
        <v>2.95</v>
      </c>
      <c r="G3483" s="0" t="n">
        <v>17036</v>
      </c>
      <c r="H3483" s="6" t="s">
        <v>208</v>
      </c>
      <c r="I3483" s="6" t="n">
        <f aca="false">D3483*F3483</f>
        <v>53.1</v>
      </c>
      <c r="J3483" s="6" t="n">
        <f aca="false">HOUR(E3483)</f>
        <v>19</v>
      </c>
      <c r="K3483" s="6" t="n">
        <f aca="false">IF(COUNTIF($A$2:$A3483,A3483)=1,1,0)</f>
        <v>0</v>
      </c>
    </row>
    <row r="3484" customFormat="false" ht="15" hidden="false" customHeight="false" outlineLevel="0" collapsed="false">
      <c r="A3484" s="0" t="s">
        <v>759</v>
      </c>
      <c r="B3484" s="0" t="s">
        <v>47</v>
      </c>
      <c r="D3484" s="0" t="n">
        <v>31</v>
      </c>
      <c r="E3484" s="5" t="n">
        <v>45985.7934259259</v>
      </c>
      <c r="F3484" s="0" t="n">
        <v>12.75</v>
      </c>
      <c r="G3484" s="0" t="n">
        <v>17036</v>
      </c>
      <c r="H3484" s="6" t="s">
        <v>208</v>
      </c>
      <c r="I3484" s="6" t="n">
        <f aca="false">D3484*F3484</f>
        <v>395.25</v>
      </c>
      <c r="J3484" s="6" t="n">
        <f aca="false">HOUR(E3484)</f>
        <v>19</v>
      </c>
      <c r="K3484" s="6" t="n">
        <f aca="false">IF(COUNTIF($A$2:$A3484,A3484)=1,1,0)</f>
        <v>0</v>
      </c>
    </row>
    <row r="3485" customFormat="false" ht="15" hidden="false" customHeight="false" outlineLevel="0" collapsed="false">
      <c r="A3485" s="0" t="s">
        <v>760</v>
      </c>
      <c r="B3485" s="0" t="s">
        <v>127</v>
      </c>
      <c r="C3485" s="0" t="s">
        <v>128</v>
      </c>
      <c r="D3485" s="0" t="n">
        <v>11</v>
      </c>
      <c r="E3485" s="5" t="n">
        <v>45985.8639351852</v>
      </c>
      <c r="F3485" s="0" t="n">
        <v>1.45</v>
      </c>
      <c r="H3485" s="6" t="s">
        <v>208</v>
      </c>
      <c r="I3485" s="6" t="n">
        <f aca="false">D3485*F3485</f>
        <v>15.95</v>
      </c>
      <c r="J3485" s="6" t="n">
        <f aca="false">HOUR(E3485)</f>
        <v>20</v>
      </c>
      <c r="K3485" s="6" t="n">
        <f aca="false">IF(COUNTIF($A$2:$A3485,A3485)=1,1,0)</f>
        <v>1</v>
      </c>
    </row>
    <row r="3486" customFormat="false" ht="15" hidden="false" customHeight="false" outlineLevel="0" collapsed="false">
      <c r="A3486" s="0" t="s">
        <v>760</v>
      </c>
      <c r="B3486" s="0" t="s">
        <v>116</v>
      </c>
      <c r="C3486" s="0" t="s">
        <v>117</v>
      </c>
      <c r="D3486" s="0" t="n">
        <v>10</v>
      </c>
      <c r="E3486" s="5" t="n">
        <v>45985.8639351852</v>
      </c>
      <c r="F3486" s="0" t="n">
        <v>1.95</v>
      </c>
      <c r="H3486" s="6" t="s">
        <v>208</v>
      </c>
      <c r="I3486" s="6" t="n">
        <f aca="false">D3486*F3486</f>
        <v>19.5</v>
      </c>
      <c r="J3486" s="6" t="n">
        <f aca="false">HOUR(E3486)</f>
        <v>20</v>
      </c>
      <c r="K3486" s="6" t="n">
        <f aca="false">IF(COUNTIF($A$2:$A3486,A3486)=1,1,0)</f>
        <v>0</v>
      </c>
    </row>
    <row r="3487" customFormat="false" ht="15" hidden="false" customHeight="false" outlineLevel="0" collapsed="false">
      <c r="A3487" s="0" t="s">
        <v>760</v>
      </c>
      <c r="B3487" s="0" t="s">
        <v>134</v>
      </c>
      <c r="C3487" s="0" t="s">
        <v>135</v>
      </c>
      <c r="D3487" s="0" t="n">
        <v>10</v>
      </c>
      <c r="E3487" s="5" t="n">
        <v>45985.8639351852</v>
      </c>
      <c r="F3487" s="0" t="n">
        <v>5.95</v>
      </c>
      <c r="H3487" s="6" t="s">
        <v>208</v>
      </c>
      <c r="I3487" s="6" t="n">
        <f aca="false">D3487*F3487</f>
        <v>59.5</v>
      </c>
      <c r="J3487" s="6" t="n">
        <f aca="false">HOUR(E3487)</f>
        <v>20</v>
      </c>
      <c r="K3487" s="6" t="n">
        <f aca="false">IF(COUNTIF($A$2:$A3487,A3487)=1,1,0)</f>
        <v>0</v>
      </c>
    </row>
    <row r="3488" customFormat="false" ht="15" hidden="false" customHeight="false" outlineLevel="0" collapsed="false">
      <c r="A3488" s="0" t="s">
        <v>760</v>
      </c>
      <c r="B3488" s="0" t="s">
        <v>107</v>
      </c>
      <c r="C3488" s="0" t="s">
        <v>108</v>
      </c>
      <c r="D3488" s="0" t="n">
        <v>14</v>
      </c>
      <c r="E3488" s="5" t="n">
        <v>45985.8639351852</v>
      </c>
      <c r="F3488" s="0" t="n">
        <v>3.75</v>
      </c>
      <c r="H3488" s="6" t="s">
        <v>208</v>
      </c>
      <c r="I3488" s="6" t="n">
        <f aca="false">D3488*F3488</f>
        <v>52.5</v>
      </c>
      <c r="J3488" s="6" t="n">
        <f aca="false">HOUR(E3488)</f>
        <v>20</v>
      </c>
      <c r="K3488" s="6" t="n">
        <f aca="false">IF(COUNTIF($A$2:$A3488,A3488)=1,1,0)</f>
        <v>0</v>
      </c>
    </row>
    <row r="3489" customFormat="false" ht="15" hidden="false" customHeight="false" outlineLevel="0" collapsed="false">
      <c r="A3489" s="0" t="s">
        <v>760</v>
      </c>
      <c r="B3489" s="0" t="s">
        <v>121</v>
      </c>
      <c r="C3489" s="0" t="s">
        <v>122</v>
      </c>
      <c r="D3489" s="0" t="n">
        <v>24</v>
      </c>
      <c r="E3489" s="5" t="n">
        <v>45985.8639351852</v>
      </c>
      <c r="F3489" s="0" t="n">
        <v>2.1</v>
      </c>
      <c r="H3489" s="6" t="s">
        <v>208</v>
      </c>
      <c r="I3489" s="6" t="n">
        <f aca="false">D3489*F3489</f>
        <v>50.4</v>
      </c>
      <c r="J3489" s="6" t="n">
        <f aca="false">HOUR(E3489)</f>
        <v>20</v>
      </c>
      <c r="K3489" s="6" t="n">
        <f aca="false">IF(COUNTIF($A$2:$A3489,A3489)=1,1,0)</f>
        <v>0</v>
      </c>
    </row>
    <row r="3490" customFormat="false" ht="15" hidden="false" customHeight="false" outlineLevel="0" collapsed="false">
      <c r="A3490" s="0" t="s">
        <v>760</v>
      </c>
      <c r="B3490" s="0" t="s">
        <v>63</v>
      </c>
      <c r="C3490" s="0" t="s">
        <v>64</v>
      </c>
      <c r="D3490" s="0" t="n">
        <v>17</v>
      </c>
      <c r="E3490" s="5" t="n">
        <v>45985.8639351852</v>
      </c>
      <c r="F3490" s="0" t="n">
        <v>1.85</v>
      </c>
      <c r="H3490" s="6" t="s">
        <v>208</v>
      </c>
      <c r="I3490" s="6" t="n">
        <f aca="false">D3490*F3490</f>
        <v>31.45</v>
      </c>
      <c r="J3490" s="6" t="n">
        <f aca="false">HOUR(E3490)</f>
        <v>20</v>
      </c>
      <c r="K3490" s="6" t="n">
        <f aca="false">IF(COUNTIF($A$2:$A3490,A3490)=1,1,0)</f>
        <v>0</v>
      </c>
    </row>
    <row r="3491" customFormat="false" ht="15" hidden="false" customHeight="false" outlineLevel="0" collapsed="false">
      <c r="A3491" s="0" t="s">
        <v>760</v>
      </c>
      <c r="B3491" s="0" t="s">
        <v>109</v>
      </c>
      <c r="C3491" s="0" t="s">
        <v>110</v>
      </c>
      <c r="D3491" s="0" t="n">
        <v>12</v>
      </c>
      <c r="E3491" s="5" t="n">
        <v>45985.8639351852</v>
      </c>
      <c r="F3491" s="0" t="n">
        <v>0.85</v>
      </c>
      <c r="H3491" s="6" t="s">
        <v>208</v>
      </c>
      <c r="I3491" s="6" t="n">
        <f aca="false">D3491*F3491</f>
        <v>10.2</v>
      </c>
      <c r="J3491" s="6" t="n">
        <f aca="false">HOUR(E3491)</f>
        <v>20</v>
      </c>
      <c r="K3491" s="6" t="n">
        <f aca="false">IF(COUNTIF($A$2:$A3491,A3491)=1,1,0)</f>
        <v>0</v>
      </c>
    </row>
    <row r="3492" customFormat="false" ht="15" hidden="false" customHeight="false" outlineLevel="0" collapsed="false">
      <c r="A3492" s="0" t="s">
        <v>760</v>
      </c>
      <c r="B3492" s="0" t="s">
        <v>88</v>
      </c>
      <c r="C3492" s="0" t="s">
        <v>89</v>
      </c>
      <c r="D3492" s="0" t="n">
        <v>22</v>
      </c>
      <c r="E3492" s="5" t="n">
        <v>45985.8639351852</v>
      </c>
      <c r="F3492" s="0" t="n">
        <v>2.75</v>
      </c>
      <c r="H3492" s="6" t="s">
        <v>208</v>
      </c>
      <c r="I3492" s="6" t="n">
        <f aca="false">D3492*F3492</f>
        <v>60.5</v>
      </c>
      <c r="J3492" s="6" t="n">
        <f aca="false">HOUR(E3492)</f>
        <v>20</v>
      </c>
      <c r="K3492" s="6" t="n">
        <f aca="false">IF(COUNTIF($A$2:$A3492,A3492)=1,1,0)</f>
        <v>0</v>
      </c>
    </row>
    <row r="3493" customFormat="false" ht="15" hidden="false" customHeight="false" outlineLevel="0" collapsed="false">
      <c r="A3493" s="0" t="s">
        <v>760</v>
      </c>
      <c r="B3493" s="0" t="s">
        <v>114</v>
      </c>
      <c r="C3493" s="0" t="s">
        <v>115</v>
      </c>
      <c r="D3493" s="0" t="n">
        <v>6</v>
      </c>
      <c r="E3493" s="5" t="n">
        <v>45985.8639351852</v>
      </c>
      <c r="F3493" s="0" t="n">
        <v>2.08</v>
      </c>
      <c r="H3493" s="6" t="s">
        <v>208</v>
      </c>
      <c r="I3493" s="6" t="n">
        <f aca="false">D3493*F3493</f>
        <v>12.48</v>
      </c>
      <c r="J3493" s="6" t="n">
        <f aca="false">HOUR(E3493)</f>
        <v>20</v>
      </c>
      <c r="K3493" s="6" t="n">
        <f aca="false">IF(COUNTIF($A$2:$A3493,A3493)=1,1,0)</f>
        <v>0</v>
      </c>
    </row>
    <row r="3494" customFormat="false" ht="15" hidden="false" customHeight="false" outlineLevel="0" collapsed="false">
      <c r="A3494" s="0" t="s">
        <v>761</v>
      </c>
      <c r="B3494" s="0" t="s">
        <v>95</v>
      </c>
      <c r="C3494" s="0" t="s">
        <v>96</v>
      </c>
      <c r="D3494" s="0" t="n">
        <v>39</v>
      </c>
      <c r="E3494" s="5" t="n">
        <v>45985.9052314815</v>
      </c>
      <c r="F3494" s="0" t="n">
        <v>2.55</v>
      </c>
      <c r="G3494" s="0" t="n">
        <v>17063</v>
      </c>
      <c r="H3494" s="6" t="s">
        <v>74</v>
      </c>
      <c r="I3494" s="6" t="n">
        <f aca="false">D3494*F3494</f>
        <v>99.45</v>
      </c>
      <c r="J3494" s="6" t="n">
        <f aca="false">HOUR(E3494)</f>
        <v>21</v>
      </c>
      <c r="K3494" s="6" t="n">
        <f aca="false">IF(COUNTIF($A$2:$A3494,A3494)=1,1,0)</f>
        <v>1</v>
      </c>
    </row>
    <row r="3495" customFormat="false" ht="15" hidden="false" customHeight="false" outlineLevel="0" collapsed="false">
      <c r="A3495" s="0" t="s">
        <v>761</v>
      </c>
      <c r="B3495" s="0" t="s">
        <v>104</v>
      </c>
      <c r="C3495" s="0" t="s">
        <v>105</v>
      </c>
      <c r="D3495" s="0" t="n">
        <v>2</v>
      </c>
      <c r="E3495" s="5" t="n">
        <v>45985.9052314815</v>
      </c>
      <c r="F3495" s="0" t="n">
        <v>1.65</v>
      </c>
      <c r="G3495" s="0" t="n">
        <v>17063</v>
      </c>
      <c r="H3495" s="6" t="s">
        <v>74</v>
      </c>
      <c r="I3495" s="6" t="n">
        <f aca="false">D3495*F3495</f>
        <v>3.3</v>
      </c>
      <c r="J3495" s="6" t="n">
        <f aca="false">HOUR(E3495)</f>
        <v>21</v>
      </c>
      <c r="K3495" s="6" t="n">
        <f aca="false">IF(COUNTIF($A$2:$A3495,A3495)=1,1,0)</f>
        <v>0</v>
      </c>
    </row>
    <row r="3496" customFormat="false" ht="15" hidden="false" customHeight="false" outlineLevel="0" collapsed="false">
      <c r="A3496" s="0" t="s">
        <v>761</v>
      </c>
      <c r="B3496" s="0" t="s">
        <v>47</v>
      </c>
      <c r="C3496" s="0" t="s">
        <v>48</v>
      </c>
      <c r="D3496" s="0" t="n">
        <v>38</v>
      </c>
      <c r="E3496" s="5" t="n">
        <v>45985.9052314815</v>
      </c>
      <c r="F3496" s="0" t="n">
        <v>12.75</v>
      </c>
      <c r="G3496" s="0" t="n">
        <v>17063</v>
      </c>
      <c r="H3496" s="6" t="s">
        <v>74</v>
      </c>
      <c r="I3496" s="6" t="n">
        <f aca="false">D3496*F3496</f>
        <v>484.5</v>
      </c>
      <c r="J3496" s="6" t="n">
        <f aca="false">HOUR(E3496)</f>
        <v>21</v>
      </c>
      <c r="K3496" s="6" t="n">
        <f aca="false">IF(COUNTIF($A$2:$A3496,A3496)=1,1,0)</f>
        <v>0</v>
      </c>
    </row>
    <row r="3497" customFormat="false" ht="15" hidden="false" customHeight="false" outlineLevel="0" collapsed="false">
      <c r="A3497" s="0" t="s">
        <v>761</v>
      </c>
      <c r="B3497" s="0" t="s">
        <v>77</v>
      </c>
      <c r="C3497" s="0" t="s">
        <v>78</v>
      </c>
      <c r="D3497" s="0" t="n">
        <v>6</v>
      </c>
      <c r="E3497" s="5" t="n">
        <v>45985.9052314815</v>
      </c>
      <c r="F3497" s="0" t="n">
        <v>1.65</v>
      </c>
      <c r="G3497" s="0" t="n">
        <v>17063</v>
      </c>
      <c r="H3497" s="6" t="s">
        <v>74</v>
      </c>
      <c r="I3497" s="6" t="n">
        <f aca="false">D3497*F3497</f>
        <v>9.9</v>
      </c>
      <c r="J3497" s="6" t="n">
        <f aca="false">HOUR(E3497)</f>
        <v>21</v>
      </c>
      <c r="K3497" s="6" t="n">
        <f aca="false">IF(COUNTIF($A$2:$A3497,A3497)=1,1,0)</f>
        <v>0</v>
      </c>
    </row>
    <row r="3498" customFormat="false" ht="15" hidden="false" customHeight="false" outlineLevel="0" collapsed="false">
      <c r="A3498" s="0" t="s">
        <v>761</v>
      </c>
      <c r="B3498" s="0" t="s">
        <v>107</v>
      </c>
      <c r="C3498" s="0" t="s">
        <v>108</v>
      </c>
      <c r="D3498" s="0" t="n">
        <v>2</v>
      </c>
      <c r="E3498" s="5" t="n">
        <v>45985.9052314815</v>
      </c>
      <c r="F3498" s="0" t="n">
        <v>3.75</v>
      </c>
      <c r="G3498" s="0" t="n">
        <v>17063</v>
      </c>
      <c r="H3498" s="6" t="s">
        <v>74</v>
      </c>
      <c r="I3498" s="6" t="n">
        <f aca="false">D3498*F3498</f>
        <v>7.5</v>
      </c>
      <c r="J3498" s="6" t="n">
        <f aca="false">HOUR(E3498)</f>
        <v>21</v>
      </c>
      <c r="K3498" s="6" t="n">
        <f aca="false">IF(COUNTIF($A$2:$A3498,A3498)=1,1,0)</f>
        <v>0</v>
      </c>
    </row>
    <row r="3499" customFormat="false" ht="15" hidden="false" customHeight="false" outlineLevel="0" collapsed="false">
      <c r="A3499" s="0" t="s">
        <v>761</v>
      </c>
      <c r="B3499" s="0" t="s">
        <v>116</v>
      </c>
      <c r="C3499" s="0" t="s">
        <v>117</v>
      </c>
      <c r="D3499" s="0" t="n">
        <v>6</v>
      </c>
      <c r="E3499" s="5" t="n">
        <v>45985.9052314815</v>
      </c>
      <c r="F3499" s="0" t="n">
        <v>1.95</v>
      </c>
      <c r="G3499" s="0" t="n">
        <v>17063</v>
      </c>
      <c r="H3499" s="6" t="s">
        <v>74</v>
      </c>
      <c r="I3499" s="6" t="n">
        <f aca="false">D3499*F3499</f>
        <v>11.7</v>
      </c>
      <c r="J3499" s="6" t="n">
        <f aca="false">HOUR(E3499)</f>
        <v>21</v>
      </c>
      <c r="K3499" s="6" t="n">
        <f aca="false">IF(COUNTIF($A$2:$A3499,A3499)=1,1,0)</f>
        <v>0</v>
      </c>
    </row>
    <row r="3500" customFormat="false" ht="15" hidden="false" customHeight="false" outlineLevel="0" collapsed="false">
      <c r="A3500" s="0" t="s">
        <v>761</v>
      </c>
      <c r="B3500" s="0" t="s">
        <v>127</v>
      </c>
      <c r="C3500" s="0" t="s">
        <v>128</v>
      </c>
      <c r="D3500" s="0" t="n">
        <v>17</v>
      </c>
      <c r="E3500" s="5" t="n">
        <v>45985.9052314815</v>
      </c>
      <c r="F3500" s="0" t="n">
        <v>1.45</v>
      </c>
      <c r="G3500" s="0" t="n">
        <v>17063</v>
      </c>
      <c r="H3500" s="6" t="s">
        <v>74</v>
      </c>
      <c r="I3500" s="6" t="n">
        <f aca="false">D3500*F3500</f>
        <v>24.65</v>
      </c>
      <c r="J3500" s="6" t="n">
        <f aca="false">HOUR(E3500)</f>
        <v>21</v>
      </c>
      <c r="K3500" s="6" t="n">
        <f aca="false">IF(COUNTIF($A$2:$A3500,A3500)=1,1,0)</f>
        <v>0</v>
      </c>
    </row>
    <row r="3501" customFormat="false" ht="15" hidden="false" customHeight="false" outlineLevel="0" collapsed="false">
      <c r="A3501" s="0" t="s">
        <v>762</v>
      </c>
      <c r="B3501" s="0" t="s">
        <v>47</v>
      </c>
      <c r="C3501" s="0" t="s">
        <v>48</v>
      </c>
      <c r="D3501" s="0" t="n">
        <v>10</v>
      </c>
      <c r="E3501" s="5" t="n">
        <v>45985.957662037</v>
      </c>
      <c r="F3501" s="0" t="n">
        <v>12.75</v>
      </c>
      <c r="G3501" s="0" t="n">
        <v>17089</v>
      </c>
      <c r="H3501" s="6" t="s">
        <v>42</v>
      </c>
      <c r="I3501" s="6" t="n">
        <f aca="false">D3501*F3501</f>
        <v>127.5</v>
      </c>
      <c r="J3501" s="6" t="n">
        <f aca="false">HOUR(E3501)</f>
        <v>22</v>
      </c>
      <c r="K3501" s="6" t="n">
        <f aca="false">IF(COUNTIF($A$2:$A3501,A3501)=1,1,0)</f>
        <v>1</v>
      </c>
    </row>
    <row r="3502" customFormat="false" ht="15" hidden="false" customHeight="false" outlineLevel="0" collapsed="false">
      <c r="A3502" s="0" t="s">
        <v>762</v>
      </c>
      <c r="B3502" s="0" t="s">
        <v>137</v>
      </c>
      <c r="C3502" s="0" t="s">
        <v>138</v>
      </c>
      <c r="D3502" s="0" t="n">
        <v>4</v>
      </c>
      <c r="E3502" s="5" t="n">
        <v>45985.957662037</v>
      </c>
      <c r="F3502" s="0" t="n">
        <v>2.1</v>
      </c>
      <c r="G3502" s="0" t="n">
        <v>17089</v>
      </c>
      <c r="H3502" s="6" t="s">
        <v>42</v>
      </c>
      <c r="I3502" s="6" t="n">
        <f aca="false">D3502*F3502</f>
        <v>8.4</v>
      </c>
      <c r="J3502" s="6" t="n">
        <f aca="false">HOUR(E3502)</f>
        <v>22</v>
      </c>
      <c r="K3502" s="6" t="n">
        <f aca="false">IF(COUNTIF($A$2:$A3502,A3502)=1,1,0)</f>
        <v>0</v>
      </c>
    </row>
    <row r="3503" customFormat="false" ht="15" hidden="false" customHeight="false" outlineLevel="0" collapsed="false">
      <c r="A3503" s="0" t="s">
        <v>762</v>
      </c>
      <c r="B3503" s="0" t="s">
        <v>107</v>
      </c>
      <c r="C3503" s="0" t="s">
        <v>108</v>
      </c>
      <c r="D3503" s="0" t="n">
        <v>16</v>
      </c>
      <c r="E3503" s="5" t="n">
        <v>45985.957662037</v>
      </c>
      <c r="F3503" s="0" t="n">
        <v>3.75</v>
      </c>
      <c r="G3503" s="0" t="n">
        <v>17089</v>
      </c>
      <c r="H3503" s="6" t="s">
        <v>42</v>
      </c>
      <c r="I3503" s="6" t="n">
        <f aca="false">D3503*F3503</f>
        <v>60</v>
      </c>
      <c r="J3503" s="6" t="n">
        <f aca="false">HOUR(E3503)</f>
        <v>22</v>
      </c>
      <c r="K3503" s="6" t="n">
        <f aca="false">IF(COUNTIF($A$2:$A3503,A3503)=1,1,0)</f>
        <v>0</v>
      </c>
    </row>
    <row r="3504" customFormat="false" ht="15" hidden="false" customHeight="false" outlineLevel="0" collapsed="false">
      <c r="A3504" s="0" t="s">
        <v>762</v>
      </c>
      <c r="B3504" s="0" t="s">
        <v>61</v>
      </c>
      <c r="C3504" s="0" t="s">
        <v>62</v>
      </c>
      <c r="D3504" s="0" t="n">
        <v>19</v>
      </c>
      <c r="E3504" s="5" t="n">
        <v>45985.957662037</v>
      </c>
      <c r="F3504" s="0" t="n">
        <v>1.65</v>
      </c>
      <c r="G3504" s="0" t="n">
        <v>17089</v>
      </c>
      <c r="H3504" s="6" t="s">
        <v>42</v>
      </c>
      <c r="I3504" s="6" t="n">
        <f aca="false">D3504*F3504</f>
        <v>31.35</v>
      </c>
      <c r="J3504" s="6" t="n">
        <f aca="false">HOUR(E3504)</f>
        <v>22</v>
      </c>
      <c r="K3504" s="6" t="n">
        <f aca="false">IF(COUNTIF($A$2:$A3504,A3504)=1,1,0)</f>
        <v>0</v>
      </c>
    </row>
    <row r="3505" customFormat="false" ht="15" hidden="false" customHeight="false" outlineLevel="0" collapsed="false">
      <c r="A3505" s="0" t="s">
        <v>762</v>
      </c>
      <c r="B3505" s="0" t="s">
        <v>95</v>
      </c>
      <c r="C3505" s="0" t="s">
        <v>96</v>
      </c>
      <c r="D3505" s="0" t="n">
        <v>9</v>
      </c>
      <c r="E3505" s="5" t="n">
        <v>45985.957662037</v>
      </c>
      <c r="F3505" s="0" t="n">
        <v>2.55</v>
      </c>
      <c r="G3505" s="0" t="n">
        <v>17089</v>
      </c>
      <c r="H3505" s="6" t="s">
        <v>42</v>
      </c>
      <c r="I3505" s="6" t="n">
        <f aca="false">D3505*F3505</f>
        <v>22.95</v>
      </c>
      <c r="J3505" s="6" t="n">
        <f aca="false">HOUR(E3505)</f>
        <v>22</v>
      </c>
      <c r="K3505" s="6" t="n">
        <f aca="false">IF(COUNTIF($A$2:$A3505,A3505)=1,1,0)</f>
        <v>0</v>
      </c>
    </row>
    <row r="3506" customFormat="false" ht="15" hidden="false" customHeight="false" outlineLevel="0" collapsed="false">
      <c r="A3506" s="0" t="s">
        <v>762</v>
      </c>
      <c r="B3506" s="0" t="s">
        <v>83</v>
      </c>
      <c r="C3506" s="0" t="s">
        <v>84</v>
      </c>
      <c r="D3506" s="0" t="n">
        <v>10</v>
      </c>
      <c r="E3506" s="5" t="n">
        <v>45985.957662037</v>
      </c>
      <c r="F3506" s="0" t="n">
        <v>2.95</v>
      </c>
      <c r="G3506" s="0" t="n">
        <v>17089</v>
      </c>
      <c r="H3506" s="6" t="s">
        <v>42</v>
      </c>
      <c r="I3506" s="6" t="n">
        <f aca="false">D3506*F3506</f>
        <v>29.5</v>
      </c>
      <c r="J3506" s="6" t="n">
        <f aca="false">HOUR(E3506)</f>
        <v>22</v>
      </c>
      <c r="K3506" s="6" t="n">
        <f aca="false">IF(COUNTIF($A$2:$A3506,A3506)=1,1,0)</f>
        <v>0</v>
      </c>
    </row>
    <row r="3507" customFormat="false" ht="15" hidden="false" customHeight="false" outlineLevel="0" collapsed="false">
      <c r="A3507" s="0" t="s">
        <v>762</v>
      </c>
      <c r="B3507" s="0" t="s">
        <v>75</v>
      </c>
      <c r="C3507" s="0" t="s">
        <v>76</v>
      </c>
      <c r="D3507" s="0" t="n">
        <v>14</v>
      </c>
      <c r="E3507" s="5" t="n">
        <v>45985.957662037</v>
      </c>
      <c r="F3507" s="0" t="n">
        <v>3.39</v>
      </c>
      <c r="G3507" s="0" t="n">
        <v>17089</v>
      </c>
      <c r="H3507" s="6" t="s">
        <v>42</v>
      </c>
      <c r="I3507" s="6" t="n">
        <f aca="false">D3507*F3507</f>
        <v>47.46</v>
      </c>
      <c r="J3507" s="6" t="n">
        <f aca="false">HOUR(E3507)</f>
        <v>22</v>
      </c>
      <c r="K3507" s="6" t="n">
        <f aca="false">IF(COUNTIF($A$2:$A3507,A3507)=1,1,0)</f>
        <v>0</v>
      </c>
    </row>
    <row r="3508" customFormat="false" ht="15" hidden="false" customHeight="false" outlineLevel="0" collapsed="false">
      <c r="A3508" s="0" t="s">
        <v>762</v>
      </c>
      <c r="B3508" s="0" t="s">
        <v>125</v>
      </c>
      <c r="C3508" s="0" t="s">
        <v>126</v>
      </c>
      <c r="D3508" s="0" t="n">
        <v>11</v>
      </c>
      <c r="E3508" s="5" t="n">
        <v>45985.957662037</v>
      </c>
      <c r="F3508" s="0" t="n">
        <v>1.25</v>
      </c>
      <c r="G3508" s="0" t="n">
        <v>17089</v>
      </c>
      <c r="H3508" s="6" t="s">
        <v>42</v>
      </c>
      <c r="I3508" s="6" t="n">
        <f aca="false">D3508*F3508</f>
        <v>13.75</v>
      </c>
      <c r="J3508" s="6" t="n">
        <f aca="false">HOUR(E3508)</f>
        <v>22</v>
      </c>
      <c r="K3508" s="6" t="n">
        <f aca="false">IF(COUNTIF($A$2:$A3508,A3508)=1,1,0)</f>
        <v>0</v>
      </c>
    </row>
    <row r="3509" customFormat="false" ht="15" hidden="false" customHeight="false" outlineLevel="0" collapsed="false">
      <c r="A3509" s="0" t="s">
        <v>762</v>
      </c>
      <c r="B3509" s="0" t="s">
        <v>77</v>
      </c>
      <c r="C3509" s="0" t="s">
        <v>78</v>
      </c>
      <c r="D3509" s="0" t="n">
        <v>22</v>
      </c>
      <c r="E3509" s="5" t="n">
        <v>45985.957662037</v>
      </c>
      <c r="F3509" s="0" t="n">
        <v>1.65</v>
      </c>
      <c r="G3509" s="0" t="n">
        <v>17089</v>
      </c>
      <c r="H3509" s="6" t="s">
        <v>42</v>
      </c>
      <c r="I3509" s="6" t="n">
        <f aca="false">D3509*F3509</f>
        <v>36.3</v>
      </c>
      <c r="J3509" s="6" t="n">
        <f aca="false">HOUR(E3509)</f>
        <v>22</v>
      </c>
      <c r="K3509" s="6" t="n">
        <f aca="false">IF(COUNTIF($A$2:$A3509,A3509)=1,1,0)</f>
        <v>0</v>
      </c>
    </row>
    <row r="3510" customFormat="false" ht="15" hidden="false" customHeight="false" outlineLevel="0" collapsed="false">
      <c r="A3510" s="0" t="s">
        <v>763</v>
      </c>
      <c r="B3510" s="0" t="s">
        <v>99</v>
      </c>
      <c r="C3510" s="0" t="s">
        <v>100</v>
      </c>
      <c r="D3510" s="0" t="n">
        <v>9</v>
      </c>
      <c r="E3510" s="5" t="n">
        <v>45986.1868171296</v>
      </c>
      <c r="F3510" s="0" t="n">
        <v>2.08</v>
      </c>
      <c r="H3510" s="6" t="s">
        <v>74</v>
      </c>
      <c r="I3510" s="6" t="n">
        <f aca="false">D3510*F3510</f>
        <v>18.72</v>
      </c>
      <c r="J3510" s="6" t="n">
        <f aca="false">HOUR(E3510)</f>
        <v>4</v>
      </c>
      <c r="K3510" s="6" t="n">
        <f aca="false">IF(COUNTIF($A$2:$A3510,A3510)=1,1,0)</f>
        <v>1</v>
      </c>
    </row>
    <row r="3511" customFormat="false" ht="15" hidden="false" customHeight="false" outlineLevel="0" collapsed="false">
      <c r="A3511" s="0" t="s">
        <v>763</v>
      </c>
      <c r="B3511" s="0" t="s">
        <v>104</v>
      </c>
      <c r="C3511" s="0" t="s">
        <v>105</v>
      </c>
      <c r="D3511" s="0" t="n">
        <v>17</v>
      </c>
      <c r="E3511" s="5" t="n">
        <v>45986.1868171296</v>
      </c>
      <c r="F3511" s="0" t="n">
        <v>1.65</v>
      </c>
      <c r="H3511" s="6" t="s">
        <v>74</v>
      </c>
      <c r="I3511" s="6" t="n">
        <f aca="false">D3511*F3511</f>
        <v>28.05</v>
      </c>
      <c r="J3511" s="6" t="n">
        <f aca="false">HOUR(E3511)</f>
        <v>4</v>
      </c>
      <c r="K3511" s="6" t="n">
        <f aca="false">IF(COUNTIF($A$2:$A3511,A3511)=1,1,0)</f>
        <v>0</v>
      </c>
    </row>
    <row r="3512" customFormat="false" ht="15" hidden="false" customHeight="false" outlineLevel="0" collapsed="false">
      <c r="A3512" s="0" t="s">
        <v>763</v>
      </c>
      <c r="B3512" s="0" t="s">
        <v>69</v>
      </c>
      <c r="C3512" s="0" t="s">
        <v>70</v>
      </c>
      <c r="D3512" s="0" t="n">
        <v>31</v>
      </c>
      <c r="E3512" s="5" t="n">
        <v>45986.1868171296</v>
      </c>
      <c r="F3512" s="0" t="n">
        <v>2.08</v>
      </c>
      <c r="H3512" s="6" t="s">
        <v>74</v>
      </c>
      <c r="I3512" s="6" t="n">
        <f aca="false">D3512*F3512</f>
        <v>64.48</v>
      </c>
      <c r="J3512" s="6" t="n">
        <f aca="false">HOUR(E3512)</f>
        <v>4</v>
      </c>
      <c r="K3512" s="6" t="n">
        <f aca="false">IF(COUNTIF($A$2:$A3512,A3512)=1,1,0)</f>
        <v>0</v>
      </c>
    </row>
    <row r="3513" customFormat="false" ht="15" hidden="false" customHeight="false" outlineLevel="0" collapsed="false">
      <c r="A3513" s="0" t="s">
        <v>763</v>
      </c>
      <c r="B3513" s="0" t="s">
        <v>91</v>
      </c>
      <c r="C3513" s="0" t="s">
        <v>92</v>
      </c>
      <c r="D3513" s="0" t="n">
        <v>11</v>
      </c>
      <c r="E3513" s="5" t="n">
        <v>45986.1868171296</v>
      </c>
      <c r="F3513" s="0" t="n">
        <v>7.65</v>
      </c>
      <c r="H3513" s="6" t="s">
        <v>74</v>
      </c>
      <c r="I3513" s="6" t="n">
        <f aca="false">D3513*F3513</f>
        <v>84.15</v>
      </c>
      <c r="J3513" s="6" t="n">
        <f aca="false">HOUR(E3513)</f>
        <v>4</v>
      </c>
      <c r="K3513" s="6" t="n">
        <f aca="false">IF(COUNTIF($A$2:$A3513,A3513)=1,1,0)</f>
        <v>0</v>
      </c>
    </row>
    <row r="3514" customFormat="false" ht="15" hidden="false" customHeight="false" outlineLevel="0" collapsed="false">
      <c r="A3514" s="0" t="s">
        <v>763</v>
      </c>
      <c r="B3514" s="0" t="s">
        <v>47</v>
      </c>
      <c r="C3514" s="0" t="s">
        <v>48</v>
      </c>
      <c r="D3514" s="0" t="n">
        <v>21</v>
      </c>
      <c r="E3514" s="5" t="n">
        <v>45986.1868171296</v>
      </c>
      <c r="F3514" s="0" t="n">
        <v>12.75</v>
      </c>
      <c r="H3514" s="6" t="s">
        <v>74</v>
      </c>
      <c r="I3514" s="6" t="n">
        <f aca="false">D3514*F3514</f>
        <v>267.75</v>
      </c>
      <c r="J3514" s="6" t="n">
        <f aca="false">HOUR(E3514)</f>
        <v>4</v>
      </c>
      <c r="K3514" s="6" t="n">
        <f aca="false">IF(COUNTIF($A$2:$A3514,A3514)=1,1,0)</f>
        <v>0</v>
      </c>
    </row>
    <row r="3515" customFormat="false" ht="15" hidden="false" customHeight="false" outlineLevel="0" collapsed="false">
      <c r="A3515" s="0" t="s">
        <v>764</v>
      </c>
      <c r="B3515" s="0" t="s">
        <v>102</v>
      </c>
      <c r="C3515" s="0" t="s">
        <v>103</v>
      </c>
      <c r="D3515" s="0" t="n">
        <v>41</v>
      </c>
      <c r="E3515" s="5" t="n">
        <v>45986.3572453704</v>
      </c>
      <c r="F3515" s="0" t="n">
        <v>8.5</v>
      </c>
      <c r="G3515" s="0" t="n">
        <v>17004</v>
      </c>
      <c r="H3515" s="6" t="s">
        <v>74</v>
      </c>
      <c r="I3515" s="6" t="n">
        <f aca="false">D3515*F3515</f>
        <v>348.5</v>
      </c>
      <c r="J3515" s="6" t="n">
        <f aca="false">HOUR(E3515)</f>
        <v>8</v>
      </c>
      <c r="K3515" s="6" t="n">
        <f aca="false">IF(COUNTIF($A$2:$A3515,A3515)=1,1,0)</f>
        <v>1</v>
      </c>
    </row>
    <row r="3516" customFormat="false" ht="15" hidden="false" customHeight="false" outlineLevel="0" collapsed="false">
      <c r="A3516" s="0" t="s">
        <v>764</v>
      </c>
      <c r="B3516" s="0" t="s">
        <v>63</v>
      </c>
      <c r="C3516" s="0" t="s">
        <v>64</v>
      </c>
      <c r="D3516" s="0" t="n">
        <v>13</v>
      </c>
      <c r="E3516" s="5" t="n">
        <v>45986.3572453704</v>
      </c>
      <c r="F3516" s="0" t="n">
        <v>1.85</v>
      </c>
      <c r="G3516" s="0" t="n">
        <v>17004</v>
      </c>
      <c r="H3516" s="6" t="s">
        <v>74</v>
      </c>
      <c r="I3516" s="6" t="n">
        <f aca="false">D3516*F3516</f>
        <v>24.05</v>
      </c>
      <c r="J3516" s="6" t="n">
        <f aca="false">HOUR(E3516)</f>
        <v>8</v>
      </c>
      <c r="K3516" s="6" t="n">
        <f aca="false">IF(COUNTIF($A$2:$A3516,A3516)=1,1,0)</f>
        <v>0</v>
      </c>
    </row>
    <row r="3517" customFormat="false" ht="15" hidden="false" customHeight="false" outlineLevel="0" collapsed="false">
      <c r="A3517" s="0" t="s">
        <v>765</v>
      </c>
      <c r="B3517" s="0" t="s">
        <v>65</v>
      </c>
      <c r="C3517" s="0" t="s">
        <v>66</v>
      </c>
      <c r="D3517" s="0" t="n">
        <v>17</v>
      </c>
      <c r="E3517" s="5" t="n">
        <v>45986.3907523148</v>
      </c>
      <c r="F3517" s="0" t="n">
        <v>1.65</v>
      </c>
      <c r="G3517" s="0" t="n">
        <v>17257</v>
      </c>
      <c r="H3517" s="6" t="s">
        <v>74</v>
      </c>
      <c r="I3517" s="6" t="n">
        <f aca="false">D3517*F3517</f>
        <v>28.05</v>
      </c>
      <c r="J3517" s="6" t="n">
        <f aca="false">HOUR(E3517)</f>
        <v>9</v>
      </c>
      <c r="K3517" s="6" t="n">
        <f aca="false">IF(COUNTIF($A$2:$A3517,A3517)=1,1,0)</f>
        <v>1</v>
      </c>
    </row>
    <row r="3518" customFormat="false" ht="15" hidden="false" customHeight="false" outlineLevel="0" collapsed="false">
      <c r="A3518" s="0" t="s">
        <v>765</v>
      </c>
      <c r="B3518" s="0" t="s">
        <v>91</v>
      </c>
      <c r="C3518" s="0" t="s">
        <v>92</v>
      </c>
      <c r="D3518" s="0" t="n">
        <v>6</v>
      </c>
      <c r="E3518" s="5" t="n">
        <v>45986.3907523148</v>
      </c>
      <c r="F3518" s="0" t="n">
        <v>7.65</v>
      </c>
      <c r="G3518" s="0" t="n">
        <v>17257</v>
      </c>
      <c r="H3518" s="6" t="s">
        <v>74</v>
      </c>
      <c r="I3518" s="6" t="n">
        <f aca="false">D3518*F3518</f>
        <v>45.9</v>
      </c>
      <c r="J3518" s="6" t="n">
        <f aca="false">HOUR(E3518)</f>
        <v>9</v>
      </c>
      <c r="K3518" s="6" t="n">
        <f aca="false">IF(COUNTIF($A$2:$A3518,A3518)=1,1,0)</f>
        <v>0</v>
      </c>
    </row>
    <row r="3519" customFormat="false" ht="15" hidden="false" customHeight="false" outlineLevel="0" collapsed="false">
      <c r="A3519" s="0" t="s">
        <v>765</v>
      </c>
      <c r="B3519" s="0" t="s">
        <v>40</v>
      </c>
      <c r="C3519" s="0" t="s">
        <v>41</v>
      </c>
      <c r="D3519" s="0" t="n">
        <v>15</v>
      </c>
      <c r="E3519" s="5" t="n">
        <v>45986.3907523148</v>
      </c>
      <c r="F3519" s="0" t="n">
        <v>1.06</v>
      </c>
      <c r="G3519" s="0" t="n">
        <v>17257</v>
      </c>
      <c r="H3519" s="6" t="s">
        <v>74</v>
      </c>
      <c r="I3519" s="6" t="n">
        <f aca="false">D3519*F3519</f>
        <v>15.9</v>
      </c>
      <c r="J3519" s="6" t="n">
        <f aca="false">HOUR(E3519)</f>
        <v>9</v>
      </c>
      <c r="K3519" s="6" t="n">
        <f aca="false">IF(COUNTIF($A$2:$A3519,A3519)=1,1,0)</f>
        <v>0</v>
      </c>
    </row>
    <row r="3520" customFormat="false" ht="15" hidden="false" customHeight="false" outlineLevel="0" collapsed="false">
      <c r="A3520" s="0" t="s">
        <v>765</v>
      </c>
      <c r="B3520" s="0" t="s">
        <v>81</v>
      </c>
      <c r="C3520" s="0" t="s">
        <v>82</v>
      </c>
      <c r="D3520" s="0" t="n">
        <v>1</v>
      </c>
      <c r="E3520" s="5" t="n">
        <v>45986.3907523148</v>
      </c>
      <c r="F3520" s="0" t="n">
        <v>1.65</v>
      </c>
      <c r="G3520" s="0" t="n">
        <v>17257</v>
      </c>
      <c r="H3520" s="6" t="s">
        <v>74</v>
      </c>
      <c r="I3520" s="6" t="n">
        <f aca="false">D3520*F3520</f>
        <v>1.65</v>
      </c>
      <c r="J3520" s="6" t="n">
        <f aca="false">HOUR(E3520)</f>
        <v>9</v>
      </c>
      <c r="K3520" s="6" t="n">
        <f aca="false">IF(COUNTIF($A$2:$A3520,A3520)=1,1,0)</f>
        <v>0</v>
      </c>
    </row>
    <row r="3521" customFormat="false" ht="15" hidden="false" customHeight="false" outlineLevel="0" collapsed="false">
      <c r="A3521" s="0" t="s">
        <v>765</v>
      </c>
      <c r="B3521" s="0" t="s">
        <v>88</v>
      </c>
      <c r="C3521" s="0" t="s">
        <v>89</v>
      </c>
      <c r="D3521" s="0" t="n">
        <v>16</v>
      </c>
      <c r="E3521" s="5" t="n">
        <v>45986.3907523148</v>
      </c>
      <c r="F3521" s="0" t="n">
        <v>2.75</v>
      </c>
      <c r="G3521" s="0" t="n">
        <v>17257</v>
      </c>
      <c r="H3521" s="6" t="s">
        <v>74</v>
      </c>
      <c r="I3521" s="6" t="n">
        <f aca="false">D3521*F3521</f>
        <v>44</v>
      </c>
      <c r="J3521" s="6" t="n">
        <f aca="false">HOUR(E3521)</f>
        <v>9</v>
      </c>
      <c r="K3521" s="6" t="n">
        <f aca="false">IF(COUNTIF($A$2:$A3521,A3521)=1,1,0)</f>
        <v>0</v>
      </c>
    </row>
    <row r="3522" customFormat="false" ht="15" hidden="false" customHeight="false" outlineLevel="0" collapsed="false">
      <c r="A3522" s="0" t="s">
        <v>765</v>
      </c>
      <c r="B3522" s="0" t="s">
        <v>55</v>
      </c>
      <c r="C3522" s="0" t="s">
        <v>56</v>
      </c>
      <c r="D3522" s="0" t="n">
        <v>22</v>
      </c>
      <c r="E3522" s="5" t="n">
        <v>45986.3907523148</v>
      </c>
      <c r="F3522" s="0" t="n">
        <v>1.65</v>
      </c>
      <c r="G3522" s="0" t="n">
        <v>17257</v>
      </c>
      <c r="H3522" s="6" t="s">
        <v>74</v>
      </c>
      <c r="I3522" s="6" t="n">
        <f aca="false">D3522*F3522</f>
        <v>36.3</v>
      </c>
      <c r="J3522" s="6" t="n">
        <f aca="false">HOUR(E3522)</f>
        <v>9</v>
      </c>
      <c r="K3522" s="6" t="n">
        <f aca="false">IF(COUNTIF($A$2:$A3522,A3522)=1,1,0)</f>
        <v>0</v>
      </c>
    </row>
    <row r="3523" customFormat="false" ht="15" hidden="false" customHeight="false" outlineLevel="0" collapsed="false">
      <c r="A3523" s="0" t="s">
        <v>765</v>
      </c>
      <c r="B3523" s="0" t="s">
        <v>125</v>
      </c>
      <c r="C3523" s="0" t="s">
        <v>126</v>
      </c>
      <c r="D3523" s="0" t="n">
        <v>2</v>
      </c>
      <c r="E3523" s="5" t="n">
        <v>45986.3907523148</v>
      </c>
      <c r="F3523" s="0" t="n">
        <v>1.25</v>
      </c>
      <c r="G3523" s="0" t="n">
        <v>17257</v>
      </c>
      <c r="H3523" s="6" t="s">
        <v>74</v>
      </c>
      <c r="I3523" s="6" t="n">
        <f aca="false">D3523*F3523</f>
        <v>2.5</v>
      </c>
      <c r="J3523" s="6" t="n">
        <f aca="false">HOUR(E3523)</f>
        <v>9</v>
      </c>
      <c r="K3523" s="6" t="n">
        <f aca="false">IF(COUNTIF($A$2:$A3523,A3523)=1,1,0)</f>
        <v>0</v>
      </c>
    </row>
    <row r="3524" customFormat="false" ht="15" hidden="false" customHeight="false" outlineLevel="0" collapsed="false">
      <c r="A3524" s="0" t="s">
        <v>765</v>
      </c>
      <c r="B3524" s="0" t="s">
        <v>50</v>
      </c>
      <c r="C3524" s="0" t="s">
        <v>51</v>
      </c>
      <c r="D3524" s="0" t="n">
        <v>4</v>
      </c>
      <c r="E3524" s="5" t="n">
        <v>45986.3907523148</v>
      </c>
      <c r="F3524" s="0" t="n">
        <v>5.95</v>
      </c>
      <c r="G3524" s="0" t="n">
        <v>17257</v>
      </c>
      <c r="H3524" s="6" t="s">
        <v>74</v>
      </c>
      <c r="I3524" s="6" t="n">
        <f aca="false">D3524*F3524</f>
        <v>23.8</v>
      </c>
      <c r="J3524" s="6" t="n">
        <f aca="false">HOUR(E3524)</f>
        <v>9</v>
      </c>
      <c r="K3524" s="6" t="n">
        <f aca="false">IF(COUNTIF($A$2:$A3524,A3524)=1,1,0)</f>
        <v>0</v>
      </c>
    </row>
    <row r="3525" customFormat="false" ht="15" hidden="false" customHeight="false" outlineLevel="0" collapsed="false">
      <c r="A3525" s="0" t="s">
        <v>765</v>
      </c>
      <c r="B3525" s="0" t="s">
        <v>45</v>
      </c>
      <c r="C3525" s="0" t="s">
        <v>46</v>
      </c>
      <c r="D3525" s="0" t="n">
        <v>12</v>
      </c>
      <c r="E3525" s="5" t="n">
        <v>45986.3907523148</v>
      </c>
      <c r="F3525" s="0" t="n">
        <v>2.1</v>
      </c>
      <c r="G3525" s="0" t="n">
        <v>17257</v>
      </c>
      <c r="H3525" s="6" t="s">
        <v>74</v>
      </c>
      <c r="I3525" s="6" t="n">
        <f aca="false">D3525*F3525</f>
        <v>25.2</v>
      </c>
      <c r="J3525" s="6" t="n">
        <f aca="false">HOUR(E3525)</f>
        <v>9</v>
      </c>
      <c r="K3525" s="6" t="n">
        <f aca="false">IF(COUNTIF($A$2:$A3525,A3525)=1,1,0)</f>
        <v>0</v>
      </c>
    </row>
    <row r="3526" customFormat="false" ht="15" hidden="false" customHeight="false" outlineLevel="0" collapsed="false">
      <c r="A3526" s="0" t="s">
        <v>766</v>
      </c>
      <c r="B3526" s="0" t="s">
        <v>109</v>
      </c>
      <c r="C3526" s="0" t="s">
        <v>110</v>
      </c>
      <c r="D3526" s="0" t="n">
        <v>19</v>
      </c>
      <c r="E3526" s="5" t="n">
        <v>45986.3997106482</v>
      </c>
      <c r="F3526" s="0" t="n">
        <v>0.85</v>
      </c>
      <c r="G3526" s="0" t="n">
        <v>17241</v>
      </c>
      <c r="H3526" s="6" t="s">
        <v>98</v>
      </c>
      <c r="I3526" s="6" t="n">
        <f aca="false">D3526*F3526</f>
        <v>16.15</v>
      </c>
      <c r="J3526" s="6" t="n">
        <f aca="false">HOUR(E3526)</f>
        <v>9</v>
      </c>
      <c r="K3526" s="6" t="n">
        <f aca="false">IF(COUNTIF($A$2:$A3526,A3526)=1,1,0)</f>
        <v>1</v>
      </c>
    </row>
    <row r="3527" customFormat="false" ht="15" hidden="false" customHeight="false" outlineLevel="0" collapsed="false">
      <c r="A3527" s="0" t="s">
        <v>766</v>
      </c>
      <c r="B3527" s="0" t="s">
        <v>79</v>
      </c>
      <c r="C3527" s="0" t="s">
        <v>80</v>
      </c>
      <c r="D3527" s="0" t="n">
        <v>3</v>
      </c>
      <c r="E3527" s="5" t="n">
        <v>45986.3997106482</v>
      </c>
      <c r="F3527" s="0" t="n">
        <v>3.39</v>
      </c>
      <c r="G3527" s="0" t="n">
        <v>17241</v>
      </c>
      <c r="H3527" s="6" t="s">
        <v>98</v>
      </c>
      <c r="I3527" s="6" t="n">
        <f aca="false">D3527*F3527</f>
        <v>10.17</v>
      </c>
      <c r="J3527" s="6" t="n">
        <f aca="false">HOUR(E3527)</f>
        <v>9</v>
      </c>
      <c r="K3527" s="6" t="n">
        <f aca="false">IF(COUNTIF($A$2:$A3527,A3527)=1,1,0)</f>
        <v>0</v>
      </c>
    </row>
    <row r="3528" customFormat="false" ht="15" hidden="false" customHeight="false" outlineLevel="0" collapsed="false">
      <c r="A3528" s="0" t="s">
        <v>766</v>
      </c>
      <c r="B3528" s="0" t="s">
        <v>102</v>
      </c>
      <c r="C3528" s="0" t="s">
        <v>103</v>
      </c>
      <c r="D3528" s="0" t="n">
        <v>28</v>
      </c>
      <c r="E3528" s="5" t="n">
        <v>45986.3997106482</v>
      </c>
      <c r="F3528" s="0" t="n">
        <v>8.5</v>
      </c>
      <c r="G3528" s="0" t="n">
        <v>17241</v>
      </c>
      <c r="H3528" s="6" t="s">
        <v>98</v>
      </c>
      <c r="I3528" s="6" t="n">
        <f aca="false">D3528*F3528</f>
        <v>238</v>
      </c>
      <c r="J3528" s="6" t="n">
        <f aca="false">HOUR(E3528)</f>
        <v>9</v>
      </c>
      <c r="K3528" s="6" t="n">
        <f aca="false">IF(COUNTIF($A$2:$A3528,A3528)=1,1,0)</f>
        <v>0</v>
      </c>
    </row>
    <row r="3529" customFormat="false" ht="15" hidden="false" customHeight="false" outlineLevel="0" collapsed="false">
      <c r="A3529" s="0" t="s">
        <v>766</v>
      </c>
      <c r="B3529" s="0" t="s">
        <v>72</v>
      </c>
      <c r="C3529" s="0" t="s">
        <v>73</v>
      </c>
      <c r="D3529" s="0" t="n">
        <v>21</v>
      </c>
      <c r="E3529" s="5" t="n">
        <v>45986.3997106482</v>
      </c>
      <c r="F3529" s="0" t="n">
        <v>4.95</v>
      </c>
      <c r="G3529" s="0" t="n">
        <v>17241</v>
      </c>
      <c r="H3529" s="6" t="s">
        <v>98</v>
      </c>
      <c r="I3529" s="6" t="n">
        <f aca="false">D3529*F3529</f>
        <v>103.95</v>
      </c>
      <c r="J3529" s="6" t="n">
        <f aca="false">HOUR(E3529)</f>
        <v>9</v>
      </c>
      <c r="K3529" s="6" t="n">
        <f aca="false">IF(COUNTIF($A$2:$A3529,A3529)=1,1,0)</f>
        <v>0</v>
      </c>
    </row>
    <row r="3530" customFormat="false" ht="15" hidden="false" customHeight="false" outlineLevel="0" collapsed="false">
      <c r="A3530" s="0" t="s">
        <v>766</v>
      </c>
      <c r="B3530" s="0" t="s">
        <v>137</v>
      </c>
      <c r="C3530" s="0" t="s">
        <v>138</v>
      </c>
      <c r="D3530" s="0" t="n">
        <v>18</v>
      </c>
      <c r="E3530" s="5" t="n">
        <v>45986.3997106482</v>
      </c>
      <c r="F3530" s="0" t="n">
        <v>2.1</v>
      </c>
      <c r="G3530" s="0" t="n">
        <v>17241</v>
      </c>
      <c r="H3530" s="6" t="s">
        <v>98</v>
      </c>
      <c r="I3530" s="6" t="n">
        <f aca="false">D3530*F3530</f>
        <v>37.8</v>
      </c>
      <c r="J3530" s="6" t="n">
        <f aca="false">HOUR(E3530)</f>
        <v>9</v>
      </c>
      <c r="K3530" s="6" t="n">
        <f aca="false">IF(COUNTIF($A$2:$A3530,A3530)=1,1,0)</f>
        <v>0</v>
      </c>
    </row>
    <row r="3531" customFormat="false" ht="15" hidden="false" customHeight="false" outlineLevel="0" collapsed="false">
      <c r="A3531" s="0" t="s">
        <v>766</v>
      </c>
      <c r="B3531" s="0" t="s">
        <v>127</v>
      </c>
      <c r="C3531" s="0" t="s">
        <v>128</v>
      </c>
      <c r="D3531" s="0" t="n">
        <v>21</v>
      </c>
      <c r="E3531" s="5" t="n">
        <v>45986.3997106482</v>
      </c>
      <c r="F3531" s="0" t="n">
        <v>1.45</v>
      </c>
      <c r="G3531" s="0" t="n">
        <v>17241</v>
      </c>
      <c r="H3531" s="6" t="s">
        <v>98</v>
      </c>
      <c r="I3531" s="6" t="n">
        <f aca="false">D3531*F3531</f>
        <v>30.45</v>
      </c>
      <c r="J3531" s="6" t="n">
        <f aca="false">HOUR(E3531)</f>
        <v>9</v>
      </c>
      <c r="K3531" s="6" t="n">
        <f aca="false">IF(COUNTIF($A$2:$A3531,A3531)=1,1,0)</f>
        <v>0</v>
      </c>
    </row>
    <row r="3532" customFormat="false" ht="15" hidden="false" customHeight="false" outlineLevel="0" collapsed="false">
      <c r="A3532" s="0" t="s">
        <v>766</v>
      </c>
      <c r="B3532" s="0" t="s">
        <v>50</v>
      </c>
      <c r="C3532" s="0" t="s">
        <v>51</v>
      </c>
      <c r="D3532" s="0" t="n">
        <v>10</v>
      </c>
      <c r="E3532" s="5" t="n">
        <v>45986.3997106482</v>
      </c>
      <c r="F3532" s="0" t="n">
        <v>5.95</v>
      </c>
      <c r="G3532" s="0" t="n">
        <v>17241</v>
      </c>
      <c r="H3532" s="6" t="s">
        <v>98</v>
      </c>
      <c r="I3532" s="6" t="n">
        <f aca="false">D3532*F3532</f>
        <v>59.5</v>
      </c>
      <c r="J3532" s="6" t="n">
        <f aca="false">HOUR(E3532)</f>
        <v>9</v>
      </c>
      <c r="K3532" s="6" t="n">
        <f aca="false">IF(COUNTIF($A$2:$A3532,A3532)=1,1,0)</f>
        <v>0</v>
      </c>
    </row>
    <row r="3533" customFormat="false" ht="15" hidden="false" customHeight="false" outlineLevel="0" collapsed="false">
      <c r="A3533" s="0" t="s">
        <v>766</v>
      </c>
      <c r="B3533" s="0" t="s">
        <v>81</v>
      </c>
      <c r="C3533" s="0" t="s">
        <v>82</v>
      </c>
      <c r="D3533" s="0" t="n">
        <v>6</v>
      </c>
      <c r="E3533" s="5" t="n">
        <v>45986.3997106482</v>
      </c>
      <c r="F3533" s="0" t="n">
        <v>1.65</v>
      </c>
      <c r="G3533" s="0" t="n">
        <v>17241</v>
      </c>
      <c r="H3533" s="6" t="s">
        <v>98</v>
      </c>
      <c r="I3533" s="6" t="n">
        <f aca="false">D3533*F3533</f>
        <v>9.9</v>
      </c>
      <c r="J3533" s="6" t="n">
        <f aca="false">HOUR(E3533)</f>
        <v>9</v>
      </c>
      <c r="K3533" s="6" t="n">
        <f aca="false">IF(COUNTIF($A$2:$A3533,A3533)=1,1,0)</f>
        <v>0</v>
      </c>
    </row>
    <row r="3534" customFormat="false" ht="15" hidden="false" customHeight="false" outlineLevel="0" collapsed="false">
      <c r="A3534" s="0" t="s">
        <v>766</v>
      </c>
      <c r="B3534" s="0" t="s">
        <v>75</v>
      </c>
      <c r="C3534" s="0" t="s">
        <v>76</v>
      </c>
      <c r="D3534" s="0" t="n">
        <v>13</v>
      </c>
      <c r="E3534" s="5" t="n">
        <v>45986.3997106482</v>
      </c>
      <c r="F3534" s="0" t="n">
        <v>3.39</v>
      </c>
      <c r="G3534" s="0" t="n">
        <v>17241</v>
      </c>
      <c r="H3534" s="6" t="s">
        <v>98</v>
      </c>
      <c r="I3534" s="6" t="n">
        <f aca="false">D3534*F3534</f>
        <v>44.07</v>
      </c>
      <c r="J3534" s="6" t="n">
        <f aca="false">HOUR(E3534)</f>
        <v>9</v>
      </c>
      <c r="K3534" s="6" t="n">
        <f aca="false">IF(COUNTIF($A$2:$A3534,A3534)=1,1,0)</f>
        <v>0</v>
      </c>
    </row>
    <row r="3535" customFormat="false" ht="15" hidden="false" customHeight="false" outlineLevel="0" collapsed="false">
      <c r="A3535" s="0" t="s">
        <v>767</v>
      </c>
      <c r="B3535" s="0" t="s">
        <v>86</v>
      </c>
      <c r="C3535" s="0" t="s">
        <v>87</v>
      </c>
      <c r="D3535" s="0" t="n">
        <v>11</v>
      </c>
      <c r="E3535" s="5" t="n">
        <v>45986.4050810185</v>
      </c>
      <c r="F3535" s="0" t="n">
        <v>4.25</v>
      </c>
      <c r="G3535" s="0" t="n">
        <v>17093</v>
      </c>
      <c r="H3535" s="6" t="s">
        <v>113</v>
      </c>
      <c r="I3535" s="6" t="n">
        <f aca="false">D3535*F3535</f>
        <v>46.75</v>
      </c>
      <c r="J3535" s="6" t="n">
        <f aca="false">HOUR(E3535)</f>
        <v>9</v>
      </c>
      <c r="K3535" s="6" t="n">
        <f aca="false">IF(COUNTIF($A$2:$A3535,A3535)=1,1,0)</f>
        <v>1</v>
      </c>
    </row>
    <row r="3536" customFormat="false" ht="15" hidden="false" customHeight="false" outlineLevel="0" collapsed="false">
      <c r="A3536" s="0" t="s">
        <v>767</v>
      </c>
      <c r="B3536" s="0" t="s">
        <v>59</v>
      </c>
      <c r="C3536" s="0" t="s">
        <v>60</v>
      </c>
      <c r="D3536" s="0" t="n">
        <v>16</v>
      </c>
      <c r="E3536" s="5" t="n">
        <v>45986.4050810185</v>
      </c>
      <c r="F3536" s="0" t="n">
        <v>0.42</v>
      </c>
      <c r="G3536" s="0" t="n">
        <v>17093</v>
      </c>
      <c r="H3536" s="6" t="s">
        <v>113</v>
      </c>
      <c r="I3536" s="6" t="n">
        <f aca="false">D3536*F3536</f>
        <v>6.72</v>
      </c>
      <c r="J3536" s="6" t="n">
        <f aca="false">HOUR(E3536)</f>
        <v>9</v>
      </c>
      <c r="K3536" s="6" t="n">
        <f aca="false">IF(COUNTIF($A$2:$A3536,A3536)=1,1,0)</f>
        <v>0</v>
      </c>
    </row>
    <row r="3537" customFormat="false" ht="15" hidden="false" customHeight="false" outlineLevel="0" collapsed="false">
      <c r="A3537" s="0" t="s">
        <v>767</v>
      </c>
      <c r="B3537" s="0" t="s">
        <v>45</v>
      </c>
      <c r="C3537" s="0" t="s">
        <v>46</v>
      </c>
      <c r="D3537" s="0" t="n">
        <v>10</v>
      </c>
      <c r="E3537" s="5" t="n">
        <v>45986.4050810185</v>
      </c>
      <c r="F3537" s="0" t="n">
        <v>2.1</v>
      </c>
      <c r="G3537" s="0" t="n">
        <v>17093</v>
      </c>
      <c r="H3537" s="6" t="s">
        <v>113</v>
      </c>
      <c r="I3537" s="6" t="n">
        <f aca="false">D3537*F3537</f>
        <v>21</v>
      </c>
      <c r="J3537" s="6" t="n">
        <f aca="false">HOUR(E3537)</f>
        <v>9</v>
      </c>
      <c r="K3537" s="6" t="n">
        <f aca="false">IF(COUNTIF($A$2:$A3537,A3537)=1,1,0)</f>
        <v>0</v>
      </c>
    </row>
    <row r="3538" customFormat="false" ht="15" hidden="false" customHeight="false" outlineLevel="0" collapsed="false">
      <c r="A3538" s="0" t="s">
        <v>767</v>
      </c>
      <c r="B3538" s="0" t="s">
        <v>57</v>
      </c>
      <c r="C3538" s="0" t="s">
        <v>58</v>
      </c>
      <c r="D3538" s="0" t="n">
        <v>7</v>
      </c>
      <c r="E3538" s="5" t="n">
        <v>45986.4050810185</v>
      </c>
      <c r="F3538" s="0" t="n">
        <v>2.08</v>
      </c>
      <c r="G3538" s="0" t="n">
        <v>17093</v>
      </c>
      <c r="H3538" s="6" t="s">
        <v>113</v>
      </c>
      <c r="I3538" s="6" t="n">
        <f aca="false">D3538*F3538</f>
        <v>14.56</v>
      </c>
      <c r="J3538" s="6" t="n">
        <f aca="false">HOUR(E3538)</f>
        <v>9</v>
      </c>
      <c r="K3538" s="6" t="n">
        <f aca="false">IF(COUNTIF($A$2:$A3538,A3538)=1,1,0)</f>
        <v>0</v>
      </c>
    </row>
    <row r="3539" customFormat="false" ht="15" hidden="false" customHeight="false" outlineLevel="0" collapsed="false">
      <c r="A3539" s="0" t="s">
        <v>768</v>
      </c>
      <c r="B3539" s="0" t="s">
        <v>47</v>
      </c>
      <c r="C3539" s="0" t="s">
        <v>48</v>
      </c>
      <c r="D3539" s="0" t="n">
        <v>42</v>
      </c>
      <c r="E3539" s="5" t="n">
        <v>45986.4056712963</v>
      </c>
      <c r="F3539" s="0" t="n">
        <v>12.75</v>
      </c>
      <c r="G3539" s="0" t="n">
        <v>17087</v>
      </c>
      <c r="H3539" s="6" t="s">
        <v>151</v>
      </c>
      <c r="I3539" s="6" t="n">
        <f aca="false">D3539*F3539</f>
        <v>535.5</v>
      </c>
      <c r="J3539" s="6" t="n">
        <f aca="false">HOUR(E3539)</f>
        <v>9</v>
      </c>
      <c r="K3539" s="6" t="n">
        <f aca="false">IF(COUNTIF($A$2:$A3539,A3539)=1,1,0)</f>
        <v>1</v>
      </c>
    </row>
    <row r="3540" customFormat="false" ht="15" hidden="false" customHeight="false" outlineLevel="0" collapsed="false">
      <c r="A3540" s="0" t="s">
        <v>768</v>
      </c>
      <c r="B3540" s="0" t="s">
        <v>53</v>
      </c>
      <c r="C3540" s="0" t="s">
        <v>54</v>
      </c>
      <c r="D3540" s="0" t="n">
        <v>24</v>
      </c>
      <c r="E3540" s="5" t="n">
        <v>45986.4056712963</v>
      </c>
      <c r="F3540" s="0" t="n">
        <v>2.95</v>
      </c>
      <c r="G3540" s="0" t="n">
        <v>17087</v>
      </c>
      <c r="H3540" s="6" t="s">
        <v>151</v>
      </c>
      <c r="I3540" s="6" t="n">
        <f aca="false">D3540*F3540</f>
        <v>70.8</v>
      </c>
      <c r="J3540" s="6" t="n">
        <f aca="false">HOUR(E3540)</f>
        <v>9</v>
      </c>
      <c r="K3540" s="6" t="n">
        <f aca="false">IF(COUNTIF($A$2:$A3540,A3540)=1,1,0)</f>
        <v>0</v>
      </c>
    </row>
    <row r="3541" customFormat="false" ht="15" hidden="false" customHeight="false" outlineLevel="0" collapsed="false">
      <c r="A3541" s="0" t="s">
        <v>769</v>
      </c>
      <c r="B3541" s="0" t="s">
        <v>114</v>
      </c>
      <c r="C3541" s="0" t="s">
        <v>115</v>
      </c>
      <c r="D3541" s="0" t="n">
        <v>14</v>
      </c>
      <c r="E3541" s="5" t="n">
        <v>45986.4425231482</v>
      </c>
      <c r="F3541" s="0" t="n">
        <v>2.08</v>
      </c>
      <c r="G3541" s="0" t="n">
        <v>17002</v>
      </c>
      <c r="H3541" s="6" t="s">
        <v>68</v>
      </c>
      <c r="I3541" s="6" t="n">
        <f aca="false">D3541*F3541</f>
        <v>29.12</v>
      </c>
      <c r="J3541" s="6" t="n">
        <f aca="false">HOUR(E3541)</f>
        <v>10</v>
      </c>
      <c r="K3541" s="6" t="n">
        <f aca="false">IF(COUNTIF($A$2:$A3541,A3541)=1,1,0)</f>
        <v>1</v>
      </c>
    </row>
    <row r="3542" customFormat="false" ht="15" hidden="false" customHeight="false" outlineLevel="0" collapsed="false">
      <c r="A3542" s="0" t="s">
        <v>769</v>
      </c>
      <c r="B3542" s="0" t="s">
        <v>88</v>
      </c>
      <c r="C3542" s="0" t="s">
        <v>89</v>
      </c>
      <c r="D3542" s="0" t="n">
        <v>23</v>
      </c>
      <c r="E3542" s="5" t="n">
        <v>45986.4425231482</v>
      </c>
      <c r="F3542" s="0" t="n">
        <v>2.75</v>
      </c>
      <c r="G3542" s="0" t="n">
        <v>17002</v>
      </c>
      <c r="H3542" s="6" t="s">
        <v>68</v>
      </c>
      <c r="I3542" s="6" t="n">
        <f aca="false">D3542*F3542</f>
        <v>63.25</v>
      </c>
      <c r="J3542" s="6" t="n">
        <f aca="false">HOUR(E3542)</f>
        <v>10</v>
      </c>
      <c r="K3542" s="6" t="n">
        <f aca="false">IF(COUNTIF($A$2:$A3542,A3542)=1,1,0)</f>
        <v>0</v>
      </c>
    </row>
    <row r="3543" customFormat="false" ht="15" hidden="false" customHeight="false" outlineLevel="0" collapsed="false">
      <c r="A3543" s="0" t="s">
        <v>769</v>
      </c>
      <c r="B3543" s="0" t="s">
        <v>40</v>
      </c>
      <c r="C3543" s="0" t="s">
        <v>41</v>
      </c>
      <c r="D3543" s="0" t="n">
        <v>1</v>
      </c>
      <c r="E3543" s="5" t="n">
        <v>45986.4425231482</v>
      </c>
      <c r="F3543" s="0" t="n">
        <v>1.06</v>
      </c>
      <c r="G3543" s="0" t="n">
        <v>17002</v>
      </c>
      <c r="H3543" s="6" t="s">
        <v>68</v>
      </c>
      <c r="I3543" s="6" t="n">
        <f aca="false">D3543*F3543</f>
        <v>1.06</v>
      </c>
      <c r="J3543" s="6" t="n">
        <f aca="false">HOUR(E3543)</f>
        <v>10</v>
      </c>
      <c r="K3543" s="6" t="n">
        <f aca="false">IF(COUNTIF($A$2:$A3543,A3543)=1,1,0)</f>
        <v>0</v>
      </c>
    </row>
    <row r="3544" customFormat="false" ht="15" hidden="false" customHeight="false" outlineLevel="0" collapsed="false">
      <c r="A3544" s="0" t="s">
        <v>769</v>
      </c>
      <c r="B3544" s="0" t="s">
        <v>83</v>
      </c>
      <c r="C3544" s="0" t="s">
        <v>84</v>
      </c>
      <c r="D3544" s="0" t="n">
        <v>3</v>
      </c>
      <c r="E3544" s="5" t="n">
        <v>45986.4425231482</v>
      </c>
      <c r="F3544" s="0" t="n">
        <v>2.95</v>
      </c>
      <c r="G3544" s="0" t="n">
        <v>17002</v>
      </c>
      <c r="H3544" s="6" t="s">
        <v>68</v>
      </c>
      <c r="I3544" s="6" t="n">
        <f aca="false">D3544*F3544</f>
        <v>8.85</v>
      </c>
      <c r="J3544" s="6" t="n">
        <f aca="false">HOUR(E3544)</f>
        <v>10</v>
      </c>
      <c r="K3544" s="6" t="n">
        <f aca="false">IF(COUNTIF($A$2:$A3544,A3544)=1,1,0)</f>
        <v>0</v>
      </c>
    </row>
    <row r="3545" customFormat="false" ht="15" hidden="false" customHeight="false" outlineLevel="0" collapsed="false">
      <c r="A3545" s="0" t="s">
        <v>769</v>
      </c>
      <c r="B3545" s="0" t="s">
        <v>53</v>
      </c>
      <c r="C3545" s="0" t="s">
        <v>54</v>
      </c>
      <c r="D3545" s="0" t="n">
        <v>8</v>
      </c>
      <c r="E3545" s="5" t="n">
        <v>45986.4425231482</v>
      </c>
      <c r="F3545" s="0" t="n">
        <v>2.95</v>
      </c>
      <c r="G3545" s="0" t="n">
        <v>17002</v>
      </c>
      <c r="H3545" s="6" t="s">
        <v>68</v>
      </c>
      <c r="I3545" s="6" t="n">
        <f aca="false">D3545*F3545</f>
        <v>23.6</v>
      </c>
      <c r="J3545" s="6" t="n">
        <f aca="false">HOUR(E3545)</f>
        <v>10</v>
      </c>
      <c r="K3545" s="6" t="n">
        <f aca="false">IF(COUNTIF($A$2:$A3545,A3545)=1,1,0)</f>
        <v>0</v>
      </c>
    </row>
    <row r="3546" customFormat="false" ht="15" hidden="false" customHeight="false" outlineLevel="0" collapsed="false">
      <c r="A3546" s="0" t="s">
        <v>769</v>
      </c>
      <c r="B3546" s="0" t="s">
        <v>127</v>
      </c>
      <c r="C3546" s="0" t="s">
        <v>128</v>
      </c>
      <c r="D3546" s="0" t="n">
        <v>5</v>
      </c>
      <c r="E3546" s="5" t="n">
        <v>45986.4425231482</v>
      </c>
      <c r="F3546" s="0" t="n">
        <v>1.45</v>
      </c>
      <c r="G3546" s="0" t="n">
        <v>17002</v>
      </c>
      <c r="H3546" s="6" t="s">
        <v>68</v>
      </c>
      <c r="I3546" s="6" t="n">
        <f aca="false">D3546*F3546</f>
        <v>7.25</v>
      </c>
      <c r="J3546" s="6" t="n">
        <f aca="false">HOUR(E3546)</f>
        <v>10</v>
      </c>
      <c r="K3546" s="6" t="n">
        <f aca="false">IF(COUNTIF($A$2:$A3546,A3546)=1,1,0)</f>
        <v>0</v>
      </c>
    </row>
    <row r="3547" customFormat="false" ht="15" hidden="false" customHeight="false" outlineLevel="0" collapsed="false">
      <c r="A3547" s="0" t="s">
        <v>769</v>
      </c>
      <c r="B3547" s="0" t="s">
        <v>116</v>
      </c>
      <c r="C3547" s="0" t="s">
        <v>117</v>
      </c>
      <c r="D3547" s="0" t="n">
        <v>15</v>
      </c>
      <c r="E3547" s="5" t="n">
        <v>45986.4425231482</v>
      </c>
      <c r="F3547" s="0" t="n">
        <v>1.95</v>
      </c>
      <c r="G3547" s="0" t="n">
        <v>17002</v>
      </c>
      <c r="H3547" s="6" t="s">
        <v>68</v>
      </c>
      <c r="I3547" s="6" t="n">
        <f aca="false">D3547*F3547</f>
        <v>29.25</v>
      </c>
      <c r="J3547" s="6" t="n">
        <f aca="false">HOUR(E3547)</f>
        <v>10</v>
      </c>
      <c r="K3547" s="6" t="n">
        <f aca="false">IF(COUNTIF($A$2:$A3547,A3547)=1,1,0)</f>
        <v>0</v>
      </c>
    </row>
    <row r="3548" customFormat="false" ht="15" hidden="false" customHeight="false" outlineLevel="0" collapsed="false">
      <c r="A3548" s="0" t="s">
        <v>770</v>
      </c>
      <c r="B3548" s="0" t="s">
        <v>93</v>
      </c>
      <c r="C3548" s="0" t="s">
        <v>94</v>
      </c>
      <c r="D3548" s="0" t="n">
        <v>7</v>
      </c>
      <c r="E3548" s="5" t="n">
        <v>45986.5751041667</v>
      </c>
      <c r="F3548" s="0" t="n">
        <v>1.69</v>
      </c>
      <c r="H3548" s="6" t="s">
        <v>113</v>
      </c>
      <c r="I3548" s="6" t="n">
        <f aca="false">D3548*F3548</f>
        <v>11.83</v>
      </c>
      <c r="J3548" s="6" t="n">
        <f aca="false">HOUR(E3548)</f>
        <v>13</v>
      </c>
      <c r="K3548" s="6" t="n">
        <f aca="false">IF(COUNTIF($A$2:$A3548,A3548)=1,1,0)</f>
        <v>1</v>
      </c>
    </row>
    <row r="3549" customFormat="false" ht="15" hidden="false" customHeight="false" outlineLevel="0" collapsed="false">
      <c r="A3549" s="0" t="s">
        <v>770</v>
      </c>
      <c r="B3549" s="0" t="s">
        <v>91</v>
      </c>
      <c r="C3549" s="0" t="s">
        <v>92</v>
      </c>
      <c r="D3549" s="0" t="n">
        <v>13</v>
      </c>
      <c r="E3549" s="5" t="n">
        <v>45986.5751041667</v>
      </c>
      <c r="F3549" s="0" t="n">
        <v>7.65</v>
      </c>
      <c r="H3549" s="6" t="s">
        <v>113</v>
      </c>
      <c r="I3549" s="6" t="n">
        <f aca="false">D3549*F3549</f>
        <v>99.45</v>
      </c>
      <c r="J3549" s="6" t="n">
        <f aca="false">HOUR(E3549)</f>
        <v>13</v>
      </c>
      <c r="K3549" s="6" t="n">
        <f aca="false">IF(COUNTIF($A$2:$A3549,A3549)=1,1,0)</f>
        <v>0</v>
      </c>
    </row>
    <row r="3550" customFormat="false" ht="15" hidden="false" customHeight="false" outlineLevel="0" collapsed="false">
      <c r="A3550" s="0" t="s">
        <v>770</v>
      </c>
      <c r="B3550" s="0" t="s">
        <v>137</v>
      </c>
      <c r="C3550" s="0" t="s">
        <v>138</v>
      </c>
      <c r="D3550" s="0" t="n">
        <v>7</v>
      </c>
      <c r="E3550" s="5" t="n">
        <v>45986.5751041667</v>
      </c>
      <c r="F3550" s="0" t="n">
        <v>2.1</v>
      </c>
      <c r="H3550" s="6" t="s">
        <v>113</v>
      </c>
      <c r="I3550" s="6" t="n">
        <f aca="false">D3550*F3550</f>
        <v>14.7</v>
      </c>
      <c r="J3550" s="6" t="n">
        <f aca="false">HOUR(E3550)</f>
        <v>13</v>
      </c>
      <c r="K3550" s="6" t="n">
        <f aca="false">IF(COUNTIF($A$2:$A3550,A3550)=1,1,0)</f>
        <v>0</v>
      </c>
    </row>
    <row r="3551" customFormat="false" ht="15" hidden="false" customHeight="false" outlineLevel="0" collapsed="false">
      <c r="A3551" s="0" t="s">
        <v>770</v>
      </c>
      <c r="B3551" s="0" t="s">
        <v>77</v>
      </c>
      <c r="C3551" s="0" t="s">
        <v>78</v>
      </c>
      <c r="D3551" s="0" t="n">
        <v>5</v>
      </c>
      <c r="E3551" s="5" t="n">
        <v>45986.5751041667</v>
      </c>
      <c r="F3551" s="0" t="n">
        <v>1.65</v>
      </c>
      <c r="H3551" s="6" t="s">
        <v>113</v>
      </c>
      <c r="I3551" s="6" t="n">
        <f aca="false">D3551*F3551</f>
        <v>8.25</v>
      </c>
      <c r="J3551" s="6" t="n">
        <f aca="false">HOUR(E3551)</f>
        <v>13</v>
      </c>
      <c r="K3551" s="6" t="n">
        <f aca="false">IF(COUNTIF($A$2:$A3551,A3551)=1,1,0)</f>
        <v>0</v>
      </c>
    </row>
    <row r="3552" customFormat="false" ht="15" hidden="false" customHeight="false" outlineLevel="0" collapsed="false">
      <c r="A3552" s="0" t="s">
        <v>770</v>
      </c>
      <c r="B3552" s="0" t="s">
        <v>57</v>
      </c>
      <c r="C3552" s="0" t="s">
        <v>58</v>
      </c>
      <c r="D3552" s="0" t="n">
        <v>16</v>
      </c>
      <c r="E3552" s="5" t="n">
        <v>45986.5751041667</v>
      </c>
      <c r="F3552" s="0" t="n">
        <v>2.08</v>
      </c>
      <c r="H3552" s="6" t="s">
        <v>113</v>
      </c>
      <c r="I3552" s="6" t="n">
        <f aca="false">D3552*F3552</f>
        <v>33.28</v>
      </c>
      <c r="J3552" s="6" t="n">
        <f aca="false">HOUR(E3552)</f>
        <v>13</v>
      </c>
      <c r="K3552" s="6" t="n">
        <f aca="false">IF(COUNTIF($A$2:$A3552,A3552)=1,1,0)</f>
        <v>0</v>
      </c>
    </row>
    <row r="3553" customFormat="false" ht="15" hidden="false" customHeight="false" outlineLevel="0" collapsed="false">
      <c r="A3553" s="0" t="s">
        <v>770</v>
      </c>
      <c r="B3553" s="0" t="s">
        <v>127</v>
      </c>
      <c r="C3553" s="0" t="s">
        <v>128</v>
      </c>
      <c r="D3553" s="0" t="n">
        <v>10</v>
      </c>
      <c r="E3553" s="5" t="n">
        <v>45986.5751041667</v>
      </c>
      <c r="F3553" s="0" t="n">
        <v>1.45</v>
      </c>
      <c r="H3553" s="6" t="s">
        <v>113</v>
      </c>
      <c r="I3553" s="6" t="n">
        <f aca="false">D3553*F3553</f>
        <v>14.5</v>
      </c>
      <c r="J3553" s="6" t="n">
        <f aca="false">HOUR(E3553)</f>
        <v>13</v>
      </c>
      <c r="K3553" s="6" t="n">
        <f aca="false">IF(COUNTIF($A$2:$A3553,A3553)=1,1,0)</f>
        <v>0</v>
      </c>
    </row>
    <row r="3554" customFormat="false" ht="15" hidden="false" customHeight="false" outlineLevel="0" collapsed="false">
      <c r="A3554" s="0" t="s">
        <v>770</v>
      </c>
      <c r="B3554" s="0" t="s">
        <v>55</v>
      </c>
      <c r="D3554" s="0" t="n">
        <v>17</v>
      </c>
      <c r="E3554" s="5" t="n">
        <v>45986.5751041667</v>
      </c>
      <c r="F3554" s="0" t="n">
        <v>1.65</v>
      </c>
      <c r="H3554" s="6" t="s">
        <v>113</v>
      </c>
      <c r="I3554" s="6" t="n">
        <f aca="false">D3554*F3554</f>
        <v>28.05</v>
      </c>
      <c r="J3554" s="6" t="n">
        <f aca="false">HOUR(E3554)</f>
        <v>13</v>
      </c>
      <c r="K3554" s="6" t="n">
        <f aca="false">IF(COUNTIF($A$2:$A3554,A3554)=1,1,0)</f>
        <v>0</v>
      </c>
    </row>
    <row r="3555" customFormat="false" ht="15" hidden="false" customHeight="false" outlineLevel="0" collapsed="false">
      <c r="A3555" s="0" t="s">
        <v>771</v>
      </c>
      <c r="B3555" s="0" t="s">
        <v>77</v>
      </c>
      <c r="C3555" s="0" t="s">
        <v>78</v>
      </c>
      <c r="D3555" s="0" t="n">
        <v>12</v>
      </c>
      <c r="E3555" s="5" t="n">
        <v>45986.5903125</v>
      </c>
      <c r="F3555" s="0" t="n">
        <v>1.65</v>
      </c>
      <c r="G3555" s="0" t="n">
        <v>17209</v>
      </c>
      <c r="H3555" s="6" t="s">
        <v>74</v>
      </c>
      <c r="I3555" s="6" t="n">
        <f aca="false">D3555*F3555</f>
        <v>19.8</v>
      </c>
      <c r="J3555" s="6" t="n">
        <f aca="false">HOUR(E3555)</f>
        <v>14</v>
      </c>
      <c r="K3555" s="6" t="n">
        <f aca="false">IF(COUNTIF($A$2:$A3555,A3555)=1,1,0)</f>
        <v>1</v>
      </c>
    </row>
    <row r="3556" customFormat="false" ht="15" hidden="false" customHeight="false" outlineLevel="0" collapsed="false">
      <c r="A3556" s="0" t="s">
        <v>771</v>
      </c>
      <c r="B3556" s="0" t="s">
        <v>57</v>
      </c>
      <c r="C3556" s="0" t="s">
        <v>58</v>
      </c>
      <c r="D3556" s="0" t="n">
        <v>16</v>
      </c>
      <c r="E3556" s="5" t="n">
        <v>45986.5903125</v>
      </c>
      <c r="F3556" s="0" t="n">
        <v>2.08</v>
      </c>
      <c r="G3556" s="0" t="n">
        <v>17209</v>
      </c>
      <c r="H3556" s="6" t="s">
        <v>74</v>
      </c>
      <c r="I3556" s="6" t="n">
        <f aca="false">D3556*F3556</f>
        <v>33.28</v>
      </c>
      <c r="J3556" s="6" t="n">
        <f aca="false">HOUR(E3556)</f>
        <v>14</v>
      </c>
      <c r="K3556" s="6" t="n">
        <f aca="false">IF(COUNTIF($A$2:$A3556,A3556)=1,1,0)</f>
        <v>0</v>
      </c>
    </row>
    <row r="3557" customFormat="false" ht="15" hidden="false" customHeight="false" outlineLevel="0" collapsed="false">
      <c r="A3557" s="0" t="s">
        <v>771</v>
      </c>
      <c r="B3557" s="0" t="s">
        <v>61</v>
      </c>
      <c r="C3557" s="0" t="s">
        <v>62</v>
      </c>
      <c r="D3557" s="0" t="n">
        <v>22</v>
      </c>
      <c r="E3557" s="5" t="n">
        <v>45986.5903125</v>
      </c>
      <c r="F3557" s="0" t="n">
        <v>1.65</v>
      </c>
      <c r="G3557" s="0" t="n">
        <v>17209</v>
      </c>
      <c r="H3557" s="6" t="s">
        <v>74</v>
      </c>
      <c r="I3557" s="6" t="n">
        <f aca="false">D3557*F3557</f>
        <v>36.3</v>
      </c>
      <c r="J3557" s="6" t="n">
        <f aca="false">HOUR(E3557)</f>
        <v>14</v>
      </c>
      <c r="K3557" s="6" t="n">
        <f aca="false">IF(COUNTIF($A$2:$A3557,A3557)=1,1,0)</f>
        <v>0</v>
      </c>
    </row>
    <row r="3558" customFormat="false" ht="15" hidden="false" customHeight="false" outlineLevel="0" collapsed="false">
      <c r="A3558" s="0" t="s">
        <v>771</v>
      </c>
      <c r="B3558" s="0" t="s">
        <v>55</v>
      </c>
      <c r="D3558" s="0" t="n">
        <v>3</v>
      </c>
      <c r="E3558" s="5" t="n">
        <v>45986.5903125</v>
      </c>
      <c r="F3558" s="0" t="n">
        <v>1.65</v>
      </c>
      <c r="G3558" s="0" t="n">
        <v>17209</v>
      </c>
      <c r="H3558" s="6" t="s">
        <v>74</v>
      </c>
      <c r="I3558" s="6" t="n">
        <f aca="false">D3558*F3558</f>
        <v>4.95</v>
      </c>
      <c r="J3558" s="6" t="n">
        <f aca="false">HOUR(E3558)</f>
        <v>14</v>
      </c>
      <c r="K3558" s="6" t="n">
        <f aca="false">IF(COUNTIF($A$2:$A3558,A3558)=1,1,0)</f>
        <v>0</v>
      </c>
    </row>
    <row r="3559" customFormat="false" ht="15" hidden="false" customHeight="false" outlineLevel="0" collapsed="false">
      <c r="A3559" s="0" t="s">
        <v>771</v>
      </c>
      <c r="B3559" s="0" t="s">
        <v>131</v>
      </c>
      <c r="C3559" s="0" t="s">
        <v>132</v>
      </c>
      <c r="D3559" s="0" t="n">
        <v>3</v>
      </c>
      <c r="E3559" s="5" t="n">
        <v>45986.5903125</v>
      </c>
      <c r="F3559" s="0" t="n">
        <v>3.39</v>
      </c>
      <c r="G3559" s="0" t="n">
        <v>17209</v>
      </c>
      <c r="H3559" s="6" t="s">
        <v>74</v>
      </c>
      <c r="I3559" s="6" t="n">
        <f aca="false">D3559*F3559</f>
        <v>10.17</v>
      </c>
      <c r="J3559" s="6" t="n">
        <f aca="false">HOUR(E3559)</f>
        <v>14</v>
      </c>
      <c r="K3559" s="6" t="n">
        <f aca="false">IF(COUNTIF($A$2:$A3559,A3559)=1,1,0)</f>
        <v>0</v>
      </c>
    </row>
    <row r="3560" customFormat="false" ht="15" hidden="false" customHeight="false" outlineLevel="0" collapsed="false">
      <c r="A3560" s="0" t="s">
        <v>771</v>
      </c>
      <c r="B3560" s="0" t="s">
        <v>86</v>
      </c>
      <c r="C3560" s="0" t="s">
        <v>87</v>
      </c>
      <c r="D3560" s="0" t="n">
        <v>21</v>
      </c>
      <c r="E3560" s="5" t="n">
        <v>45986.5903125</v>
      </c>
      <c r="F3560" s="0" t="n">
        <v>4.25</v>
      </c>
      <c r="G3560" s="0" t="n">
        <v>17209</v>
      </c>
      <c r="H3560" s="6" t="s">
        <v>74</v>
      </c>
      <c r="I3560" s="6" t="n">
        <f aca="false">D3560*F3560</f>
        <v>89.25</v>
      </c>
      <c r="J3560" s="6" t="n">
        <f aca="false">HOUR(E3560)</f>
        <v>14</v>
      </c>
      <c r="K3560" s="6" t="n">
        <f aca="false">IF(COUNTIF($A$2:$A3560,A3560)=1,1,0)</f>
        <v>0</v>
      </c>
    </row>
    <row r="3561" customFormat="false" ht="15" hidden="false" customHeight="false" outlineLevel="0" collapsed="false">
      <c r="A3561" s="0" t="s">
        <v>771</v>
      </c>
      <c r="B3561" s="0" t="s">
        <v>109</v>
      </c>
      <c r="C3561" s="0" t="s">
        <v>110</v>
      </c>
      <c r="D3561" s="0" t="n">
        <v>16</v>
      </c>
      <c r="E3561" s="5" t="n">
        <v>45986.5903125</v>
      </c>
      <c r="F3561" s="0" t="n">
        <v>0.85</v>
      </c>
      <c r="G3561" s="0" t="n">
        <v>17209</v>
      </c>
      <c r="H3561" s="6" t="s">
        <v>74</v>
      </c>
      <c r="I3561" s="6" t="n">
        <f aca="false">D3561*F3561</f>
        <v>13.6</v>
      </c>
      <c r="J3561" s="6" t="n">
        <f aca="false">HOUR(E3561)</f>
        <v>14</v>
      </c>
      <c r="K3561" s="6" t="n">
        <f aca="false">IF(COUNTIF($A$2:$A3561,A3561)=1,1,0)</f>
        <v>0</v>
      </c>
    </row>
    <row r="3562" customFormat="false" ht="15" hidden="false" customHeight="false" outlineLevel="0" collapsed="false">
      <c r="A3562" s="0" t="s">
        <v>771</v>
      </c>
      <c r="B3562" s="0" t="s">
        <v>118</v>
      </c>
      <c r="C3562" s="0" t="s">
        <v>119</v>
      </c>
      <c r="D3562" s="0" t="n">
        <v>25</v>
      </c>
      <c r="E3562" s="5" t="n">
        <v>45986.5903125</v>
      </c>
      <c r="F3562" s="0" t="n">
        <v>4.95</v>
      </c>
      <c r="G3562" s="0" t="n">
        <v>17209</v>
      </c>
      <c r="H3562" s="6" t="s">
        <v>74</v>
      </c>
      <c r="I3562" s="6" t="n">
        <f aca="false">D3562*F3562</f>
        <v>123.75</v>
      </c>
      <c r="J3562" s="6" t="n">
        <f aca="false">HOUR(E3562)</f>
        <v>14</v>
      </c>
      <c r="K3562" s="6" t="n">
        <f aca="false">IF(COUNTIF($A$2:$A3562,A3562)=1,1,0)</f>
        <v>0</v>
      </c>
    </row>
    <row r="3563" customFormat="false" ht="15" hidden="false" customHeight="false" outlineLevel="0" collapsed="false">
      <c r="A3563" s="0" t="s">
        <v>771</v>
      </c>
      <c r="B3563" s="0" t="s">
        <v>104</v>
      </c>
      <c r="C3563" s="0" t="s">
        <v>105</v>
      </c>
      <c r="D3563" s="0" t="n">
        <v>1</v>
      </c>
      <c r="E3563" s="5" t="n">
        <v>45986.5903125</v>
      </c>
      <c r="F3563" s="0" t="n">
        <v>1.65</v>
      </c>
      <c r="G3563" s="0" t="n">
        <v>17209</v>
      </c>
      <c r="H3563" s="6" t="s">
        <v>74</v>
      </c>
      <c r="I3563" s="6" t="n">
        <f aca="false">D3563*F3563</f>
        <v>1.65</v>
      </c>
      <c r="J3563" s="6" t="n">
        <f aca="false">HOUR(E3563)</f>
        <v>14</v>
      </c>
      <c r="K3563" s="6" t="n">
        <f aca="false">IF(COUNTIF($A$2:$A3563,A3563)=1,1,0)</f>
        <v>0</v>
      </c>
    </row>
    <row r="3564" customFormat="false" ht="15" hidden="false" customHeight="false" outlineLevel="0" collapsed="false">
      <c r="A3564" s="0" t="s">
        <v>772</v>
      </c>
      <c r="B3564" s="0" t="s">
        <v>83</v>
      </c>
      <c r="C3564" s="0" t="s">
        <v>84</v>
      </c>
      <c r="D3564" s="0" t="n">
        <v>12</v>
      </c>
      <c r="E3564" s="5" t="n">
        <v>45986.6848032407</v>
      </c>
      <c r="F3564" s="0" t="n">
        <v>2.95</v>
      </c>
      <c r="G3564" s="0" t="n">
        <v>17154</v>
      </c>
      <c r="H3564" s="6" t="s">
        <v>188</v>
      </c>
      <c r="I3564" s="6" t="n">
        <f aca="false">D3564*F3564</f>
        <v>35.4</v>
      </c>
      <c r="J3564" s="6" t="n">
        <f aca="false">HOUR(E3564)</f>
        <v>16</v>
      </c>
      <c r="K3564" s="6" t="n">
        <f aca="false">IF(COUNTIF($A$2:$A3564,A3564)=1,1,0)</f>
        <v>1</v>
      </c>
    </row>
    <row r="3565" customFormat="false" ht="15" hidden="false" customHeight="false" outlineLevel="0" collapsed="false">
      <c r="A3565" s="0" t="s">
        <v>772</v>
      </c>
      <c r="B3565" s="0" t="s">
        <v>121</v>
      </c>
      <c r="C3565" s="0" t="s">
        <v>122</v>
      </c>
      <c r="D3565" s="0" t="n">
        <v>16</v>
      </c>
      <c r="E3565" s="5" t="n">
        <v>45986.6848032407</v>
      </c>
      <c r="F3565" s="0" t="n">
        <v>2.1</v>
      </c>
      <c r="G3565" s="0" t="n">
        <v>17154</v>
      </c>
      <c r="H3565" s="6" t="s">
        <v>188</v>
      </c>
      <c r="I3565" s="6" t="n">
        <f aca="false">D3565*F3565</f>
        <v>33.6</v>
      </c>
      <c r="J3565" s="6" t="n">
        <f aca="false">HOUR(E3565)</f>
        <v>16</v>
      </c>
      <c r="K3565" s="6" t="n">
        <f aca="false">IF(COUNTIF($A$2:$A3565,A3565)=1,1,0)</f>
        <v>0</v>
      </c>
    </row>
    <row r="3566" customFormat="false" ht="15" hidden="false" customHeight="false" outlineLevel="0" collapsed="false">
      <c r="A3566" s="0" t="s">
        <v>772</v>
      </c>
      <c r="B3566" s="0" t="s">
        <v>72</v>
      </c>
      <c r="C3566" s="0" t="s">
        <v>73</v>
      </c>
      <c r="D3566" s="0" t="n">
        <v>30</v>
      </c>
      <c r="E3566" s="5" t="n">
        <v>45986.6848032407</v>
      </c>
      <c r="F3566" s="0" t="n">
        <v>4.95</v>
      </c>
      <c r="G3566" s="0" t="n">
        <v>17154</v>
      </c>
      <c r="H3566" s="6" t="s">
        <v>188</v>
      </c>
      <c r="I3566" s="6" t="n">
        <f aca="false">D3566*F3566</f>
        <v>148.5</v>
      </c>
      <c r="J3566" s="6" t="n">
        <f aca="false">HOUR(E3566)</f>
        <v>16</v>
      </c>
      <c r="K3566" s="6" t="n">
        <f aca="false">IF(COUNTIF($A$2:$A3566,A3566)=1,1,0)</f>
        <v>0</v>
      </c>
    </row>
    <row r="3567" customFormat="false" ht="15" hidden="false" customHeight="false" outlineLevel="0" collapsed="false">
      <c r="A3567" s="0" t="s">
        <v>772</v>
      </c>
      <c r="B3567" s="0" t="s">
        <v>88</v>
      </c>
      <c r="C3567" s="0" t="s">
        <v>89</v>
      </c>
      <c r="D3567" s="0" t="n">
        <v>2</v>
      </c>
      <c r="E3567" s="5" t="n">
        <v>45986.6848032407</v>
      </c>
      <c r="F3567" s="0" t="n">
        <v>2.75</v>
      </c>
      <c r="G3567" s="0" t="n">
        <v>17154</v>
      </c>
      <c r="H3567" s="6" t="s">
        <v>188</v>
      </c>
      <c r="I3567" s="6" t="n">
        <f aca="false">D3567*F3567</f>
        <v>5.5</v>
      </c>
      <c r="J3567" s="6" t="n">
        <f aca="false">HOUR(E3567)</f>
        <v>16</v>
      </c>
      <c r="K3567" s="6" t="n">
        <f aca="false">IF(COUNTIF($A$2:$A3567,A3567)=1,1,0)</f>
        <v>0</v>
      </c>
    </row>
    <row r="3568" customFormat="false" ht="15" hidden="false" customHeight="false" outlineLevel="0" collapsed="false">
      <c r="A3568" s="0" t="s">
        <v>773</v>
      </c>
      <c r="B3568" s="0" t="s">
        <v>137</v>
      </c>
      <c r="C3568" s="0" t="s">
        <v>138</v>
      </c>
      <c r="D3568" s="0" t="n">
        <v>17</v>
      </c>
      <c r="E3568" s="5" t="n">
        <v>45986.702974537</v>
      </c>
      <c r="F3568" s="0" t="n">
        <v>2.1</v>
      </c>
      <c r="G3568" s="0" t="n">
        <v>17169</v>
      </c>
      <c r="H3568" s="6" t="s">
        <v>263</v>
      </c>
      <c r="I3568" s="6" t="n">
        <f aca="false">D3568*F3568</f>
        <v>35.7</v>
      </c>
      <c r="J3568" s="6" t="n">
        <f aca="false">HOUR(E3568)</f>
        <v>16</v>
      </c>
      <c r="K3568" s="6" t="n">
        <f aca="false">IF(COUNTIF($A$2:$A3568,A3568)=1,1,0)</f>
        <v>1</v>
      </c>
    </row>
    <row r="3569" customFormat="false" ht="15" hidden="false" customHeight="false" outlineLevel="0" collapsed="false">
      <c r="A3569" s="0" t="s">
        <v>773</v>
      </c>
      <c r="B3569" s="0" t="s">
        <v>125</v>
      </c>
      <c r="C3569" s="0" t="s">
        <v>126</v>
      </c>
      <c r="D3569" s="0" t="n">
        <v>24</v>
      </c>
      <c r="E3569" s="5" t="n">
        <v>45986.702974537</v>
      </c>
      <c r="F3569" s="0" t="n">
        <v>1.25</v>
      </c>
      <c r="G3569" s="0" t="n">
        <v>17169</v>
      </c>
      <c r="H3569" s="6" t="s">
        <v>263</v>
      </c>
      <c r="I3569" s="6" t="n">
        <f aca="false">D3569*F3569</f>
        <v>30</v>
      </c>
      <c r="J3569" s="6" t="n">
        <f aca="false">HOUR(E3569)</f>
        <v>16</v>
      </c>
      <c r="K3569" s="6" t="n">
        <f aca="false">IF(COUNTIF($A$2:$A3569,A3569)=1,1,0)</f>
        <v>0</v>
      </c>
    </row>
    <row r="3570" customFormat="false" ht="15" hidden="false" customHeight="false" outlineLevel="0" collapsed="false">
      <c r="A3570" s="0" t="s">
        <v>774</v>
      </c>
      <c r="B3570" s="0" t="s">
        <v>86</v>
      </c>
      <c r="C3570" s="0" t="s">
        <v>87</v>
      </c>
      <c r="D3570" s="0" t="n">
        <v>15</v>
      </c>
      <c r="E3570" s="5" t="n">
        <v>45986.7308449074</v>
      </c>
      <c r="F3570" s="0" t="n">
        <v>4.25</v>
      </c>
      <c r="G3570" s="0" t="n">
        <v>17143</v>
      </c>
      <c r="H3570" s="6" t="s">
        <v>74</v>
      </c>
      <c r="I3570" s="6" t="n">
        <f aca="false">D3570*F3570</f>
        <v>63.75</v>
      </c>
      <c r="J3570" s="6" t="n">
        <f aca="false">HOUR(E3570)</f>
        <v>17</v>
      </c>
      <c r="K3570" s="6" t="n">
        <f aca="false">IF(COUNTIF($A$2:$A3570,A3570)=1,1,0)</f>
        <v>1</v>
      </c>
    </row>
    <row r="3571" customFormat="false" ht="15" hidden="false" customHeight="false" outlineLevel="0" collapsed="false">
      <c r="A3571" s="0" t="s">
        <v>774</v>
      </c>
      <c r="B3571" s="0" t="s">
        <v>102</v>
      </c>
      <c r="C3571" s="0" t="s">
        <v>103</v>
      </c>
      <c r="D3571" s="0" t="n">
        <v>23</v>
      </c>
      <c r="E3571" s="5" t="n">
        <v>45986.7308449074</v>
      </c>
      <c r="F3571" s="0" t="n">
        <v>8.5</v>
      </c>
      <c r="G3571" s="0" t="n">
        <v>17143</v>
      </c>
      <c r="H3571" s="6" t="s">
        <v>74</v>
      </c>
      <c r="I3571" s="6" t="n">
        <f aca="false">D3571*F3571</f>
        <v>195.5</v>
      </c>
      <c r="J3571" s="6" t="n">
        <f aca="false">HOUR(E3571)</f>
        <v>17</v>
      </c>
      <c r="K3571" s="6" t="n">
        <f aca="false">IF(COUNTIF($A$2:$A3571,A3571)=1,1,0)</f>
        <v>0</v>
      </c>
    </row>
    <row r="3572" customFormat="false" ht="15" hidden="false" customHeight="false" outlineLevel="0" collapsed="false">
      <c r="A3572" s="0" t="s">
        <v>774</v>
      </c>
      <c r="B3572" s="0" t="s">
        <v>109</v>
      </c>
      <c r="C3572" s="0" t="s">
        <v>110</v>
      </c>
      <c r="D3572" s="0" t="n">
        <v>15</v>
      </c>
      <c r="E3572" s="5" t="n">
        <v>45986.7308449074</v>
      </c>
      <c r="F3572" s="0" t="n">
        <v>0.85</v>
      </c>
      <c r="G3572" s="0" t="n">
        <v>17143</v>
      </c>
      <c r="H3572" s="6" t="s">
        <v>74</v>
      </c>
      <c r="I3572" s="6" t="n">
        <f aca="false">D3572*F3572</f>
        <v>12.75</v>
      </c>
      <c r="J3572" s="6" t="n">
        <f aca="false">HOUR(E3572)</f>
        <v>17</v>
      </c>
      <c r="K3572" s="6" t="n">
        <f aca="false">IF(COUNTIF($A$2:$A3572,A3572)=1,1,0)</f>
        <v>0</v>
      </c>
    </row>
    <row r="3573" customFormat="false" ht="15" hidden="false" customHeight="false" outlineLevel="0" collapsed="false">
      <c r="A3573" s="0" t="s">
        <v>774</v>
      </c>
      <c r="B3573" s="0" t="s">
        <v>114</v>
      </c>
      <c r="C3573" s="0" t="s">
        <v>115</v>
      </c>
      <c r="D3573" s="0" t="n">
        <v>20</v>
      </c>
      <c r="E3573" s="5" t="n">
        <v>45986.7308449074</v>
      </c>
      <c r="F3573" s="0" t="n">
        <v>2.08</v>
      </c>
      <c r="G3573" s="0" t="n">
        <v>17143</v>
      </c>
      <c r="H3573" s="6" t="s">
        <v>74</v>
      </c>
      <c r="I3573" s="6" t="n">
        <f aca="false">D3573*F3573</f>
        <v>41.6</v>
      </c>
      <c r="J3573" s="6" t="n">
        <f aca="false">HOUR(E3573)</f>
        <v>17</v>
      </c>
      <c r="K3573" s="6" t="n">
        <f aca="false">IF(COUNTIF($A$2:$A3573,A3573)=1,1,0)</f>
        <v>0</v>
      </c>
    </row>
    <row r="3574" customFormat="false" ht="15" hidden="false" customHeight="false" outlineLevel="0" collapsed="false">
      <c r="A3574" s="0" t="s">
        <v>774</v>
      </c>
      <c r="B3574" s="0" t="s">
        <v>45</v>
      </c>
      <c r="C3574" s="0" t="s">
        <v>46</v>
      </c>
      <c r="D3574" s="0" t="n">
        <v>21</v>
      </c>
      <c r="E3574" s="5" t="n">
        <v>45986.7308449074</v>
      </c>
      <c r="F3574" s="0" t="n">
        <v>2.1</v>
      </c>
      <c r="G3574" s="0" t="n">
        <v>17143</v>
      </c>
      <c r="H3574" s="6" t="s">
        <v>74</v>
      </c>
      <c r="I3574" s="6" t="n">
        <f aca="false">D3574*F3574</f>
        <v>44.1</v>
      </c>
      <c r="J3574" s="6" t="n">
        <f aca="false">HOUR(E3574)</f>
        <v>17</v>
      </c>
      <c r="K3574" s="6" t="n">
        <f aca="false">IF(COUNTIF($A$2:$A3574,A3574)=1,1,0)</f>
        <v>0</v>
      </c>
    </row>
    <row r="3575" customFormat="false" ht="15" hidden="false" customHeight="false" outlineLevel="0" collapsed="false">
      <c r="A3575" s="0" t="s">
        <v>774</v>
      </c>
      <c r="B3575" s="0" t="s">
        <v>121</v>
      </c>
      <c r="C3575" s="0" t="s">
        <v>122</v>
      </c>
      <c r="D3575" s="0" t="n">
        <v>19</v>
      </c>
      <c r="E3575" s="5" t="n">
        <v>45986.7308449074</v>
      </c>
      <c r="F3575" s="0" t="n">
        <v>2.1</v>
      </c>
      <c r="G3575" s="0" t="n">
        <v>17143</v>
      </c>
      <c r="H3575" s="6" t="s">
        <v>74</v>
      </c>
      <c r="I3575" s="6" t="n">
        <f aca="false">D3575*F3575</f>
        <v>39.9</v>
      </c>
      <c r="J3575" s="6" t="n">
        <f aca="false">HOUR(E3575)</f>
        <v>17</v>
      </c>
      <c r="K3575" s="6" t="n">
        <f aca="false">IF(COUNTIF($A$2:$A3575,A3575)=1,1,0)</f>
        <v>0</v>
      </c>
    </row>
    <row r="3576" customFormat="false" ht="15" hidden="false" customHeight="false" outlineLevel="0" collapsed="false">
      <c r="A3576" s="0" t="s">
        <v>774</v>
      </c>
      <c r="B3576" s="0" t="s">
        <v>57</v>
      </c>
      <c r="C3576" s="0" t="s">
        <v>58</v>
      </c>
      <c r="D3576" s="0" t="n">
        <v>13</v>
      </c>
      <c r="E3576" s="5" t="n">
        <v>45986.7308449074</v>
      </c>
      <c r="F3576" s="0" t="n">
        <v>2.08</v>
      </c>
      <c r="G3576" s="0" t="n">
        <v>17143</v>
      </c>
      <c r="H3576" s="6" t="s">
        <v>74</v>
      </c>
      <c r="I3576" s="6" t="n">
        <f aca="false">D3576*F3576</f>
        <v>27.04</v>
      </c>
      <c r="J3576" s="6" t="n">
        <f aca="false">HOUR(E3576)</f>
        <v>17</v>
      </c>
      <c r="K3576" s="6" t="n">
        <f aca="false">IF(COUNTIF($A$2:$A3576,A3576)=1,1,0)</f>
        <v>0</v>
      </c>
    </row>
    <row r="3577" customFormat="false" ht="15" hidden="false" customHeight="false" outlineLevel="0" collapsed="false">
      <c r="A3577" s="0" t="s">
        <v>775</v>
      </c>
      <c r="B3577" s="0" t="s">
        <v>79</v>
      </c>
      <c r="C3577" s="0" t="s">
        <v>80</v>
      </c>
      <c r="D3577" s="0" t="n">
        <v>19</v>
      </c>
      <c r="E3577" s="5" t="n">
        <v>45986.7472337963</v>
      </c>
      <c r="F3577" s="0" t="n">
        <v>3.39</v>
      </c>
      <c r="H3577" s="6" t="s">
        <v>74</v>
      </c>
      <c r="I3577" s="6" t="n">
        <f aca="false">D3577*F3577</f>
        <v>64.41</v>
      </c>
      <c r="J3577" s="6" t="n">
        <f aca="false">HOUR(E3577)</f>
        <v>17</v>
      </c>
      <c r="K3577" s="6" t="n">
        <f aca="false">IF(COUNTIF($A$2:$A3577,A3577)=1,1,0)</f>
        <v>1</v>
      </c>
    </row>
    <row r="3578" customFormat="false" ht="15" hidden="false" customHeight="false" outlineLevel="0" collapsed="false">
      <c r="A3578" s="0" t="s">
        <v>775</v>
      </c>
      <c r="B3578" s="0" t="s">
        <v>93</v>
      </c>
      <c r="C3578" s="0" t="s">
        <v>94</v>
      </c>
      <c r="D3578" s="0" t="n">
        <v>5</v>
      </c>
      <c r="E3578" s="5" t="n">
        <v>45986.7472337963</v>
      </c>
      <c r="F3578" s="0" t="n">
        <v>1.69</v>
      </c>
      <c r="H3578" s="6" t="s">
        <v>74</v>
      </c>
      <c r="I3578" s="6" t="n">
        <f aca="false">D3578*F3578</f>
        <v>8.45</v>
      </c>
      <c r="J3578" s="6" t="n">
        <f aca="false">HOUR(E3578)</f>
        <v>17</v>
      </c>
      <c r="K3578" s="6" t="n">
        <f aca="false">IF(COUNTIF($A$2:$A3578,A3578)=1,1,0)</f>
        <v>0</v>
      </c>
    </row>
    <row r="3579" customFormat="false" ht="15" hidden="false" customHeight="false" outlineLevel="0" collapsed="false">
      <c r="A3579" s="0" t="s">
        <v>775</v>
      </c>
      <c r="B3579" s="0" t="s">
        <v>127</v>
      </c>
      <c r="C3579" s="0" t="s">
        <v>128</v>
      </c>
      <c r="D3579" s="0" t="n">
        <v>23</v>
      </c>
      <c r="E3579" s="5" t="n">
        <v>45986.7472337963</v>
      </c>
      <c r="F3579" s="0" t="n">
        <v>1.45</v>
      </c>
      <c r="H3579" s="6" t="s">
        <v>74</v>
      </c>
      <c r="I3579" s="6" t="n">
        <f aca="false">D3579*F3579</f>
        <v>33.35</v>
      </c>
      <c r="J3579" s="6" t="n">
        <f aca="false">HOUR(E3579)</f>
        <v>17</v>
      </c>
      <c r="K3579" s="6" t="n">
        <f aca="false">IF(COUNTIF($A$2:$A3579,A3579)=1,1,0)</f>
        <v>0</v>
      </c>
    </row>
    <row r="3580" customFormat="false" ht="15" hidden="false" customHeight="false" outlineLevel="0" collapsed="false">
      <c r="A3580" s="0" t="s">
        <v>775</v>
      </c>
      <c r="B3580" s="0" t="s">
        <v>95</v>
      </c>
      <c r="C3580" s="0" t="s">
        <v>96</v>
      </c>
      <c r="D3580" s="0" t="n">
        <v>40</v>
      </c>
      <c r="E3580" s="5" t="n">
        <v>45986.7472337963</v>
      </c>
      <c r="F3580" s="0" t="n">
        <v>2.55</v>
      </c>
      <c r="H3580" s="6" t="s">
        <v>74</v>
      </c>
      <c r="I3580" s="6" t="n">
        <f aca="false">D3580*F3580</f>
        <v>102</v>
      </c>
      <c r="J3580" s="6" t="n">
        <f aca="false">HOUR(E3580)</f>
        <v>17</v>
      </c>
      <c r="K3580" s="6" t="n">
        <f aca="false">IF(COUNTIF($A$2:$A3580,A3580)=1,1,0)</f>
        <v>0</v>
      </c>
    </row>
    <row r="3581" customFormat="false" ht="15" hidden="false" customHeight="false" outlineLevel="0" collapsed="false">
      <c r="A3581" s="0" t="s">
        <v>775</v>
      </c>
      <c r="B3581" s="0" t="s">
        <v>59</v>
      </c>
      <c r="C3581" s="0" t="s">
        <v>60</v>
      </c>
      <c r="D3581" s="0" t="n">
        <v>22</v>
      </c>
      <c r="E3581" s="5" t="n">
        <v>45986.7472337963</v>
      </c>
      <c r="F3581" s="0" t="n">
        <v>0.42</v>
      </c>
      <c r="H3581" s="6" t="s">
        <v>74</v>
      </c>
      <c r="I3581" s="6" t="n">
        <f aca="false">D3581*F3581</f>
        <v>9.24</v>
      </c>
      <c r="J3581" s="6" t="n">
        <f aca="false">HOUR(E3581)</f>
        <v>17</v>
      </c>
      <c r="K3581" s="6" t="n">
        <f aca="false">IF(COUNTIF($A$2:$A3581,A3581)=1,1,0)</f>
        <v>0</v>
      </c>
    </row>
    <row r="3582" customFormat="false" ht="15" hidden="false" customHeight="false" outlineLevel="0" collapsed="false">
      <c r="A3582" s="0" t="s">
        <v>775</v>
      </c>
      <c r="B3582" s="0" t="s">
        <v>55</v>
      </c>
      <c r="C3582" s="0" t="s">
        <v>56</v>
      </c>
      <c r="D3582" s="0" t="n">
        <v>5</v>
      </c>
      <c r="E3582" s="5" t="n">
        <v>45986.7472337963</v>
      </c>
      <c r="F3582" s="0" t="n">
        <v>1.65</v>
      </c>
      <c r="H3582" s="6" t="s">
        <v>74</v>
      </c>
      <c r="I3582" s="6" t="n">
        <f aca="false">D3582*F3582</f>
        <v>8.25</v>
      </c>
      <c r="J3582" s="6" t="n">
        <f aca="false">HOUR(E3582)</f>
        <v>17</v>
      </c>
      <c r="K3582" s="6" t="n">
        <f aca="false">IF(COUNTIF($A$2:$A3582,A3582)=1,1,0)</f>
        <v>0</v>
      </c>
    </row>
    <row r="3583" customFormat="false" ht="15" hidden="false" customHeight="false" outlineLevel="0" collapsed="false">
      <c r="A3583" s="0" t="s">
        <v>775</v>
      </c>
      <c r="B3583" s="0" t="s">
        <v>140</v>
      </c>
      <c r="C3583" s="0" t="s">
        <v>141</v>
      </c>
      <c r="D3583" s="0" t="n">
        <v>19</v>
      </c>
      <c r="E3583" s="5" t="n">
        <v>45986.7472337963</v>
      </c>
      <c r="F3583" s="0" t="n">
        <v>2.08</v>
      </c>
      <c r="H3583" s="6" t="s">
        <v>74</v>
      </c>
      <c r="I3583" s="6" t="n">
        <f aca="false">D3583*F3583</f>
        <v>39.52</v>
      </c>
      <c r="J3583" s="6" t="n">
        <f aca="false">HOUR(E3583)</f>
        <v>17</v>
      </c>
      <c r="K3583" s="6" t="n">
        <f aca="false">IF(COUNTIF($A$2:$A3583,A3583)=1,1,0)</f>
        <v>0</v>
      </c>
    </row>
    <row r="3584" customFormat="false" ht="15" hidden="false" customHeight="false" outlineLevel="0" collapsed="false">
      <c r="A3584" s="0" t="s">
        <v>776</v>
      </c>
      <c r="B3584" s="0" t="s">
        <v>69</v>
      </c>
      <c r="C3584" s="0" t="s">
        <v>70</v>
      </c>
      <c r="D3584" s="0" t="n">
        <v>30</v>
      </c>
      <c r="E3584" s="5" t="n">
        <v>45986.7590972222</v>
      </c>
      <c r="F3584" s="0" t="n">
        <v>2.08</v>
      </c>
      <c r="G3584" s="0" t="n">
        <v>17236</v>
      </c>
      <c r="H3584" s="6" t="s">
        <v>144</v>
      </c>
      <c r="I3584" s="6" t="n">
        <f aca="false">D3584*F3584</f>
        <v>62.4</v>
      </c>
      <c r="J3584" s="6" t="n">
        <f aca="false">HOUR(E3584)</f>
        <v>18</v>
      </c>
      <c r="K3584" s="6" t="n">
        <f aca="false">IF(COUNTIF($A$2:$A3584,A3584)=1,1,0)</f>
        <v>1</v>
      </c>
    </row>
    <row r="3585" customFormat="false" ht="15" hidden="false" customHeight="false" outlineLevel="0" collapsed="false">
      <c r="A3585" s="0" t="s">
        <v>777</v>
      </c>
      <c r="B3585" s="0" t="s">
        <v>81</v>
      </c>
      <c r="C3585" s="0" t="s">
        <v>82</v>
      </c>
      <c r="D3585" s="0" t="n">
        <v>13</v>
      </c>
      <c r="E3585" s="5" t="n">
        <v>45987.2523032407</v>
      </c>
      <c r="F3585" s="0" t="n">
        <v>1.65</v>
      </c>
      <c r="H3585" s="6" t="s">
        <v>113</v>
      </c>
      <c r="I3585" s="6" t="n">
        <f aca="false">D3585*F3585</f>
        <v>21.45</v>
      </c>
      <c r="J3585" s="6" t="n">
        <f aca="false">HOUR(E3585)</f>
        <v>6</v>
      </c>
      <c r="K3585" s="6" t="n">
        <f aca="false">IF(COUNTIF($A$2:$A3585,A3585)=1,1,0)</f>
        <v>1</v>
      </c>
    </row>
    <row r="3586" customFormat="false" ht="15" hidden="false" customHeight="false" outlineLevel="0" collapsed="false">
      <c r="A3586" s="0" t="s">
        <v>778</v>
      </c>
      <c r="B3586" s="0" t="s">
        <v>145</v>
      </c>
      <c r="C3586" s="0" t="s">
        <v>146</v>
      </c>
      <c r="D3586" s="0" t="n">
        <v>3</v>
      </c>
      <c r="E3586" s="5" t="n">
        <v>45987.2578472222</v>
      </c>
      <c r="F3586" s="0" t="n">
        <v>1.85</v>
      </c>
      <c r="G3586" s="0" t="n">
        <v>17125</v>
      </c>
      <c r="H3586" s="6" t="s">
        <v>74</v>
      </c>
      <c r="I3586" s="6" t="n">
        <f aca="false">D3586*F3586</f>
        <v>5.55</v>
      </c>
      <c r="J3586" s="6" t="n">
        <f aca="false">HOUR(E3586)</f>
        <v>6</v>
      </c>
      <c r="K3586" s="6" t="n">
        <f aca="false">IF(COUNTIF($A$2:$A3586,A3586)=1,1,0)</f>
        <v>1</v>
      </c>
    </row>
    <row r="3587" customFormat="false" ht="15" hidden="false" customHeight="false" outlineLevel="0" collapsed="false">
      <c r="A3587" s="0" t="s">
        <v>778</v>
      </c>
      <c r="B3587" s="0" t="s">
        <v>63</v>
      </c>
      <c r="C3587" s="0" t="s">
        <v>64</v>
      </c>
      <c r="D3587" s="0" t="n">
        <v>10</v>
      </c>
      <c r="E3587" s="5" t="n">
        <v>45987.2578472222</v>
      </c>
      <c r="F3587" s="0" t="n">
        <v>1.85</v>
      </c>
      <c r="G3587" s="0" t="n">
        <v>17125</v>
      </c>
      <c r="H3587" s="6" t="s">
        <v>74</v>
      </c>
      <c r="I3587" s="6" t="n">
        <f aca="false">D3587*F3587</f>
        <v>18.5</v>
      </c>
      <c r="J3587" s="6" t="n">
        <f aca="false">HOUR(E3587)</f>
        <v>6</v>
      </c>
      <c r="K3587" s="6" t="n">
        <f aca="false">IF(COUNTIF($A$2:$A3587,A3587)=1,1,0)</f>
        <v>0</v>
      </c>
    </row>
    <row r="3588" customFormat="false" ht="15" hidden="false" customHeight="false" outlineLevel="0" collapsed="false">
      <c r="A3588" s="0" t="s">
        <v>778</v>
      </c>
      <c r="B3588" s="0" t="s">
        <v>83</v>
      </c>
      <c r="C3588" s="0" t="s">
        <v>84</v>
      </c>
      <c r="D3588" s="0" t="n">
        <v>8</v>
      </c>
      <c r="E3588" s="5" t="n">
        <v>45987.2578472222</v>
      </c>
      <c r="F3588" s="0" t="n">
        <v>2.95</v>
      </c>
      <c r="G3588" s="0" t="n">
        <v>17125</v>
      </c>
      <c r="H3588" s="6" t="s">
        <v>74</v>
      </c>
      <c r="I3588" s="6" t="n">
        <f aca="false">D3588*F3588</f>
        <v>23.6</v>
      </c>
      <c r="J3588" s="6" t="n">
        <f aca="false">HOUR(E3588)</f>
        <v>6</v>
      </c>
      <c r="K3588" s="6" t="n">
        <f aca="false">IF(COUNTIF($A$2:$A3588,A3588)=1,1,0)</f>
        <v>0</v>
      </c>
    </row>
    <row r="3589" customFormat="false" ht="15" hidden="false" customHeight="false" outlineLevel="0" collapsed="false">
      <c r="A3589" s="0" t="s">
        <v>778</v>
      </c>
      <c r="B3589" s="0" t="s">
        <v>118</v>
      </c>
      <c r="C3589" s="0" t="s">
        <v>119</v>
      </c>
      <c r="D3589" s="0" t="n">
        <v>28</v>
      </c>
      <c r="E3589" s="5" t="n">
        <v>45987.2578472222</v>
      </c>
      <c r="F3589" s="0" t="n">
        <v>4.95</v>
      </c>
      <c r="G3589" s="0" t="n">
        <v>17125</v>
      </c>
      <c r="H3589" s="6" t="s">
        <v>74</v>
      </c>
      <c r="I3589" s="6" t="n">
        <f aca="false">D3589*F3589</f>
        <v>138.6</v>
      </c>
      <c r="J3589" s="6" t="n">
        <f aca="false">HOUR(E3589)</f>
        <v>6</v>
      </c>
      <c r="K3589" s="6" t="n">
        <f aca="false">IF(COUNTIF($A$2:$A3589,A3589)=1,1,0)</f>
        <v>0</v>
      </c>
    </row>
    <row r="3590" customFormat="false" ht="15" hidden="false" customHeight="false" outlineLevel="0" collapsed="false">
      <c r="A3590" s="0" t="s">
        <v>778</v>
      </c>
      <c r="B3590" s="0" t="s">
        <v>114</v>
      </c>
      <c r="C3590" s="0" t="s">
        <v>115</v>
      </c>
      <c r="D3590" s="0" t="n">
        <v>18</v>
      </c>
      <c r="E3590" s="5" t="n">
        <v>45987.2578472222</v>
      </c>
      <c r="F3590" s="0" t="n">
        <v>2.08</v>
      </c>
      <c r="G3590" s="0" t="n">
        <v>17125</v>
      </c>
      <c r="H3590" s="6" t="s">
        <v>74</v>
      </c>
      <c r="I3590" s="6" t="n">
        <f aca="false">D3590*F3590</f>
        <v>37.44</v>
      </c>
      <c r="J3590" s="6" t="n">
        <f aca="false">HOUR(E3590)</f>
        <v>6</v>
      </c>
      <c r="K3590" s="6" t="n">
        <f aca="false">IF(COUNTIF($A$2:$A3590,A3590)=1,1,0)</f>
        <v>0</v>
      </c>
    </row>
    <row r="3591" customFormat="false" ht="15" hidden="false" customHeight="false" outlineLevel="0" collapsed="false">
      <c r="A3591" s="0" t="s">
        <v>779</v>
      </c>
      <c r="B3591" s="0" t="s">
        <v>140</v>
      </c>
      <c r="C3591" s="0" t="s">
        <v>141</v>
      </c>
      <c r="D3591" s="0" t="n">
        <v>6</v>
      </c>
      <c r="E3591" s="5" t="n">
        <v>45987.4276273148</v>
      </c>
      <c r="F3591" s="0" t="n">
        <v>2.08</v>
      </c>
      <c r="G3591" s="0" t="n">
        <v>17048</v>
      </c>
      <c r="H3591" s="6" t="s">
        <v>74</v>
      </c>
      <c r="I3591" s="6" t="n">
        <f aca="false">D3591*F3591</f>
        <v>12.48</v>
      </c>
      <c r="J3591" s="6" t="n">
        <f aca="false">HOUR(E3591)</f>
        <v>10</v>
      </c>
      <c r="K3591" s="6" t="n">
        <f aca="false">IF(COUNTIF($A$2:$A3591,A3591)=1,1,0)</f>
        <v>1</v>
      </c>
    </row>
    <row r="3592" customFormat="false" ht="15" hidden="false" customHeight="false" outlineLevel="0" collapsed="false">
      <c r="A3592" s="0" t="s">
        <v>779</v>
      </c>
      <c r="B3592" s="0" t="s">
        <v>69</v>
      </c>
      <c r="C3592" s="0" t="s">
        <v>70</v>
      </c>
      <c r="D3592" s="0" t="n">
        <v>13</v>
      </c>
      <c r="E3592" s="5" t="n">
        <v>45987.4276273148</v>
      </c>
      <c r="F3592" s="0" t="n">
        <v>2.08</v>
      </c>
      <c r="G3592" s="0" t="n">
        <v>17048</v>
      </c>
      <c r="H3592" s="6" t="s">
        <v>74</v>
      </c>
      <c r="I3592" s="6" t="n">
        <f aca="false">D3592*F3592</f>
        <v>27.04</v>
      </c>
      <c r="J3592" s="6" t="n">
        <f aca="false">HOUR(E3592)</f>
        <v>10</v>
      </c>
      <c r="K3592" s="6" t="n">
        <f aca="false">IF(COUNTIF($A$2:$A3592,A3592)=1,1,0)</f>
        <v>0</v>
      </c>
    </row>
    <row r="3593" customFormat="false" ht="15" hidden="false" customHeight="false" outlineLevel="0" collapsed="false">
      <c r="A3593" s="0" t="s">
        <v>779</v>
      </c>
      <c r="B3593" s="0" t="s">
        <v>83</v>
      </c>
      <c r="C3593" s="0" t="s">
        <v>84</v>
      </c>
      <c r="D3593" s="0" t="n">
        <v>2</v>
      </c>
      <c r="E3593" s="5" t="n">
        <v>45987.4276273148</v>
      </c>
      <c r="F3593" s="0" t="n">
        <v>2.95</v>
      </c>
      <c r="G3593" s="0" t="n">
        <v>17048</v>
      </c>
      <c r="H3593" s="6" t="s">
        <v>74</v>
      </c>
      <c r="I3593" s="6" t="n">
        <f aca="false">D3593*F3593</f>
        <v>5.9</v>
      </c>
      <c r="J3593" s="6" t="n">
        <f aca="false">HOUR(E3593)</f>
        <v>10</v>
      </c>
      <c r="K3593" s="6" t="n">
        <f aca="false">IF(COUNTIF($A$2:$A3593,A3593)=1,1,0)</f>
        <v>0</v>
      </c>
    </row>
    <row r="3594" customFormat="false" ht="15" hidden="false" customHeight="false" outlineLevel="0" collapsed="false">
      <c r="A3594" s="0" t="s">
        <v>779</v>
      </c>
      <c r="B3594" s="0" t="s">
        <v>57</v>
      </c>
      <c r="C3594" s="0" t="s">
        <v>58</v>
      </c>
      <c r="D3594" s="0" t="n">
        <v>14</v>
      </c>
      <c r="E3594" s="5" t="n">
        <v>45987.4276273148</v>
      </c>
      <c r="F3594" s="0" t="n">
        <v>2.08</v>
      </c>
      <c r="G3594" s="0" t="n">
        <v>17048</v>
      </c>
      <c r="H3594" s="6" t="s">
        <v>74</v>
      </c>
      <c r="I3594" s="6" t="n">
        <f aca="false">D3594*F3594</f>
        <v>29.12</v>
      </c>
      <c r="J3594" s="6" t="n">
        <f aca="false">HOUR(E3594)</f>
        <v>10</v>
      </c>
      <c r="K3594" s="6" t="n">
        <f aca="false">IF(COUNTIF($A$2:$A3594,A3594)=1,1,0)</f>
        <v>0</v>
      </c>
    </row>
    <row r="3595" customFormat="false" ht="15" hidden="false" customHeight="false" outlineLevel="0" collapsed="false">
      <c r="A3595" s="0" t="s">
        <v>779</v>
      </c>
      <c r="B3595" s="0" t="s">
        <v>88</v>
      </c>
      <c r="C3595" s="0" t="s">
        <v>89</v>
      </c>
      <c r="D3595" s="0" t="n">
        <v>8</v>
      </c>
      <c r="E3595" s="5" t="n">
        <v>45987.4276273148</v>
      </c>
      <c r="F3595" s="0" t="n">
        <v>2.75</v>
      </c>
      <c r="G3595" s="0" t="n">
        <v>17048</v>
      </c>
      <c r="H3595" s="6" t="s">
        <v>74</v>
      </c>
      <c r="I3595" s="6" t="n">
        <f aca="false">D3595*F3595</f>
        <v>22</v>
      </c>
      <c r="J3595" s="6" t="n">
        <f aca="false">HOUR(E3595)</f>
        <v>10</v>
      </c>
      <c r="K3595" s="6" t="n">
        <f aca="false">IF(COUNTIF($A$2:$A3595,A3595)=1,1,0)</f>
        <v>0</v>
      </c>
    </row>
    <row r="3596" customFormat="false" ht="15" hidden="false" customHeight="false" outlineLevel="0" collapsed="false">
      <c r="A3596" s="0" t="s">
        <v>779</v>
      </c>
      <c r="B3596" s="0" t="s">
        <v>55</v>
      </c>
      <c r="C3596" s="0" t="s">
        <v>56</v>
      </c>
      <c r="D3596" s="0" t="n">
        <v>23</v>
      </c>
      <c r="E3596" s="5" t="n">
        <v>45987.4276273148</v>
      </c>
      <c r="F3596" s="0" t="n">
        <v>1.65</v>
      </c>
      <c r="G3596" s="0" t="n">
        <v>17048</v>
      </c>
      <c r="H3596" s="6" t="s">
        <v>74</v>
      </c>
      <c r="I3596" s="6" t="n">
        <f aca="false">D3596*F3596</f>
        <v>37.95</v>
      </c>
      <c r="J3596" s="6" t="n">
        <f aca="false">HOUR(E3596)</f>
        <v>10</v>
      </c>
      <c r="K3596" s="6" t="n">
        <f aca="false">IF(COUNTIF($A$2:$A3596,A3596)=1,1,0)</f>
        <v>0</v>
      </c>
    </row>
    <row r="3597" customFormat="false" ht="15" hidden="false" customHeight="false" outlineLevel="0" collapsed="false">
      <c r="A3597" s="0" t="s">
        <v>779</v>
      </c>
      <c r="B3597" s="0" t="s">
        <v>63</v>
      </c>
      <c r="D3597" s="0" t="n">
        <v>2</v>
      </c>
      <c r="E3597" s="5" t="n">
        <v>45987.4276273148</v>
      </c>
      <c r="F3597" s="0" t="n">
        <v>1.85</v>
      </c>
      <c r="G3597" s="0" t="n">
        <v>17048</v>
      </c>
      <c r="H3597" s="6" t="s">
        <v>74</v>
      </c>
      <c r="I3597" s="6" t="n">
        <f aca="false">D3597*F3597</f>
        <v>3.7</v>
      </c>
      <c r="J3597" s="6" t="n">
        <f aca="false">HOUR(E3597)</f>
        <v>10</v>
      </c>
      <c r="K3597" s="6" t="n">
        <f aca="false">IF(COUNTIF($A$2:$A3597,A3597)=1,1,0)</f>
        <v>0</v>
      </c>
    </row>
    <row r="3598" customFormat="false" ht="15" hidden="false" customHeight="false" outlineLevel="0" collapsed="false">
      <c r="A3598" s="0" t="s">
        <v>779</v>
      </c>
      <c r="B3598" s="0" t="s">
        <v>45</v>
      </c>
      <c r="C3598" s="0" t="s">
        <v>46</v>
      </c>
      <c r="D3598" s="0" t="n">
        <v>10</v>
      </c>
      <c r="E3598" s="5" t="n">
        <v>45987.4276273148</v>
      </c>
      <c r="F3598" s="0" t="n">
        <v>2.1</v>
      </c>
      <c r="G3598" s="0" t="n">
        <v>17048</v>
      </c>
      <c r="H3598" s="6" t="s">
        <v>74</v>
      </c>
      <c r="I3598" s="6" t="n">
        <f aca="false">D3598*F3598</f>
        <v>21</v>
      </c>
      <c r="J3598" s="6" t="n">
        <f aca="false">HOUR(E3598)</f>
        <v>10</v>
      </c>
      <c r="K3598" s="6" t="n">
        <f aca="false">IF(COUNTIF($A$2:$A3598,A3598)=1,1,0)</f>
        <v>0</v>
      </c>
    </row>
    <row r="3599" customFormat="false" ht="15" hidden="false" customHeight="false" outlineLevel="0" collapsed="false">
      <c r="A3599" s="0" t="s">
        <v>779</v>
      </c>
      <c r="B3599" s="0" t="s">
        <v>121</v>
      </c>
      <c r="C3599" s="0" t="s">
        <v>122</v>
      </c>
      <c r="D3599" s="0" t="n">
        <v>19</v>
      </c>
      <c r="E3599" s="5" t="n">
        <v>45987.4276273148</v>
      </c>
      <c r="F3599" s="0" t="n">
        <v>2.1</v>
      </c>
      <c r="G3599" s="0" t="n">
        <v>17048</v>
      </c>
      <c r="H3599" s="6" t="s">
        <v>74</v>
      </c>
      <c r="I3599" s="6" t="n">
        <f aca="false">D3599*F3599</f>
        <v>39.9</v>
      </c>
      <c r="J3599" s="6" t="n">
        <f aca="false">HOUR(E3599)</f>
        <v>10</v>
      </c>
      <c r="K3599" s="6" t="n">
        <f aca="false">IF(COUNTIF($A$2:$A3599,A3599)=1,1,0)</f>
        <v>0</v>
      </c>
    </row>
    <row r="3600" customFormat="false" ht="15" hidden="false" customHeight="false" outlineLevel="0" collapsed="false">
      <c r="A3600" s="0" t="s">
        <v>780</v>
      </c>
      <c r="B3600" s="0" t="s">
        <v>61</v>
      </c>
      <c r="C3600" s="0" t="s">
        <v>62</v>
      </c>
      <c r="D3600" s="0" t="n">
        <v>1</v>
      </c>
      <c r="E3600" s="5" t="n">
        <v>45987.4793518519</v>
      </c>
      <c r="F3600" s="0" t="n">
        <v>1.65</v>
      </c>
      <c r="G3600" s="0" t="n">
        <v>17245</v>
      </c>
      <c r="H3600" s="6" t="s">
        <v>52</v>
      </c>
      <c r="I3600" s="6" t="n">
        <f aca="false">D3600*F3600</f>
        <v>1.65</v>
      </c>
      <c r="J3600" s="6" t="n">
        <f aca="false">HOUR(E3600)</f>
        <v>11</v>
      </c>
      <c r="K3600" s="6" t="n">
        <f aca="false">IF(COUNTIF($A$2:$A3600,A3600)=1,1,0)</f>
        <v>1</v>
      </c>
    </row>
    <row r="3601" customFormat="false" ht="15" hidden="false" customHeight="false" outlineLevel="0" collapsed="false">
      <c r="A3601" s="0" t="s">
        <v>780</v>
      </c>
      <c r="B3601" s="0" t="s">
        <v>72</v>
      </c>
      <c r="C3601" s="0" t="s">
        <v>73</v>
      </c>
      <c r="D3601" s="0" t="n">
        <v>22</v>
      </c>
      <c r="E3601" s="5" t="n">
        <v>45987.4793518519</v>
      </c>
      <c r="F3601" s="0" t="n">
        <v>4.95</v>
      </c>
      <c r="G3601" s="0" t="n">
        <v>17245</v>
      </c>
      <c r="H3601" s="6" t="s">
        <v>52</v>
      </c>
      <c r="I3601" s="6" t="n">
        <f aca="false">D3601*F3601</f>
        <v>108.9</v>
      </c>
      <c r="J3601" s="6" t="n">
        <f aca="false">HOUR(E3601)</f>
        <v>11</v>
      </c>
      <c r="K3601" s="6" t="n">
        <f aca="false">IF(COUNTIF($A$2:$A3601,A3601)=1,1,0)</f>
        <v>0</v>
      </c>
    </row>
    <row r="3602" customFormat="false" ht="15" hidden="false" customHeight="false" outlineLevel="0" collapsed="false">
      <c r="A3602" s="0" t="s">
        <v>780</v>
      </c>
      <c r="B3602" s="0" t="s">
        <v>45</v>
      </c>
      <c r="C3602" s="0" t="s">
        <v>46</v>
      </c>
      <c r="D3602" s="0" t="n">
        <v>1</v>
      </c>
      <c r="E3602" s="5" t="n">
        <v>45987.4793518519</v>
      </c>
      <c r="F3602" s="0" t="n">
        <v>2.1</v>
      </c>
      <c r="G3602" s="0" t="n">
        <v>17245</v>
      </c>
      <c r="H3602" s="6" t="s">
        <v>52</v>
      </c>
      <c r="I3602" s="6" t="n">
        <f aca="false">D3602*F3602</f>
        <v>2.1</v>
      </c>
      <c r="J3602" s="6" t="n">
        <f aca="false">HOUR(E3602)</f>
        <v>11</v>
      </c>
      <c r="K3602" s="6" t="n">
        <f aca="false">IF(COUNTIF($A$2:$A3602,A3602)=1,1,0)</f>
        <v>0</v>
      </c>
    </row>
    <row r="3603" customFormat="false" ht="15" hidden="false" customHeight="false" outlineLevel="0" collapsed="false">
      <c r="A3603" s="0" t="s">
        <v>780</v>
      </c>
      <c r="B3603" s="0" t="s">
        <v>107</v>
      </c>
      <c r="C3603" s="0" t="s">
        <v>108</v>
      </c>
      <c r="D3603" s="0" t="n">
        <v>21</v>
      </c>
      <c r="E3603" s="5" t="n">
        <v>45987.4793518519</v>
      </c>
      <c r="F3603" s="0" t="n">
        <v>3.75</v>
      </c>
      <c r="G3603" s="0" t="n">
        <v>17245</v>
      </c>
      <c r="H3603" s="6" t="s">
        <v>52</v>
      </c>
      <c r="I3603" s="6" t="n">
        <f aca="false">D3603*F3603</f>
        <v>78.75</v>
      </c>
      <c r="J3603" s="6" t="n">
        <f aca="false">HOUR(E3603)</f>
        <v>11</v>
      </c>
      <c r="K3603" s="6" t="n">
        <f aca="false">IF(COUNTIF($A$2:$A3603,A3603)=1,1,0)</f>
        <v>0</v>
      </c>
    </row>
    <row r="3604" customFormat="false" ht="15" hidden="false" customHeight="false" outlineLevel="0" collapsed="false">
      <c r="A3604" s="0" t="s">
        <v>780</v>
      </c>
      <c r="B3604" s="0" t="s">
        <v>57</v>
      </c>
      <c r="C3604" s="0" t="s">
        <v>58</v>
      </c>
      <c r="D3604" s="0" t="n">
        <v>7</v>
      </c>
      <c r="E3604" s="5" t="n">
        <v>45987.4793518519</v>
      </c>
      <c r="F3604" s="0" t="n">
        <v>2.08</v>
      </c>
      <c r="G3604" s="0" t="n">
        <v>17245</v>
      </c>
      <c r="H3604" s="6" t="s">
        <v>52</v>
      </c>
      <c r="I3604" s="6" t="n">
        <f aca="false">D3604*F3604</f>
        <v>14.56</v>
      </c>
      <c r="J3604" s="6" t="n">
        <f aca="false">HOUR(E3604)</f>
        <v>11</v>
      </c>
      <c r="K3604" s="6" t="n">
        <f aca="false">IF(COUNTIF($A$2:$A3604,A3604)=1,1,0)</f>
        <v>0</v>
      </c>
    </row>
    <row r="3605" customFormat="false" ht="15" hidden="false" customHeight="false" outlineLevel="0" collapsed="false">
      <c r="A3605" s="0" t="s">
        <v>780</v>
      </c>
      <c r="B3605" s="0" t="s">
        <v>59</v>
      </c>
      <c r="C3605" s="0" t="s">
        <v>60</v>
      </c>
      <c r="D3605" s="0" t="n">
        <v>13</v>
      </c>
      <c r="E3605" s="5" t="n">
        <v>45987.4793518519</v>
      </c>
      <c r="F3605" s="0" t="n">
        <v>0.42</v>
      </c>
      <c r="G3605" s="0" t="n">
        <v>17245</v>
      </c>
      <c r="H3605" s="6" t="s">
        <v>52</v>
      </c>
      <c r="I3605" s="6" t="n">
        <f aca="false">D3605*F3605</f>
        <v>5.46</v>
      </c>
      <c r="J3605" s="6" t="n">
        <f aca="false">HOUR(E3605)</f>
        <v>11</v>
      </c>
      <c r="K3605" s="6" t="n">
        <f aca="false">IF(COUNTIF($A$2:$A3605,A3605)=1,1,0)</f>
        <v>0</v>
      </c>
    </row>
    <row r="3606" customFormat="false" ht="15" hidden="false" customHeight="false" outlineLevel="0" collapsed="false">
      <c r="A3606" s="0" t="s">
        <v>780</v>
      </c>
      <c r="B3606" s="0" t="s">
        <v>79</v>
      </c>
      <c r="C3606" s="0" t="s">
        <v>80</v>
      </c>
      <c r="D3606" s="0" t="n">
        <v>4</v>
      </c>
      <c r="E3606" s="5" t="n">
        <v>45987.4793518519</v>
      </c>
      <c r="F3606" s="0" t="n">
        <v>3.39</v>
      </c>
      <c r="G3606" s="0" t="n">
        <v>17245</v>
      </c>
      <c r="H3606" s="6" t="s">
        <v>52</v>
      </c>
      <c r="I3606" s="6" t="n">
        <f aca="false">D3606*F3606</f>
        <v>13.56</v>
      </c>
      <c r="J3606" s="6" t="n">
        <f aca="false">HOUR(E3606)</f>
        <v>11</v>
      </c>
      <c r="K3606" s="6" t="n">
        <f aca="false">IF(COUNTIF($A$2:$A3606,A3606)=1,1,0)</f>
        <v>0</v>
      </c>
    </row>
    <row r="3607" customFormat="false" ht="15" hidden="false" customHeight="false" outlineLevel="0" collapsed="false">
      <c r="A3607" s="0" t="s">
        <v>780</v>
      </c>
      <c r="B3607" s="0" t="s">
        <v>65</v>
      </c>
      <c r="D3607" s="0" t="n">
        <v>16</v>
      </c>
      <c r="E3607" s="5" t="n">
        <v>45987.4793518519</v>
      </c>
      <c r="F3607" s="0" t="n">
        <v>1.65</v>
      </c>
      <c r="G3607" s="0" t="n">
        <v>17245</v>
      </c>
      <c r="H3607" s="6" t="s">
        <v>52</v>
      </c>
      <c r="I3607" s="6" t="n">
        <f aca="false">D3607*F3607</f>
        <v>26.4</v>
      </c>
      <c r="J3607" s="6" t="n">
        <f aca="false">HOUR(E3607)</f>
        <v>11</v>
      </c>
      <c r="K3607" s="6" t="n">
        <f aca="false">IF(COUNTIF($A$2:$A3607,A3607)=1,1,0)</f>
        <v>0</v>
      </c>
    </row>
    <row r="3608" customFormat="false" ht="15" hidden="false" customHeight="false" outlineLevel="0" collapsed="false">
      <c r="A3608" s="0" t="s">
        <v>780</v>
      </c>
      <c r="B3608" s="0" t="s">
        <v>145</v>
      </c>
      <c r="C3608" s="0" t="s">
        <v>146</v>
      </c>
      <c r="D3608" s="0" t="n">
        <v>6</v>
      </c>
      <c r="E3608" s="5" t="n">
        <v>45987.4793518519</v>
      </c>
      <c r="F3608" s="0" t="n">
        <v>1.85</v>
      </c>
      <c r="G3608" s="0" t="n">
        <v>17245</v>
      </c>
      <c r="H3608" s="6" t="s">
        <v>52</v>
      </c>
      <c r="I3608" s="6" t="n">
        <f aca="false">D3608*F3608</f>
        <v>11.1</v>
      </c>
      <c r="J3608" s="6" t="n">
        <f aca="false">HOUR(E3608)</f>
        <v>11</v>
      </c>
      <c r="K3608" s="6" t="n">
        <f aca="false">IF(COUNTIF($A$2:$A3608,A3608)=1,1,0)</f>
        <v>0</v>
      </c>
    </row>
    <row r="3609" customFormat="false" ht="15" hidden="false" customHeight="false" outlineLevel="0" collapsed="false">
      <c r="A3609" s="0" t="s">
        <v>781</v>
      </c>
      <c r="B3609" s="0" t="s">
        <v>104</v>
      </c>
      <c r="C3609" s="0" t="s">
        <v>105</v>
      </c>
      <c r="D3609" s="0" t="n">
        <v>5</v>
      </c>
      <c r="E3609" s="5" t="n">
        <v>45987.5012037037</v>
      </c>
      <c r="F3609" s="0" t="n">
        <v>1.65</v>
      </c>
      <c r="G3609" s="0" t="n">
        <v>17139</v>
      </c>
      <c r="H3609" s="6" t="s">
        <v>68</v>
      </c>
      <c r="I3609" s="6" t="n">
        <f aca="false">D3609*F3609</f>
        <v>8.25</v>
      </c>
      <c r="J3609" s="6" t="n">
        <f aca="false">HOUR(E3609)</f>
        <v>12</v>
      </c>
      <c r="K3609" s="6" t="n">
        <f aca="false">IF(COUNTIF($A$2:$A3609,A3609)=1,1,0)</f>
        <v>1</v>
      </c>
    </row>
    <row r="3610" customFormat="false" ht="15" hidden="false" customHeight="false" outlineLevel="0" collapsed="false">
      <c r="A3610" s="0" t="s">
        <v>781</v>
      </c>
      <c r="B3610" s="0" t="s">
        <v>93</v>
      </c>
      <c r="C3610" s="0" t="s">
        <v>94</v>
      </c>
      <c r="D3610" s="0" t="n">
        <v>16</v>
      </c>
      <c r="E3610" s="5" t="n">
        <v>45987.5012037037</v>
      </c>
      <c r="F3610" s="0" t="n">
        <v>1.69</v>
      </c>
      <c r="G3610" s="0" t="n">
        <v>17139</v>
      </c>
      <c r="H3610" s="6" t="s">
        <v>68</v>
      </c>
      <c r="I3610" s="6" t="n">
        <f aca="false">D3610*F3610</f>
        <v>27.04</v>
      </c>
      <c r="J3610" s="6" t="n">
        <f aca="false">HOUR(E3610)</f>
        <v>12</v>
      </c>
      <c r="K3610" s="6" t="n">
        <f aca="false">IF(COUNTIF($A$2:$A3610,A3610)=1,1,0)</f>
        <v>0</v>
      </c>
    </row>
    <row r="3611" customFormat="false" ht="15" hidden="false" customHeight="false" outlineLevel="0" collapsed="false">
      <c r="A3611" s="0" t="s">
        <v>781</v>
      </c>
      <c r="B3611" s="0" t="s">
        <v>50</v>
      </c>
      <c r="C3611" s="0" t="s">
        <v>51</v>
      </c>
      <c r="D3611" s="0" t="n">
        <v>12</v>
      </c>
      <c r="E3611" s="5" t="n">
        <v>45987.5012037037</v>
      </c>
      <c r="F3611" s="0" t="n">
        <v>5.95</v>
      </c>
      <c r="G3611" s="0" t="n">
        <v>17139</v>
      </c>
      <c r="H3611" s="6" t="s">
        <v>68</v>
      </c>
      <c r="I3611" s="6" t="n">
        <f aca="false">D3611*F3611</f>
        <v>71.4</v>
      </c>
      <c r="J3611" s="6" t="n">
        <f aca="false">HOUR(E3611)</f>
        <v>12</v>
      </c>
      <c r="K3611" s="6" t="n">
        <f aca="false">IF(COUNTIF($A$2:$A3611,A3611)=1,1,0)</f>
        <v>0</v>
      </c>
    </row>
    <row r="3612" customFormat="false" ht="15" hidden="false" customHeight="false" outlineLevel="0" collapsed="false">
      <c r="A3612" s="0" t="s">
        <v>781</v>
      </c>
      <c r="B3612" s="0" t="s">
        <v>140</v>
      </c>
      <c r="C3612" s="0" t="s">
        <v>141</v>
      </c>
      <c r="D3612" s="0" t="n">
        <v>3</v>
      </c>
      <c r="E3612" s="5" t="n">
        <v>45987.5012037037</v>
      </c>
      <c r="F3612" s="0" t="n">
        <v>2.08</v>
      </c>
      <c r="G3612" s="0" t="n">
        <v>17139</v>
      </c>
      <c r="H3612" s="6" t="s">
        <v>68</v>
      </c>
      <c r="I3612" s="6" t="n">
        <f aca="false">D3612*F3612</f>
        <v>6.24</v>
      </c>
      <c r="J3612" s="6" t="n">
        <f aca="false">HOUR(E3612)</f>
        <v>12</v>
      </c>
      <c r="K3612" s="6" t="n">
        <f aca="false">IF(COUNTIF($A$2:$A3612,A3612)=1,1,0)</f>
        <v>0</v>
      </c>
    </row>
    <row r="3613" customFormat="false" ht="15" hidden="false" customHeight="false" outlineLevel="0" collapsed="false">
      <c r="A3613" s="0" t="s">
        <v>781</v>
      </c>
      <c r="B3613" s="0" t="s">
        <v>125</v>
      </c>
      <c r="C3613" s="0" t="s">
        <v>126</v>
      </c>
      <c r="D3613" s="0" t="n">
        <v>2</v>
      </c>
      <c r="E3613" s="5" t="n">
        <v>45987.5012037037</v>
      </c>
      <c r="F3613" s="0" t="n">
        <v>1.25</v>
      </c>
      <c r="G3613" s="0" t="n">
        <v>17139</v>
      </c>
      <c r="H3613" s="6" t="s">
        <v>68</v>
      </c>
      <c r="I3613" s="6" t="n">
        <f aca="false">D3613*F3613</f>
        <v>2.5</v>
      </c>
      <c r="J3613" s="6" t="n">
        <f aca="false">HOUR(E3613)</f>
        <v>12</v>
      </c>
      <c r="K3613" s="6" t="n">
        <f aca="false">IF(COUNTIF($A$2:$A3613,A3613)=1,1,0)</f>
        <v>0</v>
      </c>
    </row>
    <row r="3614" customFormat="false" ht="15" hidden="false" customHeight="false" outlineLevel="0" collapsed="false">
      <c r="A3614" s="0" t="s">
        <v>781</v>
      </c>
      <c r="B3614" s="0" t="s">
        <v>118</v>
      </c>
      <c r="C3614" s="0" t="s">
        <v>119</v>
      </c>
      <c r="D3614" s="0" t="n">
        <v>39</v>
      </c>
      <c r="E3614" s="5" t="n">
        <v>45987.5012037037</v>
      </c>
      <c r="F3614" s="0" t="n">
        <v>4.95</v>
      </c>
      <c r="G3614" s="0" t="n">
        <v>17139</v>
      </c>
      <c r="H3614" s="6" t="s">
        <v>68</v>
      </c>
      <c r="I3614" s="6" t="n">
        <f aca="false">D3614*F3614</f>
        <v>193.05</v>
      </c>
      <c r="J3614" s="6" t="n">
        <f aca="false">HOUR(E3614)</f>
        <v>12</v>
      </c>
      <c r="K3614" s="6" t="n">
        <f aca="false">IF(COUNTIF($A$2:$A3614,A3614)=1,1,0)</f>
        <v>0</v>
      </c>
    </row>
    <row r="3615" customFormat="false" ht="15" hidden="false" customHeight="false" outlineLevel="0" collapsed="false">
      <c r="A3615" s="0" t="s">
        <v>781</v>
      </c>
      <c r="B3615" s="0" t="s">
        <v>43</v>
      </c>
      <c r="C3615" s="0" t="s">
        <v>44</v>
      </c>
      <c r="D3615" s="0" t="n">
        <v>2</v>
      </c>
      <c r="E3615" s="5" t="n">
        <v>45987.5012037037</v>
      </c>
      <c r="F3615" s="0" t="n">
        <v>4.25</v>
      </c>
      <c r="G3615" s="0" t="n">
        <v>17139</v>
      </c>
      <c r="H3615" s="6" t="s">
        <v>68</v>
      </c>
      <c r="I3615" s="6" t="n">
        <f aca="false">D3615*F3615</f>
        <v>8.5</v>
      </c>
      <c r="J3615" s="6" t="n">
        <f aca="false">HOUR(E3615)</f>
        <v>12</v>
      </c>
      <c r="K3615" s="6" t="n">
        <f aca="false">IF(COUNTIF($A$2:$A3615,A3615)=1,1,0)</f>
        <v>0</v>
      </c>
    </row>
    <row r="3616" customFormat="false" ht="15" hidden="false" customHeight="false" outlineLevel="0" collapsed="false">
      <c r="A3616" s="0" t="s">
        <v>781</v>
      </c>
      <c r="B3616" s="0" t="s">
        <v>116</v>
      </c>
      <c r="C3616" s="0" t="s">
        <v>117</v>
      </c>
      <c r="D3616" s="0" t="n">
        <v>1</v>
      </c>
      <c r="E3616" s="5" t="n">
        <v>45987.5012037037</v>
      </c>
      <c r="F3616" s="0" t="n">
        <v>1.95</v>
      </c>
      <c r="G3616" s="0" t="n">
        <v>17139</v>
      </c>
      <c r="H3616" s="6" t="s">
        <v>68</v>
      </c>
      <c r="I3616" s="6" t="n">
        <f aca="false">D3616*F3616</f>
        <v>1.95</v>
      </c>
      <c r="J3616" s="6" t="n">
        <f aca="false">HOUR(E3616)</f>
        <v>12</v>
      </c>
      <c r="K3616" s="6" t="n">
        <f aca="false">IF(COUNTIF($A$2:$A3616,A3616)=1,1,0)</f>
        <v>0</v>
      </c>
    </row>
    <row r="3617" customFormat="false" ht="15" hidden="false" customHeight="false" outlineLevel="0" collapsed="false">
      <c r="A3617" s="0" t="s">
        <v>781</v>
      </c>
      <c r="B3617" s="0" t="s">
        <v>107</v>
      </c>
      <c r="C3617" s="0" t="s">
        <v>108</v>
      </c>
      <c r="D3617" s="0" t="n">
        <v>3</v>
      </c>
      <c r="E3617" s="5" t="n">
        <v>45987.5012037037</v>
      </c>
      <c r="F3617" s="0" t="n">
        <v>3.75</v>
      </c>
      <c r="G3617" s="0" t="n">
        <v>17139</v>
      </c>
      <c r="H3617" s="6" t="s">
        <v>68</v>
      </c>
      <c r="I3617" s="6" t="n">
        <f aca="false">D3617*F3617</f>
        <v>11.25</v>
      </c>
      <c r="J3617" s="6" t="n">
        <f aca="false">HOUR(E3617)</f>
        <v>12</v>
      </c>
      <c r="K3617" s="6" t="n">
        <f aca="false">IF(COUNTIF($A$2:$A3617,A3617)=1,1,0)</f>
        <v>0</v>
      </c>
    </row>
    <row r="3618" customFormat="false" ht="15" hidden="false" customHeight="false" outlineLevel="0" collapsed="false">
      <c r="A3618" s="0" t="s">
        <v>781</v>
      </c>
      <c r="B3618" s="0" t="s">
        <v>127</v>
      </c>
      <c r="C3618" s="0" t="s">
        <v>128</v>
      </c>
      <c r="D3618" s="0" t="n">
        <v>10</v>
      </c>
      <c r="E3618" s="5" t="n">
        <v>45987.5012037037</v>
      </c>
      <c r="F3618" s="0" t="n">
        <v>1.45</v>
      </c>
      <c r="G3618" s="0" t="n">
        <v>17139</v>
      </c>
      <c r="H3618" s="6" t="s">
        <v>68</v>
      </c>
      <c r="I3618" s="6" t="n">
        <f aca="false">D3618*F3618</f>
        <v>14.5</v>
      </c>
      <c r="J3618" s="6" t="n">
        <f aca="false">HOUR(E3618)</f>
        <v>12</v>
      </c>
      <c r="K3618" s="6" t="n">
        <f aca="false">IF(COUNTIF($A$2:$A3618,A3618)=1,1,0)</f>
        <v>0</v>
      </c>
    </row>
    <row r="3619" customFormat="false" ht="15" hidden="false" customHeight="false" outlineLevel="0" collapsed="false">
      <c r="A3619" s="0" t="s">
        <v>782</v>
      </c>
      <c r="B3619" s="0" t="s">
        <v>99</v>
      </c>
      <c r="C3619" s="0" t="s">
        <v>100</v>
      </c>
      <c r="D3619" s="0" t="n">
        <v>2</v>
      </c>
      <c r="E3619" s="5" t="n">
        <v>45987.5200694444</v>
      </c>
      <c r="F3619" s="0" t="n">
        <v>2.08</v>
      </c>
      <c r="G3619" s="0" t="n">
        <v>17065</v>
      </c>
      <c r="H3619" s="6" t="s">
        <v>74</v>
      </c>
      <c r="I3619" s="6" t="n">
        <f aca="false">D3619*F3619</f>
        <v>4.16</v>
      </c>
      <c r="J3619" s="6" t="n">
        <f aca="false">HOUR(E3619)</f>
        <v>12</v>
      </c>
      <c r="K3619" s="6" t="n">
        <f aca="false">IF(COUNTIF($A$2:$A3619,A3619)=1,1,0)</f>
        <v>1</v>
      </c>
    </row>
    <row r="3620" customFormat="false" ht="15" hidden="false" customHeight="false" outlineLevel="0" collapsed="false">
      <c r="A3620" s="0" t="s">
        <v>782</v>
      </c>
      <c r="B3620" s="0" t="s">
        <v>109</v>
      </c>
      <c r="C3620" s="0" t="s">
        <v>110</v>
      </c>
      <c r="D3620" s="0" t="n">
        <v>23</v>
      </c>
      <c r="E3620" s="5" t="n">
        <v>45987.5200694444</v>
      </c>
      <c r="F3620" s="0" t="n">
        <v>0.85</v>
      </c>
      <c r="G3620" s="0" t="n">
        <v>17065</v>
      </c>
      <c r="H3620" s="6" t="s">
        <v>74</v>
      </c>
      <c r="I3620" s="6" t="n">
        <f aca="false">D3620*F3620</f>
        <v>19.55</v>
      </c>
      <c r="J3620" s="6" t="n">
        <f aca="false">HOUR(E3620)</f>
        <v>12</v>
      </c>
      <c r="K3620" s="6" t="n">
        <f aca="false">IF(COUNTIF($A$2:$A3620,A3620)=1,1,0)</f>
        <v>0</v>
      </c>
    </row>
    <row r="3621" customFormat="false" ht="15" hidden="false" customHeight="false" outlineLevel="0" collapsed="false">
      <c r="A3621" s="0" t="s">
        <v>782</v>
      </c>
      <c r="B3621" s="0" t="s">
        <v>95</v>
      </c>
      <c r="C3621" s="0" t="s">
        <v>96</v>
      </c>
      <c r="D3621" s="0" t="n">
        <v>31</v>
      </c>
      <c r="E3621" s="5" t="n">
        <v>45987.5200694444</v>
      </c>
      <c r="F3621" s="0" t="n">
        <v>2.55</v>
      </c>
      <c r="G3621" s="0" t="n">
        <v>17065</v>
      </c>
      <c r="H3621" s="6" t="s">
        <v>74</v>
      </c>
      <c r="I3621" s="6" t="n">
        <f aca="false">D3621*F3621</f>
        <v>79.05</v>
      </c>
      <c r="J3621" s="6" t="n">
        <f aca="false">HOUR(E3621)</f>
        <v>12</v>
      </c>
      <c r="K3621" s="6" t="n">
        <f aca="false">IF(COUNTIF($A$2:$A3621,A3621)=1,1,0)</f>
        <v>0</v>
      </c>
    </row>
    <row r="3622" customFormat="false" ht="15" hidden="false" customHeight="false" outlineLevel="0" collapsed="false">
      <c r="A3622" s="0" t="s">
        <v>782</v>
      </c>
      <c r="B3622" s="0" t="s">
        <v>59</v>
      </c>
      <c r="C3622" s="0" t="s">
        <v>60</v>
      </c>
      <c r="D3622" s="0" t="n">
        <v>5</v>
      </c>
      <c r="E3622" s="5" t="n">
        <v>45987.5200694444</v>
      </c>
      <c r="F3622" s="0" t="n">
        <v>0.42</v>
      </c>
      <c r="G3622" s="0" t="n">
        <v>17065</v>
      </c>
      <c r="H3622" s="6" t="s">
        <v>74</v>
      </c>
      <c r="I3622" s="6" t="n">
        <f aca="false">D3622*F3622</f>
        <v>2.1</v>
      </c>
      <c r="J3622" s="6" t="n">
        <f aca="false">HOUR(E3622)</f>
        <v>12</v>
      </c>
      <c r="K3622" s="6" t="n">
        <f aca="false">IF(COUNTIF($A$2:$A3622,A3622)=1,1,0)</f>
        <v>0</v>
      </c>
    </row>
    <row r="3623" customFormat="false" ht="15" hidden="false" customHeight="false" outlineLevel="0" collapsed="false">
      <c r="A3623" s="0" t="s">
        <v>782</v>
      </c>
      <c r="B3623" s="0" t="s">
        <v>47</v>
      </c>
      <c r="C3623" s="0" t="s">
        <v>48</v>
      </c>
      <c r="D3623" s="0" t="n">
        <v>43</v>
      </c>
      <c r="E3623" s="5" t="n">
        <v>45987.5200694444</v>
      </c>
      <c r="F3623" s="0" t="n">
        <v>12.75</v>
      </c>
      <c r="G3623" s="0" t="n">
        <v>17065</v>
      </c>
      <c r="H3623" s="6" t="s">
        <v>74</v>
      </c>
      <c r="I3623" s="6" t="n">
        <f aca="false">D3623*F3623</f>
        <v>548.25</v>
      </c>
      <c r="J3623" s="6" t="n">
        <f aca="false">HOUR(E3623)</f>
        <v>12</v>
      </c>
      <c r="K3623" s="6" t="n">
        <f aca="false">IF(COUNTIF($A$2:$A3623,A3623)=1,1,0)</f>
        <v>0</v>
      </c>
    </row>
    <row r="3624" customFormat="false" ht="15" hidden="false" customHeight="false" outlineLevel="0" collapsed="false">
      <c r="A3624" s="0" t="s">
        <v>783</v>
      </c>
      <c r="B3624" s="0" t="s">
        <v>102</v>
      </c>
      <c r="C3624" s="0" t="s">
        <v>103</v>
      </c>
      <c r="D3624" s="0" t="n">
        <v>7</v>
      </c>
      <c r="E3624" s="5" t="n">
        <v>45987.5411574074</v>
      </c>
      <c r="F3624" s="0" t="n">
        <v>8.5</v>
      </c>
      <c r="G3624" s="0" t="n">
        <v>17076</v>
      </c>
      <c r="H3624" s="6" t="s">
        <v>74</v>
      </c>
      <c r="I3624" s="6" t="n">
        <f aca="false">D3624*F3624</f>
        <v>59.5</v>
      </c>
      <c r="J3624" s="6" t="n">
        <f aca="false">HOUR(E3624)</f>
        <v>12</v>
      </c>
      <c r="K3624" s="6" t="n">
        <f aca="false">IF(COUNTIF($A$2:$A3624,A3624)=1,1,0)</f>
        <v>1</v>
      </c>
    </row>
    <row r="3625" customFormat="false" ht="15" hidden="false" customHeight="false" outlineLevel="0" collapsed="false">
      <c r="A3625" s="0" t="s">
        <v>783</v>
      </c>
      <c r="B3625" s="0" t="s">
        <v>47</v>
      </c>
      <c r="C3625" s="0" t="s">
        <v>48</v>
      </c>
      <c r="D3625" s="0" t="n">
        <v>14</v>
      </c>
      <c r="E3625" s="5" t="n">
        <v>45987.5411574074</v>
      </c>
      <c r="F3625" s="0" t="n">
        <v>12.75</v>
      </c>
      <c r="G3625" s="0" t="n">
        <v>17076</v>
      </c>
      <c r="H3625" s="6" t="s">
        <v>74</v>
      </c>
      <c r="I3625" s="6" t="n">
        <f aca="false">D3625*F3625</f>
        <v>178.5</v>
      </c>
      <c r="J3625" s="6" t="n">
        <f aca="false">HOUR(E3625)</f>
        <v>12</v>
      </c>
      <c r="K3625" s="6" t="n">
        <f aca="false">IF(COUNTIF($A$2:$A3625,A3625)=1,1,0)</f>
        <v>0</v>
      </c>
    </row>
    <row r="3626" customFormat="false" ht="15" hidden="false" customHeight="false" outlineLevel="0" collapsed="false">
      <c r="A3626" s="0" t="s">
        <v>784</v>
      </c>
      <c r="B3626" s="0" t="s">
        <v>55</v>
      </c>
      <c r="C3626" s="0" t="s">
        <v>56</v>
      </c>
      <c r="D3626" s="0" t="n">
        <v>24</v>
      </c>
      <c r="E3626" s="5" t="n">
        <v>45987.5638657407</v>
      </c>
      <c r="F3626" s="0" t="n">
        <v>1.65</v>
      </c>
      <c r="G3626" s="0" t="n">
        <v>17238</v>
      </c>
      <c r="H3626" s="6" t="s">
        <v>98</v>
      </c>
      <c r="I3626" s="6" t="n">
        <f aca="false">D3626*F3626</f>
        <v>39.6</v>
      </c>
      <c r="J3626" s="6" t="n">
        <f aca="false">HOUR(E3626)</f>
        <v>13</v>
      </c>
      <c r="K3626" s="6" t="n">
        <f aca="false">IF(COUNTIF($A$2:$A3626,A3626)=1,1,0)</f>
        <v>1</v>
      </c>
    </row>
    <row r="3627" customFormat="false" ht="15" hidden="false" customHeight="false" outlineLevel="0" collapsed="false">
      <c r="A3627" s="0" t="s">
        <v>784</v>
      </c>
      <c r="B3627" s="0" t="s">
        <v>116</v>
      </c>
      <c r="C3627" s="0" t="s">
        <v>117</v>
      </c>
      <c r="D3627" s="0" t="n">
        <v>1</v>
      </c>
      <c r="E3627" s="5" t="n">
        <v>45987.5638657407</v>
      </c>
      <c r="F3627" s="0" t="n">
        <v>1.95</v>
      </c>
      <c r="G3627" s="0" t="n">
        <v>17238</v>
      </c>
      <c r="H3627" s="6" t="s">
        <v>98</v>
      </c>
      <c r="I3627" s="6" t="n">
        <f aca="false">D3627*F3627</f>
        <v>1.95</v>
      </c>
      <c r="J3627" s="6" t="n">
        <f aca="false">HOUR(E3627)</f>
        <v>13</v>
      </c>
      <c r="K3627" s="6" t="n">
        <f aca="false">IF(COUNTIF($A$2:$A3627,A3627)=1,1,0)</f>
        <v>0</v>
      </c>
    </row>
    <row r="3628" customFormat="false" ht="15" hidden="false" customHeight="false" outlineLevel="0" collapsed="false">
      <c r="A3628" s="0" t="s">
        <v>784</v>
      </c>
      <c r="B3628" s="0" t="s">
        <v>140</v>
      </c>
      <c r="C3628" s="0" t="s">
        <v>141</v>
      </c>
      <c r="D3628" s="0" t="n">
        <v>19</v>
      </c>
      <c r="E3628" s="5" t="n">
        <v>45987.5638657407</v>
      </c>
      <c r="F3628" s="0" t="n">
        <v>2.08</v>
      </c>
      <c r="G3628" s="0" t="n">
        <v>17238</v>
      </c>
      <c r="H3628" s="6" t="s">
        <v>98</v>
      </c>
      <c r="I3628" s="6" t="n">
        <f aca="false">D3628*F3628</f>
        <v>39.52</v>
      </c>
      <c r="J3628" s="6" t="n">
        <f aca="false">HOUR(E3628)</f>
        <v>13</v>
      </c>
      <c r="K3628" s="6" t="n">
        <f aca="false">IF(COUNTIF($A$2:$A3628,A3628)=1,1,0)</f>
        <v>0</v>
      </c>
    </row>
    <row r="3629" customFormat="false" ht="15" hidden="false" customHeight="false" outlineLevel="0" collapsed="false">
      <c r="A3629" s="0" t="s">
        <v>784</v>
      </c>
      <c r="B3629" s="0" t="s">
        <v>102</v>
      </c>
      <c r="C3629" s="0" t="s">
        <v>103</v>
      </c>
      <c r="D3629" s="0" t="n">
        <v>21</v>
      </c>
      <c r="E3629" s="5" t="n">
        <v>45987.5638657407</v>
      </c>
      <c r="F3629" s="0" t="n">
        <v>8.5</v>
      </c>
      <c r="G3629" s="0" t="n">
        <v>17238</v>
      </c>
      <c r="H3629" s="6" t="s">
        <v>98</v>
      </c>
      <c r="I3629" s="6" t="n">
        <f aca="false">D3629*F3629</f>
        <v>178.5</v>
      </c>
      <c r="J3629" s="6" t="n">
        <f aca="false">HOUR(E3629)</f>
        <v>13</v>
      </c>
      <c r="K3629" s="6" t="n">
        <f aca="false">IF(COUNTIF($A$2:$A3629,A3629)=1,1,0)</f>
        <v>0</v>
      </c>
    </row>
    <row r="3630" customFormat="false" ht="15" hidden="false" customHeight="false" outlineLevel="0" collapsed="false">
      <c r="A3630" s="0" t="s">
        <v>784</v>
      </c>
      <c r="B3630" s="0" t="s">
        <v>104</v>
      </c>
      <c r="C3630" s="0" t="s">
        <v>105</v>
      </c>
      <c r="D3630" s="0" t="n">
        <v>19</v>
      </c>
      <c r="E3630" s="5" t="n">
        <v>45987.5638657407</v>
      </c>
      <c r="F3630" s="0" t="n">
        <v>1.65</v>
      </c>
      <c r="G3630" s="0" t="n">
        <v>17238</v>
      </c>
      <c r="H3630" s="6" t="s">
        <v>98</v>
      </c>
      <c r="I3630" s="6" t="n">
        <f aca="false">D3630*F3630</f>
        <v>31.35</v>
      </c>
      <c r="J3630" s="6" t="n">
        <f aca="false">HOUR(E3630)</f>
        <v>13</v>
      </c>
      <c r="K3630" s="6" t="n">
        <f aca="false">IF(COUNTIF($A$2:$A3630,A3630)=1,1,0)</f>
        <v>0</v>
      </c>
    </row>
    <row r="3631" customFormat="false" ht="15" hidden="false" customHeight="false" outlineLevel="0" collapsed="false">
      <c r="A3631" s="0" t="s">
        <v>784</v>
      </c>
      <c r="B3631" s="0" t="s">
        <v>40</v>
      </c>
      <c r="C3631" s="0" t="s">
        <v>41</v>
      </c>
      <c r="D3631" s="0" t="n">
        <v>21</v>
      </c>
      <c r="E3631" s="5" t="n">
        <v>45987.5638657407</v>
      </c>
      <c r="F3631" s="0" t="n">
        <v>1.06</v>
      </c>
      <c r="G3631" s="0" t="n">
        <v>17238</v>
      </c>
      <c r="H3631" s="6" t="s">
        <v>98</v>
      </c>
      <c r="I3631" s="6" t="n">
        <f aca="false">D3631*F3631</f>
        <v>22.26</v>
      </c>
      <c r="J3631" s="6" t="n">
        <f aca="false">HOUR(E3631)</f>
        <v>13</v>
      </c>
      <c r="K3631" s="6" t="n">
        <f aca="false">IF(COUNTIF($A$2:$A3631,A3631)=1,1,0)</f>
        <v>0</v>
      </c>
    </row>
    <row r="3632" customFormat="false" ht="15" hidden="false" customHeight="false" outlineLevel="0" collapsed="false">
      <c r="A3632" s="0" t="s">
        <v>784</v>
      </c>
      <c r="B3632" s="0" t="s">
        <v>91</v>
      </c>
      <c r="C3632" s="0" t="s">
        <v>92</v>
      </c>
      <c r="D3632" s="0" t="n">
        <v>2</v>
      </c>
      <c r="E3632" s="5" t="n">
        <v>45987.5638657407</v>
      </c>
      <c r="F3632" s="0" t="n">
        <v>7.65</v>
      </c>
      <c r="G3632" s="0" t="n">
        <v>17238</v>
      </c>
      <c r="H3632" s="6" t="s">
        <v>98</v>
      </c>
      <c r="I3632" s="6" t="n">
        <f aca="false">D3632*F3632</f>
        <v>15.3</v>
      </c>
      <c r="J3632" s="6" t="n">
        <f aca="false">HOUR(E3632)</f>
        <v>13</v>
      </c>
      <c r="K3632" s="6" t="n">
        <f aca="false">IF(COUNTIF($A$2:$A3632,A3632)=1,1,0)</f>
        <v>0</v>
      </c>
    </row>
    <row r="3633" customFormat="false" ht="15" hidden="false" customHeight="false" outlineLevel="0" collapsed="false">
      <c r="A3633" s="0" t="s">
        <v>784</v>
      </c>
      <c r="B3633" s="0" t="s">
        <v>93</v>
      </c>
      <c r="C3633" s="0" t="s">
        <v>94</v>
      </c>
      <c r="D3633" s="0" t="n">
        <v>18</v>
      </c>
      <c r="E3633" s="5" t="n">
        <v>45987.5638657407</v>
      </c>
      <c r="F3633" s="0" t="n">
        <v>1.69</v>
      </c>
      <c r="G3633" s="0" t="n">
        <v>17238</v>
      </c>
      <c r="H3633" s="6" t="s">
        <v>98</v>
      </c>
      <c r="I3633" s="6" t="n">
        <f aca="false">D3633*F3633</f>
        <v>30.42</v>
      </c>
      <c r="J3633" s="6" t="n">
        <f aca="false">HOUR(E3633)</f>
        <v>13</v>
      </c>
      <c r="K3633" s="6" t="n">
        <f aca="false">IF(COUNTIF($A$2:$A3633,A3633)=1,1,0)</f>
        <v>0</v>
      </c>
    </row>
    <row r="3634" customFormat="false" ht="15" hidden="false" customHeight="false" outlineLevel="0" collapsed="false">
      <c r="A3634" s="0" t="s">
        <v>784</v>
      </c>
      <c r="B3634" s="0" t="s">
        <v>145</v>
      </c>
      <c r="C3634" s="0" t="s">
        <v>146</v>
      </c>
      <c r="D3634" s="0" t="n">
        <v>11</v>
      </c>
      <c r="E3634" s="5" t="n">
        <v>45987.5638657407</v>
      </c>
      <c r="F3634" s="0" t="n">
        <v>1.85</v>
      </c>
      <c r="G3634" s="0" t="n">
        <v>17238</v>
      </c>
      <c r="H3634" s="6" t="s">
        <v>98</v>
      </c>
      <c r="I3634" s="6" t="n">
        <f aca="false">D3634*F3634</f>
        <v>20.35</v>
      </c>
      <c r="J3634" s="6" t="n">
        <f aca="false">HOUR(E3634)</f>
        <v>13</v>
      </c>
      <c r="K3634" s="6" t="n">
        <f aca="false">IF(COUNTIF($A$2:$A3634,A3634)=1,1,0)</f>
        <v>0</v>
      </c>
    </row>
    <row r="3635" customFormat="false" ht="15" hidden="false" customHeight="false" outlineLevel="0" collapsed="false">
      <c r="A3635" s="0" t="s">
        <v>784</v>
      </c>
      <c r="B3635" s="0" t="s">
        <v>72</v>
      </c>
      <c r="C3635" s="0" t="s">
        <v>73</v>
      </c>
      <c r="D3635" s="0" t="n">
        <v>13</v>
      </c>
      <c r="E3635" s="5" t="n">
        <v>45987.5638657407</v>
      </c>
      <c r="F3635" s="0" t="n">
        <v>4.95</v>
      </c>
      <c r="G3635" s="0" t="n">
        <v>17238</v>
      </c>
      <c r="H3635" s="6" t="s">
        <v>98</v>
      </c>
      <c r="I3635" s="6" t="n">
        <f aca="false">D3635*F3635</f>
        <v>64.35</v>
      </c>
      <c r="J3635" s="6" t="n">
        <f aca="false">HOUR(E3635)</f>
        <v>13</v>
      </c>
      <c r="K3635" s="6" t="n">
        <f aca="false">IF(COUNTIF($A$2:$A3635,A3635)=1,1,0)</f>
        <v>0</v>
      </c>
    </row>
    <row r="3636" customFormat="false" ht="15" hidden="false" customHeight="false" outlineLevel="0" collapsed="false">
      <c r="A3636" s="0" t="s">
        <v>785</v>
      </c>
      <c r="B3636" s="0" t="s">
        <v>134</v>
      </c>
      <c r="C3636" s="0" t="s">
        <v>135</v>
      </c>
      <c r="D3636" s="0" t="n">
        <v>17</v>
      </c>
      <c r="E3636" s="5" t="n">
        <v>45987.6110185185</v>
      </c>
      <c r="F3636" s="0" t="n">
        <v>5.95</v>
      </c>
      <c r="G3636" s="0" t="n">
        <v>17228</v>
      </c>
      <c r="H3636" s="6" t="s">
        <v>42</v>
      </c>
      <c r="I3636" s="6" t="n">
        <f aca="false">D3636*F3636</f>
        <v>101.15</v>
      </c>
      <c r="J3636" s="6" t="n">
        <f aca="false">HOUR(E3636)</f>
        <v>14</v>
      </c>
      <c r="K3636" s="6" t="n">
        <f aca="false">IF(COUNTIF($A$2:$A3636,A3636)=1,1,0)</f>
        <v>1</v>
      </c>
    </row>
    <row r="3637" customFormat="false" ht="15" hidden="false" customHeight="false" outlineLevel="0" collapsed="false">
      <c r="A3637" s="0" t="s">
        <v>785</v>
      </c>
      <c r="B3637" s="0" t="s">
        <v>83</v>
      </c>
      <c r="C3637" s="0" t="s">
        <v>84</v>
      </c>
      <c r="D3637" s="0" t="n">
        <v>21</v>
      </c>
      <c r="E3637" s="5" t="n">
        <v>45987.6110185185</v>
      </c>
      <c r="F3637" s="0" t="n">
        <v>2.95</v>
      </c>
      <c r="G3637" s="0" t="n">
        <v>17228</v>
      </c>
      <c r="H3637" s="6" t="s">
        <v>42</v>
      </c>
      <c r="I3637" s="6" t="n">
        <f aca="false">D3637*F3637</f>
        <v>61.95</v>
      </c>
      <c r="J3637" s="6" t="n">
        <f aca="false">HOUR(E3637)</f>
        <v>14</v>
      </c>
      <c r="K3637" s="6" t="n">
        <f aca="false">IF(COUNTIF($A$2:$A3637,A3637)=1,1,0)</f>
        <v>0</v>
      </c>
    </row>
    <row r="3638" customFormat="false" ht="15" hidden="false" customHeight="false" outlineLevel="0" collapsed="false">
      <c r="A3638" s="0" t="s">
        <v>785</v>
      </c>
      <c r="B3638" s="0" t="s">
        <v>55</v>
      </c>
      <c r="C3638" s="0" t="s">
        <v>56</v>
      </c>
      <c r="D3638" s="0" t="n">
        <v>8</v>
      </c>
      <c r="E3638" s="5" t="n">
        <v>45987.6110185185</v>
      </c>
      <c r="F3638" s="0" t="n">
        <v>1.65</v>
      </c>
      <c r="G3638" s="0" t="n">
        <v>17228</v>
      </c>
      <c r="H3638" s="6" t="s">
        <v>42</v>
      </c>
      <c r="I3638" s="6" t="n">
        <f aca="false">D3638*F3638</f>
        <v>13.2</v>
      </c>
      <c r="J3638" s="6" t="n">
        <f aca="false">HOUR(E3638)</f>
        <v>14</v>
      </c>
      <c r="K3638" s="6" t="n">
        <f aca="false">IF(COUNTIF($A$2:$A3638,A3638)=1,1,0)</f>
        <v>0</v>
      </c>
    </row>
    <row r="3639" customFormat="false" ht="15" hidden="false" customHeight="false" outlineLevel="0" collapsed="false">
      <c r="A3639" s="0" t="s">
        <v>786</v>
      </c>
      <c r="B3639" s="0" t="s">
        <v>107</v>
      </c>
      <c r="C3639" s="0" t="s">
        <v>108</v>
      </c>
      <c r="D3639" s="0" t="n">
        <v>15</v>
      </c>
      <c r="E3639" s="5" t="n">
        <v>45987.6287268519</v>
      </c>
      <c r="F3639" s="0" t="n">
        <v>3.75</v>
      </c>
      <c r="G3639" s="0" t="n">
        <v>17205</v>
      </c>
      <c r="H3639" s="6" t="s">
        <v>74</v>
      </c>
      <c r="I3639" s="6" t="n">
        <f aca="false">D3639*F3639</f>
        <v>56.25</v>
      </c>
      <c r="J3639" s="6" t="n">
        <f aca="false">HOUR(E3639)</f>
        <v>15</v>
      </c>
      <c r="K3639" s="6" t="n">
        <f aca="false">IF(COUNTIF($A$2:$A3639,A3639)=1,1,0)</f>
        <v>1</v>
      </c>
    </row>
    <row r="3640" customFormat="false" ht="15" hidden="false" customHeight="false" outlineLevel="0" collapsed="false">
      <c r="A3640" s="0" t="s">
        <v>786</v>
      </c>
      <c r="B3640" s="0" t="s">
        <v>83</v>
      </c>
      <c r="C3640" s="0" t="s">
        <v>84</v>
      </c>
      <c r="D3640" s="0" t="n">
        <v>21</v>
      </c>
      <c r="E3640" s="5" t="n">
        <v>45987.6287268519</v>
      </c>
      <c r="F3640" s="0" t="n">
        <v>2.95</v>
      </c>
      <c r="G3640" s="0" t="n">
        <v>17205</v>
      </c>
      <c r="H3640" s="6" t="s">
        <v>74</v>
      </c>
      <c r="I3640" s="6" t="n">
        <f aca="false">D3640*F3640</f>
        <v>61.95</v>
      </c>
      <c r="J3640" s="6" t="n">
        <f aca="false">HOUR(E3640)</f>
        <v>15</v>
      </c>
      <c r="K3640" s="6" t="n">
        <f aca="false">IF(COUNTIF($A$2:$A3640,A3640)=1,1,0)</f>
        <v>0</v>
      </c>
    </row>
    <row r="3641" customFormat="false" ht="15" hidden="false" customHeight="false" outlineLevel="0" collapsed="false">
      <c r="A3641" s="0" t="s">
        <v>786</v>
      </c>
      <c r="B3641" s="0" t="s">
        <v>69</v>
      </c>
      <c r="C3641" s="0" t="s">
        <v>70</v>
      </c>
      <c r="D3641" s="0" t="n">
        <v>45</v>
      </c>
      <c r="E3641" s="5" t="n">
        <v>45987.6287268519</v>
      </c>
      <c r="F3641" s="0" t="n">
        <v>2.08</v>
      </c>
      <c r="G3641" s="0" t="n">
        <v>17205</v>
      </c>
      <c r="H3641" s="6" t="s">
        <v>74</v>
      </c>
      <c r="I3641" s="6" t="n">
        <f aca="false">D3641*F3641</f>
        <v>93.6</v>
      </c>
      <c r="J3641" s="6" t="n">
        <f aca="false">HOUR(E3641)</f>
        <v>15</v>
      </c>
      <c r="K3641" s="6" t="n">
        <f aca="false">IF(COUNTIF($A$2:$A3641,A3641)=1,1,0)</f>
        <v>0</v>
      </c>
    </row>
    <row r="3642" customFormat="false" ht="15" hidden="false" customHeight="false" outlineLevel="0" collapsed="false">
      <c r="A3642" s="0" t="s">
        <v>786</v>
      </c>
      <c r="B3642" s="0" t="s">
        <v>77</v>
      </c>
      <c r="C3642" s="0" t="s">
        <v>78</v>
      </c>
      <c r="D3642" s="0" t="n">
        <v>18</v>
      </c>
      <c r="E3642" s="5" t="n">
        <v>45987.6287268519</v>
      </c>
      <c r="F3642" s="0" t="n">
        <v>1.65</v>
      </c>
      <c r="G3642" s="0" t="n">
        <v>17205</v>
      </c>
      <c r="H3642" s="6" t="s">
        <v>74</v>
      </c>
      <c r="I3642" s="6" t="n">
        <f aca="false">D3642*F3642</f>
        <v>29.7</v>
      </c>
      <c r="J3642" s="6" t="n">
        <f aca="false">HOUR(E3642)</f>
        <v>15</v>
      </c>
      <c r="K3642" s="6" t="n">
        <f aca="false">IF(COUNTIF($A$2:$A3642,A3642)=1,1,0)</f>
        <v>0</v>
      </c>
    </row>
    <row r="3643" customFormat="false" ht="15" hidden="false" customHeight="false" outlineLevel="0" collapsed="false">
      <c r="A3643" s="0" t="s">
        <v>786</v>
      </c>
      <c r="B3643" s="0" t="s">
        <v>134</v>
      </c>
      <c r="C3643" s="0" t="s">
        <v>135</v>
      </c>
      <c r="D3643" s="0" t="n">
        <v>14</v>
      </c>
      <c r="E3643" s="5" t="n">
        <v>45987.6287268519</v>
      </c>
      <c r="F3643" s="0" t="n">
        <v>5.95</v>
      </c>
      <c r="G3643" s="0" t="n">
        <v>17205</v>
      </c>
      <c r="H3643" s="6" t="s">
        <v>74</v>
      </c>
      <c r="I3643" s="6" t="n">
        <f aca="false">D3643*F3643</f>
        <v>83.3</v>
      </c>
      <c r="J3643" s="6" t="n">
        <f aca="false">HOUR(E3643)</f>
        <v>15</v>
      </c>
      <c r="K3643" s="6" t="n">
        <f aca="false">IF(COUNTIF($A$2:$A3643,A3643)=1,1,0)</f>
        <v>0</v>
      </c>
    </row>
    <row r="3644" customFormat="false" ht="15" hidden="false" customHeight="false" outlineLevel="0" collapsed="false">
      <c r="A3644" s="0" t="s">
        <v>786</v>
      </c>
      <c r="B3644" s="0" t="s">
        <v>65</v>
      </c>
      <c r="C3644" s="0" t="s">
        <v>66</v>
      </c>
      <c r="D3644" s="0" t="n">
        <v>23</v>
      </c>
      <c r="E3644" s="5" t="n">
        <v>45987.6287268519</v>
      </c>
      <c r="F3644" s="0" t="n">
        <v>1.65</v>
      </c>
      <c r="G3644" s="0" t="n">
        <v>17205</v>
      </c>
      <c r="H3644" s="6" t="s">
        <v>74</v>
      </c>
      <c r="I3644" s="6" t="n">
        <f aca="false">D3644*F3644</f>
        <v>37.95</v>
      </c>
      <c r="J3644" s="6" t="n">
        <f aca="false">HOUR(E3644)</f>
        <v>15</v>
      </c>
      <c r="K3644" s="6" t="n">
        <f aca="false">IF(COUNTIF($A$2:$A3644,A3644)=1,1,0)</f>
        <v>0</v>
      </c>
    </row>
    <row r="3645" customFormat="false" ht="15" hidden="false" customHeight="false" outlineLevel="0" collapsed="false">
      <c r="A3645" s="0" t="s">
        <v>786</v>
      </c>
      <c r="B3645" s="0" t="s">
        <v>137</v>
      </c>
      <c r="C3645" s="0" t="s">
        <v>138</v>
      </c>
      <c r="D3645" s="0" t="n">
        <v>18</v>
      </c>
      <c r="E3645" s="5" t="n">
        <v>45987.6287268519</v>
      </c>
      <c r="F3645" s="0" t="n">
        <v>2.1</v>
      </c>
      <c r="G3645" s="0" t="n">
        <v>17205</v>
      </c>
      <c r="H3645" s="6" t="s">
        <v>74</v>
      </c>
      <c r="I3645" s="6" t="n">
        <f aca="false">D3645*F3645</f>
        <v>37.8</v>
      </c>
      <c r="J3645" s="6" t="n">
        <f aca="false">HOUR(E3645)</f>
        <v>15</v>
      </c>
      <c r="K3645" s="6" t="n">
        <f aca="false">IF(COUNTIF($A$2:$A3645,A3645)=1,1,0)</f>
        <v>0</v>
      </c>
    </row>
    <row r="3646" customFormat="false" ht="15" hidden="false" customHeight="false" outlineLevel="0" collapsed="false">
      <c r="A3646" s="0" t="s">
        <v>786</v>
      </c>
      <c r="B3646" s="0" t="s">
        <v>79</v>
      </c>
      <c r="C3646" s="0" t="s">
        <v>80</v>
      </c>
      <c r="D3646" s="0" t="n">
        <v>20</v>
      </c>
      <c r="E3646" s="5" t="n">
        <v>45987.6287268519</v>
      </c>
      <c r="F3646" s="0" t="n">
        <v>3.39</v>
      </c>
      <c r="G3646" s="0" t="n">
        <v>17205</v>
      </c>
      <c r="H3646" s="6" t="s">
        <v>74</v>
      </c>
      <c r="I3646" s="6" t="n">
        <f aca="false">D3646*F3646</f>
        <v>67.8</v>
      </c>
      <c r="J3646" s="6" t="n">
        <f aca="false">HOUR(E3646)</f>
        <v>15</v>
      </c>
      <c r="K3646" s="6" t="n">
        <f aca="false">IF(COUNTIF($A$2:$A3646,A3646)=1,1,0)</f>
        <v>0</v>
      </c>
    </row>
    <row r="3647" customFormat="false" ht="15" hidden="false" customHeight="false" outlineLevel="0" collapsed="false">
      <c r="A3647" s="0" t="s">
        <v>787</v>
      </c>
      <c r="B3647" s="0" t="s">
        <v>77</v>
      </c>
      <c r="C3647" s="0" t="s">
        <v>78</v>
      </c>
      <c r="D3647" s="0" t="n">
        <v>14</v>
      </c>
      <c r="E3647" s="5" t="n">
        <v>45988.0588310185</v>
      </c>
      <c r="F3647" s="0" t="n">
        <v>1.65</v>
      </c>
      <c r="G3647" s="0" t="n">
        <v>17021</v>
      </c>
      <c r="H3647" s="6" t="s">
        <v>42</v>
      </c>
      <c r="I3647" s="6" t="n">
        <f aca="false">D3647*F3647</f>
        <v>23.1</v>
      </c>
      <c r="J3647" s="6" t="n">
        <f aca="false">HOUR(E3647)</f>
        <v>1</v>
      </c>
      <c r="K3647" s="6" t="n">
        <f aca="false">IF(COUNTIF($A$2:$A3647,A3647)=1,1,0)</f>
        <v>1</v>
      </c>
    </row>
    <row r="3648" customFormat="false" ht="15" hidden="false" customHeight="false" outlineLevel="0" collapsed="false">
      <c r="A3648" s="0" t="s">
        <v>787</v>
      </c>
      <c r="B3648" s="0" t="s">
        <v>47</v>
      </c>
      <c r="C3648" s="0" t="s">
        <v>48</v>
      </c>
      <c r="D3648" s="0" t="n">
        <v>23</v>
      </c>
      <c r="E3648" s="5" t="n">
        <v>45988.0588310185</v>
      </c>
      <c r="F3648" s="0" t="n">
        <v>12.75</v>
      </c>
      <c r="G3648" s="0" t="n">
        <v>17021</v>
      </c>
      <c r="H3648" s="6" t="s">
        <v>42</v>
      </c>
      <c r="I3648" s="6" t="n">
        <f aca="false">D3648*F3648</f>
        <v>293.25</v>
      </c>
      <c r="J3648" s="6" t="n">
        <f aca="false">HOUR(E3648)</f>
        <v>1</v>
      </c>
      <c r="K3648" s="6" t="n">
        <f aca="false">IF(COUNTIF($A$2:$A3648,A3648)=1,1,0)</f>
        <v>0</v>
      </c>
    </row>
    <row r="3649" customFormat="false" ht="15" hidden="false" customHeight="false" outlineLevel="0" collapsed="false">
      <c r="A3649" s="0" t="s">
        <v>788</v>
      </c>
      <c r="B3649" s="0" t="s">
        <v>40</v>
      </c>
      <c r="C3649" s="0" t="s">
        <v>41</v>
      </c>
      <c r="D3649" s="0" t="n">
        <v>15</v>
      </c>
      <c r="E3649" s="5" t="n">
        <v>45988.1296180556</v>
      </c>
      <c r="F3649" s="0" t="n">
        <v>1.06</v>
      </c>
      <c r="G3649" s="0" t="n">
        <v>17114</v>
      </c>
      <c r="H3649" s="6" t="s">
        <v>263</v>
      </c>
      <c r="I3649" s="6" t="n">
        <f aca="false">D3649*F3649</f>
        <v>15.9</v>
      </c>
      <c r="J3649" s="6" t="n">
        <f aca="false">HOUR(E3649)</f>
        <v>3</v>
      </c>
      <c r="K3649" s="6" t="n">
        <f aca="false">IF(COUNTIF($A$2:$A3649,A3649)=1,1,0)</f>
        <v>1</v>
      </c>
    </row>
    <row r="3650" customFormat="false" ht="15" hidden="false" customHeight="false" outlineLevel="0" collapsed="false">
      <c r="A3650" s="0" t="s">
        <v>788</v>
      </c>
      <c r="B3650" s="0" t="s">
        <v>131</v>
      </c>
      <c r="C3650" s="0" t="s">
        <v>132</v>
      </c>
      <c r="D3650" s="0" t="n">
        <v>21</v>
      </c>
      <c r="E3650" s="5" t="n">
        <v>45988.1296180556</v>
      </c>
      <c r="F3650" s="0" t="n">
        <v>3.39</v>
      </c>
      <c r="G3650" s="0" t="n">
        <v>17114</v>
      </c>
      <c r="H3650" s="6" t="s">
        <v>263</v>
      </c>
      <c r="I3650" s="6" t="n">
        <f aca="false">D3650*F3650</f>
        <v>71.19</v>
      </c>
      <c r="J3650" s="6" t="n">
        <f aca="false">HOUR(E3650)</f>
        <v>3</v>
      </c>
      <c r="K3650" s="6" t="n">
        <f aca="false">IF(COUNTIF($A$2:$A3650,A3650)=1,1,0)</f>
        <v>0</v>
      </c>
    </row>
    <row r="3651" customFormat="false" ht="15" hidden="false" customHeight="false" outlineLevel="0" collapsed="false">
      <c r="A3651" s="0" t="s">
        <v>788</v>
      </c>
      <c r="B3651" s="0" t="s">
        <v>140</v>
      </c>
      <c r="C3651" s="0" t="s">
        <v>141</v>
      </c>
      <c r="D3651" s="0" t="n">
        <v>10</v>
      </c>
      <c r="E3651" s="5" t="n">
        <v>45988.1296180556</v>
      </c>
      <c r="F3651" s="0" t="n">
        <v>2.08</v>
      </c>
      <c r="G3651" s="0" t="n">
        <v>17114</v>
      </c>
      <c r="H3651" s="6" t="s">
        <v>263</v>
      </c>
      <c r="I3651" s="6" t="n">
        <f aca="false">D3651*F3651</f>
        <v>20.8</v>
      </c>
      <c r="J3651" s="6" t="n">
        <f aca="false">HOUR(E3651)</f>
        <v>3</v>
      </c>
      <c r="K3651" s="6" t="n">
        <f aca="false">IF(COUNTIF($A$2:$A3651,A3651)=1,1,0)</f>
        <v>0</v>
      </c>
    </row>
    <row r="3652" customFormat="false" ht="15" hidden="false" customHeight="false" outlineLevel="0" collapsed="false">
      <c r="A3652" s="0" t="s">
        <v>788</v>
      </c>
      <c r="B3652" s="0" t="s">
        <v>43</v>
      </c>
      <c r="C3652" s="0" t="s">
        <v>44</v>
      </c>
      <c r="D3652" s="0" t="n">
        <v>24</v>
      </c>
      <c r="E3652" s="5" t="n">
        <v>45988.1296180556</v>
      </c>
      <c r="F3652" s="0" t="n">
        <v>4.25</v>
      </c>
      <c r="G3652" s="0" t="n">
        <v>17114</v>
      </c>
      <c r="H3652" s="6" t="s">
        <v>263</v>
      </c>
      <c r="I3652" s="6" t="n">
        <f aca="false">D3652*F3652</f>
        <v>102</v>
      </c>
      <c r="J3652" s="6" t="n">
        <f aca="false">HOUR(E3652)</f>
        <v>3</v>
      </c>
      <c r="K3652" s="6" t="n">
        <f aca="false">IF(COUNTIF($A$2:$A3652,A3652)=1,1,0)</f>
        <v>0</v>
      </c>
    </row>
    <row r="3653" customFormat="false" ht="15" hidden="false" customHeight="false" outlineLevel="0" collapsed="false">
      <c r="A3653" s="0" t="s">
        <v>788</v>
      </c>
      <c r="B3653" s="0" t="s">
        <v>77</v>
      </c>
      <c r="C3653" s="0" t="s">
        <v>78</v>
      </c>
      <c r="D3653" s="0" t="n">
        <v>20</v>
      </c>
      <c r="E3653" s="5" t="n">
        <v>45988.1296180556</v>
      </c>
      <c r="F3653" s="0" t="n">
        <v>1.65</v>
      </c>
      <c r="G3653" s="0" t="n">
        <v>17114</v>
      </c>
      <c r="H3653" s="6" t="s">
        <v>263</v>
      </c>
      <c r="I3653" s="6" t="n">
        <f aca="false">D3653*F3653</f>
        <v>33</v>
      </c>
      <c r="J3653" s="6" t="n">
        <f aca="false">HOUR(E3653)</f>
        <v>3</v>
      </c>
      <c r="K3653" s="6" t="n">
        <f aca="false">IF(COUNTIF($A$2:$A3653,A3653)=1,1,0)</f>
        <v>0</v>
      </c>
    </row>
    <row r="3654" customFormat="false" ht="15" hidden="false" customHeight="false" outlineLevel="0" collapsed="false">
      <c r="A3654" s="0" t="s">
        <v>788</v>
      </c>
      <c r="B3654" s="0" t="s">
        <v>61</v>
      </c>
      <c r="C3654" s="0" t="s">
        <v>62</v>
      </c>
      <c r="D3654" s="0" t="n">
        <v>21</v>
      </c>
      <c r="E3654" s="5" t="n">
        <v>45988.1296180556</v>
      </c>
      <c r="F3654" s="0" t="n">
        <v>1.65</v>
      </c>
      <c r="G3654" s="0" t="n">
        <v>17114</v>
      </c>
      <c r="H3654" s="6" t="s">
        <v>263</v>
      </c>
      <c r="I3654" s="6" t="n">
        <f aca="false">D3654*F3654</f>
        <v>34.65</v>
      </c>
      <c r="J3654" s="6" t="n">
        <f aca="false">HOUR(E3654)</f>
        <v>3</v>
      </c>
      <c r="K3654" s="6" t="n">
        <f aca="false">IF(COUNTIF($A$2:$A3654,A3654)=1,1,0)</f>
        <v>0</v>
      </c>
    </row>
    <row r="3655" customFormat="false" ht="15" hidden="false" customHeight="false" outlineLevel="0" collapsed="false">
      <c r="A3655" s="0" t="s">
        <v>788</v>
      </c>
      <c r="B3655" s="0" t="s">
        <v>116</v>
      </c>
      <c r="C3655" s="0" t="s">
        <v>117</v>
      </c>
      <c r="D3655" s="0" t="n">
        <v>19</v>
      </c>
      <c r="E3655" s="5" t="n">
        <v>45988.1296180556</v>
      </c>
      <c r="F3655" s="0" t="n">
        <v>1.95</v>
      </c>
      <c r="G3655" s="0" t="n">
        <v>17114</v>
      </c>
      <c r="H3655" s="6" t="s">
        <v>263</v>
      </c>
      <c r="I3655" s="6" t="n">
        <f aca="false">D3655*F3655</f>
        <v>37.05</v>
      </c>
      <c r="J3655" s="6" t="n">
        <f aca="false">HOUR(E3655)</f>
        <v>3</v>
      </c>
      <c r="K3655" s="6" t="n">
        <f aca="false">IF(COUNTIF($A$2:$A3655,A3655)=1,1,0)</f>
        <v>0</v>
      </c>
    </row>
    <row r="3656" customFormat="false" ht="15" hidden="false" customHeight="false" outlineLevel="0" collapsed="false">
      <c r="A3656" s="0" t="s">
        <v>788</v>
      </c>
      <c r="B3656" s="0" t="s">
        <v>104</v>
      </c>
      <c r="C3656" s="0" t="s">
        <v>105</v>
      </c>
      <c r="D3656" s="0" t="n">
        <v>7</v>
      </c>
      <c r="E3656" s="5" t="n">
        <v>45988.1296180556</v>
      </c>
      <c r="F3656" s="0" t="n">
        <v>1.65</v>
      </c>
      <c r="G3656" s="0" t="n">
        <v>17114</v>
      </c>
      <c r="H3656" s="6" t="s">
        <v>263</v>
      </c>
      <c r="I3656" s="6" t="n">
        <f aca="false">D3656*F3656</f>
        <v>11.55</v>
      </c>
      <c r="J3656" s="6" t="n">
        <f aca="false">HOUR(E3656)</f>
        <v>3</v>
      </c>
      <c r="K3656" s="6" t="n">
        <f aca="false">IF(COUNTIF($A$2:$A3656,A3656)=1,1,0)</f>
        <v>0</v>
      </c>
    </row>
    <row r="3657" customFormat="false" ht="15" hidden="false" customHeight="false" outlineLevel="0" collapsed="false">
      <c r="A3657" s="0" t="s">
        <v>788</v>
      </c>
      <c r="B3657" s="0" t="s">
        <v>69</v>
      </c>
      <c r="C3657" s="0" t="s">
        <v>70</v>
      </c>
      <c r="D3657" s="0" t="n">
        <v>6</v>
      </c>
      <c r="E3657" s="5" t="n">
        <v>45988.1296180556</v>
      </c>
      <c r="F3657" s="0" t="n">
        <v>2.08</v>
      </c>
      <c r="G3657" s="0" t="n">
        <v>17114</v>
      </c>
      <c r="H3657" s="6" t="s">
        <v>263</v>
      </c>
      <c r="I3657" s="6" t="n">
        <f aca="false">D3657*F3657</f>
        <v>12.48</v>
      </c>
      <c r="J3657" s="6" t="n">
        <f aca="false">HOUR(E3657)</f>
        <v>3</v>
      </c>
      <c r="K3657" s="6" t="n">
        <f aca="false">IF(COUNTIF($A$2:$A3657,A3657)=1,1,0)</f>
        <v>0</v>
      </c>
    </row>
    <row r="3658" customFormat="false" ht="15" hidden="false" customHeight="false" outlineLevel="0" collapsed="false">
      <c r="A3658" s="0" t="s">
        <v>789</v>
      </c>
      <c r="B3658" s="0" t="s">
        <v>81</v>
      </c>
      <c r="C3658" s="0" t="s">
        <v>82</v>
      </c>
      <c r="D3658" s="0" t="n">
        <v>6</v>
      </c>
      <c r="E3658" s="5" t="n">
        <v>45988.3823263889</v>
      </c>
      <c r="F3658" s="0" t="n">
        <v>1.65</v>
      </c>
      <c r="G3658" s="0" t="n">
        <v>17077</v>
      </c>
      <c r="H3658" s="6" t="s">
        <v>68</v>
      </c>
      <c r="I3658" s="6" t="n">
        <f aca="false">D3658*F3658</f>
        <v>9.9</v>
      </c>
      <c r="J3658" s="6" t="n">
        <f aca="false">HOUR(E3658)</f>
        <v>9</v>
      </c>
      <c r="K3658" s="6" t="n">
        <f aca="false">IF(COUNTIF($A$2:$A3658,A3658)=1,1,0)</f>
        <v>1</v>
      </c>
    </row>
    <row r="3659" customFormat="false" ht="15" hidden="false" customHeight="false" outlineLevel="0" collapsed="false">
      <c r="A3659" s="0" t="s">
        <v>789</v>
      </c>
      <c r="B3659" s="0" t="s">
        <v>109</v>
      </c>
      <c r="C3659" s="0" t="s">
        <v>110</v>
      </c>
      <c r="D3659" s="0" t="n">
        <v>19</v>
      </c>
      <c r="E3659" s="5" t="n">
        <v>45988.3823263889</v>
      </c>
      <c r="F3659" s="0" t="n">
        <v>0.85</v>
      </c>
      <c r="G3659" s="0" t="n">
        <v>17077</v>
      </c>
      <c r="H3659" s="6" t="s">
        <v>68</v>
      </c>
      <c r="I3659" s="6" t="n">
        <f aca="false">D3659*F3659</f>
        <v>16.15</v>
      </c>
      <c r="J3659" s="6" t="n">
        <f aca="false">HOUR(E3659)</f>
        <v>9</v>
      </c>
      <c r="K3659" s="6" t="n">
        <f aca="false">IF(COUNTIF($A$2:$A3659,A3659)=1,1,0)</f>
        <v>0</v>
      </c>
    </row>
    <row r="3660" customFormat="false" ht="15" hidden="false" customHeight="false" outlineLevel="0" collapsed="false">
      <c r="A3660" s="0" t="s">
        <v>790</v>
      </c>
      <c r="B3660" s="0" t="s">
        <v>131</v>
      </c>
      <c r="C3660" s="0" t="s">
        <v>132</v>
      </c>
      <c r="D3660" s="0" t="n">
        <v>18</v>
      </c>
      <c r="E3660" s="5" t="n">
        <v>45988.4104166667</v>
      </c>
      <c r="F3660" s="0" t="n">
        <v>3.39</v>
      </c>
      <c r="G3660" s="0" t="n">
        <v>17222</v>
      </c>
      <c r="H3660" s="6" t="s">
        <v>74</v>
      </c>
      <c r="I3660" s="6" t="n">
        <f aca="false">D3660*F3660</f>
        <v>61.02</v>
      </c>
      <c r="J3660" s="6" t="n">
        <f aca="false">HOUR(E3660)</f>
        <v>9</v>
      </c>
      <c r="K3660" s="6" t="n">
        <f aca="false">IF(COUNTIF($A$2:$A3660,A3660)=1,1,0)</f>
        <v>1</v>
      </c>
    </row>
    <row r="3661" customFormat="false" ht="15" hidden="false" customHeight="false" outlineLevel="0" collapsed="false">
      <c r="A3661" s="0" t="s">
        <v>790</v>
      </c>
      <c r="B3661" s="0" t="s">
        <v>91</v>
      </c>
      <c r="C3661" s="0" t="s">
        <v>92</v>
      </c>
      <c r="D3661" s="0" t="n">
        <v>12</v>
      </c>
      <c r="E3661" s="5" t="n">
        <v>45988.4104166667</v>
      </c>
      <c r="F3661" s="0" t="n">
        <v>7.65</v>
      </c>
      <c r="G3661" s="0" t="n">
        <v>17222</v>
      </c>
      <c r="H3661" s="6" t="s">
        <v>74</v>
      </c>
      <c r="I3661" s="6" t="n">
        <f aca="false">D3661*F3661</f>
        <v>91.8</v>
      </c>
      <c r="J3661" s="6" t="n">
        <f aca="false">HOUR(E3661)</f>
        <v>9</v>
      </c>
      <c r="K3661" s="6" t="n">
        <f aca="false">IF(COUNTIF($A$2:$A3661,A3661)=1,1,0)</f>
        <v>0</v>
      </c>
    </row>
    <row r="3662" customFormat="false" ht="15" hidden="false" customHeight="false" outlineLevel="0" collapsed="false">
      <c r="A3662" s="0" t="s">
        <v>790</v>
      </c>
      <c r="B3662" s="0" t="s">
        <v>72</v>
      </c>
      <c r="C3662" s="0" t="s">
        <v>73</v>
      </c>
      <c r="D3662" s="0" t="n">
        <v>17</v>
      </c>
      <c r="E3662" s="5" t="n">
        <v>45988.4104166667</v>
      </c>
      <c r="F3662" s="0" t="n">
        <v>4.95</v>
      </c>
      <c r="G3662" s="0" t="n">
        <v>17222</v>
      </c>
      <c r="H3662" s="6" t="s">
        <v>74</v>
      </c>
      <c r="I3662" s="6" t="n">
        <f aca="false">D3662*F3662</f>
        <v>84.15</v>
      </c>
      <c r="J3662" s="6" t="n">
        <f aca="false">HOUR(E3662)</f>
        <v>9</v>
      </c>
      <c r="K3662" s="6" t="n">
        <f aca="false">IF(COUNTIF($A$2:$A3662,A3662)=1,1,0)</f>
        <v>0</v>
      </c>
    </row>
    <row r="3663" customFormat="false" ht="15" hidden="false" customHeight="false" outlineLevel="0" collapsed="false">
      <c r="A3663" s="0" t="s">
        <v>790</v>
      </c>
      <c r="B3663" s="0" t="s">
        <v>59</v>
      </c>
      <c r="C3663" s="0" t="s">
        <v>60</v>
      </c>
      <c r="D3663" s="0" t="n">
        <v>12</v>
      </c>
      <c r="E3663" s="5" t="n">
        <v>45988.4104166667</v>
      </c>
      <c r="F3663" s="0" t="n">
        <v>0.42</v>
      </c>
      <c r="G3663" s="0" t="n">
        <v>17222</v>
      </c>
      <c r="H3663" s="6" t="s">
        <v>74</v>
      </c>
      <c r="I3663" s="6" t="n">
        <f aca="false">D3663*F3663</f>
        <v>5.04</v>
      </c>
      <c r="J3663" s="6" t="n">
        <f aca="false">HOUR(E3663)</f>
        <v>9</v>
      </c>
      <c r="K3663" s="6" t="n">
        <f aca="false">IF(COUNTIF($A$2:$A3663,A3663)=1,1,0)</f>
        <v>0</v>
      </c>
    </row>
    <row r="3664" customFormat="false" ht="15" hidden="false" customHeight="false" outlineLevel="0" collapsed="false">
      <c r="A3664" s="0" t="s">
        <v>790</v>
      </c>
      <c r="B3664" s="0" t="s">
        <v>83</v>
      </c>
      <c r="C3664" s="0" t="s">
        <v>84</v>
      </c>
      <c r="D3664" s="0" t="n">
        <v>16</v>
      </c>
      <c r="E3664" s="5" t="n">
        <v>45988.4104166667</v>
      </c>
      <c r="F3664" s="0" t="n">
        <v>2.95</v>
      </c>
      <c r="G3664" s="0" t="n">
        <v>17222</v>
      </c>
      <c r="H3664" s="6" t="s">
        <v>74</v>
      </c>
      <c r="I3664" s="6" t="n">
        <f aca="false">D3664*F3664</f>
        <v>47.2</v>
      </c>
      <c r="J3664" s="6" t="n">
        <f aca="false">HOUR(E3664)</f>
        <v>9</v>
      </c>
      <c r="K3664" s="6" t="n">
        <f aca="false">IF(COUNTIF($A$2:$A3664,A3664)=1,1,0)</f>
        <v>0</v>
      </c>
    </row>
    <row r="3665" customFormat="false" ht="15" hidden="false" customHeight="false" outlineLevel="0" collapsed="false">
      <c r="A3665" s="0" t="s">
        <v>790</v>
      </c>
      <c r="B3665" s="0" t="s">
        <v>109</v>
      </c>
      <c r="C3665" s="0" t="s">
        <v>110</v>
      </c>
      <c r="D3665" s="0" t="n">
        <v>12</v>
      </c>
      <c r="E3665" s="5" t="n">
        <v>45988.4104166667</v>
      </c>
      <c r="F3665" s="0" t="n">
        <v>0.85</v>
      </c>
      <c r="G3665" s="0" t="n">
        <v>17222</v>
      </c>
      <c r="H3665" s="6" t="s">
        <v>74</v>
      </c>
      <c r="I3665" s="6" t="n">
        <f aca="false">D3665*F3665</f>
        <v>10.2</v>
      </c>
      <c r="J3665" s="6" t="n">
        <f aca="false">HOUR(E3665)</f>
        <v>9</v>
      </c>
      <c r="K3665" s="6" t="n">
        <f aca="false">IF(COUNTIF($A$2:$A3665,A3665)=1,1,0)</f>
        <v>0</v>
      </c>
    </row>
    <row r="3666" customFormat="false" ht="15" hidden="false" customHeight="false" outlineLevel="0" collapsed="false">
      <c r="A3666" s="0" t="s">
        <v>790</v>
      </c>
      <c r="B3666" s="0" t="s">
        <v>61</v>
      </c>
      <c r="C3666" s="0" t="s">
        <v>62</v>
      </c>
      <c r="D3666" s="0" t="n">
        <v>24</v>
      </c>
      <c r="E3666" s="5" t="n">
        <v>45988.4104166667</v>
      </c>
      <c r="F3666" s="0" t="n">
        <v>1.65</v>
      </c>
      <c r="G3666" s="0" t="n">
        <v>17222</v>
      </c>
      <c r="H3666" s="6" t="s">
        <v>74</v>
      </c>
      <c r="I3666" s="6" t="n">
        <f aca="false">D3666*F3666</f>
        <v>39.6</v>
      </c>
      <c r="J3666" s="6" t="n">
        <f aca="false">HOUR(E3666)</f>
        <v>9</v>
      </c>
      <c r="K3666" s="6" t="n">
        <f aca="false">IF(COUNTIF($A$2:$A3666,A3666)=1,1,0)</f>
        <v>0</v>
      </c>
    </row>
    <row r="3667" customFormat="false" ht="15" hidden="false" customHeight="false" outlineLevel="0" collapsed="false">
      <c r="A3667" s="0" t="s">
        <v>790</v>
      </c>
      <c r="B3667" s="0" t="s">
        <v>50</v>
      </c>
      <c r="C3667" s="0" t="s">
        <v>51</v>
      </c>
      <c r="D3667" s="0" t="n">
        <v>5</v>
      </c>
      <c r="E3667" s="5" t="n">
        <v>45988.4104166667</v>
      </c>
      <c r="F3667" s="0" t="n">
        <v>5.95</v>
      </c>
      <c r="G3667" s="0" t="n">
        <v>17222</v>
      </c>
      <c r="H3667" s="6" t="s">
        <v>74</v>
      </c>
      <c r="I3667" s="6" t="n">
        <f aca="false">D3667*F3667</f>
        <v>29.75</v>
      </c>
      <c r="J3667" s="6" t="n">
        <f aca="false">HOUR(E3667)</f>
        <v>9</v>
      </c>
      <c r="K3667" s="6" t="n">
        <f aca="false">IF(COUNTIF($A$2:$A3667,A3667)=1,1,0)</f>
        <v>0</v>
      </c>
    </row>
    <row r="3668" customFormat="false" ht="15" hidden="false" customHeight="false" outlineLevel="0" collapsed="false">
      <c r="A3668" s="0" t="s">
        <v>790</v>
      </c>
      <c r="B3668" s="0" t="s">
        <v>81</v>
      </c>
      <c r="C3668" s="0" t="s">
        <v>82</v>
      </c>
      <c r="D3668" s="0" t="n">
        <v>12</v>
      </c>
      <c r="E3668" s="5" t="n">
        <v>45988.4104166667</v>
      </c>
      <c r="F3668" s="0" t="n">
        <v>1.65</v>
      </c>
      <c r="G3668" s="0" t="n">
        <v>17222</v>
      </c>
      <c r="H3668" s="6" t="s">
        <v>74</v>
      </c>
      <c r="I3668" s="6" t="n">
        <f aca="false">D3668*F3668</f>
        <v>19.8</v>
      </c>
      <c r="J3668" s="6" t="n">
        <f aca="false">HOUR(E3668)</f>
        <v>9</v>
      </c>
      <c r="K3668" s="6" t="n">
        <f aca="false">IF(COUNTIF($A$2:$A3668,A3668)=1,1,0)</f>
        <v>0</v>
      </c>
    </row>
    <row r="3669" customFormat="false" ht="15" hidden="false" customHeight="false" outlineLevel="0" collapsed="false">
      <c r="A3669" s="0" t="s">
        <v>791</v>
      </c>
      <c r="B3669" s="0" t="s">
        <v>104</v>
      </c>
      <c r="C3669" s="0" t="s">
        <v>105</v>
      </c>
      <c r="D3669" s="0" t="n">
        <v>10</v>
      </c>
      <c r="E3669" s="5" t="n">
        <v>45988.4243865741</v>
      </c>
      <c r="F3669" s="0" t="n">
        <v>1.65</v>
      </c>
      <c r="H3669" s="6" t="s">
        <v>74</v>
      </c>
      <c r="I3669" s="6" t="n">
        <f aca="false">D3669*F3669</f>
        <v>16.5</v>
      </c>
      <c r="J3669" s="6" t="n">
        <f aca="false">HOUR(E3669)</f>
        <v>10</v>
      </c>
      <c r="K3669" s="6" t="n">
        <f aca="false">IF(COUNTIF($A$2:$A3669,A3669)=1,1,0)</f>
        <v>1</v>
      </c>
    </row>
    <row r="3670" customFormat="false" ht="15" hidden="false" customHeight="false" outlineLevel="0" collapsed="false">
      <c r="A3670" s="0" t="s">
        <v>791</v>
      </c>
      <c r="B3670" s="0" t="s">
        <v>72</v>
      </c>
      <c r="C3670" s="0" t="s">
        <v>73</v>
      </c>
      <c r="D3670" s="0" t="n">
        <v>22</v>
      </c>
      <c r="E3670" s="5" t="n">
        <v>45988.4243865741</v>
      </c>
      <c r="F3670" s="0" t="n">
        <v>4.95</v>
      </c>
      <c r="H3670" s="6" t="s">
        <v>74</v>
      </c>
      <c r="I3670" s="6" t="n">
        <f aca="false">D3670*F3670</f>
        <v>108.9</v>
      </c>
      <c r="J3670" s="6" t="n">
        <f aca="false">HOUR(E3670)</f>
        <v>10</v>
      </c>
      <c r="K3670" s="6" t="n">
        <f aca="false">IF(COUNTIF($A$2:$A3670,A3670)=1,1,0)</f>
        <v>0</v>
      </c>
    </row>
    <row r="3671" customFormat="false" ht="15" hidden="false" customHeight="false" outlineLevel="0" collapsed="false">
      <c r="A3671" s="0" t="s">
        <v>791</v>
      </c>
      <c r="B3671" s="0" t="s">
        <v>63</v>
      </c>
      <c r="C3671" s="0" t="s">
        <v>64</v>
      </c>
      <c r="D3671" s="0" t="n">
        <v>6</v>
      </c>
      <c r="E3671" s="5" t="n">
        <v>45988.4243865741</v>
      </c>
      <c r="F3671" s="0" t="n">
        <v>1.85</v>
      </c>
      <c r="H3671" s="6" t="s">
        <v>74</v>
      </c>
      <c r="I3671" s="6" t="n">
        <f aca="false">D3671*F3671</f>
        <v>11.1</v>
      </c>
      <c r="J3671" s="6" t="n">
        <f aca="false">HOUR(E3671)</f>
        <v>10</v>
      </c>
      <c r="K3671" s="6" t="n">
        <f aca="false">IF(COUNTIF($A$2:$A3671,A3671)=1,1,0)</f>
        <v>0</v>
      </c>
    </row>
    <row r="3672" customFormat="false" ht="15" hidden="false" customHeight="false" outlineLevel="0" collapsed="false">
      <c r="A3672" s="0" t="s">
        <v>791</v>
      </c>
      <c r="B3672" s="0" t="s">
        <v>102</v>
      </c>
      <c r="C3672" s="0" t="s">
        <v>103</v>
      </c>
      <c r="D3672" s="0" t="n">
        <v>18</v>
      </c>
      <c r="E3672" s="5" t="n">
        <v>45988.4243865741</v>
      </c>
      <c r="F3672" s="0" t="n">
        <v>8.5</v>
      </c>
      <c r="H3672" s="6" t="s">
        <v>74</v>
      </c>
      <c r="I3672" s="6" t="n">
        <f aca="false">D3672*F3672</f>
        <v>153</v>
      </c>
      <c r="J3672" s="6" t="n">
        <f aca="false">HOUR(E3672)</f>
        <v>10</v>
      </c>
      <c r="K3672" s="6" t="n">
        <f aca="false">IF(COUNTIF($A$2:$A3672,A3672)=1,1,0)</f>
        <v>0</v>
      </c>
    </row>
    <row r="3673" customFormat="false" ht="15" hidden="false" customHeight="false" outlineLevel="0" collapsed="false">
      <c r="A3673" s="0" t="s">
        <v>791</v>
      </c>
      <c r="B3673" s="0" t="s">
        <v>145</v>
      </c>
      <c r="C3673" s="0" t="s">
        <v>146</v>
      </c>
      <c r="D3673" s="0" t="n">
        <v>13</v>
      </c>
      <c r="E3673" s="5" t="n">
        <v>45988.4243865741</v>
      </c>
      <c r="F3673" s="0" t="n">
        <v>1.85</v>
      </c>
      <c r="H3673" s="6" t="s">
        <v>74</v>
      </c>
      <c r="I3673" s="6" t="n">
        <f aca="false">D3673*F3673</f>
        <v>24.05</v>
      </c>
      <c r="J3673" s="6" t="n">
        <f aca="false">HOUR(E3673)</f>
        <v>10</v>
      </c>
      <c r="K3673" s="6" t="n">
        <f aca="false">IF(COUNTIF($A$2:$A3673,A3673)=1,1,0)</f>
        <v>0</v>
      </c>
    </row>
    <row r="3674" customFormat="false" ht="15" hidden="false" customHeight="false" outlineLevel="0" collapsed="false">
      <c r="A3674" s="0" t="s">
        <v>792</v>
      </c>
      <c r="B3674" s="0" t="s">
        <v>134</v>
      </c>
      <c r="C3674" s="0" t="s">
        <v>135</v>
      </c>
      <c r="D3674" s="0" t="n">
        <v>20</v>
      </c>
      <c r="E3674" s="5" t="n">
        <v>45988.4564930556</v>
      </c>
      <c r="F3674" s="0" t="n">
        <v>5.95</v>
      </c>
      <c r="G3674" s="0" t="n">
        <v>17067</v>
      </c>
      <c r="H3674" s="6" t="s">
        <v>113</v>
      </c>
      <c r="I3674" s="6" t="n">
        <f aca="false">D3674*F3674</f>
        <v>119</v>
      </c>
      <c r="J3674" s="6" t="n">
        <f aca="false">HOUR(E3674)</f>
        <v>10</v>
      </c>
      <c r="K3674" s="6" t="n">
        <f aca="false">IF(COUNTIF($A$2:$A3674,A3674)=1,1,0)</f>
        <v>1</v>
      </c>
    </row>
    <row r="3675" customFormat="false" ht="15" hidden="false" customHeight="false" outlineLevel="0" collapsed="false">
      <c r="A3675" s="0" t="s">
        <v>792</v>
      </c>
      <c r="B3675" s="0" t="s">
        <v>50</v>
      </c>
      <c r="C3675" s="0" t="s">
        <v>51</v>
      </c>
      <c r="D3675" s="0" t="n">
        <v>11</v>
      </c>
      <c r="E3675" s="5" t="n">
        <v>45988.4564930556</v>
      </c>
      <c r="F3675" s="0" t="n">
        <v>5.95</v>
      </c>
      <c r="G3675" s="0" t="n">
        <v>17067</v>
      </c>
      <c r="H3675" s="6" t="s">
        <v>113</v>
      </c>
      <c r="I3675" s="6" t="n">
        <f aca="false">D3675*F3675</f>
        <v>65.45</v>
      </c>
      <c r="J3675" s="6" t="n">
        <f aca="false">HOUR(E3675)</f>
        <v>10</v>
      </c>
      <c r="K3675" s="6" t="n">
        <f aca="false">IF(COUNTIF($A$2:$A3675,A3675)=1,1,0)</f>
        <v>0</v>
      </c>
    </row>
    <row r="3676" customFormat="false" ht="15" hidden="false" customHeight="false" outlineLevel="0" collapsed="false">
      <c r="A3676" s="0" t="s">
        <v>792</v>
      </c>
      <c r="B3676" s="0" t="s">
        <v>40</v>
      </c>
      <c r="C3676" s="0" t="s">
        <v>41</v>
      </c>
      <c r="D3676" s="0" t="n">
        <v>5</v>
      </c>
      <c r="E3676" s="5" t="n">
        <v>45988.4564930556</v>
      </c>
      <c r="F3676" s="0" t="n">
        <v>1.06</v>
      </c>
      <c r="G3676" s="0" t="n">
        <v>17067</v>
      </c>
      <c r="H3676" s="6" t="s">
        <v>113</v>
      </c>
      <c r="I3676" s="6" t="n">
        <f aca="false">D3676*F3676</f>
        <v>5.3</v>
      </c>
      <c r="J3676" s="6" t="n">
        <f aca="false">HOUR(E3676)</f>
        <v>10</v>
      </c>
      <c r="K3676" s="6" t="n">
        <f aca="false">IF(COUNTIF($A$2:$A3676,A3676)=1,1,0)</f>
        <v>0</v>
      </c>
    </row>
    <row r="3677" customFormat="false" ht="15" hidden="false" customHeight="false" outlineLevel="0" collapsed="false">
      <c r="A3677" s="0" t="s">
        <v>793</v>
      </c>
      <c r="B3677" s="0" t="s">
        <v>102</v>
      </c>
      <c r="C3677" s="0" t="s">
        <v>103</v>
      </c>
      <c r="D3677" s="0" t="n">
        <v>11</v>
      </c>
      <c r="E3677" s="5" t="n">
        <v>45988.5822569444</v>
      </c>
      <c r="F3677" s="0" t="n">
        <v>8.5</v>
      </c>
      <c r="G3677" s="0" t="n">
        <v>17137</v>
      </c>
      <c r="H3677" s="6" t="s">
        <v>74</v>
      </c>
      <c r="I3677" s="6" t="n">
        <f aca="false">D3677*F3677</f>
        <v>93.5</v>
      </c>
      <c r="J3677" s="6" t="n">
        <f aca="false">HOUR(E3677)</f>
        <v>13</v>
      </c>
      <c r="K3677" s="6" t="n">
        <f aca="false">IF(COUNTIF($A$2:$A3677,A3677)=1,1,0)</f>
        <v>1</v>
      </c>
    </row>
    <row r="3678" customFormat="false" ht="15" hidden="false" customHeight="false" outlineLevel="0" collapsed="false">
      <c r="A3678" s="0" t="s">
        <v>793</v>
      </c>
      <c r="B3678" s="0" t="s">
        <v>121</v>
      </c>
      <c r="C3678" s="0" t="s">
        <v>122</v>
      </c>
      <c r="D3678" s="0" t="n">
        <v>8</v>
      </c>
      <c r="E3678" s="5" t="n">
        <v>45988.5822569444</v>
      </c>
      <c r="F3678" s="0" t="n">
        <v>2.1</v>
      </c>
      <c r="G3678" s="0" t="n">
        <v>17137</v>
      </c>
      <c r="H3678" s="6" t="s">
        <v>74</v>
      </c>
      <c r="I3678" s="6" t="n">
        <f aca="false">D3678*F3678</f>
        <v>16.8</v>
      </c>
      <c r="J3678" s="6" t="n">
        <f aca="false">HOUR(E3678)</f>
        <v>13</v>
      </c>
      <c r="K3678" s="6" t="n">
        <f aca="false">IF(COUNTIF($A$2:$A3678,A3678)=1,1,0)</f>
        <v>0</v>
      </c>
    </row>
    <row r="3679" customFormat="false" ht="15" hidden="false" customHeight="false" outlineLevel="0" collapsed="false">
      <c r="A3679" s="0" t="s">
        <v>793</v>
      </c>
      <c r="B3679" s="0" t="s">
        <v>83</v>
      </c>
      <c r="C3679" s="0" t="s">
        <v>84</v>
      </c>
      <c r="D3679" s="0" t="n">
        <v>13</v>
      </c>
      <c r="E3679" s="5" t="n">
        <v>45988.5822569444</v>
      </c>
      <c r="F3679" s="0" t="n">
        <v>2.95</v>
      </c>
      <c r="G3679" s="0" t="n">
        <v>17137</v>
      </c>
      <c r="H3679" s="6" t="s">
        <v>74</v>
      </c>
      <c r="I3679" s="6" t="n">
        <f aca="false">D3679*F3679</f>
        <v>38.35</v>
      </c>
      <c r="J3679" s="6" t="n">
        <f aca="false">HOUR(E3679)</f>
        <v>13</v>
      </c>
      <c r="K3679" s="6" t="n">
        <f aca="false">IF(COUNTIF($A$2:$A3679,A3679)=1,1,0)</f>
        <v>0</v>
      </c>
    </row>
    <row r="3680" customFormat="false" ht="15" hidden="false" customHeight="false" outlineLevel="0" collapsed="false">
      <c r="A3680" s="0" t="s">
        <v>793</v>
      </c>
      <c r="B3680" s="0" t="s">
        <v>55</v>
      </c>
      <c r="C3680" s="0" t="s">
        <v>56</v>
      </c>
      <c r="D3680" s="0" t="n">
        <v>7</v>
      </c>
      <c r="E3680" s="5" t="n">
        <v>45988.5822569444</v>
      </c>
      <c r="F3680" s="0" t="n">
        <v>1.65</v>
      </c>
      <c r="G3680" s="0" t="n">
        <v>17137</v>
      </c>
      <c r="H3680" s="6" t="s">
        <v>74</v>
      </c>
      <c r="I3680" s="6" t="n">
        <f aca="false">D3680*F3680</f>
        <v>11.55</v>
      </c>
      <c r="J3680" s="6" t="n">
        <f aca="false">HOUR(E3680)</f>
        <v>13</v>
      </c>
      <c r="K3680" s="6" t="n">
        <f aca="false">IF(COUNTIF($A$2:$A3680,A3680)=1,1,0)</f>
        <v>0</v>
      </c>
    </row>
    <row r="3681" customFormat="false" ht="15" hidden="false" customHeight="false" outlineLevel="0" collapsed="false">
      <c r="A3681" s="0" t="s">
        <v>793</v>
      </c>
      <c r="B3681" s="0" t="s">
        <v>53</v>
      </c>
      <c r="C3681" s="0" t="s">
        <v>54</v>
      </c>
      <c r="D3681" s="0" t="n">
        <v>3</v>
      </c>
      <c r="E3681" s="5" t="n">
        <v>45988.5822569444</v>
      </c>
      <c r="F3681" s="0" t="n">
        <v>2.95</v>
      </c>
      <c r="G3681" s="0" t="n">
        <v>17137</v>
      </c>
      <c r="H3681" s="6" t="s">
        <v>74</v>
      </c>
      <c r="I3681" s="6" t="n">
        <f aca="false">D3681*F3681</f>
        <v>8.85</v>
      </c>
      <c r="J3681" s="6" t="n">
        <f aca="false">HOUR(E3681)</f>
        <v>13</v>
      </c>
      <c r="K3681" s="6" t="n">
        <f aca="false">IF(COUNTIF($A$2:$A3681,A3681)=1,1,0)</f>
        <v>0</v>
      </c>
    </row>
    <row r="3682" customFormat="false" ht="15" hidden="false" customHeight="false" outlineLevel="0" collapsed="false">
      <c r="A3682" s="0" t="s">
        <v>793</v>
      </c>
      <c r="B3682" s="0" t="s">
        <v>59</v>
      </c>
      <c r="C3682" s="0" t="s">
        <v>60</v>
      </c>
      <c r="D3682" s="0" t="n">
        <v>18</v>
      </c>
      <c r="E3682" s="5" t="n">
        <v>45988.5822569444</v>
      </c>
      <c r="F3682" s="0" t="n">
        <v>0.42</v>
      </c>
      <c r="G3682" s="0" t="n">
        <v>17137</v>
      </c>
      <c r="H3682" s="6" t="s">
        <v>74</v>
      </c>
      <c r="I3682" s="6" t="n">
        <f aca="false">D3682*F3682</f>
        <v>7.56</v>
      </c>
      <c r="J3682" s="6" t="n">
        <f aca="false">HOUR(E3682)</f>
        <v>13</v>
      </c>
      <c r="K3682" s="6" t="n">
        <f aca="false">IF(COUNTIF($A$2:$A3682,A3682)=1,1,0)</f>
        <v>0</v>
      </c>
    </row>
    <row r="3683" customFormat="false" ht="15" hidden="false" customHeight="false" outlineLevel="0" collapsed="false">
      <c r="A3683" s="0" t="s">
        <v>794</v>
      </c>
      <c r="B3683" s="0" t="s">
        <v>131</v>
      </c>
      <c r="C3683" s="0" t="s">
        <v>132</v>
      </c>
      <c r="D3683" s="0" t="n">
        <v>8</v>
      </c>
      <c r="E3683" s="5" t="n">
        <v>45988.5977546296</v>
      </c>
      <c r="F3683" s="0" t="n">
        <v>3.39</v>
      </c>
      <c r="G3683" s="0" t="n">
        <v>17024</v>
      </c>
      <c r="H3683" s="6" t="s">
        <v>68</v>
      </c>
      <c r="I3683" s="6" t="n">
        <f aca="false">D3683*F3683</f>
        <v>27.12</v>
      </c>
      <c r="J3683" s="6" t="n">
        <f aca="false">HOUR(E3683)</f>
        <v>14</v>
      </c>
      <c r="K3683" s="6" t="n">
        <f aca="false">IF(COUNTIF($A$2:$A3683,A3683)=1,1,0)</f>
        <v>1</v>
      </c>
    </row>
    <row r="3684" customFormat="false" ht="15" hidden="false" customHeight="false" outlineLevel="0" collapsed="false">
      <c r="A3684" s="0" t="s">
        <v>794</v>
      </c>
      <c r="B3684" s="0" t="s">
        <v>140</v>
      </c>
      <c r="C3684" s="0" t="s">
        <v>141</v>
      </c>
      <c r="D3684" s="0" t="n">
        <v>13</v>
      </c>
      <c r="E3684" s="5" t="n">
        <v>45988.5977546296</v>
      </c>
      <c r="F3684" s="0" t="n">
        <v>2.08</v>
      </c>
      <c r="G3684" s="0" t="n">
        <v>17024</v>
      </c>
      <c r="H3684" s="6" t="s">
        <v>68</v>
      </c>
      <c r="I3684" s="6" t="n">
        <f aca="false">D3684*F3684</f>
        <v>27.04</v>
      </c>
      <c r="J3684" s="6" t="n">
        <f aca="false">HOUR(E3684)</f>
        <v>14</v>
      </c>
      <c r="K3684" s="6" t="n">
        <f aca="false">IF(COUNTIF($A$2:$A3684,A3684)=1,1,0)</f>
        <v>0</v>
      </c>
    </row>
    <row r="3685" customFormat="false" ht="15" hidden="false" customHeight="false" outlineLevel="0" collapsed="false">
      <c r="A3685" s="0" t="s">
        <v>794</v>
      </c>
      <c r="B3685" s="0" t="s">
        <v>114</v>
      </c>
      <c r="C3685" s="0" t="s">
        <v>115</v>
      </c>
      <c r="D3685" s="0" t="n">
        <v>13</v>
      </c>
      <c r="E3685" s="5" t="n">
        <v>45988.5977546296</v>
      </c>
      <c r="F3685" s="0" t="n">
        <v>2.08</v>
      </c>
      <c r="G3685" s="0" t="n">
        <v>17024</v>
      </c>
      <c r="H3685" s="6" t="s">
        <v>68</v>
      </c>
      <c r="I3685" s="6" t="n">
        <f aca="false">D3685*F3685</f>
        <v>27.04</v>
      </c>
      <c r="J3685" s="6" t="n">
        <f aca="false">HOUR(E3685)</f>
        <v>14</v>
      </c>
      <c r="K3685" s="6" t="n">
        <f aca="false">IF(COUNTIF($A$2:$A3685,A3685)=1,1,0)</f>
        <v>0</v>
      </c>
    </row>
    <row r="3686" customFormat="false" ht="15" hidden="false" customHeight="false" outlineLevel="0" collapsed="false">
      <c r="A3686" s="0" t="s">
        <v>794</v>
      </c>
      <c r="B3686" s="0" t="s">
        <v>75</v>
      </c>
      <c r="C3686" s="0" t="s">
        <v>76</v>
      </c>
      <c r="D3686" s="0" t="n">
        <v>13</v>
      </c>
      <c r="E3686" s="5" t="n">
        <v>45988.5977546296</v>
      </c>
      <c r="F3686" s="0" t="n">
        <v>3.39</v>
      </c>
      <c r="G3686" s="0" t="n">
        <v>17024</v>
      </c>
      <c r="H3686" s="6" t="s">
        <v>68</v>
      </c>
      <c r="I3686" s="6" t="n">
        <f aca="false">D3686*F3686</f>
        <v>44.07</v>
      </c>
      <c r="J3686" s="6" t="n">
        <f aca="false">HOUR(E3686)</f>
        <v>14</v>
      </c>
      <c r="K3686" s="6" t="n">
        <f aca="false">IF(COUNTIF($A$2:$A3686,A3686)=1,1,0)</f>
        <v>0</v>
      </c>
    </row>
    <row r="3687" customFormat="false" ht="15" hidden="false" customHeight="false" outlineLevel="0" collapsed="false">
      <c r="A3687" s="0" t="s">
        <v>794</v>
      </c>
      <c r="B3687" s="0" t="s">
        <v>81</v>
      </c>
      <c r="C3687" s="0" t="s">
        <v>82</v>
      </c>
      <c r="D3687" s="0" t="n">
        <v>7</v>
      </c>
      <c r="E3687" s="5" t="n">
        <v>45988.5977546296</v>
      </c>
      <c r="F3687" s="0" t="n">
        <v>1.65</v>
      </c>
      <c r="G3687" s="0" t="n">
        <v>17024</v>
      </c>
      <c r="H3687" s="6" t="s">
        <v>68</v>
      </c>
      <c r="I3687" s="6" t="n">
        <f aca="false">D3687*F3687</f>
        <v>11.55</v>
      </c>
      <c r="J3687" s="6" t="n">
        <f aca="false">HOUR(E3687)</f>
        <v>14</v>
      </c>
      <c r="K3687" s="6" t="n">
        <f aca="false">IF(COUNTIF($A$2:$A3687,A3687)=1,1,0)</f>
        <v>0</v>
      </c>
    </row>
    <row r="3688" customFormat="false" ht="15" hidden="false" customHeight="false" outlineLevel="0" collapsed="false">
      <c r="A3688" s="0" t="s">
        <v>795</v>
      </c>
      <c r="B3688" s="0" t="s">
        <v>95</v>
      </c>
      <c r="C3688" s="0" t="s">
        <v>96</v>
      </c>
      <c r="D3688" s="0" t="n">
        <v>44</v>
      </c>
      <c r="E3688" s="5" t="n">
        <v>45988.6442708333</v>
      </c>
      <c r="F3688" s="0" t="n">
        <v>2.55</v>
      </c>
      <c r="G3688" s="0" t="n">
        <v>17104</v>
      </c>
      <c r="H3688" s="6" t="s">
        <v>74</v>
      </c>
      <c r="I3688" s="6" t="n">
        <f aca="false">D3688*F3688</f>
        <v>112.2</v>
      </c>
      <c r="J3688" s="6" t="n">
        <f aca="false">HOUR(E3688)</f>
        <v>15</v>
      </c>
      <c r="K3688" s="6" t="n">
        <f aca="false">IF(COUNTIF($A$2:$A3688,A3688)=1,1,0)</f>
        <v>1</v>
      </c>
    </row>
    <row r="3689" customFormat="false" ht="15" hidden="false" customHeight="false" outlineLevel="0" collapsed="false">
      <c r="A3689" s="0" t="s">
        <v>795</v>
      </c>
      <c r="B3689" s="0" t="s">
        <v>81</v>
      </c>
      <c r="C3689" s="0" t="s">
        <v>82</v>
      </c>
      <c r="D3689" s="0" t="n">
        <v>22</v>
      </c>
      <c r="E3689" s="5" t="n">
        <v>45988.6442708333</v>
      </c>
      <c r="F3689" s="0" t="n">
        <v>1.65</v>
      </c>
      <c r="G3689" s="0" t="n">
        <v>17104</v>
      </c>
      <c r="H3689" s="6" t="s">
        <v>74</v>
      </c>
      <c r="I3689" s="6" t="n">
        <f aca="false">D3689*F3689</f>
        <v>36.3</v>
      </c>
      <c r="J3689" s="6" t="n">
        <f aca="false">HOUR(E3689)</f>
        <v>15</v>
      </c>
      <c r="K3689" s="6" t="n">
        <f aca="false">IF(COUNTIF($A$2:$A3689,A3689)=1,1,0)</f>
        <v>0</v>
      </c>
    </row>
    <row r="3690" customFormat="false" ht="15" hidden="false" customHeight="false" outlineLevel="0" collapsed="false">
      <c r="A3690" s="0" t="s">
        <v>796</v>
      </c>
      <c r="B3690" s="0" t="s">
        <v>121</v>
      </c>
      <c r="C3690" s="0" t="s">
        <v>122</v>
      </c>
      <c r="D3690" s="0" t="n">
        <v>18</v>
      </c>
      <c r="E3690" s="5" t="n">
        <v>45988.6806018519</v>
      </c>
      <c r="F3690" s="0" t="n">
        <v>2.1</v>
      </c>
      <c r="G3690" s="0" t="n">
        <v>17175</v>
      </c>
      <c r="H3690" s="6" t="s">
        <v>52</v>
      </c>
      <c r="I3690" s="6" t="n">
        <f aca="false">D3690*F3690</f>
        <v>37.8</v>
      </c>
      <c r="J3690" s="6" t="n">
        <f aca="false">HOUR(E3690)</f>
        <v>16</v>
      </c>
      <c r="K3690" s="6" t="n">
        <f aca="false">IF(COUNTIF($A$2:$A3690,A3690)=1,1,0)</f>
        <v>1</v>
      </c>
    </row>
    <row r="3691" customFormat="false" ht="15" hidden="false" customHeight="false" outlineLevel="0" collapsed="false">
      <c r="A3691" s="0" t="s">
        <v>796</v>
      </c>
      <c r="B3691" s="0" t="s">
        <v>104</v>
      </c>
      <c r="C3691" s="0" t="s">
        <v>105</v>
      </c>
      <c r="D3691" s="0" t="n">
        <v>18</v>
      </c>
      <c r="E3691" s="5" t="n">
        <v>45988.6806018519</v>
      </c>
      <c r="F3691" s="0" t="n">
        <v>1.65</v>
      </c>
      <c r="G3691" s="0" t="n">
        <v>17175</v>
      </c>
      <c r="H3691" s="6" t="s">
        <v>52</v>
      </c>
      <c r="I3691" s="6" t="n">
        <f aca="false">D3691*F3691</f>
        <v>29.7</v>
      </c>
      <c r="J3691" s="6" t="n">
        <f aca="false">HOUR(E3691)</f>
        <v>16</v>
      </c>
      <c r="K3691" s="6" t="n">
        <f aca="false">IF(COUNTIF($A$2:$A3691,A3691)=1,1,0)</f>
        <v>0</v>
      </c>
    </row>
    <row r="3692" customFormat="false" ht="15" hidden="false" customHeight="false" outlineLevel="0" collapsed="false">
      <c r="A3692" s="0" t="s">
        <v>797</v>
      </c>
      <c r="B3692" s="0" t="s">
        <v>81</v>
      </c>
      <c r="C3692" s="0" t="s">
        <v>82</v>
      </c>
      <c r="D3692" s="0" t="n">
        <v>3</v>
      </c>
      <c r="E3692" s="5" t="n">
        <v>45988.6829861111</v>
      </c>
      <c r="F3692" s="0" t="n">
        <v>1.65</v>
      </c>
      <c r="G3692" s="0" t="n">
        <v>17073</v>
      </c>
      <c r="H3692" s="6" t="s">
        <v>98</v>
      </c>
      <c r="I3692" s="6" t="n">
        <f aca="false">D3692*F3692</f>
        <v>4.95</v>
      </c>
      <c r="J3692" s="6" t="n">
        <f aca="false">HOUR(E3692)</f>
        <v>16</v>
      </c>
      <c r="K3692" s="6" t="n">
        <f aca="false">IF(COUNTIF($A$2:$A3692,A3692)=1,1,0)</f>
        <v>1</v>
      </c>
    </row>
    <row r="3693" customFormat="false" ht="15" hidden="false" customHeight="false" outlineLevel="0" collapsed="false">
      <c r="A3693" s="0" t="s">
        <v>797</v>
      </c>
      <c r="B3693" s="0" t="s">
        <v>86</v>
      </c>
      <c r="C3693" s="0" t="s">
        <v>87</v>
      </c>
      <c r="D3693" s="0" t="n">
        <v>16</v>
      </c>
      <c r="E3693" s="5" t="n">
        <v>45988.6829861111</v>
      </c>
      <c r="F3693" s="0" t="n">
        <v>4.25</v>
      </c>
      <c r="G3693" s="0" t="n">
        <v>17073</v>
      </c>
      <c r="H3693" s="6" t="s">
        <v>98</v>
      </c>
      <c r="I3693" s="6" t="n">
        <f aca="false">D3693*F3693</f>
        <v>68</v>
      </c>
      <c r="J3693" s="6" t="n">
        <f aca="false">HOUR(E3693)</f>
        <v>16</v>
      </c>
      <c r="K3693" s="6" t="n">
        <f aca="false">IF(COUNTIF($A$2:$A3693,A3693)=1,1,0)</f>
        <v>0</v>
      </c>
    </row>
    <row r="3694" customFormat="false" ht="15" hidden="false" customHeight="false" outlineLevel="0" collapsed="false">
      <c r="A3694" s="0" t="s">
        <v>798</v>
      </c>
      <c r="B3694" s="0" t="s">
        <v>134</v>
      </c>
      <c r="C3694" s="0" t="s">
        <v>135</v>
      </c>
      <c r="D3694" s="0" t="n">
        <v>23</v>
      </c>
      <c r="E3694" s="5" t="n">
        <v>45988.7540046296</v>
      </c>
      <c r="F3694" s="0" t="n">
        <v>5.95</v>
      </c>
      <c r="G3694" s="0" t="n">
        <v>17069</v>
      </c>
      <c r="H3694" s="6" t="s">
        <v>74</v>
      </c>
      <c r="I3694" s="6" t="n">
        <f aca="false">D3694*F3694</f>
        <v>136.85</v>
      </c>
      <c r="J3694" s="6" t="n">
        <f aca="false">HOUR(E3694)</f>
        <v>18</v>
      </c>
      <c r="K3694" s="6" t="n">
        <f aca="false">IF(COUNTIF($A$2:$A3694,A3694)=1,1,0)</f>
        <v>1</v>
      </c>
    </row>
    <row r="3695" customFormat="false" ht="15" hidden="false" customHeight="false" outlineLevel="0" collapsed="false">
      <c r="A3695" s="0" t="s">
        <v>798</v>
      </c>
      <c r="B3695" s="0" t="s">
        <v>140</v>
      </c>
      <c r="C3695" s="0" t="s">
        <v>141</v>
      </c>
      <c r="D3695" s="0" t="n">
        <v>23</v>
      </c>
      <c r="E3695" s="5" t="n">
        <v>45988.7540046296</v>
      </c>
      <c r="F3695" s="0" t="n">
        <v>2.08</v>
      </c>
      <c r="G3695" s="0" t="n">
        <v>17069</v>
      </c>
      <c r="H3695" s="6" t="s">
        <v>74</v>
      </c>
      <c r="I3695" s="6" t="n">
        <f aca="false">D3695*F3695</f>
        <v>47.84</v>
      </c>
      <c r="J3695" s="6" t="n">
        <f aca="false">HOUR(E3695)</f>
        <v>18</v>
      </c>
      <c r="K3695" s="6" t="n">
        <f aca="false">IF(COUNTIF($A$2:$A3695,A3695)=1,1,0)</f>
        <v>0</v>
      </c>
    </row>
    <row r="3696" customFormat="false" ht="15" hidden="false" customHeight="false" outlineLevel="0" collapsed="false">
      <c r="A3696" s="0" t="s">
        <v>798</v>
      </c>
      <c r="B3696" s="0" t="s">
        <v>79</v>
      </c>
      <c r="C3696" s="0" t="s">
        <v>80</v>
      </c>
      <c r="D3696" s="0" t="n">
        <v>23</v>
      </c>
      <c r="E3696" s="5" t="n">
        <v>45988.7540046296</v>
      </c>
      <c r="F3696" s="0" t="n">
        <v>3.39</v>
      </c>
      <c r="G3696" s="0" t="n">
        <v>17069</v>
      </c>
      <c r="H3696" s="6" t="s">
        <v>74</v>
      </c>
      <c r="I3696" s="6" t="n">
        <f aca="false">D3696*F3696</f>
        <v>77.97</v>
      </c>
      <c r="J3696" s="6" t="n">
        <f aca="false">HOUR(E3696)</f>
        <v>18</v>
      </c>
      <c r="K3696" s="6" t="n">
        <f aca="false">IF(COUNTIF($A$2:$A3696,A3696)=1,1,0)</f>
        <v>0</v>
      </c>
    </row>
    <row r="3697" customFormat="false" ht="15" hidden="false" customHeight="false" outlineLevel="0" collapsed="false">
      <c r="A3697" s="0" t="s">
        <v>798</v>
      </c>
      <c r="B3697" s="0" t="s">
        <v>137</v>
      </c>
      <c r="C3697" s="0" t="s">
        <v>138</v>
      </c>
      <c r="D3697" s="0" t="n">
        <v>3</v>
      </c>
      <c r="E3697" s="5" t="n">
        <v>45988.7540046296</v>
      </c>
      <c r="F3697" s="0" t="n">
        <v>2.1</v>
      </c>
      <c r="G3697" s="0" t="n">
        <v>17069</v>
      </c>
      <c r="H3697" s="6" t="s">
        <v>74</v>
      </c>
      <c r="I3697" s="6" t="n">
        <f aca="false">D3697*F3697</f>
        <v>6.3</v>
      </c>
      <c r="J3697" s="6" t="n">
        <f aca="false">HOUR(E3697)</f>
        <v>18</v>
      </c>
      <c r="K3697" s="6" t="n">
        <f aca="false">IF(COUNTIF($A$2:$A3697,A3697)=1,1,0)</f>
        <v>0</v>
      </c>
    </row>
    <row r="3698" customFormat="false" ht="15" hidden="false" customHeight="false" outlineLevel="0" collapsed="false">
      <c r="A3698" s="0" t="s">
        <v>798</v>
      </c>
      <c r="B3698" s="0" t="s">
        <v>50</v>
      </c>
      <c r="C3698" s="0" t="s">
        <v>51</v>
      </c>
      <c r="D3698" s="0" t="n">
        <v>15</v>
      </c>
      <c r="E3698" s="5" t="n">
        <v>45988.7540046296</v>
      </c>
      <c r="F3698" s="0" t="n">
        <v>5.95</v>
      </c>
      <c r="G3698" s="0" t="n">
        <v>17069</v>
      </c>
      <c r="H3698" s="6" t="s">
        <v>74</v>
      </c>
      <c r="I3698" s="6" t="n">
        <f aca="false">D3698*F3698</f>
        <v>89.25</v>
      </c>
      <c r="J3698" s="6" t="n">
        <f aca="false">HOUR(E3698)</f>
        <v>18</v>
      </c>
      <c r="K3698" s="6" t="n">
        <f aca="false">IF(COUNTIF($A$2:$A3698,A3698)=1,1,0)</f>
        <v>0</v>
      </c>
    </row>
    <row r="3699" customFormat="false" ht="15" hidden="false" customHeight="false" outlineLevel="0" collapsed="false">
      <c r="A3699" s="0" t="s">
        <v>798</v>
      </c>
      <c r="B3699" s="0" t="s">
        <v>43</v>
      </c>
      <c r="C3699" s="0" t="s">
        <v>44</v>
      </c>
      <c r="D3699" s="0" t="n">
        <v>3</v>
      </c>
      <c r="E3699" s="5" t="n">
        <v>45988.7540046296</v>
      </c>
      <c r="F3699" s="0" t="n">
        <v>4.25</v>
      </c>
      <c r="G3699" s="0" t="n">
        <v>17069</v>
      </c>
      <c r="H3699" s="6" t="s">
        <v>74</v>
      </c>
      <c r="I3699" s="6" t="n">
        <f aca="false">D3699*F3699</f>
        <v>12.75</v>
      </c>
      <c r="J3699" s="6" t="n">
        <f aca="false">HOUR(E3699)</f>
        <v>18</v>
      </c>
      <c r="K3699" s="6" t="n">
        <f aca="false">IF(COUNTIF($A$2:$A3699,A3699)=1,1,0)</f>
        <v>0</v>
      </c>
    </row>
    <row r="3700" customFormat="false" ht="15" hidden="false" customHeight="false" outlineLevel="0" collapsed="false">
      <c r="A3700" s="0" t="s">
        <v>798</v>
      </c>
      <c r="B3700" s="0" t="s">
        <v>107</v>
      </c>
      <c r="C3700" s="0" t="s">
        <v>108</v>
      </c>
      <c r="D3700" s="0" t="n">
        <v>3</v>
      </c>
      <c r="E3700" s="5" t="n">
        <v>45988.7540046296</v>
      </c>
      <c r="F3700" s="0" t="n">
        <v>3.75</v>
      </c>
      <c r="G3700" s="0" t="n">
        <v>17069</v>
      </c>
      <c r="H3700" s="6" t="s">
        <v>74</v>
      </c>
      <c r="I3700" s="6" t="n">
        <f aca="false">D3700*F3700</f>
        <v>11.25</v>
      </c>
      <c r="J3700" s="6" t="n">
        <f aca="false">HOUR(E3700)</f>
        <v>18</v>
      </c>
      <c r="K3700" s="6" t="n">
        <f aca="false">IF(COUNTIF($A$2:$A3700,A3700)=1,1,0)</f>
        <v>0</v>
      </c>
    </row>
    <row r="3701" customFormat="false" ht="15" hidden="false" customHeight="false" outlineLevel="0" collapsed="false">
      <c r="A3701" s="0" t="s">
        <v>799</v>
      </c>
      <c r="B3701" s="0" t="s">
        <v>75</v>
      </c>
      <c r="C3701" s="0" t="s">
        <v>76</v>
      </c>
      <c r="D3701" s="0" t="n">
        <v>23</v>
      </c>
      <c r="E3701" s="5" t="n">
        <v>45988.7582986111</v>
      </c>
      <c r="F3701" s="0" t="n">
        <v>3.39</v>
      </c>
      <c r="G3701" s="0" t="n">
        <v>17163</v>
      </c>
      <c r="H3701" s="6" t="s">
        <v>74</v>
      </c>
      <c r="I3701" s="6" t="n">
        <f aca="false">D3701*F3701</f>
        <v>77.97</v>
      </c>
      <c r="J3701" s="6" t="n">
        <f aca="false">HOUR(E3701)</f>
        <v>18</v>
      </c>
      <c r="K3701" s="6" t="n">
        <f aca="false">IF(COUNTIF($A$2:$A3701,A3701)=1,1,0)</f>
        <v>1</v>
      </c>
    </row>
    <row r="3702" customFormat="false" ht="15" hidden="false" customHeight="false" outlineLevel="0" collapsed="false">
      <c r="A3702" s="0" t="s">
        <v>799</v>
      </c>
      <c r="B3702" s="0" t="s">
        <v>57</v>
      </c>
      <c r="C3702" s="0" t="s">
        <v>58</v>
      </c>
      <c r="D3702" s="0" t="n">
        <v>16</v>
      </c>
      <c r="E3702" s="5" t="n">
        <v>45988.7582986111</v>
      </c>
      <c r="F3702" s="0" t="n">
        <v>2.08</v>
      </c>
      <c r="G3702" s="0" t="n">
        <v>17163</v>
      </c>
      <c r="H3702" s="6" t="s">
        <v>74</v>
      </c>
      <c r="I3702" s="6" t="n">
        <f aca="false">D3702*F3702</f>
        <v>33.28</v>
      </c>
      <c r="J3702" s="6" t="n">
        <f aca="false">HOUR(E3702)</f>
        <v>18</v>
      </c>
      <c r="K3702" s="6" t="n">
        <f aca="false">IF(COUNTIF($A$2:$A3702,A3702)=1,1,0)</f>
        <v>0</v>
      </c>
    </row>
    <row r="3703" customFormat="false" ht="15" hidden="false" customHeight="false" outlineLevel="0" collapsed="false">
      <c r="A3703" s="0" t="s">
        <v>799</v>
      </c>
      <c r="B3703" s="0" t="s">
        <v>61</v>
      </c>
      <c r="C3703" s="0" t="s">
        <v>62</v>
      </c>
      <c r="D3703" s="0" t="n">
        <v>5</v>
      </c>
      <c r="E3703" s="5" t="n">
        <v>45988.7582986111</v>
      </c>
      <c r="F3703" s="0" t="n">
        <v>1.65</v>
      </c>
      <c r="G3703" s="0" t="n">
        <v>17163</v>
      </c>
      <c r="H3703" s="6" t="s">
        <v>74</v>
      </c>
      <c r="I3703" s="6" t="n">
        <f aca="false">D3703*F3703</f>
        <v>8.25</v>
      </c>
      <c r="J3703" s="6" t="n">
        <f aca="false">HOUR(E3703)</f>
        <v>18</v>
      </c>
      <c r="K3703" s="6" t="n">
        <f aca="false">IF(COUNTIF($A$2:$A3703,A3703)=1,1,0)</f>
        <v>0</v>
      </c>
    </row>
    <row r="3704" customFormat="false" ht="15" hidden="false" customHeight="false" outlineLevel="0" collapsed="false">
      <c r="A3704" s="0" t="s">
        <v>799</v>
      </c>
      <c r="B3704" s="0" t="s">
        <v>121</v>
      </c>
      <c r="C3704" s="0" t="s">
        <v>122</v>
      </c>
      <c r="D3704" s="0" t="n">
        <v>18</v>
      </c>
      <c r="E3704" s="5" t="n">
        <v>45988.7582986111</v>
      </c>
      <c r="F3704" s="0" t="n">
        <v>2.1</v>
      </c>
      <c r="G3704" s="0" t="n">
        <v>17163</v>
      </c>
      <c r="H3704" s="6" t="s">
        <v>74</v>
      </c>
      <c r="I3704" s="6" t="n">
        <f aca="false">D3704*F3704</f>
        <v>37.8</v>
      </c>
      <c r="J3704" s="6" t="n">
        <f aca="false">HOUR(E3704)</f>
        <v>18</v>
      </c>
      <c r="K3704" s="6" t="n">
        <f aca="false">IF(COUNTIF($A$2:$A3704,A3704)=1,1,0)</f>
        <v>0</v>
      </c>
    </row>
    <row r="3705" customFormat="false" ht="15" hidden="false" customHeight="false" outlineLevel="0" collapsed="false">
      <c r="A3705" s="0" t="s">
        <v>799</v>
      </c>
      <c r="B3705" s="0" t="s">
        <v>77</v>
      </c>
      <c r="C3705" s="0" t="s">
        <v>78</v>
      </c>
      <c r="D3705" s="0" t="n">
        <v>4</v>
      </c>
      <c r="E3705" s="5" t="n">
        <v>45988.7582986111</v>
      </c>
      <c r="F3705" s="0" t="n">
        <v>1.65</v>
      </c>
      <c r="G3705" s="0" t="n">
        <v>17163</v>
      </c>
      <c r="H3705" s="6" t="s">
        <v>74</v>
      </c>
      <c r="I3705" s="6" t="n">
        <f aca="false">D3705*F3705</f>
        <v>6.6</v>
      </c>
      <c r="J3705" s="6" t="n">
        <f aca="false">HOUR(E3705)</f>
        <v>18</v>
      </c>
      <c r="K3705" s="6" t="n">
        <f aca="false">IF(COUNTIF($A$2:$A3705,A3705)=1,1,0)</f>
        <v>0</v>
      </c>
    </row>
    <row r="3706" customFormat="false" ht="15" hidden="false" customHeight="false" outlineLevel="0" collapsed="false">
      <c r="A3706" s="0" t="s">
        <v>799</v>
      </c>
      <c r="B3706" s="0" t="s">
        <v>81</v>
      </c>
      <c r="C3706" s="0" t="s">
        <v>82</v>
      </c>
      <c r="D3706" s="0" t="n">
        <v>12</v>
      </c>
      <c r="E3706" s="5" t="n">
        <v>45988.7582986111</v>
      </c>
      <c r="F3706" s="0" t="n">
        <v>1.65</v>
      </c>
      <c r="G3706" s="0" t="n">
        <v>17163</v>
      </c>
      <c r="H3706" s="6" t="s">
        <v>74</v>
      </c>
      <c r="I3706" s="6" t="n">
        <f aca="false">D3706*F3706</f>
        <v>19.8</v>
      </c>
      <c r="J3706" s="6" t="n">
        <f aca="false">HOUR(E3706)</f>
        <v>18</v>
      </c>
      <c r="K3706" s="6" t="n">
        <f aca="false">IF(COUNTIF($A$2:$A3706,A3706)=1,1,0)</f>
        <v>0</v>
      </c>
    </row>
    <row r="3707" customFormat="false" ht="15" hidden="false" customHeight="false" outlineLevel="0" collapsed="false">
      <c r="A3707" s="0" t="s">
        <v>800</v>
      </c>
      <c r="B3707" s="0" t="s">
        <v>140</v>
      </c>
      <c r="C3707" s="0" t="s">
        <v>141</v>
      </c>
      <c r="D3707" s="0" t="n">
        <v>23</v>
      </c>
      <c r="E3707" s="5" t="n">
        <v>45988.9105092593</v>
      </c>
      <c r="F3707" s="0" t="n">
        <v>2.08</v>
      </c>
      <c r="G3707" s="0" t="n">
        <v>17153</v>
      </c>
      <c r="H3707" s="6" t="s">
        <v>151</v>
      </c>
      <c r="I3707" s="6" t="n">
        <f aca="false">D3707*F3707</f>
        <v>47.84</v>
      </c>
      <c r="J3707" s="6" t="n">
        <f aca="false">HOUR(E3707)</f>
        <v>21</v>
      </c>
      <c r="K3707" s="6" t="n">
        <f aca="false">IF(COUNTIF($A$2:$A3707,A3707)=1,1,0)</f>
        <v>1</v>
      </c>
    </row>
    <row r="3708" customFormat="false" ht="15" hidden="false" customHeight="false" outlineLevel="0" collapsed="false">
      <c r="A3708" s="0" t="s">
        <v>800</v>
      </c>
      <c r="B3708" s="0" t="s">
        <v>81</v>
      </c>
      <c r="C3708" s="0" t="s">
        <v>82</v>
      </c>
      <c r="D3708" s="0" t="n">
        <v>23</v>
      </c>
      <c r="E3708" s="5" t="n">
        <v>45988.9105092593</v>
      </c>
      <c r="F3708" s="0" t="n">
        <v>1.65</v>
      </c>
      <c r="G3708" s="0" t="n">
        <v>17153</v>
      </c>
      <c r="H3708" s="6" t="s">
        <v>151</v>
      </c>
      <c r="I3708" s="6" t="n">
        <f aca="false">D3708*F3708</f>
        <v>37.95</v>
      </c>
      <c r="J3708" s="6" t="n">
        <f aca="false">HOUR(E3708)</f>
        <v>21</v>
      </c>
      <c r="K3708" s="6" t="n">
        <f aca="false">IF(COUNTIF($A$2:$A3708,A3708)=1,1,0)</f>
        <v>0</v>
      </c>
    </row>
    <row r="3709" customFormat="false" ht="15" hidden="false" customHeight="false" outlineLevel="0" collapsed="false">
      <c r="A3709" s="0" t="s">
        <v>800</v>
      </c>
      <c r="B3709" s="0" t="s">
        <v>45</v>
      </c>
      <c r="C3709" s="0" t="s">
        <v>46</v>
      </c>
      <c r="D3709" s="0" t="n">
        <v>12</v>
      </c>
      <c r="E3709" s="5" t="n">
        <v>45988.9105092593</v>
      </c>
      <c r="F3709" s="0" t="n">
        <v>2.1</v>
      </c>
      <c r="G3709" s="0" t="n">
        <v>17153</v>
      </c>
      <c r="H3709" s="6" t="s">
        <v>151</v>
      </c>
      <c r="I3709" s="6" t="n">
        <f aca="false">D3709*F3709</f>
        <v>25.2</v>
      </c>
      <c r="J3709" s="6" t="n">
        <f aca="false">HOUR(E3709)</f>
        <v>21</v>
      </c>
      <c r="K3709" s="6" t="n">
        <f aca="false">IF(COUNTIF($A$2:$A3709,A3709)=1,1,0)</f>
        <v>0</v>
      </c>
    </row>
    <row r="3710" customFormat="false" ht="15" hidden="false" customHeight="false" outlineLevel="0" collapsed="false">
      <c r="A3710" s="0" t="s">
        <v>800</v>
      </c>
      <c r="B3710" s="0" t="s">
        <v>102</v>
      </c>
      <c r="C3710" s="0" t="s">
        <v>103</v>
      </c>
      <c r="D3710" s="0" t="n">
        <v>32</v>
      </c>
      <c r="E3710" s="5" t="n">
        <v>45988.9105092593</v>
      </c>
      <c r="F3710" s="0" t="n">
        <v>8.5</v>
      </c>
      <c r="G3710" s="0" t="n">
        <v>17153</v>
      </c>
      <c r="H3710" s="6" t="s">
        <v>151</v>
      </c>
      <c r="I3710" s="6" t="n">
        <f aca="false">D3710*F3710</f>
        <v>272</v>
      </c>
      <c r="J3710" s="6" t="n">
        <f aca="false">HOUR(E3710)</f>
        <v>21</v>
      </c>
      <c r="K3710" s="6" t="n">
        <f aca="false">IF(COUNTIF($A$2:$A3710,A3710)=1,1,0)</f>
        <v>0</v>
      </c>
    </row>
    <row r="3711" customFormat="false" ht="15" hidden="false" customHeight="false" outlineLevel="0" collapsed="false">
      <c r="A3711" s="0" t="s">
        <v>800</v>
      </c>
      <c r="B3711" s="0" t="s">
        <v>61</v>
      </c>
      <c r="C3711" s="0" t="s">
        <v>62</v>
      </c>
      <c r="D3711" s="0" t="n">
        <v>18</v>
      </c>
      <c r="E3711" s="5" t="n">
        <v>45988.9105092593</v>
      </c>
      <c r="F3711" s="0" t="n">
        <v>1.65</v>
      </c>
      <c r="G3711" s="0" t="n">
        <v>17153</v>
      </c>
      <c r="H3711" s="6" t="s">
        <v>151</v>
      </c>
      <c r="I3711" s="6" t="n">
        <f aca="false">D3711*F3711</f>
        <v>29.7</v>
      </c>
      <c r="J3711" s="6" t="n">
        <f aca="false">HOUR(E3711)</f>
        <v>21</v>
      </c>
      <c r="K3711" s="6" t="n">
        <f aca="false">IF(COUNTIF($A$2:$A3711,A3711)=1,1,0)</f>
        <v>0</v>
      </c>
    </row>
    <row r="3712" customFormat="false" ht="15" hidden="false" customHeight="false" outlineLevel="0" collapsed="false">
      <c r="A3712" s="0" t="s">
        <v>800</v>
      </c>
      <c r="B3712" s="0" t="s">
        <v>47</v>
      </c>
      <c r="C3712" s="0" t="s">
        <v>48</v>
      </c>
      <c r="D3712" s="0" t="n">
        <v>6</v>
      </c>
      <c r="E3712" s="5" t="n">
        <v>45988.9105092593</v>
      </c>
      <c r="F3712" s="0" t="n">
        <v>12.75</v>
      </c>
      <c r="G3712" s="0" t="n">
        <v>17153</v>
      </c>
      <c r="H3712" s="6" t="s">
        <v>151</v>
      </c>
      <c r="I3712" s="6" t="n">
        <f aca="false">D3712*F3712</f>
        <v>76.5</v>
      </c>
      <c r="J3712" s="6" t="n">
        <f aca="false">HOUR(E3712)</f>
        <v>21</v>
      </c>
      <c r="K3712" s="6" t="n">
        <f aca="false">IF(COUNTIF($A$2:$A3712,A3712)=1,1,0)</f>
        <v>0</v>
      </c>
    </row>
    <row r="3713" customFormat="false" ht="15" hidden="false" customHeight="false" outlineLevel="0" collapsed="false">
      <c r="A3713" s="0" t="s">
        <v>800</v>
      </c>
      <c r="B3713" s="0" t="s">
        <v>145</v>
      </c>
      <c r="C3713" s="0" t="s">
        <v>146</v>
      </c>
      <c r="D3713" s="0" t="n">
        <v>1</v>
      </c>
      <c r="E3713" s="5" t="n">
        <v>45988.9105092593</v>
      </c>
      <c r="F3713" s="0" t="n">
        <v>1.85</v>
      </c>
      <c r="G3713" s="0" t="n">
        <v>17153</v>
      </c>
      <c r="H3713" s="6" t="s">
        <v>151</v>
      </c>
      <c r="I3713" s="6" t="n">
        <f aca="false">D3713*F3713</f>
        <v>1.85</v>
      </c>
      <c r="J3713" s="6" t="n">
        <f aca="false">HOUR(E3713)</f>
        <v>21</v>
      </c>
      <c r="K3713" s="6" t="n">
        <f aca="false">IF(COUNTIF($A$2:$A3713,A3713)=1,1,0)</f>
        <v>0</v>
      </c>
    </row>
    <row r="3714" customFormat="false" ht="15" hidden="false" customHeight="false" outlineLevel="0" collapsed="false">
      <c r="A3714" s="0" t="s">
        <v>800</v>
      </c>
      <c r="B3714" s="0" t="s">
        <v>137</v>
      </c>
      <c r="C3714" s="0" t="s">
        <v>138</v>
      </c>
      <c r="D3714" s="0" t="n">
        <v>2</v>
      </c>
      <c r="E3714" s="5" t="n">
        <v>45988.9105092593</v>
      </c>
      <c r="F3714" s="0" t="n">
        <v>2.1</v>
      </c>
      <c r="G3714" s="0" t="n">
        <v>17153</v>
      </c>
      <c r="H3714" s="6" t="s">
        <v>151</v>
      </c>
      <c r="I3714" s="6" t="n">
        <f aca="false">D3714*F3714</f>
        <v>4.2</v>
      </c>
      <c r="J3714" s="6" t="n">
        <f aca="false">HOUR(E3714)</f>
        <v>21</v>
      </c>
      <c r="K3714" s="6" t="n">
        <f aca="false">IF(COUNTIF($A$2:$A3714,A3714)=1,1,0)</f>
        <v>0</v>
      </c>
    </row>
    <row r="3715" customFormat="false" ht="15" hidden="false" customHeight="false" outlineLevel="0" collapsed="false">
      <c r="A3715" s="0" t="s">
        <v>800</v>
      </c>
      <c r="B3715" s="0" t="s">
        <v>107</v>
      </c>
      <c r="C3715" s="0" t="s">
        <v>108</v>
      </c>
      <c r="D3715" s="0" t="n">
        <v>19</v>
      </c>
      <c r="E3715" s="5" t="n">
        <v>45988.9105092593</v>
      </c>
      <c r="F3715" s="0" t="n">
        <v>3.75</v>
      </c>
      <c r="G3715" s="0" t="n">
        <v>17153</v>
      </c>
      <c r="H3715" s="6" t="s">
        <v>151</v>
      </c>
      <c r="I3715" s="6" t="n">
        <f aca="false">D3715*F3715</f>
        <v>71.25</v>
      </c>
      <c r="J3715" s="6" t="n">
        <f aca="false">HOUR(E3715)</f>
        <v>21</v>
      </c>
      <c r="K3715" s="6" t="n">
        <f aca="false">IF(COUNTIF($A$2:$A3715,A3715)=1,1,0)</f>
        <v>0</v>
      </c>
    </row>
    <row r="3716" customFormat="false" ht="15" hidden="false" customHeight="false" outlineLevel="0" collapsed="false">
      <c r="A3716" s="0" t="s">
        <v>801</v>
      </c>
      <c r="B3716" s="0" t="s">
        <v>57</v>
      </c>
      <c r="C3716" s="0" t="s">
        <v>58</v>
      </c>
      <c r="D3716" s="0" t="n">
        <v>6</v>
      </c>
      <c r="E3716" s="5" t="n">
        <v>45988.9200462963</v>
      </c>
      <c r="F3716" s="0" t="n">
        <v>2.08</v>
      </c>
      <c r="G3716" s="0" t="n">
        <v>17251</v>
      </c>
      <c r="H3716" s="6" t="s">
        <v>74</v>
      </c>
      <c r="I3716" s="6" t="n">
        <f aca="false">D3716*F3716</f>
        <v>12.48</v>
      </c>
      <c r="J3716" s="6" t="n">
        <f aca="false">HOUR(E3716)</f>
        <v>22</v>
      </c>
      <c r="K3716" s="6" t="n">
        <f aca="false">IF(COUNTIF($A$2:$A3716,A3716)=1,1,0)</f>
        <v>1</v>
      </c>
    </row>
    <row r="3717" customFormat="false" ht="15" hidden="false" customHeight="false" outlineLevel="0" collapsed="false">
      <c r="A3717" s="0" t="s">
        <v>801</v>
      </c>
      <c r="B3717" s="0" t="s">
        <v>47</v>
      </c>
      <c r="C3717" s="0" t="s">
        <v>48</v>
      </c>
      <c r="D3717" s="0" t="n">
        <v>21</v>
      </c>
      <c r="E3717" s="5" t="n">
        <v>45988.9200462963</v>
      </c>
      <c r="F3717" s="0" t="n">
        <v>12.75</v>
      </c>
      <c r="G3717" s="0" t="n">
        <v>17251</v>
      </c>
      <c r="H3717" s="6" t="s">
        <v>74</v>
      </c>
      <c r="I3717" s="6" t="n">
        <f aca="false">D3717*F3717</f>
        <v>267.75</v>
      </c>
      <c r="J3717" s="6" t="n">
        <f aca="false">HOUR(E3717)</f>
        <v>22</v>
      </c>
      <c r="K3717" s="6" t="n">
        <f aca="false">IF(COUNTIF($A$2:$A3717,A3717)=1,1,0)</f>
        <v>0</v>
      </c>
    </row>
    <row r="3718" customFormat="false" ht="15" hidden="false" customHeight="false" outlineLevel="0" collapsed="false">
      <c r="A3718" s="0" t="s">
        <v>801</v>
      </c>
      <c r="B3718" s="0" t="s">
        <v>116</v>
      </c>
      <c r="C3718" s="0" t="s">
        <v>117</v>
      </c>
      <c r="D3718" s="0" t="n">
        <v>4</v>
      </c>
      <c r="E3718" s="5" t="n">
        <v>45988.9200462963</v>
      </c>
      <c r="F3718" s="0" t="n">
        <v>1.95</v>
      </c>
      <c r="G3718" s="0" t="n">
        <v>17251</v>
      </c>
      <c r="H3718" s="6" t="s">
        <v>74</v>
      </c>
      <c r="I3718" s="6" t="n">
        <f aca="false">D3718*F3718</f>
        <v>7.8</v>
      </c>
      <c r="J3718" s="6" t="n">
        <f aca="false">HOUR(E3718)</f>
        <v>22</v>
      </c>
      <c r="K3718" s="6" t="n">
        <f aca="false">IF(COUNTIF($A$2:$A3718,A3718)=1,1,0)</f>
        <v>0</v>
      </c>
    </row>
    <row r="3719" customFormat="false" ht="15" hidden="false" customHeight="false" outlineLevel="0" collapsed="false">
      <c r="A3719" s="0" t="s">
        <v>801</v>
      </c>
      <c r="B3719" s="0" t="s">
        <v>61</v>
      </c>
      <c r="C3719" s="0" t="s">
        <v>62</v>
      </c>
      <c r="D3719" s="0" t="n">
        <v>6</v>
      </c>
      <c r="E3719" s="5" t="n">
        <v>45988.9200462963</v>
      </c>
      <c r="F3719" s="0" t="n">
        <v>1.65</v>
      </c>
      <c r="G3719" s="0" t="n">
        <v>17251</v>
      </c>
      <c r="H3719" s="6" t="s">
        <v>74</v>
      </c>
      <c r="I3719" s="6" t="n">
        <f aca="false">D3719*F3719</f>
        <v>9.9</v>
      </c>
      <c r="J3719" s="6" t="n">
        <f aca="false">HOUR(E3719)</f>
        <v>22</v>
      </c>
      <c r="K3719" s="6" t="n">
        <f aca="false">IF(COUNTIF($A$2:$A3719,A3719)=1,1,0)</f>
        <v>0</v>
      </c>
    </row>
    <row r="3720" customFormat="false" ht="15" hidden="false" customHeight="false" outlineLevel="0" collapsed="false">
      <c r="A3720" s="0" t="s">
        <v>801</v>
      </c>
      <c r="B3720" s="0" t="s">
        <v>91</v>
      </c>
      <c r="C3720" s="0" t="s">
        <v>92</v>
      </c>
      <c r="D3720" s="0" t="n">
        <v>13</v>
      </c>
      <c r="E3720" s="5" t="n">
        <v>45988.9200462963</v>
      </c>
      <c r="F3720" s="0" t="n">
        <v>7.65</v>
      </c>
      <c r="G3720" s="0" t="n">
        <v>17251</v>
      </c>
      <c r="H3720" s="6" t="s">
        <v>74</v>
      </c>
      <c r="I3720" s="6" t="n">
        <f aca="false">D3720*F3720</f>
        <v>99.45</v>
      </c>
      <c r="J3720" s="6" t="n">
        <f aca="false">HOUR(E3720)</f>
        <v>22</v>
      </c>
      <c r="K3720" s="6" t="n">
        <f aca="false">IF(COUNTIF($A$2:$A3720,A3720)=1,1,0)</f>
        <v>0</v>
      </c>
    </row>
    <row r="3721" customFormat="false" ht="15" hidden="false" customHeight="false" outlineLevel="0" collapsed="false">
      <c r="A3721" s="0" t="s">
        <v>801</v>
      </c>
      <c r="B3721" s="0" t="s">
        <v>125</v>
      </c>
      <c r="C3721" s="0" t="s">
        <v>126</v>
      </c>
      <c r="D3721" s="0" t="n">
        <v>6</v>
      </c>
      <c r="E3721" s="5" t="n">
        <v>45988.9200462963</v>
      </c>
      <c r="F3721" s="0" t="n">
        <v>1.25</v>
      </c>
      <c r="G3721" s="0" t="n">
        <v>17251</v>
      </c>
      <c r="H3721" s="6" t="s">
        <v>74</v>
      </c>
      <c r="I3721" s="6" t="n">
        <f aca="false">D3721*F3721</f>
        <v>7.5</v>
      </c>
      <c r="J3721" s="6" t="n">
        <f aca="false">HOUR(E3721)</f>
        <v>22</v>
      </c>
      <c r="K3721" s="6" t="n">
        <f aca="false">IF(COUNTIF($A$2:$A3721,A3721)=1,1,0)</f>
        <v>0</v>
      </c>
    </row>
    <row r="3722" customFormat="false" ht="15" hidden="false" customHeight="false" outlineLevel="0" collapsed="false">
      <c r="A3722" s="0" t="s">
        <v>801</v>
      </c>
      <c r="B3722" s="0" t="s">
        <v>50</v>
      </c>
      <c r="C3722" s="0" t="s">
        <v>51</v>
      </c>
      <c r="D3722" s="0" t="n">
        <v>6</v>
      </c>
      <c r="E3722" s="5" t="n">
        <v>45988.9200462963</v>
      </c>
      <c r="F3722" s="0" t="n">
        <v>5.95</v>
      </c>
      <c r="G3722" s="0" t="n">
        <v>17251</v>
      </c>
      <c r="H3722" s="6" t="s">
        <v>74</v>
      </c>
      <c r="I3722" s="6" t="n">
        <f aca="false">D3722*F3722</f>
        <v>35.7</v>
      </c>
      <c r="J3722" s="6" t="n">
        <f aca="false">HOUR(E3722)</f>
        <v>22</v>
      </c>
      <c r="K3722" s="6" t="n">
        <f aca="false">IF(COUNTIF($A$2:$A3722,A3722)=1,1,0)</f>
        <v>0</v>
      </c>
    </row>
    <row r="3723" customFormat="false" ht="15" hidden="false" customHeight="false" outlineLevel="0" collapsed="false">
      <c r="A3723" s="0" t="s">
        <v>801</v>
      </c>
      <c r="B3723" s="0" t="s">
        <v>88</v>
      </c>
      <c r="C3723" s="0" t="s">
        <v>89</v>
      </c>
      <c r="D3723" s="0" t="n">
        <v>24</v>
      </c>
      <c r="E3723" s="5" t="n">
        <v>45988.9200462963</v>
      </c>
      <c r="F3723" s="0" t="n">
        <v>2.75</v>
      </c>
      <c r="G3723" s="0" t="n">
        <v>17251</v>
      </c>
      <c r="H3723" s="6" t="s">
        <v>74</v>
      </c>
      <c r="I3723" s="6" t="n">
        <f aca="false">D3723*F3723</f>
        <v>66</v>
      </c>
      <c r="J3723" s="6" t="n">
        <f aca="false">HOUR(E3723)</f>
        <v>22</v>
      </c>
      <c r="K3723" s="6" t="n">
        <f aca="false">IF(COUNTIF($A$2:$A3723,A3723)=1,1,0)</f>
        <v>0</v>
      </c>
    </row>
    <row r="3724" customFormat="false" ht="15" hidden="false" customHeight="false" outlineLevel="0" collapsed="false">
      <c r="A3724" s="0" t="s">
        <v>802</v>
      </c>
      <c r="B3724" s="0" t="s">
        <v>145</v>
      </c>
      <c r="C3724" s="0" t="s">
        <v>146</v>
      </c>
      <c r="D3724" s="0" t="n">
        <v>11</v>
      </c>
      <c r="E3724" s="5" t="n">
        <v>45988.9247106482</v>
      </c>
      <c r="F3724" s="0" t="n">
        <v>1.85</v>
      </c>
      <c r="G3724" s="0" t="n">
        <v>17229</v>
      </c>
      <c r="H3724" s="6" t="s">
        <v>74</v>
      </c>
      <c r="I3724" s="6" t="n">
        <f aca="false">D3724*F3724</f>
        <v>20.35</v>
      </c>
      <c r="J3724" s="6" t="n">
        <f aca="false">HOUR(E3724)</f>
        <v>22</v>
      </c>
      <c r="K3724" s="6" t="n">
        <f aca="false">IF(COUNTIF($A$2:$A3724,A3724)=1,1,0)</f>
        <v>1</v>
      </c>
    </row>
    <row r="3725" customFormat="false" ht="15" hidden="false" customHeight="false" outlineLevel="0" collapsed="false">
      <c r="A3725" s="0" t="s">
        <v>802</v>
      </c>
      <c r="B3725" s="0" t="s">
        <v>55</v>
      </c>
      <c r="C3725" s="0" t="s">
        <v>56</v>
      </c>
      <c r="D3725" s="0" t="n">
        <v>23</v>
      </c>
      <c r="E3725" s="5" t="n">
        <v>45988.9247106482</v>
      </c>
      <c r="F3725" s="0" t="n">
        <v>1.65</v>
      </c>
      <c r="G3725" s="0" t="n">
        <v>17229</v>
      </c>
      <c r="H3725" s="6" t="s">
        <v>74</v>
      </c>
      <c r="I3725" s="6" t="n">
        <f aca="false">D3725*F3725</f>
        <v>37.95</v>
      </c>
      <c r="J3725" s="6" t="n">
        <f aca="false">HOUR(E3725)</f>
        <v>22</v>
      </c>
      <c r="K3725" s="6" t="n">
        <f aca="false">IF(COUNTIF($A$2:$A3725,A3725)=1,1,0)</f>
        <v>0</v>
      </c>
    </row>
    <row r="3726" customFormat="false" ht="15" hidden="false" customHeight="false" outlineLevel="0" collapsed="false">
      <c r="A3726" s="0" t="s">
        <v>802</v>
      </c>
      <c r="B3726" s="0" t="s">
        <v>127</v>
      </c>
      <c r="C3726" s="0" t="s">
        <v>128</v>
      </c>
      <c r="D3726" s="0" t="n">
        <v>3</v>
      </c>
      <c r="E3726" s="5" t="n">
        <v>45988.9247106482</v>
      </c>
      <c r="F3726" s="0" t="n">
        <v>1.45</v>
      </c>
      <c r="G3726" s="0" t="n">
        <v>17229</v>
      </c>
      <c r="H3726" s="6" t="s">
        <v>74</v>
      </c>
      <c r="I3726" s="6" t="n">
        <f aca="false">D3726*F3726</f>
        <v>4.35</v>
      </c>
      <c r="J3726" s="6" t="n">
        <f aca="false">HOUR(E3726)</f>
        <v>22</v>
      </c>
      <c r="K3726" s="6" t="n">
        <f aca="false">IF(COUNTIF($A$2:$A3726,A3726)=1,1,0)</f>
        <v>0</v>
      </c>
    </row>
    <row r="3727" customFormat="false" ht="15" hidden="false" customHeight="false" outlineLevel="0" collapsed="false">
      <c r="A3727" s="0" t="s">
        <v>802</v>
      </c>
      <c r="B3727" s="0" t="s">
        <v>134</v>
      </c>
      <c r="C3727" s="0" t="s">
        <v>135</v>
      </c>
      <c r="D3727" s="0" t="n">
        <v>23</v>
      </c>
      <c r="E3727" s="5" t="n">
        <v>45988.9247106482</v>
      </c>
      <c r="F3727" s="0" t="n">
        <v>5.95</v>
      </c>
      <c r="G3727" s="0" t="n">
        <v>17229</v>
      </c>
      <c r="H3727" s="6" t="s">
        <v>74</v>
      </c>
      <c r="I3727" s="6" t="n">
        <f aca="false">D3727*F3727</f>
        <v>136.85</v>
      </c>
      <c r="J3727" s="6" t="n">
        <f aca="false">HOUR(E3727)</f>
        <v>22</v>
      </c>
      <c r="K3727" s="6" t="n">
        <f aca="false">IF(COUNTIF($A$2:$A3727,A3727)=1,1,0)</f>
        <v>0</v>
      </c>
    </row>
    <row r="3728" customFormat="false" ht="15" hidden="false" customHeight="false" outlineLevel="0" collapsed="false">
      <c r="A3728" s="0" t="s">
        <v>802</v>
      </c>
      <c r="B3728" s="0" t="s">
        <v>95</v>
      </c>
      <c r="C3728" s="0" t="s">
        <v>96</v>
      </c>
      <c r="D3728" s="0" t="n">
        <v>31</v>
      </c>
      <c r="E3728" s="5" t="n">
        <v>45988.9247106482</v>
      </c>
      <c r="F3728" s="0" t="n">
        <v>2.55</v>
      </c>
      <c r="G3728" s="0" t="n">
        <v>17229</v>
      </c>
      <c r="H3728" s="6" t="s">
        <v>74</v>
      </c>
      <c r="I3728" s="6" t="n">
        <f aca="false">D3728*F3728</f>
        <v>79.05</v>
      </c>
      <c r="J3728" s="6" t="n">
        <f aca="false">HOUR(E3728)</f>
        <v>22</v>
      </c>
      <c r="K3728" s="6" t="n">
        <f aca="false">IF(COUNTIF($A$2:$A3728,A3728)=1,1,0)</f>
        <v>0</v>
      </c>
    </row>
    <row r="3729" customFormat="false" ht="15" hidden="false" customHeight="false" outlineLevel="0" collapsed="false">
      <c r="A3729" s="0" t="s">
        <v>802</v>
      </c>
      <c r="B3729" s="0" t="s">
        <v>45</v>
      </c>
      <c r="C3729" s="0" t="s">
        <v>46</v>
      </c>
      <c r="D3729" s="0" t="n">
        <v>17</v>
      </c>
      <c r="E3729" s="5" t="n">
        <v>45988.9247106482</v>
      </c>
      <c r="F3729" s="0" t="n">
        <v>2.1</v>
      </c>
      <c r="G3729" s="0" t="n">
        <v>17229</v>
      </c>
      <c r="H3729" s="6" t="s">
        <v>74</v>
      </c>
      <c r="I3729" s="6" t="n">
        <f aca="false">D3729*F3729</f>
        <v>35.7</v>
      </c>
      <c r="J3729" s="6" t="n">
        <f aca="false">HOUR(E3729)</f>
        <v>22</v>
      </c>
      <c r="K3729" s="6" t="n">
        <f aca="false">IF(COUNTIF($A$2:$A3729,A3729)=1,1,0)</f>
        <v>0</v>
      </c>
    </row>
    <row r="3730" customFormat="false" ht="15" hidden="false" customHeight="false" outlineLevel="0" collapsed="false">
      <c r="A3730" s="0" t="s">
        <v>802</v>
      </c>
      <c r="B3730" s="0" t="s">
        <v>69</v>
      </c>
      <c r="C3730" s="0" t="s">
        <v>70</v>
      </c>
      <c r="D3730" s="0" t="n">
        <v>14</v>
      </c>
      <c r="E3730" s="5" t="n">
        <v>45988.9247106482</v>
      </c>
      <c r="F3730" s="0" t="n">
        <v>2.08</v>
      </c>
      <c r="G3730" s="0" t="n">
        <v>17229</v>
      </c>
      <c r="H3730" s="6" t="s">
        <v>74</v>
      </c>
      <c r="I3730" s="6" t="n">
        <f aca="false">D3730*F3730</f>
        <v>29.12</v>
      </c>
      <c r="J3730" s="6" t="n">
        <f aca="false">HOUR(E3730)</f>
        <v>22</v>
      </c>
      <c r="K3730" s="6" t="n">
        <f aca="false">IF(COUNTIF($A$2:$A3730,A3730)=1,1,0)</f>
        <v>0</v>
      </c>
    </row>
    <row r="3731" customFormat="false" ht="15" hidden="false" customHeight="false" outlineLevel="0" collapsed="false">
      <c r="A3731" s="0" t="s">
        <v>803</v>
      </c>
      <c r="B3731" s="0" t="s">
        <v>121</v>
      </c>
      <c r="C3731" s="0" t="s">
        <v>122</v>
      </c>
      <c r="D3731" s="0" t="n">
        <v>2</v>
      </c>
      <c r="E3731" s="5" t="n">
        <v>45989.3828240741</v>
      </c>
      <c r="F3731" s="0" t="n">
        <v>2.1</v>
      </c>
      <c r="G3731" s="0" t="n">
        <v>17057</v>
      </c>
      <c r="H3731" s="6" t="s">
        <v>74</v>
      </c>
      <c r="I3731" s="6" t="n">
        <f aca="false">D3731*F3731</f>
        <v>4.2</v>
      </c>
      <c r="J3731" s="6" t="n">
        <f aca="false">HOUR(E3731)</f>
        <v>9</v>
      </c>
      <c r="K3731" s="6" t="n">
        <f aca="false">IF(COUNTIF($A$2:$A3731,A3731)=1,1,0)</f>
        <v>1</v>
      </c>
    </row>
    <row r="3732" customFormat="false" ht="15" hidden="false" customHeight="false" outlineLevel="0" collapsed="false">
      <c r="A3732" s="0" t="s">
        <v>803</v>
      </c>
      <c r="B3732" s="0" t="s">
        <v>125</v>
      </c>
      <c r="C3732" s="0" t="s">
        <v>126</v>
      </c>
      <c r="D3732" s="0" t="n">
        <v>11</v>
      </c>
      <c r="E3732" s="5" t="n">
        <v>45989.3828240741</v>
      </c>
      <c r="F3732" s="0" t="n">
        <v>1.25</v>
      </c>
      <c r="G3732" s="0" t="n">
        <v>17057</v>
      </c>
      <c r="H3732" s="6" t="s">
        <v>74</v>
      </c>
      <c r="I3732" s="6" t="n">
        <f aca="false">D3732*F3732</f>
        <v>13.75</v>
      </c>
      <c r="J3732" s="6" t="n">
        <f aca="false">HOUR(E3732)</f>
        <v>9</v>
      </c>
      <c r="K3732" s="6" t="n">
        <f aca="false">IF(COUNTIF($A$2:$A3732,A3732)=1,1,0)</f>
        <v>0</v>
      </c>
    </row>
    <row r="3733" customFormat="false" ht="15" hidden="false" customHeight="false" outlineLevel="0" collapsed="false">
      <c r="A3733" s="0" t="s">
        <v>803</v>
      </c>
      <c r="B3733" s="0" t="s">
        <v>65</v>
      </c>
      <c r="C3733" s="0" t="s">
        <v>66</v>
      </c>
      <c r="D3733" s="0" t="n">
        <v>6</v>
      </c>
      <c r="E3733" s="5" t="n">
        <v>45989.3828240741</v>
      </c>
      <c r="F3733" s="0" t="n">
        <v>1.65</v>
      </c>
      <c r="G3733" s="0" t="n">
        <v>17057</v>
      </c>
      <c r="H3733" s="6" t="s">
        <v>74</v>
      </c>
      <c r="I3733" s="6" t="n">
        <f aca="false">D3733*F3733</f>
        <v>9.9</v>
      </c>
      <c r="J3733" s="6" t="n">
        <f aca="false">HOUR(E3733)</f>
        <v>9</v>
      </c>
      <c r="K3733" s="6" t="n">
        <f aca="false">IF(COUNTIF($A$2:$A3733,A3733)=1,1,0)</f>
        <v>0</v>
      </c>
    </row>
    <row r="3734" customFormat="false" ht="15" hidden="false" customHeight="false" outlineLevel="0" collapsed="false">
      <c r="A3734" s="0" t="s">
        <v>803</v>
      </c>
      <c r="B3734" s="0" t="s">
        <v>134</v>
      </c>
      <c r="C3734" s="0" t="s">
        <v>135</v>
      </c>
      <c r="D3734" s="0" t="n">
        <v>20</v>
      </c>
      <c r="E3734" s="5" t="n">
        <v>45989.3828240741</v>
      </c>
      <c r="F3734" s="0" t="n">
        <v>5.95</v>
      </c>
      <c r="G3734" s="0" t="n">
        <v>17057</v>
      </c>
      <c r="H3734" s="6" t="s">
        <v>74</v>
      </c>
      <c r="I3734" s="6" t="n">
        <f aca="false">D3734*F3734</f>
        <v>119</v>
      </c>
      <c r="J3734" s="6" t="n">
        <f aca="false">HOUR(E3734)</f>
        <v>9</v>
      </c>
      <c r="K3734" s="6" t="n">
        <f aca="false">IF(COUNTIF($A$2:$A3734,A3734)=1,1,0)</f>
        <v>0</v>
      </c>
    </row>
    <row r="3735" customFormat="false" ht="15" hidden="false" customHeight="false" outlineLevel="0" collapsed="false">
      <c r="A3735" s="0" t="s">
        <v>803</v>
      </c>
      <c r="B3735" s="0" t="s">
        <v>95</v>
      </c>
      <c r="C3735" s="0" t="s">
        <v>96</v>
      </c>
      <c r="D3735" s="0" t="n">
        <v>44</v>
      </c>
      <c r="E3735" s="5" t="n">
        <v>45989.3828240741</v>
      </c>
      <c r="F3735" s="0" t="n">
        <v>2.55</v>
      </c>
      <c r="G3735" s="0" t="n">
        <v>17057</v>
      </c>
      <c r="H3735" s="6" t="s">
        <v>74</v>
      </c>
      <c r="I3735" s="6" t="n">
        <f aca="false">D3735*F3735</f>
        <v>112.2</v>
      </c>
      <c r="J3735" s="6" t="n">
        <f aca="false">HOUR(E3735)</f>
        <v>9</v>
      </c>
      <c r="K3735" s="6" t="n">
        <f aca="false">IF(COUNTIF($A$2:$A3735,A3735)=1,1,0)</f>
        <v>0</v>
      </c>
    </row>
    <row r="3736" customFormat="false" ht="15" hidden="false" customHeight="false" outlineLevel="0" collapsed="false">
      <c r="A3736" s="0" t="s">
        <v>803</v>
      </c>
      <c r="B3736" s="0" t="s">
        <v>127</v>
      </c>
      <c r="C3736" s="0" t="s">
        <v>128</v>
      </c>
      <c r="D3736" s="0" t="n">
        <v>18</v>
      </c>
      <c r="E3736" s="5" t="n">
        <v>45989.3828240741</v>
      </c>
      <c r="F3736" s="0" t="n">
        <v>1.45</v>
      </c>
      <c r="G3736" s="0" t="n">
        <v>17057</v>
      </c>
      <c r="H3736" s="6" t="s">
        <v>74</v>
      </c>
      <c r="I3736" s="6" t="n">
        <f aca="false">D3736*F3736</f>
        <v>26.1</v>
      </c>
      <c r="J3736" s="6" t="n">
        <f aca="false">HOUR(E3736)</f>
        <v>9</v>
      </c>
      <c r="K3736" s="6" t="n">
        <f aca="false">IF(COUNTIF($A$2:$A3736,A3736)=1,1,0)</f>
        <v>0</v>
      </c>
    </row>
    <row r="3737" customFormat="false" ht="15" hidden="false" customHeight="false" outlineLevel="0" collapsed="false">
      <c r="A3737" s="0" t="s">
        <v>803</v>
      </c>
      <c r="B3737" s="0" t="s">
        <v>104</v>
      </c>
      <c r="C3737" s="0" t="s">
        <v>105</v>
      </c>
      <c r="D3737" s="0" t="n">
        <v>23</v>
      </c>
      <c r="E3737" s="5" t="n">
        <v>45989.3828240741</v>
      </c>
      <c r="F3737" s="0" t="n">
        <v>1.65</v>
      </c>
      <c r="G3737" s="0" t="n">
        <v>17057</v>
      </c>
      <c r="H3737" s="6" t="s">
        <v>74</v>
      </c>
      <c r="I3737" s="6" t="n">
        <f aca="false">D3737*F3737</f>
        <v>37.95</v>
      </c>
      <c r="J3737" s="6" t="n">
        <f aca="false">HOUR(E3737)</f>
        <v>9</v>
      </c>
      <c r="K3737" s="6" t="n">
        <f aca="false">IF(COUNTIF($A$2:$A3737,A3737)=1,1,0)</f>
        <v>0</v>
      </c>
    </row>
    <row r="3738" customFormat="false" ht="15" hidden="false" customHeight="false" outlineLevel="0" collapsed="false">
      <c r="A3738" s="0" t="s">
        <v>803</v>
      </c>
      <c r="B3738" s="0" t="s">
        <v>59</v>
      </c>
      <c r="C3738" s="0" t="s">
        <v>60</v>
      </c>
      <c r="D3738" s="0" t="n">
        <v>15</v>
      </c>
      <c r="E3738" s="5" t="n">
        <v>45989.3828240741</v>
      </c>
      <c r="F3738" s="0" t="n">
        <v>0.42</v>
      </c>
      <c r="G3738" s="0" t="n">
        <v>17057</v>
      </c>
      <c r="H3738" s="6" t="s">
        <v>74</v>
      </c>
      <c r="I3738" s="6" t="n">
        <f aca="false">D3738*F3738</f>
        <v>6.3</v>
      </c>
      <c r="J3738" s="6" t="n">
        <f aca="false">HOUR(E3738)</f>
        <v>9</v>
      </c>
      <c r="K3738" s="6" t="n">
        <f aca="false">IF(COUNTIF($A$2:$A3738,A3738)=1,1,0)</f>
        <v>0</v>
      </c>
    </row>
    <row r="3739" customFormat="false" ht="15" hidden="false" customHeight="false" outlineLevel="0" collapsed="false">
      <c r="A3739" s="0" t="s">
        <v>804</v>
      </c>
      <c r="B3739" s="0" t="s">
        <v>72</v>
      </c>
      <c r="D3739" s="0" t="n">
        <v>29</v>
      </c>
      <c r="E3739" s="5" t="n">
        <v>45989.3995833333</v>
      </c>
      <c r="F3739" s="0" t="n">
        <v>4.95</v>
      </c>
      <c r="G3739" s="0" t="n">
        <v>17179</v>
      </c>
      <c r="H3739" s="6" t="s">
        <v>113</v>
      </c>
      <c r="I3739" s="6" t="n">
        <f aca="false">D3739*F3739</f>
        <v>143.55</v>
      </c>
      <c r="J3739" s="6" t="n">
        <f aca="false">HOUR(E3739)</f>
        <v>9</v>
      </c>
      <c r="K3739" s="6" t="n">
        <f aca="false">IF(COUNTIF($A$2:$A3739,A3739)=1,1,0)</f>
        <v>1</v>
      </c>
    </row>
    <row r="3740" customFormat="false" ht="15" hidden="false" customHeight="false" outlineLevel="0" collapsed="false">
      <c r="A3740" s="0" t="s">
        <v>804</v>
      </c>
      <c r="B3740" s="0" t="s">
        <v>40</v>
      </c>
      <c r="C3740" s="0" t="s">
        <v>41</v>
      </c>
      <c r="D3740" s="0" t="n">
        <v>20</v>
      </c>
      <c r="E3740" s="5" t="n">
        <v>45989.3995833333</v>
      </c>
      <c r="F3740" s="0" t="n">
        <v>1.06</v>
      </c>
      <c r="G3740" s="0" t="n">
        <v>17179</v>
      </c>
      <c r="H3740" s="6" t="s">
        <v>113</v>
      </c>
      <c r="I3740" s="6" t="n">
        <f aca="false">D3740*F3740</f>
        <v>21.2</v>
      </c>
      <c r="J3740" s="6" t="n">
        <f aca="false">HOUR(E3740)</f>
        <v>9</v>
      </c>
      <c r="K3740" s="6" t="n">
        <f aca="false">IF(COUNTIF($A$2:$A3740,A3740)=1,1,0)</f>
        <v>0</v>
      </c>
    </row>
    <row r="3741" customFormat="false" ht="15" hidden="false" customHeight="false" outlineLevel="0" collapsed="false">
      <c r="A3741" s="0" t="s">
        <v>804</v>
      </c>
      <c r="B3741" s="0" t="s">
        <v>61</v>
      </c>
      <c r="C3741" s="0" t="s">
        <v>62</v>
      </c>
      <c r="D3741" s="0" t="n">
        <v>6</v>
      </c>
      <c r="E3741" s="5" t="n">
        <v>45989.3995833333</v>
      </c>
      <c r="F3741" s="0" t="n">
        <v>1.65</v>
      </c>
      <c r="G3741" s="0" t="n">
        <v>17179</v>
      </c>
      <c r="H3741" s="6" t="s">
        <v>113</v>
      </c>
      <c r="I3741" s="6" t="n">
        <f aca="false">D3741*F3741</f>
        <v>9.9</v>
      </c>
      <c r="J3741" s="6" t="n">
        <f aca="false">HOUR(E3741)</f>
        <v>9</v>
      </c>
      <c r="K3741" s="6" t="n">
        <f aca="false">IF(COUNTIF($A$2:$A3741,A3741)=1,1,0)</f>
        <v>0</v>
      </c>
    </row>
    <row r="3742" customFormat="false" ht="15" hidden="false" customHeight="false" outlineLevel="0" collapsed="false">
      <c r="A3742" s="0" t="s">
        <v>804</v>
      </c>
      <c r="B3742" s="0" t="s">
        <v>65</v>
      </c>
      <c r="C3742" s="0" t="s">
        <v>66</v>
      </c>
      <c r="D3742" s="0" t="n">
        <v>14</v>
      </c>
      <c r="E3742" s="5" t="n">
        <v>45989.3995833333</v>
      </c>
      <c r="F3742" s="0" t="n">
        <v>1.65</v>
      </c>
      <c r="G3742" s="0" t="n">
        <v>17179</v>
      </c>
      <c r="H3742" s="6" t="s">
        <v>113</v>
      </c>
      <c r="I3742" s="6" t="n">
        <f aca="false">D3742*F3742</f>
        <v>23.1</v>
      </c>
      <c r="J3742" s="6" t="n">
        <f aca="false">HOUR(E3742)</f>
        <v>9</v>
      </c>
      <c r="K3742" s="6" t="n">
        <f aca="false">IF(COUNTIF($A$2:$A3742,A3742)=1,1,0)</f>
        <v>0</v>
      </c>
    </row>
    <row r="3743" customFormat="false" ht="15" hidden="false" customHeight="false" outlineLevel="0" collapsed="false">
      <c r="A3743" s="0" t="s">
        <v>804</v>
      </c>
      <c r="B3743" s="0" t="s">
        <v>95</v>
      </c>
      <c r="D3743" s="0" t="n">
        <v>8</v>
      </c>
      <c r="E3743" s="5" t="n">
        <v>45989.3995833333</v>
      </c>
      <c r="F3743" s="0" t="n">
        <v>2.55</v>
      </c>
      <c r="G3743" s="0" t="n">
        <v>17179</v>
      </c>
      <c r="H3743" s="6" t="s">
        <v>113</v>
      </c>
      <c r="I3743" s="6" t="n">
        <f aca="false">D3743*F3743</f>
        <v>20.4</v>
      </c>
      <c r="J3743" s="6" t="n">
        <f aca="false">HOUR(E3743)</f>
        <v>9</v>
      </c>
      <c r="K3743" s="6" t="n">
        <f aca="false">IF(COUNTIF($A$2:$A3743,A3743)=1,1,0)</f>
        <v>0</v>
      </c>
    </row>
    <row r="3744" customFormat="false" ht="15" hidden="false" customHeight="false" outlineLevel="0" collapsed="false">
      <c r="A3744" s="0" t="s">
        <v>804</v>
      </c>
      <c r="B3744" s="0" t="s">
        <v>43</v>
      </c>
      <c r="C3744" s="0" t="s">
        <v>44</v>
      </c>
      <c r="D3744" s="0" t="n">
        <v>9</v>
      </c>
      <c r="E3744" s="5" t="n">
        <v>45989.3995833333</v>
      </c>
      <c r="F3744" s="0" t="n">
        <v>4.25</v>
      </c>
      <c r="G3744" s="0" t="n">
        <v>17179</v>
      </c>
      <c r="H3744" s="6" t="s">
        <v>113</v>
      </c>
      <c r="I3744" s="6" t="n">
        <f aca="false">D3744*F3744</f>
        <v>38.25</v>
      </c>
      <c r="J3744" s="6" t="n">
        <f aca="false">HOUR(E3744)</f>
        <v>9</v>
      </c>
      <c r="K3744" s="6" t="n">
        <f aca="false">IF(COUNTIF($A$2:$A3744,A3744)=1,1,0)</f>
        <v>0</v>
      </c>
    </row>
    <row r="3745" customFormat="false" ht="15" hidden="false" customHeight="false" outlineLevel="0" collapsed="false">
      <c r="A3745" s="0" t="s">
        <v>804</v>
      </c>
      <c r="B3745" s="0" t="s">
        <v>59</v>
      </c>
      <c r="C3745" s="0" t="s">
        <v>60</v>
      </c>
      <c r="D3745" s="0" t="n">
        <v>17</v>
      </c>
      <c r="E3745" s="5" t="n">
        <v>45989.3995833333</v>
      </c>
      <c r="F3745" s="0" t="n">
        <v>0.42</v>
      </c>
      <c r="G3745" s="0" t="n">
        <v>17179</v>
      </c>
      <c r="H3745" s="6" t="s">
        <v>113</v>
      </c>
      <c r="I3745" s="6" t="n">
        <f aca="false">D3745*F3745</f>
        <v>7.14</v>
      </c>
      <c r="J3745" s="6" t="n">
        <f aca="false">HOUR(E3745)</f>
        <v>9</v>
      </c>
      <c r="K3745" s="6" t="n">
        <f aca="false">IF(COUNTIF($A$2:$A3745,A3745)=1,1,0)</f>
        <v>0</v>
      </c>
    </row>
    <row r="3746" customFormat="false" ht="15" hidden="false" customHeight="false" outlineLevel="0" collapsed="false">
      <c r="A3746" s="0" t="s">
        <v>804</v>
      </c>
      <c r="B3746" s="0" t="s">
        <v>118</v>
      </c>
      <c r="C3746" s="0" t="s">
        <v>119</v>
      </c>
      <c r="D3746" s="0" t="n">
        <v>21</v>
      </c>
      <c r="E3746" s="5" t="n">
        <v>45989.3995833333</v>
      </c>
      <c r="F3746" s="0" t="n">
        <v>4.95</v>
      </c>
      <c r="G3746" s="0" t="n">
        <v>17179</v>
      </c>
      <c r="H3746" s="6" t="s">
        <v>113</v>
      </c>
      <c r="I3746" s="6" t="n">
        <f aca="false">D3746*F3746</f>
        <v>103.95</v>
      </c>
      <c r="J3746" s="6" t="n">
        <f aca="false">HOUR(E3746)</f>
        <v>9</v>
      </c>
      <c r="K3746" s="6" t="n">
        <f aca="false">IF(COUNTIF($A$2:$A3746,A3746)=1,1,0)</f>
        <v>0</v>
      </c>
    </row>
    <row r="3747" customFormat="false" ht="15" hidden="false" customHeight="false" outlineLevel="0" collapsed="false">
      <c r="A3747" s="0" t="s">
        <v>805</v>
      </c>
      <c r="B3747" s="0" t="s">
        <v>57</v>
      </c>
      <c r="C3747" s="0" t="s">
        <v>58</v>
      </c>
      <c r="D3747" s="0" t="n">
        <v>15</v>
      </c>
      <c r="E3747" s="5" t="n">
        <v>45989.4021990741</v>
      </c>
      <c r="F3747" s="0" t="n">
        <v>2.08</v>
      </c>
      <c r="G3747" s="0" t="n">
        <v>17001</v>
      </c>
      <c r="H3747" s="6" t="s">
        <v>74</v>
      </c>
      <c r="I3747" s="6" t="n">
        <f aca="false">D3747*F3747</f>
        <v>31.2</v>
      </c>
      <c r="J3747" s="6" t="n">
        <f aca="false">HOUR(E3747)</f>
        <v>9</v>
      </c>
      <c r="K3747" s="6" t="n">
        <f aca="false">IF(COUNTIF($A$2:$A3747,A3747)=1,1,0)</f>
        <v>1</v>
      </c>
    </row>
    <row r="3748" customFormat="false" ht="15" hidden="false" customHeight="false" outlineLevel="0" collapsed="false">
      <c r="A3748" s="0" t="s">
        <v>805</v>
      </c>
      <c r="B3748" s="0" t="s">
        <v>127</v>
      </c>
      <c r="C3748" s="0" t="s">
        <v>128</v>
      </c>
      <c r="D3748" s="0" t="n">
        <v>4</v>
      </c>
      <c r="E3748" s="5" t="n">
        <v>45989.4021990741</v>
      </c>
      <c r="F3748" s="0" t="n">
        <v>1.45</v>
      </c>
      <c r="G3748" s="0" t="n">
        <v>17001</v>
      </c>
      <c r="H3748" s="6" t="s">
        <v>74</v>
      </c>
      <c r="I3748" s="6" t="n">
        <f aca="false">D3748*F3748</f>
        <v>5.8</v>
      </c>
      <c r="J3748" s="6" t="n">
        <f aca="false">HOUR(E3748)</f>
        <v>9</v>
      </c>
      <c r="K3748" s="6" t="n">
        <f aca="false">IF(COUNTIF($A$2:$A3748,A3748)=1,1,0)</f>
        <v>0</v>
      </c>
    </row>
    <row r="3749" customFormat="false" ht="15" hidden="false" customHeight="false" outlineLevel="0" collapsed="false">
      <c r="A3749" s="0" t="s">
        <v>805</v>
      </c>
      <c r="B3749" s="0" t="s">
        <v>102</v>
      </c>
      <c r="C3749" s="0" t="s">
        <v>103</v>
      </c>
      <c r="D3749" s="0" t="n">
        <v>34</v>
      </c>
      <c r="E3749" s="5" t="n">
        <v>45989.4021990741</v>
      </c>
      <c r="F3749" s="0" t="n">
        <v>8.5</v>
      </c>
      <c r="G3749" s="0" t="n">
        <v>17001</v>
      </c>
      <c r="H3749" s="6" t="s">
        <v>74</v>
      </c>
      <c r="I3749" s="6" t="n">
        <f aca="false">D3749*F3749</f>
        <v>289</v>
      </c>
      <c r="J3749" s="6" t="n">
        <f aca="false">HOUR(E3749)</f>
        <v>9</v>
      </c>
      <c r="K3749" s="6" t="n">
        <f aca="false">IF(COUNTIF($A$2:$A3749,A3749)=1,1,0)</f>
        <v>0</v>
      </c>
    </row>
    <row r="3750" customFormat="false" ht="15" hidden="false" customHeight="false" outlineLevel="0" collapsed="false">
      <c r="A3750" s="0" t="s">
        <v>805</v>
      </c>
      <c r="B3750" s="0" t="s">
        <v>114</v>
      </c>
      <c r="C3750" s="0" t="s">
        <v>115</v>
      </c>
      <c r="D3750" s="0" t="n">
        <v>24</v>
      </c>
      <c r="E3750" s="5" t="n">
        <v>45989.4021990741</v>
      </c>
      <c r="F3750" s="0" t="n">
        <v>2.08</v>
      </c>
      <c r="G3750" s="0" t="n">
        <v>17001</v>
      </c>
      <c r="H3750" s="6" t="s">
        <v>74</v>
      </c>
      <c r="I3750" s="6" t="n">
        <f aca="false">D3750*F3750</f>
        <v>49.92</v>
      </c>
      <c r="J3750" s="6" t="n">
        <f aca="false">HOUR(E3750)</f>
        <v>9</v>
      </c>
      <c r="K3750" s="6" t="n">
        <f aca="false">IF(COUNTIF($A$2:$A3750,A3750)=1,1,0)</f>
        <v>0</v>
      </c>
    </row>
    <row r="3751" customFormat="false" ht="15" hidden="false" customHeight="false" outlineLevel="0" collapsed="false">
      <c r="A3751" s="0" t="s">
        <v>806</v>
      </c>
      <c r="B3751" s="0" t="s">
        <v>88</v>
      </c>
      <c r="C3751" s="0" t="s">
        <v>89</v>
      </c>
      <c r="D3751" s="0" t="n">
        <v>2</v>
      </c>
      <c r="E3751" s="5" t="n">
        <v>45989.4082523148</v>
      </c>
      <c r="F3751" s="0" t="n">
        <v>2.75</v>
      </c>
      <c r="G3751" s="0" t="n">
        <v>17235</v>
      </c>
      <c r="H3751" s="6" t="s">
        <v>42</v>
      </c>
      <c r="I3751" s="6" t="n">
        <f aca="false">D3751*F3751</f>
        <v>5.5</v>
      </c>
      <c r="J3751" s="6" t="n">
        <f aca="false">HOUR(E3751)</f>
        <v>9</v>
      </c>
      <c r="K3751" s="6" t="n">
        <f aca="false">IF(COUNTIF($A$2:$A3751,A3751)=1,1,0)</f>
        <v>1</v>
      </c>
    </row>
    <row r="3752" customFormat="false" ht="15" hidden="false" customHeight="false" outlineLevel="0" collapsed="false">
      <c r="A3752" s="0" t="s">
        <v>806</v>
      </c>
      <c r="B3752" s="0" t="s">
        <v>145</v>
      </c>
      <c r="C3752" s="0" t="s">
        <v>146</v>
      </c>
      <c r="D3752" s="0" t="n">
        <v>21</v>
      </c>
      <c r="E3752" s="5" t="n">
        <v>45989.4082523148</v>
      </c>
      <c r="F3752" s="0" t="n">
        <v>1.85</v>
      </c>
      <c r="G3752" s="0" t="n">
        <v>17235</v>
      </c>
      <c r="H3752" s="6" t="s">
        <v>42</v>
      </c>
      <c r="I3752" s="6" t="n">
        <f aca="false">D3752*F3752</f>
        <v>38.85</v>
      </c>
      <c r="J3752" s="6" t="n">
        <f aca="false">HOUR(E3752)</f>
        <v>9</v>
      </c>
      <c r="K3752" s="6" t="n">
        <f aca="false">IF(COUNTIF($A$2:$A3752,A3752)=1,1,0)</f>
        <v>0</v>
      </c>
    </row>
    <row r="3753" customFormat="false" ht="15" hidden="false" customHeight="false" outlineLevel="0" collapsed="false">
      <c r="A3753" s="0" t="s">
        <v>806</v>
      </c>
      <c r="B3753" s="0" t="s">
        <v>69</v>
      </c>
      <c r="C3753" s="0" t="s">
        <v>70</v>
      </c>
      <c r="D3753" s="0" t="n">
        <v>43</v>
      </c>
      <c r="E3753" s="5" t="n">
        <v>45989.4082523148</v>
      </c>
      <c r="F3753" s="0" t="n">
        <v>2.08</v>
      </c>
      <c r="G3753" s="0" t="n">
        <v>17235</v>
      </c>
      <c r="H3753" s="6" t="s">
        <v>42</v>
      </c>
      <c r="I3753" s="6" t="n">
        <f aca="false">D3753*F3753</f>
        <v>89.44</v>
      </c>
      <c r="J3753" s="6" t="n">
        <f aca="false">HOUR(E3753)</f>
        <v>9</v>
      </c>
      <c r="K3753" s="6" t="n">
        <f aca="false">IF(COUNTIF($A$2:$A3753,A3753)=1,1,0)</f>
        <v>0</v>
      </c>
    </row>
    <row r="3754" customFormat="false" ht="15" hidden="false" customHeight="false" outlineLevel="0" collapsed="false">
      <c r="A3754" s="0" t="s">
        <v>806</v>
      </c>
      <c r="B3754" s="0" t="s">
        <v>57</v>
      </c>
      <c r="C3754" s="0" t="s">
        <v>58</v>
      </c>
      <c r="D3754" s="0" t="n">
        <v>15</v>
      </c>
      <c r="E3754" s="5" t="n">
        <v>45989.4082523148</v>
      </c>
      <c r="F3754" s="0" t="n">
        <v>2.08</v>
      </c>
      <c r="G3754" s="0" t="n">
        <v>17235</v>
      </c>
      <c r="H3754" s="6" t="s">
        <v>42</v>
      </c>
      <c r="I3754" s="6" t="n">
        <f aca="false">D3754*F3754</f>
        <v>31.2</v>
      </c>
      <c r="J3754" s="6" t="n">
        <f aca="false">HOUR(E3754)</f>
        <v>9</v>
      </c>
      <c r="K3754" s="6" t="n">
        <f aca="false">IF(COUNTIF($A$2:$A3754,A3754)=1,1,0)</f>
        <v>0</v>
      </c>
    </row>
    <row r="3755" customFormat="false" ht="15" hidden="false" customHeight="false" outlineLevel="0" collapsed="false">
      <c r="A3755" s="0" t="s">
        <v>806</v>
      </c>
      <c r="B3755" s="0" t="s">
        <v>83</v>
      </c>
      <c r="C3755" s="0" t="s">
        <v>84</v>
      </c>
      <c r="D3755" s="0" t="n">
        <v>22</v>
      </c>
      <c r="E3755" s="5" t="n">
        <v>45989.4082523148</v>
      </c>
      <c r="F3755" s="0" t="n">
        <v>2.95</v>
      </c>
      <c r="G3755" s="0" t="n">
        <v>17235</v>
      </c>
      <c r="H3755" s="6" t="s">
        <v>42</v>
      </c>
      <c r="I3755" s="6" t="n">
        <f aca="false">D3755*F3755</f>
        <v>64.9</v>
      </c>
      <c r="J3755" s="6" t="n">
        <f aca="false">HOUR(E3755)</f>
        <v>9</v>
      </c>
      <c r="K3755" s="6" t="n">
        <f aca="false">IF(COUNTIF($A$2:$A3755,A3755)=1,1,0)</f>
        <v>0</v>
      </c>
    </row>
    <row r="3756" customFormat="false" ht="15" hidden="false" customHeight="false" outlineLevel="0" collapsed="false">
      <c r="A3756" s="0" t="s">
        <v>806</v>
      </c>
      <c r="B3756" s="0" t="s">
        <v>99</v>
      </c>
      <c r="C3756" s="0" t="s">
        <v>100</v>
      </c>
      <c r="D3756" s="0" t="n">
        <v>24</v>
      </c>
      <c r="E3756" s="5" t="n">
        <v>45989.4082523148</v>
      </c>
      <c r="F3756" s="0" t="n">
        <v>2.08</v>
      </c>
      <c r="G3756" s="0" t="n">
        <v>17235</v>
      </c>
      <c r="H3756" s="6" t="s">
        <v>42</v>
      </c>
      <c r="I3756" s="6" t="n">
        <f aca="false">D3756*F3756</f>
        <v>49.92</v>
      </c>
      <c r="J3756" s="6" t="n">
        <f aca="false">HOUR(E3756)</f>
        <v>9</v>
      </c>
      <c r="K3756" s="6" t="n">
        <f aca="false">IF(COUNTIF($A$2:$A3756,A3756)=1,1,0)</f>
        <v>0</v>
      </c>
    </row>
    <row r="3757" customFormat="false" ht="15" hidden="false" customHeight="false" outlineLevel="0" collapsed="false">
      <c r="A3757" s="0" t="s">
        <v>806</v>
      </c>
      <c r="B3757" s="0" t="s">
        <v>77</v>
      </c>
      <c r="C3757" s="0" t="s">
        <v>78</v>
      </c>
      <c r="D3757" s="0" t="n">
        <v>4</v>
      </c>
      <c r="E3757" s="5" t="n">
        <v>45989.4082523148</v>
      </c>
      <c r="F3757" s="0" t="n">
        <v>1.65</v>
      </c>
      <c r="G3757" s="0" t="n">
        <v>17235</v>
      </c>
      <c r="H3757" s="6" t="s">
        <v>42</v>
      </c>
      <c r="I3757" s="6" t="n">
        <f aca="false">D3757*F3757</f>
        <v>6.6</v>
      </c>
      <c r="J3757" s="6" t="n">
        <f aca="false">HOUR(E3757)</f>
        <v>9</v>
      </c>
      <c r="K3757" s="6" t="n">
        <f aca="false">IF(COUNTIF($A$2:$A3757,A3757)=1,1,0)</f>
        <v>0</v>
      </c>
    </row>
    <row r="3758" customFormat="false" ht="15" hidden="false" customHeight="false" outlineLevel="0" collapsed="false">
      <c r="A3758" s="0" t="s">
        <v>806</v>
      </c>
      <c r="B3758" s="0" t="s">
        <v>95</v>
      </c>
      <c r="C3758" s="0" t="s">
        <v>96</v>
      </c>
      <c r="D3758" s="0" t="n">
        <v>20</v>
      </c>
      <c r="E3758" s="5" t="n">
        <v>45989.4082523148</v>
      </c>
      <c r="F3758" s="0" t="n">
        <v>2.55</v>
      </c>
      <c r="G3758" s="0" t="n">
        <v>17235</v>
      </c>
      <c r="H3758" s="6" t="s">
        <v>42</v>
      </c>
      <c r="I3758" s="6" t="n">
        <f aca="false">D3758*F3758</f>
        <v>51</v>
      </c>
      <c r="J3758" s="6" t="n">
        <f aca="false">HOUR(E3758)</f>
        <v>9</v>
      </c>
      <c r="K3758" s="6" t="n">
        <f aca="false">IF(COUNTIF($A$2:$A3758,A3758)=1,1,0)</f>
        <v>0</v>
      </c>
    </row>
    <row r="3759" customFormat="false" ht="15" hidden="false" customHeight="false" outlineLevel="0" collapsed="false">
      <c r="A3759" s="0" t="s">
        <v>806</v>
      </c>
      <c r="B3759" s="0" t="s">
        <v>127</v>
      </c>
      <c r="C3759" s="0" t="s">
        <v>128</v>
      </c>
      <c r="D3759" s="0" t="n">
        <v>3</v>
      </c>
      <c r="E3759" s="5" t="n">
        <v>45989.4082523148</v>
      </c>
      <c r="F3759" s="0" t="n">
        <v>1.45</v>
      </c>
      <c r="G3759" s="0" t="n">
        <v>17235</v>
      </c>
      <c r="H3759" s="6" t="s">
        <v>42</v>
      </c>
      <c r="I3759" s="6" t="n">
        <f aca="false">D3759*F3759</f>
        <v>4.35</v>
      </c>
      <c r="J3759" s="6" t="n">
        <f aca="false">HOUR(E3759)</f>
        <v>9</v>
      </c>
      <c r="K3759" s="6" t="n">
        <f aca="false">IF(COUNTIF($A$2:$A3759,A3759)=1,1,0)</f>
        <v>0</v>
      </c>
    </row>
    <row r="3760" customFormat="false" ht="15" hidden="false" customHeight="false" outlineLevel="0" collapsed="false">
      <c r="A3760" s="0" t="s">
        <v>806</v>
      </c>
      <c r="B3760" s="0" t="s">
        <v>91</v>
      </c>
      <c r="C3760" s="0" t="s">
        <v>92</v>
      </c>
      <c r="D3760" s="0" t="n">
        <v>4</v>
      </c>
      <c r="E3760" s="5" t="n">
        <v>45989.4082523148</v>
      </c>
      <c r="F3760" s="0" t="n">
        <v>7.65</v>
      </c>
      <c r="G3760" s="0" t="n">
        <v>17235</v>
      </c>
      <c r="H3760" s="6" t="s">
        <v>42</v>
      </c>
      <c r="I3760" s="6" t="n">
        <f aca="false">D3760*F3760</f>
        <v>30.6</v>
      </c>
      <c r="J3760" s="6" t="n">
        <f aca="false">HOUR(E3760)</f>
        <v>9</v>
      </c>
      <c r="K3760" s="6" t="n">
        <f aca="false">IF(COUNTIF($A$2:$A3760,A3760)=1,1,0)</f>
        <v>0</v>
      </c>
    </row>
    <row r="3761" customFormat="false" ht="15" hidden="false" customHeight="false" outlineLevel="0" collapsed="false">
      <c r="A3761" s="0" t="s">
        <v>807</v>
      </c>
      <c r="B3761" s="0" t="s">
        <v>86</v>
      </c>
      <c r="C3761" s="0" t="s">
        <v>87</v>
      </c>
      <c r="D3761" s="0" t="n">
        <v>2</v>
      </c>
      <c r="E3761" s="5" t="n">
        <v>45989.4840046296</v>
      </c>
      <c r="F3761" s="0" t="n">
        <v>4.25</v>
      </c>
      <c r="G3761" s="0" t="n">
        <v>17116</v>
      </c>
      <c r="H3761" s="6" t="s">
        <v>74</v>
      </c>
      <c r="I3761" s="6" t="n">
        <f aca="false">D3761*F3761</f>
        <v>8.5</v>
      </c>
      <c r="J3761" s="6" t="n">
        <f aca="false">HOUR(E3761)</f>
        <v>11</v>
      </c>
      <c r="K3761" s="6" t="n">
        <f aca="false">IF(COUNTIF($A$2:$A3761,A3761)=1,1,0)</f>
        <v>1</v>
      </c>
    </row>
    <row r="3762" customFormat="false" ht="15" hidden="false" customHeight="false" outlineLevel="0" collapsed="false">
      <c r="A3762" s="0" t="s">
        <v>807</v>
      </c>
      <c r="B3762" s="0" t="s">
        <v>118</v>
      </c>
      <c r="C3762" s="0" t="s">
        <v>119</v>
      </c>
      <c r="D3762" s="0" t="n">
        <v>11</v>
      </c>
      <c r="E3762" s="5" t="n">
        <v>45989.4840046296</v>
      </c>
      <c r="F3762" s="0" t="n">
        <v>4.95</v>
      </c>
      <c r="G3762" s="0" t="n">
        <v>17116</v>
      </c>
      <c r="H3762" s="6" t="s">
        <v>74</v>
      </c>
      <c r="I3762" s="6" t="n">
        <f aca="false">D3762*F3762</f>
        <v>54.45</v>
      </c>
      <c r="J3762" s="6" t="n">
        <f aca="false">HOUR(E3762)</f>
        <v>11</v>
      </c>
      <c r="K3762" s="6" t="n">
        <f aca="false">IF(COUNTIF($A$2:$A3762,A3762)=1,1,0)</f>
        <v>0</v>
      </c>
    </row>
    <row r="3763" customFormat="false" ht="15" hidden="false" customHeight="false" outlineLevel="0" collapsed="false">
      <c r="A3763" s="0" t="s">
        <v>807</v>
      </c>
      <c r="B3763" s="0" t="s">
        <v>72</v>
      </c>
      <c r="C3763" s="0" t="s">
        <v>73</v>
      </c>
      <c r="D3763" s="0" t="n">
        <v>10</v>
      </c>
      <c r="E3763" s="5" t="n">
        <v>45989.4840046296</v>
      </c>
      <c r="F3763" s="0" t="n">
        <v>4.95</v>
      </c>
      <c r="G3763" s="0" t="n">
        <v>17116</v>
      </c>
      <c r="H3763" s="6" t="s">
        <v>74</v>
      </c>
      <c r="I3763" s="6" t="n">
        <f aca="false">D3763*F3763</f>
        <v>49.5</v>
      </c>
      <c r="J3763" s="6" t="n">
        <f aca="false">HOUR(E3763)</f>
        <v>11</v>
      </c>
      <c r="K3763" s="6" t="n">
        <f aca="false">IF(COUNTIF($A$2:$A3763,A3763)=1,1,0)</f>
        <v>0</v>
      </c>
    </row>
    <row r="3764" customFormat="false" ht="15" hidden="false" customHeight="false" outlineLevel="0" collapsed="false">
      <c r="A3764" s="0" t="s">
        <v>807</v>
      </c>
      <c r="B3764" s="0" t="s">
        <v>88</v>
      </c>
      <c r="C3764" s="0" t="s">
        <v>89</v>
      </c>
      <c r="D3764" s="0" t="n">
        <v>18</v>
      </c>
      <c r="E3764" s="5" t="n">
        <v>45989.4840046296</v>
      </c>
      <c r="F3764" s="0" t="n">
        <v>2.75</v>
      </c>
      <c r="G3764" s="0" t="n">
        <v>17116</v>
      </c>
      <c r="H3764" s="6" t="s">
        <v>74</v>
      </c>
      <c r="I3764" s="6" t="n">
        <f aca="false">D3764*F3764</f>
        <v>49.5</v>
      </c>
      <c r="J3764" s="6" t="n">
        <f aca="false">HOUR(E3764)</f>
        <v>11</v>
      </c>
      <c r="K3764" s="6" t="n">
        <f aca="false">IF(COUNTIF($A$2:$A3764,A3764)=1,1,0)</f>
        <v>0</v>
      </c>
    </row>
    <row r="3765" customFormat="false" ht="15" hidden="false" customHeight="false" outlineLevel="0" collapsed="false">
      <c r="A3765" s="0" t="s">
        <v>808</v>
      </c>
      <c r="B3765" s="0" t="s">
        <v>127</v>
      </c>
      <c r="C3765" s="0" t="s">
        <v>128</v>
      </c>
      <c r="D3765" s="0" t="n">
        <v>18</v>
      </c>
      <c r="E3765" s="5" t="n">
        <v>45989.5478472222</v>
      </c>
      <c r="F3765" s="0" t="n">
        <v>1.45</v>
      </c>
      <c r="G3765" s="0" t="n">
        <v>17100</v>
      </c>
      <c r="H3765" s="6" t="s">
        <v>113</v>
      </c>
      <c r="I3765" s="6" t="n">
        <f aca="false">D3765*F3765</f>
        <v>26.1</v>
      </c>
      <c r="J3765" s="6" t="n">
        <f aca="false">HOUR(E3765)</f>
        <v>13</v>
      </c>
      <c r="K3765" s="6" t="n">
        <f aca="false">IF(COUNTIF($A$2:$A3765,A3765)=1,1,0)</f>
        <v>1</v>
      </c>
    </row>
    <row r="3766" customFormat="false" ht="15" hidden="false" customHeight="false" outlineLevel="0" collapsed="false">
      <c r="A3766" s="0" t="s">
        <v>809</v>
      </c>
      <c r="B3766" s="0" t="s">
        <v>43</v>
      </c>
      <c r="C3766" s="0" t="s">
        <v>44</v>
      </c>
      <c r="D3766" s="0" t="n">
        <v>21</v>
      </c>
      <c r="E3766" s="5" t="n">
        <v>45989.5585648148</v>
      </c>
      <c r="F3766" s="0" t="n">
        <v>4.25</v>
      </c>
      <c r="G3766" s="0" t="n">
        <v>17018</v>
      </c>
      <c r="H3766" s="6" t="s">
        <v>74</v>
      </c>
      <c r="I3766" s="6" t="n">
        <f aca="false">D3766*F3766</f>
        <v>89.25</v>
      </c>
      <c r="J3766" s="6" t="n">
        <f aca="false">HOUR(E3766)</f>
        <v>13</v>
      </c>
      <c r="K3766" s="6" t="n">
        <f aca="false">IF(COUNTIF($A$2:$A3766,A3766)=1,1,0)</f>
        <v>1</v>
      </c>
    </row>
    <row r="3767" customFormat="false" ht="15" hidden="false" customHeight="false" outlineLevel="0" collapsed="false">
      <c r="A3767" s="0" t="s">
        <v>809</v>
      </c>
      <c r="B3767" s="0" t="s">
        <v>99</v>
      </c>
      <c r="C3767" s="0" t="s">
        <v>100</v>
      </c>
      <c r="D3767" s="0" t="n">
        <v>2</v>
      </c>
      <c r="E3767" s="5" t="n">
        <v>45989.5585648148</v>
      </c>
      <c r="F3767" s="0" t="n">
        <v>2.08</v>
      </c>
      <c r="G3767" s="0" t="n">
        <v>17018</v>
      </c>
      <c r="H3767" s="6" t="s">
        <v>74</v>
      </c>
      <c r="I3767" s="6" t="n">
        <f aca="false">D3767*F3767</f>
        <v>4.16</v>
      </c>
      <c r="J3767" s="6" t="n">
        <f aca="false">HOUR(E3767)</f>
        <v>13</v>
      </c>
      <c r="K3767" s="6" t="n">
        <f aca="false">IF(COUNTIF($A$2:$A3767,A3767)=1,1,0)</f>
        <v>0</v>
      </c>
    </row>
    <row r="3768" customFormat="false" ht="15" hidden="false" customHeight="false" outlineLevel="0" collapsed="false">
      <c r="A3768" s="0" t="s">
        <v>809</v>
      </c>
      <c r="B3768" s="0" t="s">
        <v>72</v>
      </c>
      <c r="C3768" s="0" t="s">
        <v>73</v>
      </c>
      <c r="D3768" s="0" t="n">
        <v>27</v>
      </c>
      <c r="E3768" s="5" t="n">
        <v>45989.5585648148</v>
      </c>
      <c r="F3768" s="0" t="n">
        <v>4.95</v>
      </c>
      <c r="G3768" s="0" t="n">
        <v>17018</v>
      </c>
      <c r="H3768" s="6" t="s">
        <v>74</v>
      </c>
      <c r="I3768" s="6" t="n">
        <f aca="false">D3768*F3768</f>
        <v>133.65</v>
      </c>
      <c r="J3768" s="6" t="n">
        <f aca="false">HOUR(E3768)</f>
        <v>13</v>
      </c>
      <c r="K3768" s="6" t="n">
        <f aca="false">IF(COUNTIF($A$2:$A3768,A3768)=1,1,0)</f>
        <v>0</v>
      </c>
    </row>
    <row r="3769" customFormat="false" ht="15" hidden="false" customHeight="false" outlineLevel="0" collapsed="false">
      <c r="A3769" s="0" t="s">
        <v>809</v>
      </c>
      <c r="B3769" s="0" t="s">
        <v>79</v>
      </c>
      <c r="C3769" s="0" t="s">
        <v>80</v>
      </c>
      <c r="D3769" s="0" t="n">
        <v>16</v>
      </c>
      <c r="E3769" s="5" t="n">
        <v>45989.5585648148</v>
      </c>
      <c r="F3769" s="0" t="n">
        <v>3.39</v>
      </c>
      <c r="G3769" s="0" t="n">
        <v>17018</v>
      </c>
      <c r="H3769" s="6" t="s">
        <v>74</v>
      </c>
      <c r="I3769" s="6" t="n">
        <f aca="false">D3769*F3769</f>
        <v>54.24</v>
      </c>
      <c r="J3769" s="6" t="n">
        <f aca="false">HOUR(E3769)</f>
        <v>13</v>
      </c>
      <c r="K3769" s="6" t="n">
        <f aca="false">IF(COUNTIF($A$2:$A3769,A3769)=1,1,0)</f>
        <v>0</v>
      </c>
    </row>
    <row r="3770" customFormat="false" ht="15" hidden="false" customHeight="false" outlineLevel="0" collapsed="false">
      <c r="A3770" s="0" t="s">
        <v>809</v>
      </c>
      <c r="B3770" s="0" t="s">
        <v>107</v>
      </c>
      <c r="C3770" s="0" t="s">
        <v>108</v>
      </c>
      <c r="D3770" s="0" t="n">
        <v>1</v>
      </c>
      <c r="E3770" s="5" t="n">
        <v>45989.5585648148</v>
      </c>
      <c r="F3770" s="0" t="n">
        <v>3.75</v>
      </c>
      <c r="G3770" s="0" t="n">
        <v>17018</v>
      </c>
      <c r="H3770" s="6" t="s">
        <v>74</v>
      </c>
      <c r="I3770" s="6" t="n">
        <f aca="false">D3770*F3770</f>
        <v>3.75</v>
      </c>
      <c r="J3770" s="6" t="n">
        <f aca="false">HOUR(E3770)</f>
        <v>13</v>
      </c>
      <c r="K3770" s="6" t="n">
        <f aca="false">IF(COUNTIF($A$2:$A3770,A3770)=1,1,0)</f>
        <v>0</v>
      </c>
    </row>
    <row r="3771" customFormat="false" ht="15" hidden="false" customHeight="false" outlineLevel="0" collapsed="false">
      <c r="A3771" s="0" t="s">
        <v>809</v>
      </c>
      <c r="B3771" s="0" t="s">
        <v>95</v>
      </c>
      <c r="C3771" s="0" t="s">
        <v>96</v>
      </c>
      <c r="D3771" s="0" t="n">
        <v>11</v>
      </c>
      <c r="E3771" s="5" t="n">
        <v>45989.5585648148</v>
      </c>
      <c r="F3771" s="0" t="n">
        <v>2.55</v>
      </c>
      <c r="G3771" s="0" t="n">
        <v>17018</v>
      </c>
      <c r="H3771" s="6" t="s">
        <v>74</v>
      </c>
      <c r="I3771" s="6" t="n">
        <f aca="false">D3771*F3771</f>
        <v>28.05</v>
      </c>
      <c r="J3771" s="6" t="n">
        <f aca="false">HOUR(E3771)</f>
        <v>13</v>
      </c>
      <c r="K3771" s="6" t="n">
        <f aca="false">IF(COUNTIF($A$2:$A3771,A3771)=1,1,0)</f>
        <v>0</v>
      </c>
    </row>
    <row r="3772" customFormat="false" ht="15" hidden="false" customHeight="false" outlineLevel="0" collapsed="false">
      <c r="A3772" s="0" t="s">
        <v>809</v>
      </c>
      <c r="B3772" s="0" t="s">
        <v>125</v>
      </c>
      <c r="C3772" s="0" t="s">
        <v>126</v>
      </c>
      <c r="D3772" s="0" t="n">
        <v>4</v>
      </c>
      <c r="E3772" s="5" t="n">
        <v>45989.5585648148</v>
      </c>
      <c r="F3772" s="0" t="n">
        <v>1.25</v>
      </c>
      <c r="G3772" s="0" t="n">
        <v>17018</v>
      </c>
      <c r="H3772" s="6" t="s">
        <v>74</v>
      </c>
      <c r="I3772" s="6" t="n">
        <f aca="false">D3772*F3772</f>
        <v>5</v>
      </c>
      <c r="J3772" s="6" t="n">
        <f aca="false">HOUR(E3772)</f>
        <v>13</v>
      </c>
      <c r="K3772" s="6" t="n">
        <f aca="false">IF(COUNTIF($A$2:$A3772,A3772)=1,1,0)</f>
        <v>0</v>
      </c>
    </row>
    <row r="3773" customFormat="false" ht="15" hidden="false" customHeight="false" outlineLevel="0" collapsed="false">
      <c r="A3773" s="0" t="s">
        <v>809</v>
      </c>
      <c r="B3773" s="0" t="s">
        <v>47</v>
      </c>
      <c r="C3773" s="0" t="s">
        <v>48</v>
      </c>
      <c r="D3773" s="0" t="n">
        <v>13</v>
      </c>
      <c r="E3773" s="5" t="n">
        <v>45989.5585648148</v>
      </c>
      <c r="F3773" s="0" t="n">
        <v>12.75</v>
      </c>
      <c r="G3773" s="0" t="n">
        <v>17018</v>
      </c>
      <c r="H3773" s="6" t="s">
        <v>74</v>
      </c>
      <c r="I3773" s="6" t="n">
        <f aca="false">D3773*F3773</f>
        <v>165.75</v>
      </c>
      <c r="J3773" s="6" t="n">
        <f aca="false">HOUR(E3773)</f>
        <v>13</v>
      </c>
      <c r="K3773" s="6" t="n">
        <f aca="false">IF(COUNTIF($A$2:$A3773,A3773)=1,1,0)</f>
        <v>0</v>
      </c>
    </row>
    <row r="3774" customFormat="false" ht="15" hidden="false" customHeight="false" outlineLevel="0" collapsed="false">
      <c r="A3774" s="0" t="s">
        <v>810</v>
      </c>
      <c r="B3774" s="0" t="s">
        <v>109</v>
      </c>
      <c r="C3774" s="0" t="s">
        <v>110</v>
      </c>
      <c r="D3774" s="0" t="n">
        <v>6</v>
      </c>
      <c r="E3774" s="5" t="n">
        <v>45989.5590509259</v>
      </c>
      <c r="F3774" s="0" t="n">
        <v>0.85</v>
      </c>
      <c r="G3774" s="0" t="n">
        <v>17037</v>
      </c>
      <c r="H3774" s="6" t="s">
        <v>42</v>
      </c>
      <c r="I3774" s="6" t="n">
        <f aca="false">D3774*F3774</f>
        <v>5.1</v>
      </c>
      <c r="J3774" s="6" t="n">
        <f aca="false">HOUR(E3774)</f>
        <v>13</v>
      </c>
      <c r="K3774" s="6" t="n">
        <f aca="false">IF(COUNTIF($A$2:$A3774,A3774)=1,1,0)</f>
        <v>1</v>
      </c>
    </row>
    <row r="3775" customFormat="false" ht="15" hidden="false" customHeight="false" outlineLevel="0" collapsed="false">
      <c r="A3775" s="0" t="s">
        <v>810</v>
      </c>
      <c r="B3775" s="0" t="s">
        <v>83</v>
      </c>
      <c r="C3775" s="0" t="s">
        <v>84</v>
      </c>
      <c r="D3775" s="0" t="n">
        <v>21</v>
      </c>
      <c r="E3775" s="5" t="n">
        <v>45989.5590509259</v>
      </c>
      <c r="F3775" s="0" t="n">
        <v>2.95</v>
      </c>
      <c r="G3775" s="0" t="n">
        <v>17037</v>
      </c>
      <c r="H3775" s="6" t="s">
        <v>42</v>
      </c>
      <c r="I3775" s="6" t="n">
        <f aca="false">D3775*F3775</f>
        <v>61.95</v>
      </c>
      <c r="J3775" s="6" t="n">
        <f aca="false">HOUR(E3775)</f>
        <v>13</v>
      </c>
      <c r="K3775" s="6" t="n">
        <f aca="false">IF(COUNTIF($A$2:$A3775,A3775)=1,1,0)</f>
        <v>0</v>
      </c>
    </row>
    <row r="3776" customFormat="false" ht="15" hidden="false" customHeight="false" outlineLevel="0" collapsed="false">
      <c r="A3776" s="0" t="s">
        <v>810</v>
      </c>
      <c r="B3776" s="0" t="s">
        <v>127</v>
      </c>
      <c r="C3776" s="0" t="s">
        <v>128</v>
      </c>
      <c r="D3776" s="0" t="n">
        <v>20</v>
      </c>
      <c r="E3776" s="5" t="n">
        <v>45989.5590509259</v>
      </c>
      <c r="F3776" s="0" t="n">
        <v>1.45</v>
      </c>
      <c r="G3776" s="0" t="n">
        <v>17037</v>
      </c>
      <c r="H3776" s="6" t="s">
        <v>42</v>
      </c>
      <c r="I3776" s="6" t="n">
        <f aca="false">D3776*F3776</f>
        <v>29</v>
      </c>
      <c r="J3776" s="6" t="n">
        <f aca="false">HOUR(E3776)</f>
        <v>13</v>
      </c>
      <c r="K3776" s="6" t="n">
        <f aca="false">IF(COUNTIF($A$2:$A3776,A3776)=1,1,0)</f>
        <v>0</v>
      </c>
    </row>
    <row r="3777" customFormat="false" ht="15" hidden="false" customHeight="false" outlineLevel="0" collapsed="false">
      <c r="A3777" s="0" t="s">
        <v>811</v>
      </c>
      <c r="B3777" s="0" t="s">
        <v>40</v>
      </c>
      <c r="C3777" s="0" t="s">
        <v>41</v>
      </c>
      <c r="D3777" s="0" t="n">
        <v>19</v>
      </c>
      <c r="E3777" s="5" t="n">
        <v>45989.563275463</v>
      </c>
      <c r="F3777" s="0" t="n">
        <v>1.06</v>
      </c>
      <c r="G3777" s="0" t="n">
        <v>17047</v>
      </c>
      <c r="H3777" s="6" t="s">
        <v>74</v>
      </c>
      <c r="I3777" s="6" t="n">
        <f aca="false">D3777*F3777</f>
        <v>20.14</v>
      </c>
      <c r="J3777" s="6" t="n">
        <f aca="false">HOUR(E3777)</f>
        <v>13</v>
      </c>
      <c r="K3777" s="6" t="n">
        <f aca="false">IF(COUNTIF($A$2:$A3777,A3777)=1,1,0)</f>
        <v>1</v>
      </c>
    </row>
    <row r="3778" customFormat="false" ht="15" hidden="false" customHeight="false" outlineLevel="0" collapsed="false">
      <c r="A3778" s="0" t="s">
        <v>811</v>
      </c>
      <c r="B3778" s="0" t="s">
        <v>121</v>
      </c>
      <c r="C3778" s="0" t="s">
        <v>122</v>
      </c>
      <c r="D3778" s="0" t="n">
        <v>1</v>
      </c>
      <c r="E3778" s="5" t="n">
        <v>45989.563275463</v>
      </c>
      <c r="F3778" s="0" t="n">
        <v>2.1</v>
      </c>
      <c r="G3778" s="0" t="n">
        <v>17047</v>
      </c>
      <c r="H3778" s="6" t="s">
        <v>74</v>
      </c>
      <c r="I3778" s="6" t="n">
        <f aca="false">D3778*F3778</f>
        <v>2.1</v>
      </c>
      <c r="J3778" s="6" t="n">
        <f aca="false">HOUR(E3778)</f>
        <v>13</v>
      </c>
      <c r="K3778" s="6" t="n">
        <f aca="false">IF(COUNTIF($A$2:$A3778,A3778)=1,1,0)</f>
        <v>0</v>
      </c>
    </row>
    <row r="3779" customFormat="false" ht="15" hidden="false" customHeight="false" outlineLevel="0" collapsed="false">
      <c r="A3779" s="0" t="s">
        <v>811</v>
      </c>
      <c r="B3779" s="0" t="s">
        <v>137</v>
      </c>
      <c r="C3779" s="0" t="s">
        <v>138</v>
      </c>
      <c r="D3779" s="0" t="n">
        <v>19</v>
      </c>
      <c r="E3779" s="5" t="n">
        <v>45989.563275463</v>
      </c>
      <c r="F3779" s="0" t="n">
        <v>2.1</v>
      </c>
      <c r="G3779" s="0" t="n">
        <v>17047</v>
      </c>
      <c r="H3779" s="6" t="s">
        <v>74</v>
      </c>
      <c r="I3779" s="6" t="n">
        <f aca="false">D3779*F3779</f>
        <v>39.9</v>
      </c>
      <c r="J3779" s="6" t="n">
        <f aca="false">HOUR(E3779)</f>
        <v>13</v>
      </c>
      <c r="K3779" s="6" t="n">
        <f aca="false">IF(COUNTIF($A$2:$A3779,A3779)=1,1,0)</f>
        <v>0</v>
      </c>
    </row>
    <row r="3780" customFormat="false" ht="15" hidden="false" customHeight="false" outlineLevel="0" collapsed="false">
      <c r="A3780" s="0" t="s">
        <v>811</v>
      </c>
      <c r="B3780" s="0" t="s">
        <v>61</v>
      </c>
      <c r="C3780" s="0" t="s">
        <v>62</v>
      </c>
      <c r="D3780" s="0" t="n">
        <v>19</v>
      </c>
      <c r="E3780" s="5" t="n">
        <v>45989.563275463</v>
      </c>
      <c r="F3780" s="0" t="n">
        <v>1.65</v>
      </c>
      <c r="G3780" s="0" t="n">
        <v>17047</v>
      </c>
      <c r="H3780" s="6" t="s">
        <v>74</v>
      </c>
      <c r="I3780" s="6" t="n">
        <f aca="false">D3780*F3780</f>
        <v>31.35</v>
      </c>
      <c r="J3780" s="6" t="n">
        <f aca="false">HOUR(E3780)</f>
        <v>13</v>
      </c>
      <c r="K3780" s="6" t="n">
        <f aca="false">IF(COUNTIF($A$2:$A3780,A3780)=1,1,0)</f>
        <v>0</v>
      </c>
    </row>
    <row r="3781" customFormat="false" ht="15" hidden="false" customHeight="false" outlineLevel="0" collapsed="false">
      <c r="A3781" s="0" t="s">
        <v>812</v>
      </c>
      <c r="B3781" s="0" t="s">
        <v>127</v>
      </c>
      <c r="C3781" s="0" t="s">
        <v>128</v>
      </c>
      <c r="D3781" s="0" t="n">
        <v>24</v>
      </c>
      <c r="E3781" s="5" t="n">
        <v>45989.6058680556</v>
      </c>
      <c r="F3781" s="0" t="n">
        <v>1.45</v>
      </c>
      <c r="G3781" s="0" t="n">
        <v>17115</v>
      </c>
      <c r="H3781" s="6" t="s">
        <v>113</v>
      </c>
      <c r="I3781" s="6" t="n">
        <f aca="false">D3781*F3781</f>
        <v>34.8</v>
      </c>
      <c r="J3781" s="6" t="n">
        <f aca="false">HOUR(E3781)</f>
        <v>14</v>
      </c>
      <c r="K3781" s="6" t="n">
        <f aca="false">IF(COUNTIF($A$2:$A3781,A3781)=1,1,0)</f>
        <v>1</v>
      </c>
    </row>
    <row r="3782" customFormat="false" ht="15" hidden="false" customHeight="false" outlineLevel="0" collapsed="false">
      <c r="A3782" s="0" t="s">
        <v>812</v>
      </c>
      <c r="B3782" s="0" t="s">
        <v>95</v>
      </c>
      <c r="C3782" s="0" t="s">
        <v>96</v>
      </c>
      <c r="D3782" s="0" t="n">
        <v>42</v>
      </c>
      <c r="E3782" s="5" t="n">
        <v>45989.6058680556</v>
      </c>
      <c r="F3782" s="0" t="n">
        <v>2.55</v>
      </c>
      <c r="G3782" s="0" t="n">
        <v>17115</v>
      </c>
      <c r="H3782" s="6" t="s">
        <v>113</v>
      </c>
      <c r="I3782" s="6" t="n">
        <f aca="false">D3782*F3782</f>
        <v>107.1</v>
      </c>
      <c r="J3782" s="6" t="n">
        <f aca="false">HOUR(E3782)</f>
        <v>14</v>
      </c>
      <c r="K3782" s="6" t="n">
        <f aca="false">IF(COUNTIF($A$2:$A3782,A3782)=1,1,0)</f>
        <v>0</v>
      </c>
    </row>
    <row r="3783" customFormat="false" ht="15" hidden="false" customHeight="false" outlineLevel="0" collapsed="false">
      <c r="A3783" s="0" t="s">
        <v>812</v>
      </c>
      <c r="B3783" s="0" t="s">
        <v>114</v>
      </c>
      <c r="C3783" s="0" t="s">
        <v>115</v>
      </c>
      <c r="D3783" s="0" t="n">
        <v>17</v>
      </c>
      <c r="E3783" s="5" t="n">
        <v>45989.6058680556</v>
      </c>
      <c r="F3783" s="0" t="n">
        <v>2.08</v>
      </c>
      <c r="G3783" s="0" t="n">
        <v>17115</v>
      </c>
      <c r="H3783" s="6" t="s">
        <v>113</v>
      </c>
      <c r="I3783" s="6" t="n">
        <f aca="false">D3783*F3783</f>
        <v>35.36</v>
      </c>
      <c r="J3783" s="6" t="n">
        <f aca="false">HOUR(E3783)</f>
        <v>14</v>
      </c>
      <c r="K3783" s="6" t="n">
        <f aca="false">IF(COUNTIF($A$2:$A3783,A3783)=1,1,0)</f>
        <v>0</v>
      </c>
    </row>
    <row r="3784" customFormat="false" ht="15" hidden="false" customHeight="false" outlineLevel="0" collapsed="false">
      <c r="A3784" s="0" t="s">
        <v>813</v>
      </c>
      <c r="B3784" s="0" t="s">
        <v>93</v>
      </c>
      <c r="C3784" s="0" t="s">
        <v>94</v>
      </c>
      <c r="D3784" s="0" t="n">
        <v>20</v>
      </c>
      <c r="E3784" s="5" t="n">
        <v>45989.6433796296</v>
      </c>
      <c r="F3784" s="0" t="n">
        <v>1.69</v>
      </c>
      <c r="H3784" s="6" t="s">
        <v>151</v>
      </c>
      <c r="I3784" s="6" t="n">
        <f aca="false">D3784*F3784</f>
        <v>33.8</v>
      </c>
      <c r="J3784" s="6" t="n">
        <f aca="false">HOUR(E3784)</f>
        <v>15</v>
      </c>
      <c r="K3784" s="6" t="n">
        <f aca="false">IF(COUNTIF($A$2:$A3784,A3784)=1,1,0)</f>
        <v>1</v>
      </c>
    </row>
    <row r="3785" customFormat="false" ht="15" hidden="false" customHeight="false" outlineLevel="0" collapsed="false">
      <c r="A3785" s="0" t="s">
        <v>813</v>
      </c>
      <c r="B3785" s="0" t="s">
        <v>137</v>
      </c>
      <c r="C3785" s="0" t="s">
        <v>138</v>
      </c>
      <c r="D3785" s="0" t="n">
        <v>6</v>
      </c>
      <c r="E3785" s="5" t="n">
        <v>45989.6433796296</v>
      </c>
      <c r="F3785" s="0" t="n">
        <v>2.1</v>
      </c>
      <c r="H3785" s="6" t="s">
        <v>151</v>
      </c>
      <c r="I3785" s="6" t="n">
        <f aca="false">D3785*F3785</f>
        <v>12.6</v>
      </c>
      <c r="J3785" s="6" t="n">
        <f aca="false">HOUR(E3785)</f>
        <v>15</v>
      </c>
      <c r="K3785" s="6" t="n">
        <f aca="false">IF(COUNTIF($A$2:$A3785,A3785)=1,1,0)</f>
        <v>0</v>
      </c>
    </row>
    <row r="3786" customFormat="false" ht="15" hidden="false" customHeight="false" outlineLevel="0" collapsed="false">
      <c r="A3786" s="0" t="s">
        <v>813</v>
      </c>
      <c r="B3786" s="0" t="s">
        <v>125</v>
      </c>
      <c r="C3786" s="0" t="s">
        <v>126</v>
      </c>
      <c r="D3786" s="0" t="n">
        <v>23</v>
      </c>
      <c r="E3786" s="5" t="n">
        <v>45989.6433796296</v>
      </c>
      <c r="F3786" s="0" t="n">
        <v>1.25</v>
      </c>
      <c r="H3786" s="6" t="s">
        <v>151</v>
      </c>
      <c r="I3786" s="6" t="n">
        <f aca="false">D3786*F3786</f>
        <v>28.75</v>
      </c>
      <c r="J3786" s="6" t="n">
        <f aca="false">HOUR(E3786)</f>
        <v>15</v>
      </c>
      <c r="K3786" s="6" t="n">
        <f aca="false">IF(COUNTIF($A$2:$A3786,A3786)=1,1,0)</f>
        <v>0</v>
      </c>
    </row>
    <row r="3787" customFormat="false" ht="15" hidden="false" customHeight="false" outlineLevel="0" collapsed="false">
      <c r="A3787" s="0" t="s">
        <v>813</v>
      </c>
      <c r="B3787" s="0" t="s">
        <v>47</v>
      </c>
      <c r="C3787" s="0" t="s">
        <v>48</v>
      </c>
      <c r="D3787" s="0" t="n">
        <v>17</v>
      </c>
      <c r="E3787" s="5" t="n">
        <v>45989.6433796296</v>
      </c>
      <c r="F3787" s="0" t="n">
        <v>12.75</v>
      </c>
      <c r="H3787" s="6" t="s">
        <v>151</v>
      </c>
      <c r="I3787" s="6" t="n">
        <f aca="false">D3787*F3787</f>
        <v>216.75</v>
      </c>
      <c r="J3787" s="6" t="n">
        <f aca="false">HOUR(E3787)</f>
        <v>15</v>
      </c>
      <c r="K3787" s="6" t="n">
        <f aca="false">IF(COUNTIF($A$2:$A3787,A3787)=1,1,0)</f>
        <v>0</v>
      </c>
    </row>
    <row r="3788" customFormat="false" ht="15" hidden="false" customHeight="false" outlineLevel="0" collapsed="false">
      <c r="A3788" s="0" t="s">
        <v>813</v>
      </c>
      <c r="B3788" s="0" t="s">
        <v>131</v>
      </c>
      <c r="C3788" s="0" t="s">
        <v>132</v>
      </c>
      <c r="D3788" s="0" t="n">
        <v>14</v>
      </c>
      <c r="E3788" s="5" t="n">
        <v>45989.6433796296</v>
      </c>
      <c r="F3788" s="0" t="n">
        <v>3.39</v>
      </c>
      <c r="H3788" s="6" t="s">
        <v>151</v>
      </c>
      <c r="I3788" s="6" t="n">
        <f aca="false">D3788*F3788</f>
        <v>47.46</v>
      </c>
      <c r="J3788" s="6" t="n">
        <f aca="false">HOUR(E3788)</f>
        <v>15</v>
      </c>
      <c r="K3788" s="6" t="n">
        <f aca="false">IF(COUNTIF($A$2:$A3788,A3788)=1,1,0)</f>
        <v>0</v>
      </c>
    </row>
    <row r="3789" customFormat="false" ht="15" hidden="false" customHeight="false" outlineLevel="0" collapsed="false">
      <c r="A3789" s="0" t="s">
        <v>813</v>
      </c>
      <c r="B3789" s="0" t="s">
        <v>45</v>
      </c>
      <c r="C3789" s="0" t="s">
        <v>46</v>
      </c>
      <c r="D3789" s="0" t="n">
        <v>3</v>
      </c>
      <c r="E3789" s="5" t="n">
        <v>45989.6433796296</v>
      </c>
      <c r="F3789" s="0" t="n">
        <v>2.1</v>
      </c>
      <c r="H3789" s="6" t="s">
        <v>151</v>
      </c>
      <c r="I3789" s="6" t="n">
        <f aca="false">D3789*F3789</f>
        <v>6.3</v>
      </c>
      <c r="J3789" s="6" t="n">
        <f aca="false">HOUR(E3789)</f>
        <v>15</v>
      </c>
      <c r="K3789" s="6" t="n">
        <f aca="false">IF(COUNTIF($A$2:$A3789,A3789)=1,1,0)</f>
        <v>0</v>
      </c>
    </row>
    <row r="3790" customFormat="false" ht="15" hidden="false" customHeight="false" outlineLevel="0" collapsed="false">
      <c r="A3790" s="0" t="s">
        <v>813</v>
      </c>
      <c r="B3790" s="0" t="s">
        <v>88</v>
      </c>
      <c r="C3790" s="0" t="s">
        <v>89</v>
      </c>
      <c r="D3790" s="0" t="n">
        <v>24</v>
      </c>
      <c r="E3790" s="5" t="n">
        <v>45989.6433796296</v>
      </c>
      <c r="F3790" s="0" t="n">
        <v>2.75</v>
      </c>
      <c r="H3790" s="6" t="s">
        <v>151</v>
      </c>
      <c r="I3790" s="6" t="n">
        <f aca="false">D3790*F3790</f>
        <v>66</v>
      </c>
      <c r="J3790" s="6" t="n">
        <f aca="false">HOUR(E3790)</f>
        <v>15</v>
      </c>
      <c r="K3790" s="6" t="n">
        <f aca="false">IF(COUNTIF($A$2:$A3790,A3790)=1,1,0)</f>
        <v>0</v>
      </c>
    </row>
    <row r="3791" customFormat="false" ht="15" hidden="false" customHeight="false" outlineLevel="0" collapsed="false">
      <c r="A3791" s="0" t="s">
        <v>813</v>
      </c>
      <c r="B3791" s="0" t="s">
        <v>65</v>
      </c>
      <c r="C3791" s="0" t="s">
        <v>66</v>
      </c>
      <c r="D3791" s="0" t="n">
        <v>2</v>
      </c>
      <c r="E3791" s="5" t="n">
        <v>45989.6433796296</v>
      </c>
      <c r="F3791" s="0" t="n">
        <v>1.65</v>
      </c>
      <c r="H3791" s="6" t="s">
        <v>151</v>
      </c>
      <c r="I3791" s="6" t="n">
        <f aca="false">D3791*F3791</f>
        <v>3.3</v>
      </c>
      <c r="J3791" s="6" t="n">
        <f aca="false">HOUR(E3791)</f>
        <v>15</v>
      </c>
      <c r="K3791" s="6" t="n">
        <f aca="false">IF(COUNTIF($A$2:$A3791,A3791)=1,1,0)</f>
        <v>0</v>
      </c>
    </row>
    <row r="3792" customFormat="false" ht="15" hidden="false" customHeight="false" outlineLevel="0" collapsed="false">
      <c r="A3792" s="0" t="s">
        <v>813</v>
      </c>
      <c r="B3792" s="0" t="s">
        <v>81</v>
      </c>
      <c r="C3792" s="0" t="s">
        <v>82</v>
      </c>
      <c r="D3792" s="0" t="n">
        <v>20</v>
      </c>
      <c r="E3792" s="5" t="n">
        <v>45989.6433796296</v>
      </c>
      <c r="F3792" s="0" t="n">
        <v>1.65</v>
      </c>
      <c r="H3792" s="6" t="s">
        <v>151</v>
      </c>
      <c r="I3792" s="6" t="n">
        <f aca="false">D3792*F3792</f>
        <v>33</v>
      </c>
      <c r="J3792" s="6" t="n">
        <f aca="false">HOUR(E3792)</f>
        <v>15</v>
      </c>
      <c r="K3792" s="6" t="n">
        <f aca="false">IF(COUNTIF($A$2:$A3792,A3792)=1,1,0)</f>
        <v>0</v>
      </c>
    </row>
    <row r="3793" customFormat="false" ht="15" hidden="false" customHeight="false" outlineLevel="0" collapsed="false">
      <c r="A3793" s="0" t="s">
        <v>814</v>
      </c>
      <c r="B3793" s="0" t="s">
        <v>61</v>
      </c>
      <c r="C3793" s="0" t="s">
        <v>62</v>
      </c>
      <c r="D3793" s="0" t="n">
        <v>4</v>
      </c>
      <c r="E3793" s="5" t="n">
        <v>45989.7078703704</v>
      </c>
      <c r="F3793" s="0" t="n">
        <v>1.65</v>
      </c>
      <c r="G3793" s="0" t="n">
        <v>17259</v>
      </c>
      <c r="H3793" s="6" t="s">
        <v>263</v>
      </c>
      <c r="I3793" s="6" t="n">
        <f aca="false">D3793*F3793</f>
        <v>6.6</v>
      </c>
      <c r="J3793" s="6" t="n">
        <f aca="false">HOUR(E3793)</f>
        <v>16</v>
      </c>
      <c r="K3793" s="6" t="n">
        <f aca="false">IF(COUNTIF($A$2:$A3793,A3793)=1,1,0)</f>
        <v>1</v>
      </c>
    </row>
    <row r="3794" customFormat="false" ht="15" hidden="false" customHeight="false" outlineLevel="0" collapsed="false">
      <c r="A3794" s="0" t="s">
        <v>814</v>
      </c>
      <c r="B3794" s="0" t="s">
        <v>83</v>
      </c>
      <c r="C3794" s="0" t="s">
        <v>84</v>
      </c>
      <c r="D3794" s="0" t="n">
        <v>2</v>
      </c>
      <c r="E3794" s="5" t="n">
        <v>45989.7078703704</v>
      </c>
      <c r="F3794" s="0" t="n">
        <v>2.95</v>
      </c>
      <c r="G3794" s="0" t="n">
        <v>17259</v>
      </c>
      <c r="H3794" s="6" t="s">
        <v>263</v>
      </c>
      <c r="I3794" s="6" t="n">
        <f aca="false">D3794*F3794</f>
        <v>5.9</v>
      </c>
      <c r="J3794" s="6" t="n">
        <f aca="false">HOUR(E3794)</f>
        <v>16</v>
      </c>
      <c r="K3794" s="6" t="n">
        <f aca="false">IF(COUNTIF($A$2:$A3794,A3794)=1,1,0)</f>
        <v>0</v>
      </c>
    </row>
    <row r="3795" customFormat="false" ht="15" hidden="false" customHeight="false" outlineLevel="0" collapsed="false">
      <c r="A3795" s="0" t="s">
        <v>814</v>
      </c>
      <c r="B3795" s="0" t="s">
        <v>125</v>
      </c>
      <c r="C3795" s="0" t="s">
        <v>126</v>
      </c>
      <c r="D3795" s="0" t="n">
        <v>1</v>
      </c>
      <c r="E3795" s="5" t="n">
        <v>45989.7078703704</v>
      </c>
      <c r="F3795" s="0" t="n">
        <v>1.25</v>
      </c>
      <c r="G3795" s="0" t="n">
        <v>17259</v>
      </c>
      <c r="H3795" s="6" t="s">
        <v>263</v>
      </c>
      <c r="I3795" s="6" t="n">
        <f aca="false">D3795*F3795</f>
        <v>1.25</v>
      </c>
      <c r="J3795" s="6" t="n">
        <f aca="false">HOUR(E3795)</f>
        <v>16</v>
      </c>
      <c r="K3795" s="6" t="n">
        <f aca="false">IF(COUNTIF($A$2:$A3795,A3795)=1,1,0)</f>
        <v>0</v>
      </c>
    </row>
    <row r="3796" customFormat="false" ht="15" hidden="false" customHeight="false" outlineLevel="0" collapsed="false">
      <c r="A3796" s="0" t="s">
        <v>814</v>
      </c>
      <c r="B3796" s="0" t="s">
        <v>93</v>
      </c>
      <c r="C3796" s="0" t="s">
        <v>94</v>
      </c>
      <c r="D3796" s="0" t="n">
        <v>8</v>
      </c>
      <c r="E3796" s="5" t="n">
        <v>45989.7078703704</v>
      </c>
      <c r="F3796" s="0" t="n">
        <v>1.69</v>
      </c>
      <c r="G3796" s="0" t="n">
        <v>17259</v>
      </c>
      <c r="H3796" s="6" t="s">
        <v>263</v>
      </c>
      <c r="I3796" s="6" t="n">
        <f aca="false">D3796*F3796</f>
        <v>13.52</v>
      </c>
      <c r="J3796" s="6" t="n">
        <f aca="false">HOUR(E3796)</f>
        <v>16</v>
      </c>
      <c r="K3796" s="6" t="n">
        <f aca="false">IF(COUNTIF($A$2:$A3796,A3796)=1,1,0)</f>
        <v>0</v>
      </c>
    </row>
    <row r="3797" customFormat="false" ht="15" hidden="false" customHeight="false" outlineLevel="0" collapsed="false">
      <c r="A3797" s="0" t="s">
        <v>814</v>
      </c>
      <c r="B3797" s="0" t="s">
        <v>134</v>
      </c>
      <c r="C3797" s="0" t="s">
        <v>135</v>
      </c>
      <c r="D3797" s="0" t="n">
        <v>3</v>
      </c>
      <c r="E3797" s="5" t="n">
        <v>45989.7078703704</v>
      </c>
      <c r="F3797" s="0" t="n">
        <v>5.95</v>
      </c>
      <c r="G3797" s="0" t="n">
        <v>17259</v>
      </c>
      <c r="H3797" s="6" t="s">
        <v>263</v>
      </c>
      <c r="I3797" s="6" t="n">
        <f aca="false">D3797*F3797</f>
        <v>17.85</v>
      </c>
      <c r="J3797" s="6" t="n">
        <f aca="false">HOUR(E3797)</f>
        <v>16</v>
      </c>
      <c r="K3797" s="6" t="n">
        <f aca="false">IF(COUNTIF($A$2:$A3797,A3797)=1,1,0)</f>
        <v>0</v>
      </c>
    </row>
    <row r="3798" customFormat="false" ht="15" hidden="false" customHeight="false" outlineLevel="0" collapsed="false">
      <c r="A3798" s="0" t="s">
        <v>814</v>
      </c>
      <c r="B3798" s="0" t="s">
        <v>116</v>
      </c>
      <c r="C3798" s="0" t="s">
        <v>117</v>
      </c>
      <c r="D3798" s="0" t="n">
        <v>18</v>
      </c>
      <c r="E3798" s="5" t="n">
        <v>45989.7078703704</v>
      </c>
      <c r="F3798" s="0" t="n">
        <v>1.95</v>
      </c>
      <c r="G3798" s="0" t="n">
        <v>17259</v>
      </c>
      <c r="H3798" s="6" t="s">
        <v>263</v>
      </c>
      <c r="I3798" s="6" t="n">
        <f aca="false">D3798*F3798</f>
        <v>35.1</v>
      </c>
      <c r="J3798" s="6" t="n">
        <f aca="false">HOUR(E3798)</f>
        <v>16</v>
      </c>
      <c r="K3798" s="6" t="n">
        <f aca="false">IF(COUNTIF($A$2:$A3798,A3798)=1,1,0)</f>
        <v>0</v>
      </c>
    </row>
    <row r="3799" customFormat="false" ht="15" hidden="false" customHeight="false" outlineLevel="0" collapsed="false">
      <c r="A3799" s="0" t="s">
        <v>815</v>
      </c>
      <c r="B3799" s="0" t="s">
        <v>61</v>
      </c>
      <c r="C3799" s="0" t="s">
        <v>62</v>
      </c>
      <c r="D3799" s="0" t="n">
        <v>14</v>
      </c>
      <c r="E3799" s="5" t="n">
        <v>45989.7407060185</v>
      </c>
      <c r="F3799" s="0" t="n">
        <v>1.65</v>
      </c>
      <c r="G3799" s="0" t="n">
        <v>17233</v>
      </c>
      <c r="H3799" s="6" t="s">
        <v>42</v>
      </c>
      <c r="I3799" s="6" t="n">
        <f aca="false">D3799*F3799</f>
        <v>23.1</v>
      </c>
      <c r="J3799" s="6" t="n">
        <f aca="false">HOUR(E3799)</f>
        <v>17</v>
      </c>
      <c r="K3799" s="6" t="n">
        <f aca="false">IF(COUNTIF($A$2:$A3799,A3799)=1,1,0)</f>
        <v>1</v>
      </c>
    </row>
    <row r="3800" customFormat="false" ht="15" hidden="false" customHeight="false" outlineLevel="0" collapsed="false">
      <c r="A3800" s="0" t="s">
        <v>816</v>
      </c>
      <c r="B3800" s="0" t="s">
        <v>127</v>
      </c>
      <c r="C3800" s="0" t="s">
        <v>128</v>
      </c>
      <c r="D3800" s="0" t="n">
        <v>6</v>
      </c>
      <c r="E3800" s="5" t="n">
        <v>45989.8747106482</v>
      </c>
      <c r="F3800" s="0" t="n">
        <v>1.45</v>
      </c>
      <c r="G3800" s="0" t="n">
        <v>17215</v>
      </c>
      <c r="H3800" s="6" t="s">
        <v>74</v>
      </c>
      <c r="I3800" s="6" t="n">
        <f aca="false">D3800*F3800</f>
        <v>8.7</v>
      </c>
      <c r="J3800" s="6" t="n">
        <f aca="false">HOUR(E3800)</f>
        <v>20</v>
      </c>
      <c r="K3800" s="6" t="n">
        <f aca="false">IF(COUNTIF($A$2:$A3800,A3800)=1,1,0)</f>
        <v>1</v>
      </c>
    </row>
    <row r="3801" customFormat="false" ht="15" hidden="false" customHeight="false" outlineLevel="0" collapsed="false">
      <c r="A3801" s="0" t="s">
        <v>816</v>
      </c>
      <c r="B3801" s="0" t="s">
        <v>109</v>
      </c>
      <c r="C3801" s="0" t="s">
        <v>110</v>
      </c>
      <c r="D3801" s="0" t="n">
        <v>2</v>
      </c>
      <c r="E3801" s="5" t="n">
        <v>45989.8747106482</v>
      </c>
      <c r="F3801" s="0" t="n">
        <v>0.85</v>
      </c>
      <c r="G3801" s="0" t="n">
        <v>17215</v>
      </c>
      <c r="H3801" s="6" t="s">
        <v>74</v>
      </c>
      <c r="I3801" s="6" t="n">
        <f aca="false">D3801*F3801</f>
        <v>1.7</v>
      </c>
      <c r="J3801" s="6" t="n">
        <f aca="false">HOUR(E3801)</f>
        <v>20</v>
      </c>
      <c r="K3801" s="6" t="n">
        <f aca="false">IF(COUNTIF($A$2:$A3801,A3801)=1,1,0)</f>
        <v>0</v>
      </c>
    </row>
    <row r="3802" customFormat="false" ht="15" hidden="false" customHeight="false" outlineLevel="0" collapsed="false">
      <c r="A3802" s="0" t="s">
        <v>816</v>
      </c>
      <c r="B3802" s="0" t="s">
        <v>65</v>
      </c>
      <c r="C3802" s="0" t="s">
        <v>66</v>
      </c>
      <c r="D3802" s="0" t="n">
        <v>16</v>
      </c>
      <c r="E3802" s="5" t="n">
        <v>45989.8747106482</v>
      </c>
      <c r="F3802" s="0" t="n">
        <v>1.65</v>
      </c>
      <c r="G3802" s="0" t="n">
        <v>17215</v>
      </c>
      <c r="H3802" s="6" t="s">
        <v>74</v>
      </c>
      <c r="I3802" s="6" t="n">
        <f aca="false">D3802*F3802</f>
        <v>26.4</v>
      </c>
      <c r="J3802" s="6" t="n">
        <f aca="false">HOUR(E3802)</f>
        <v>20</v>
      </c>
      <c r="K3802" s="6" t="n">
        <f aca="false">IF(COUNTIF($A$2:$A3802,A3802)=1,1,0)</f>
        <v>0</v>
      </c>
    </row>
    <row r="3803" customFormat="false" ht="15" hidden="false" customHeight="false" outlineLevel="0" collapsed="false">
      <c r="A3803" s="0" t="s">
        <v>816</v>
      </c>
      <c r="B3803" s="0" t="s">
        <v>131</v>
      </c>
      <c r="C3803" s="0" t="s">
        <v>132</v>
      </c>
      <c r="D3803" s="0" t="n">
        <v>11</v>
      </c>
      <c r="E3803" s="5" t="n">
        <v>45989.8747106482</v>
      </c>
      <c r="F3803" s="0" t="n">
        <v>3.39</v>
      </c>
      <c r="G3803" s="0" t="n">
        <v>17215</v>
      </c>
      <c r="H3803" s="6" t="s">
        <v>74</v>
      </c>
      <c r="I3803" s="6" t="n">
        <f aca="false">D3803*F3803</f>
        <v>37.29</v>
      </c>
      <c r="J3803" s="6" t="n">
        <f aca="false">HOUR(E3803)</f>
        <v>20</v>
      </c>
      <c r="K3803" s="6" t="n">
        <f aca="false">IF(COUNTIF($A$2:$A3803,A3803)=1,1,0)</f>
        <v>0</v>
      </c>
    </row>
    <row r="3804" customFormat="false" ht="15" hidden="false" customHeight="false" outlineLevel="0" collapsed="false">
      <c r="A3804" s="0" t="s">
        <v>817</v>
      </c>
      <c r="B3804" s="0" t="s">
        <v>137</v>
      </c>
      <c r="C3804" s="0" t="s">
        <v>138</v>
      </c>
      <c r="D3804" s="0" t="n">
        <v>8</v>
      </c>
      <c r="E3804" s="5" t="n">
        <v>45989.8901388889</v>
      </c>
      <c r="F3804" s="0" t="n">
        <v>2.1</v>
      </c>
      <c r="G3804" s="0" t="n">
        <v>17230</v>
      </c>
      <c r="H3804" s="6" t="s">
        <v>68</v>
      </c>
      <c r="I3804" s="6" t="n">
        <f aca="false">D3804*F3804</f>
        <v>16.8</v>
      </c>
      <c r="J3804" s="6" t="n">
        <f aca="false">HOUR(E3804)</f>
        <v>21</v>
      </c>
      <c r="K3804" s="6" t="n">
        <f aca="false">IF(COUNTIF($A$2:$A3804,A3804)=1,1,0)</f>
        <v>1</v>
      </c>
    </row>
    <row r="3805" customFormat="false" ht="15" hidden="false" customHeight="false" outlineLevel="0" collapsed="false">
      <c r="A3805" s="0" t="s">
        <v>817</v>
      </c>
      <c r="B3805" s="0" t="s">
        <v>121</v>
      </c>
      <c r="C3805" s="0" t="s">
        <v>122</v>
      </c>
      <c r="D3805" s="0" t="n">
        <v>23</v>
      </c>
      <c r="E3805" s="5" t="n">
        <v>45989.8901388889</v>
      </c>
      <c r="F3805" s="0" t="n">
        <v>2.1</v>
      </c>
      <c r="G3805" s="0" t="n">
        <v>17230</v>
      </c>
      <c r="H3805" s="6" t="s">
        <v>68</v>
      </c>
      <c r="I3805" s="6" t="n">
        <f aca="false">D3805*F3805</f>
        <v>48.3</v>
      </c>
      <c r="J3805" s="6" t="n">
        <f aca="false">HOUR(E3805)</f>
        <v>21</v>
      </c>
      <c r="K3805" s="6" t="n">
        <f aca="false">IF(COUNTIF($A$2:$A3805,A3805)=1,1,0)</f>
        <v>0</v>
      </c>
    </row>
    <row r="3806" customFormat="false" ht="15" hidden="false" customHeight="false" outlineLevel="0" collapsed="false">
      <c r="A3806" s="0" t="s">
        <v>817</v>
      </c>
      <c r="B3806" s="0" t="s">
        <v>125</v>
      </c>
      <c r="C3806" s="0" t="s">
        <v>126</v>
      </c>
      <c r="D3806" s="0" t="n">
        <v>2</v>
      </c>
      <c r="E3806" s="5" t="n">
        <v>45989.8901388889</v>
      </c>
      <c r="F3806" s="0" t="n">
        <v>1.25</v>
      </c>
      <c r="G3806" s="0" t="n">
        <v>17230</v>
      </c>
      <c r="H3806" s="6" t="s">
        <v>68</v>
      </c>
      <c r="I3806" s="6" t="n">
        <f aca="false">D3806*F3806</f>
        <v>2.5</v>
      </c>
      <c r="J3806" s="6" t="n">
        <f aca="false">HOUR(E3806)</f>
        <v>21</v>
      </c>
      <c r="K3806" s="6" t="n">
        <f aca="false">IF(COUNTIF($A$2:$A3806,A3806)=1,1,0)</f>
        <v>0</v>
      </c>
    </row>
    <row r="3807" customFormat="false" ht="15" hidden="false" customHeight="false" outlineLevel="0" collapsed="false">
      <c r="A3807" s="0" t="s">
        <v>817</v>
      </c>
      <c r="B3807" s="0" t="s">
        <v>57</v>
      </c>
      <c r="C3807" s="0" t="s">
        <v>58</v>
      </c>
      <c r="D3807" s="0" t="n">
        <v>6</v>
      </c>
      <c r="E3807" s="5" t="n">
        <v>45989.8901388889</v>
      </c>
      <c r="F3807" s="0" t="n">
        <v>2.08</v>
      </c>
      <c r="G3807" s="0" t="n">
        <v>17230</v>
      </c>
      <c r="H3807" s="6" t="s">
        <v>68</v>
      </c>
      <c r="I3807" s="6" t="n">
        <f aca="false">D3807*F3807</f>
        <v>12.48</v>
      </c>
      <c r="J3807" s="6" t="n">
        <f aca="false">HOUR(E3807)</f>
        <v>21</v>
      </c>
      <c r="K3807" s="6" t="n">
        <f aca="false">IF(COUNTIF($A$2:$A3807,A3807)=1,1,0)</f>
        <v>0</v>
      </c>
    </row>
    <row r="3808" customFormat="false" ht="15" hidden="false" customHeight="false" outlineLevel="0" collapsed="false">
      <c r="A3808" s="0" t="s">
        <v>817</v>
      </c>
      <c r="B3808" s="0" t="s">
        <v>127</v>
      </c>
      <c r="C3808" s="0" t="s">
        <v>128</v>
      </c>
      <c r="D3808" s="0" t="n">
        <v>12</v>
      </c>
      <c r="E3808" s="5" t="n">
        <v>45989.8901388889</v>
      </c>
      <c r="F3808" s="0" t="n">
        <v>1.45</v>
      </c>
      <c r="G3808" s="0" t="n">
        <v>17230</v>
      </c>
      <c r="H3808" s="6" t="s">
        <v>68</v>
      </c>
      <c r="I3808" s="6" t="n">
        <f aca="false">D3808*F3808</f>
        <v>17.4</v>
      </c>
      <c r="J3808" s="6" t="n">
        <f aca="false">HOUR(E3808)</f>
        <v>21</v>
      </c>
      <c r="K3808" s="6" t="n">
        <f aca="false">IF(COUNTIF($A$2:$A3808,A3808)=1,1,0)</f>
        <v>0</v>
      </c>
    </row>
    <row r="3809" customFormat="false" ht="15" hidden="false" customHeight="false" outlineLevel="0" collapsed="false">
      <c r="A3809" s="0" t="s">
        <v>817</v>
      </c>
      <c r="B3809" s="0" t="s">
        <v>91</v>
      </c>
      <c r="C3809" s="0" t="s">
        <v>92</v>
      </c>
      <c r="D3809" s="0" t="n">
        <v>6</v>
      </c>
      <c r="E3809" s="5" t="n">
        <v>45989.8901388889</v>
      </c>
      <c r="F3809" s="0" t="n">
        <v>7.65</v>
      </c>
      <c r="G3809" s="0" t="n">
        <v>17230</v>
      </c>
      <c r="H3809" s="6" t="s">
        <v>68</v>
      </c>
      <c r="I3809" s="6" t="n">
        <f aca="false">D3809*F3809</f>
        <v>45.9</v>
      </c>
      <c r="J3809" s="6" t="n">
        <f aca="false">HOUR(E3809)</f>
        <v>21</v>
      </c>
      <c r="K3809" s="6" t="n">
        <f aca="false">IF(COUNTIF($A$2:$A3809,A3809)=1,1,0)</f>
        <v>0</v>
      </c>
    </row>
    <row r="3810" customFormat="false" ht="15" hidden="false" customHeight="false" outlineLevel="0" collapsed="false">
      <c r="A3810" s="0" t="s">
        <v>818</v>
      </c>
      <c r="B3810" s="0" t="s">
        <v>65</v>
      </c>
      <c r="C3810" s="0" t="s">
        <v>66</v>
      </c>
      <c r="D3810" s="0" t="n">
        <v>4</v>
      </c>
      <c r="E3810" s="5" t="n">
        <v>45989.9156712963</v>
      </c>
      <c r="F3810" s="0" t="n">
        <v>1.65</v>
      </c>
      <c r="G3810" s="0" t="n">
        <v>17135</v>
      </c>
      <c r="H3810" s="6" t="s">
        <v>74</v>
      </c>
      <c r="I3810" s="6" t="n">
        <f aca="false">D3810*F3810</f>
        <v>6.6</v>
      </c>
      <c r="J3810" s="6" t="n">
        <f aca="false">HOUR(E3810)</f>
        <v>21</v>
      </c>
      <c r="K3810" s="6" t="n">
        <f aca="false">IF(COUNTIF($A$2:$A3810,A3810)=1,1,0)</f>
        <v>1</v>
      </c>
    </row>
    <row r="3811" customFormat="false" ht="15" hidden="false" customHeight="false" outlineLevel="0" collapsed="false">
      <c r="A3811" s="0" t="s">
        <v>818</v>
      </c>
      <c r="B3811" s="0" t="s">
        <v>47</v>
      </c>
      <c r="C3811" s="0" t="s">
        <v>48</v>
      </c>
      <c r="D3811" s="0" t="n">
        <v>47</v>
      </c>
      <c r="E3811" s="5" t="n">
        <v>45989.9156712963</v>
      </c>
      <c r="F3811" s="0" t="n">
        <v>12.75</v>
      </c>
      <c r="G3811" s="0" t="n">
        <v>17135</v>
      </c>
      <c r="H3811" s="6" t="s">
        <v>74</v>
      </c>
      <c r="I3811" s="6" t="n">
        <f aca="false">D3811*F3811</f>
        <v>599.25</v>
      </c>
      <c r="J3811" s="6" t="n">
        <f aca="false">HOUR(E3811)</f>
        <v>21</v>
      </c>
      <c r="K3811" s="6" t="n">
        <f aca="false">IF(COUNTIF($A$2:$A3811,A3811)=1,1,0)</f>
        <v>0</v>
      </c>
    </row>
    <row r="3812" customFormat="false" ht="15" hidden="false" customHeight="false" outlineLevel="0" collapsed="false">
      <c r="A3812" s="0" t="s">
        <v>818</v>
      </c>
      <c r="B3812" s="0" t="s">
        <v>77</v>
      </c>
      <c r="C3812" s="0" t="s">
        <v>78</v>
      </c>
      <c r="D3812" s="0" t="n">
        <v>10</v>
      </c>
      <c r="E3812" s="5" t="n">
        <v>45989.9156712963</v>
      </c>
      <c r="F3812" s="0" t="n">
        <v>1.65</v>
      </c>
      <c r="G3812" s="0" t="n">
        <v>17135</v>
      </c>
      <c r="H3812" s="6" t="s">
        <v>74</v>
      </c>
      <c r="I3812" s="6" t="n">
        <f aca="false">D3812*F3812</f>
        <v>16.5</v>
      </c>
      <c r="J3812" s="6" t="n">
        <f aca="false">HOUR(E3812)</f>
        <v>21</v>
      </c>
      <c r="K3812" s="6" t="n">
        <f aca="false">IF(COUNTIF($A$2:$A3812,A3812)=1,1,0)</f>
        <v>0</v>
      </c>
    </row>
    <row r="3813" customFormat="false" ht="15" hidden="false" customHeight="false" outlineLevel="0" collapsed="false">
      <c r="A3813" s="0" t="s">
        <v>818</v>
      </c>
      <c r="B3813" s="0" t="s">
        <v>59</v>
      </c>
      <c r="C3813" s="0" t="s">
        <v>60</v>
      </c>
      <c r="D3813" s="0" t="n">
        <v>5</v>
      </c>
      <c r="E3813" s="5" t="n">
        <v>45989.9156712963</v>
      </c>
      <c r="F3813" s="0" t="n">
        <v>0.42</v>
      </c>
      <c r="G3813" s="0" t="n">
        <v>17135</v>
      </c>
      <c r="H3813" s="6" t="s">
        <v>74</v>
      </c>
      <c r="I3813" s="6" t="n">
        <f aca="false">D3813*F3813</f>
        <v>2.1</v>
      </c>
      <c r="J3813" s="6" t="n">
        <f aca="false">HOUR(E3813)</f>
        <v>21</v>
      </c>
      <c r="K3813" s="6" t="n">
        <f aca="false">IF(COUNTIF($A$2:$A3813,A3813)=1,1,0)</f>
        <v>0</v>
      </c>
    </row>
    <row r="3814" customFormat="false" ht="15" hidden="false" customHeight="false" outlineLevel="0" collapsed="false">
      <c r="A3814" s="0" t="s">
        <v>818</v>
      </c>
      <c r="B3814" s="0" t="s">
        <v>57</v>
      </c>
      <c r="C3814" s="0" t="s">
        <v>58</v>
      </c>
      <c r="D3814" s="0" t="n">
        <v>13</v>
      </c>
      <c r="E3814" s="5" t="n">
        <v>45989.9156712963</v>
      </c>
      <c r="F3814" s="0" t="n">
        <v>2.08</v>
      </c>
      <c r="G3814" s="0" t="n">
        <v>17135</v>
      </c>
      <c r="H3814" s="6" t="s">
        <v>74</v>
      </c>
      <c r="I3814" s="6" t="n">
        <f aca="false">D3814*F3814</f>
        <v>27.04</v>
      </c>
      <c r="J3814" s="6" t="n">
        <f aca="false">HOUR(E3814)</f>
        <v>21</v>
      </c>
      <c r="K3814" s="6" t="n">
        <f aca="false">IF(COUNTIF($A$2:$A3814,A3814)=1,1,0)</f>
        <v>0</v>
      </c>
    </row>
    <row r="3815" customFormat="false" ht="15" hidden="false" customHeight="false" outlineLevel="0" collapsed="false">
      <c r="A3815" s="0" t="s">
        <v>818</v>
      </c>
      <c r="B3815" s="0" t="s">
        <v>81</v>
      </c>
      <c r="C3815" s="0" t="s">
        <v>82</v>
      </c>
      <c r="D3815" s="0" t="n">
        <v>18</v>
      </c>
      <c r="E3815" s="5" t="n">
        <v>45989.9156712963</v>
      </c>
      <c r="F3815" s="0" t="n">
        <v>1.65</v>
      </c>
      <c r="G3815" s="0" t="n">
        <v>17135</v>
      </c>
      <c r="H3815" s="6" t="s">
        <v>74</v>
      </c>
      <c r="I3815" s="6" t="n">
        <f aca="false">D3815*F3815</f>
        <v>29.7</v>
      </c>
      <c r="J3815" s="6" t="n">
        <f aca="false">HOUR(E3815)</f>
        <v>21</v>
      </c>
      <c r="K3815" s="6" t="n">
        <f aca="false">IF(COUNTIF($A$2:$A3815,A3815)=1,1,0)</f>
        <v>0</v>
      </c>
    </row>
    <row r="3816" customFormat="false" ht="15" hidden="false" customHeight="false" outlineLevel="0" collapsed="false">
      <c r="A3816" s="0" t="s">
        <v>818</v>
      </c>
      <c r="B3816" s="0" t="s">
        <v>104</v>
      </c>
      <c r="C3816" s="0" t="s">
        <v>105</v>
      </c>
      <c r="D3816" s="0" t="n">
        <v>24</v>
      </c>
      <c r="E3816" s="5" t="n">
        <v>45989.9156712963</v>
      </c>
      <c r="F3816" s="0" t="n">
        <v>1.65</v>
      </c>
      <c r="G3816" s="0" t="n">
        <v>17135</v>
      </c>
      <c r="H3816" s="6" t="s">
        <v>74</v>
      </c>
      <c r="I3816" s="6" t="n">
        <f aca="false">D3816*F3816</f>
        <v>39.6</v>
      </c>
      <c r="J3816" s="6" t="n">
        <f aca="false">HOUR(E3816)</f>
        <v>21</v>
      </c>
      <c r="K3816" s="6" t="n">
        <f aca="false">IF(COUNTIF($A$2:$A3816,A3816)=1,1,0)</f>
        <v>0</v>
      </c>
    </row>
    <row r="3817" customFormat="false" ht="15" hidden="false" customHeight="false" outlineLevel="0" collapsed="false">
      <c r="A3817" s="0" t="s">
        <v>818</v>
      </c>
      <c r="B3817" s="0" t="s">
        <v>61</v>
      </c>
      <c r="C3817" s="0" t="s">
        <v>62</v>
      </c>
      <c r="D3817" s="0" t="n">
        <v>3</v>
      </c>
      <c r="E3817" s="5" t="n">
        <v>45989.9156712963</v>
      </c>
      <c r="F3817" s="0" t="n">
        <v>1.65</v>
      </c>
      <c r="G3817" s="0" t="n">
        <v>17135</v>
      </c>
      <c r="H3817" s="6" t="s">
        <v>74</v>
      </c>
      <c r="I3817" s="6" t="n">
        <f aca="false">D3817*F3817</f>
        <v>4.95</v>
      </c>
      <c r="J3817" s="6" t="n">
        <f aca="false">HOUR(E3817)</f>
        <v>21</v>
      </c>
      <c r="K3817" s="6" t="n">
        <f aca="false">IF(COUNTIF($A$2:$A3817,A3817)=1,1,0)</f>
        <v>0</v>
      </c>
    </row>
    <row r="3818" customFormat="false" ht="15" hidden="false" customHeight="false" outlineLevel="0" collapsed="false">
      <c r="A3818" s="0" t="s">
        <v>818</v>
      </c>
      <c r="B3818" s="0" t="s">
        <v>83</v>
      </c>
      <c r="C3818" s="0" t="s">
        <v>84</v>
      </c>
      <c r="D3818" s="0" t="n">
        <v>23</v>
      </c>
      <c r="E3818" s="5" t="n">
        <v>45989.9156712963</v>
      </c>
      <c r="F3818" s="0" t="n">
        <v>2.95</v>
      </c>
      <c r="G3818" s="0" t="n">
        <v>17135</v>
      </c>
      <c r="H3818" s="6" t="s">
        <v>74</v>
      </c>
      <c r="I3818" s="6" t="n">
        <f aca="false">D3818*F3818</f>
        <v>67.85</v>
      </c>
      <c r="J3818" s="6" t="n">
        <f aca="false">HOUR(E3818)</f>
        <v>21</v>
      </c>
      <c r="K3818" s="6" t="n">
        <f aca="false">IF(COUNTIF($A$2:$A3818,A3818)=1,1,0)</f>
        <v>0</v>
      </c>
    </row>
    <row r="3819" customFormat="false" ht="15" hidden="false" customHeight="false" outlineLevel="0" collapsed="false">
      <c r="A3819" s="0" t="s">
        <v>818</v>
      </c>
      <c r="B3819" s="0" t="s">
        <v>107</v>
      </c>
      <c r="C3819" s="0" t="s">
        <v>108</v>
      </c>
      <c r="D3819" s="0" t="n">
        <v>16</v>
      </c>
      <c r="E3819" s="5" t="n">
        <v>45989.9156712963</v>
      </c>
      <c r="F3819" s="0" t="n">
        <v>3.75</v>
      </c>
      <c r="G3819" s="0" t="n">
        <v>17135</v>
      </c>
      <c r="H3819" s="6" t="s">
        <v>74</v>
      </c>
      <c r="I3819" s="6" t="n">
        <f aca="false">D3819*F3819</f>
        <v>60</v>
      </c>
      <c r="J3819" s="6" t="n">
        <f aca="false">HOUR(E3819)</f>
        <v>21</v>
      </c>
      <c r="K3819" s="6" t="n">
        <f aca="false">IF(COUNTIF($A$2:$A3819,A3819)=1,1,0)</f>
        <v>0</v>
      </c>
    </row>
    <row r="3820" customFormat="false" ht="15" hidden="false" customHeight="false" outlineLevel="0" collapsed="false">
      <c r="A3820" s="0" t="s">
        <v>819</v>
      </c>
      <c r="B3820" s="0" t="s">
        <v>140</v>
      </c>
      <c r="C3820" s="0" t="s">
        <v>141</v>
      </c>
      <c r="D3820" s="0" t="n">
        <v>14</v>
      </c>
      <c r="E3820" s="5" t="n">
        <v>45990.0429513889</v>
      </c>
      <c r="F3820" s="0" t="n">
        <v>2.08</v>
      </c>
      <c r="G3820" s="0" t="n">
        <v>17193</v>
      </c>
      <c r="H3820" s="6" t="s">
        <v>74</v>
      </c>
      <c r="I3820" s="6" t="n">
        <f aca="false">D3820*F3820</f>
        <v>29.12</v>
      </c>
      <c r="J3820" s="6" t="n">
        <f aca="false">HOUR(E3820)</f>
        <v>1</v>
      </c>
      <c r="K3820" s="6" t="n">
        <f aca="false">IF(COUNTIF($A$2:$A3820,A3820)=1,1,0)</f>
        <v>1</v>
      </c>
    </row>
    <row r="3821" customFormat="false" ht="15" hidden="false" customHeight="false" outlineLevel="0" collapsed="false">
      <c r="A3821" s="0" t="s">
        <v>819</v>
      </c>
      <c r="B3821" s="0" t="s">
        <v>118</v>
      </c>
      <c r="C3821" s="0" t="s">
        <v>119</v>
      </c>
      <c r="D3821" s="0" t="n">
        <v>28</v>
      </c>
      <c r="E3821" s="5" t="n">
        <v>45990.0429513889</v>
      </c>
      <c r="F3821" s="0" t="n">
        <v>4.95</v>
      </c>
      <c r="G3821" s="0" t="n">
        <v>17193</v>
      </c>
      <c r="H3821" s="6" t="s">
        <v>74</v>
      </c>
      <c r="I3821" s="6" t="n">
        <f aca="false">D3821*F3821</f>
        <v>138.6</v>
      </c>
      <c r="J3821" s="6" t="n">
        <f aca="false">HOUR(E3821)</f>
        <v>1</v>
      </c>
      <c r="K3821" s="6" t="n">
        <f aca="false">IF(COUNTIF($A$2:$A3821,A3821)=1,1,0)</f>
        <v>0</v>
      </c>
    </row>
    <row r="3822" customFormat="false" ht="15" hidden="false" customHeight="false" outlineLevel="0" collapsed="false">
      <c r="A3822" s="0" t="s">
        <v>819</v>
      </c>
      <c r="B3822" s="0" t="s">
        <v>75</v>
      </c>
      <c r="C3822" s="0" t="s">
        <v>76</v>
      </c>
      <c r="D3822" s="0" t="n">
        <v>20</v>
      </c>
      <c r="E3822" s="5" t="n">
        <v>45990.0429513889</v>
      </c>
      <c r="F3822" s="0" t="n">
        <v>3.39</v>
      </c>
      <c r="G3822" s="0" t="n">
        <v>17193</v>
      </c>
      <c r="H3822" s="6" t="s">
        <v>74</v>
      </c>
      <c r="I3822" s="6" t="n">
        <f aca="false">D3822*F3822</f>
        <v>67.8</v>
      </c>
      <c r="J3822" s="6" t="n">
        <f aca="false">HOUR(E3822)</f>
        <v>1</v>
      </c>
      <c r="K3822" s="6" t="n">
        <f aca="false">IF(COUNTIF($A$2:$A3822,A3822)=1,1,0)</f>
        <v>0</v>
      </c>
    </row>
    <row r="3823" customFormat="false" ht="15" hidden="false" customHeight="false" outlineLevel="0" collapsed="false">
      <c r="A3823" s="0" t="s">
        <v>819</v>
      </c>
      <c r="B3823" s="0" t="s">
        <v>47</v>
      </c>
      <c r="C3823" s="0" t="s">
        <v>48</v>
      </c>
      <c r="D3823" s="0" t="n">
        <v>19</v>
      </c>
      <c r="E3823" s="5" t="n">
        <v>45990.0429513889</v>
      </c>
      <c r="F3823" s="0" t="n">
        <v>12.75</v>
      </c>
      <c r="G3823" s="0" t="n">
        <v>17193</v>
      </c>
      <c r="H3823" s="6" t="s">
        <v>74</v>
      </c>
      <c r="I3823" s="6" t="n">
        <f aca="false">D3823*F3823</f>
        <v>242.25</v>
      </c>
      <c r="J3823" s="6" t="n">
        <f aca="false">HOUR(E3823)</f>
        <v>1</v>
      </c>
      <c r="K3823" s="6" t="n">
        <f aca="false">IF(COUNTIF($A$2:$A3823,A3823)=1,1,0)</f>
        <v>0</v>
      </c>
    </row>
    <row r="3824" customFormat="false" ht="15" hidden="false" customHeight="false" outlineLevel="0" collapsed="false">
      <c r="A3824" s="0" t="s">
        <v>819</v>
      </c>
      <c r="B3824" s="0" t="s">
        <v>137</v>
      </c>
      <c r="C3824" s="0" t="s">
        <v>138</v>
      </c>
      <c r="D3824" s="0" t="n">
        <v>1</v>
      </c>
      <c r="E3824" s="5" t="n">
        <v>45990.0429513889</v>
      </c>
      <c r="F3824" s="0" t="n">
        <v>2.1</v>
      </c>
      <c r="G3824" s="0" t="n">
        <v>17193</v>
      </c>
      <c r="H3824" s="6" t="s">
        <v>74</v>
      </c>
      <c r="I3824" s="6" t="n">
        <f aca="false">D3824*F3824</f>
        <v>2.1</v>
      </c>
      <c r="J3824" s="6" t="n">
        <f aca="false">HOUR(E3824)</f>
        <v>1</v>
      </c>
      <c r="K3824" s="6" t="n">
        <f aca="false">IF(COUNTIF($A$2:$A3824,A3824)=1,1,0)</f>
        <v>0</v>
      </c>
    </row>
    <row r="3825" customFormat="false" ht="15" hidden="false" customHeight="false" outlineLevel="0" collapsed="false">
      <c r="A3825" s="0" t="s">
        <v>819</v>
      </c>
      <c r="B3825" s="0" t="s">
        <v>55</v>
      </c>
      <c r="C3825" s="0" t="s">
        <v>56</v>
      </c>
      <c r="D3825" s="0" t="n">
        <v>12</v>
      </c>
      <c r="E3825" s="5" t="n">
        <v>45990.0429513889</v>
      </c>
      <c r="F3825" s="0" t="n">
        <v>1.65</v>
      </c>
      <c r="G3825" s="0" t="n">
        <v>17193</v>
      </c>
      <c r="H3825" s="6" t="s">
        <v>74</v>
      </c>
      <c r="I3825" s="6" t="n">
        <f aca="false">D3825*F3825</f>
        <v>19.8</v>
      </c>
      <c r="J3825" s="6" t="n">
        <f aca="false">HOUR(E3825)</f>
        <v>1</v>
      </c>
      <c r="K3825" s="6" t="n">
        <f aca="false">IF(COUNTIF($A$2:$A3825,A3825)=1,1,0)</f>
        <v>0</v>
      </c>
    </row>
    <row r="3826" customFormat="false" ht="15" hidden="false" customHeight="false" outlineLevel="0" collapsed="false">
      <c r="A3826" s="0" t="s">
        <v>819</v>
      </c>
      <c r="B3826" s="0" t="s">
        <v>109</v>
      </c>
      <c r="C3826" s="0" t="s">
        <v>110</v>
      </c>
      <c r="D3826" s="0" t="n">
        <v>6</v>
      </c>
      <c r="E3826" s="5" t="n">
        <v>45990.0429513889</v>
      </c>
      <c r="F3826" s="0" t="n">
        <v>0.85</v>
      </c>
      <c r="G3826" s="0" t="n">
        <v>17193</v>
      </c>
      <c r="H3826" s="6" t="s">
        <v>74</v>
      </c>
      <c r="I3826" s="6" t="n">
        <f aca="false">D3826*F3826</f>
        <v>5.1</v>
      </c>
      <c r="J3826" s="6" t="n">
        <f aca="false">HOUR(E3826)</f>
        <v>1</v>
      </c>
      <c r="K3826" s="6" t="n">
        <f aca="false">IF(COUNTIF($A$2:$A3826,A3826)=1,1,0)</f>
        <v>0</v>
      </c>
    </row>
    <row r="3827" customFormat="false" ht="15" hidden="false" customHeight="false" outlineLevel="0" collapsed="false">
      <c r="A3827" s="0" t="s">
        <v>819</v>
      </c>
      <c r="B3827" s="0" t="s">
        <v>134</v>
      </c>
      <c r="C3827" s="0" t="s">
        <v>135</v>
      </c>
      <c r="D3827" s="0" t="n">
        <v>16</v>
      </c>
      <c r="E3827" s="5" t="n">
        <v>45990.0429513889</v>
      </c>
      <c r="F3827" s="0" t="n">
        <v>5.95</v>
      </c>
      <c r="G3827" s="0" t="n">
        <v>17193</v>
      </c>
      <c r="H3827" s="6" t="s">
        <v>74</v>
      </c>
      <c r="I3827" s="6" t="n">
        <f aca="false">D3827*F3827</f>
        <v>95.2</v>
      </c>
      <c r="J3827" s="6" t="n">
        <f aca="false">HOUR(E3827)</f>
        <v>1</v>
      </c>
      <c r="K3827" s="6" t="n">
        <f aca="false">IF(COUNTIF($A$2:$A3827,A3827)=1,1,0)</f>
        <v>0</v>
      </c>
    </row>
    <row r="3828" customFormat="false" ht="15" hidden="false" customHeight="false" outlineLevel="0" collapsed="false">
      <c r="A3828" s="0" t="s">
        <v>819</v>
      </c>
      <c r="B3828" s="0" t="s">
        <v>107</v>
      </c>
      <c r="C3828" s="0" t="s">
        <v>108</v>
      </c>
      <c r="D3828" s="0" t="n">
        <v>6</v>
      </c>
      <c r="E3828" s="5" t="n">
        <v>45990.0429513889</v>
      </c>
      <c r="F3828" s="0" t="n">
        <v>3.75</v>
      </c>
      <c r="G3828" s="0" t="n">
        <v>17193</v>
      </c>
      <c r="H3828" s="6" t="s">
        <v>74</v>
      </c>
      <c r="I3828" s="6" t="n">
        <f aca="false">D3828*F3828</f>
        <v>22.5</v>
      </c>
      <c r="J3828" s="6" t="n">
        <f aca="false">HOUR(E3828)</f>
        <v>1</v>
      </c>
      <c r="K3828" s="6" t="n">
        <f aca="false">IF(COUNTIF($A$2:$A3828,A3828)=1,1,0)</f>
        <v>0</v>
      </c>
    </row>
    <row r="3829" customFormat="false" ht="15" hidden="false" customHeight="false" outlineLevel="0" collapsed="false">
      <c r="A3829" s="0" t="s">
        <v>820</v>
      </c>
      <c r="B3829" s="0" t="s">
        <v>91</v>
      </c>
      <c r="C3829" s="0" t="s">
        <v>92</v>
      </c>
      <c r="D3829" s="0" t="n">
        <v>8</v>
      </c>
      <c r="E3829" s="5" t="n">
        <v>45990.3124537037</v>
      </c>
      <c r="F3829" s="0" t="n">
        <v>7.65</v>
      </c>
      <c r="G3829" s="0" t="n">
        <v>17227</v>
      </c>
      <c r="H3829" s="6" t="s">
        <v>151</v>
      </c>
      <c r="I3829" s="6" t="n">
        <f aca="false">D3829*F3829</f>
        <v>61.2</v>
      </c>
      <c r="J3829" s="6" t="n">
        <f aca="false">HOUR(E3829)</f>
        <v>7</v>
      </c>
      <c r="K3829" s="6" t="n">
        <f aca="false">IF(COUNTIF($A$2:$A3829,A3829)=1,1,0)</f>
        <v>1</v>
      </c>
    </row>
    <row r="3830" customFormat="false" ht="15" hidden="false" customHeight="false" outlineLevel="0" collapsed="false">
      <c r="A3830" s="0" t="s">
        <v>820</v>
      </c>
      <c r="B3830" s="0" t="s">
        <v>47</v>
      </c>
      <c r="C3830" s="0" t="s">
        <v>48</v>
      </c>
      <c r="D3830" s="0" t="n">
        <v>6</v>
      </c>
      <c r="E3830" s="5" t="n">
        <v>45990.3124537037</v>
      </c>
      <c r="F3830" s="0" t="n">
        <v>12.75</v>
      </c>
      <c r="G3830" s="0" t="n">
        <v>17227</v>
      </c>
      <c r="H3830" s="6" t="s">
        <v>151</v>
      </c>
      <c r="I3830" s="6" t="n">
        <f aca="false">D3830*F3830</f>
        <v>76.5</v>
      </c>
      <c r="J3830" s="6" t="n">
        <f aca="false">HOUR(E3830)</f>
        <v>7</v>
      </c>
      <c r="K3830" s="6" t="n">
        <f aca="false">IF(COUNTIF($A$2:$A3830,A3830)=1,1,0)</f>
        <v>0</v>
      </c>
    </row>
    <row r="3831" customFormat="false" ht="15" hidden="false" customHeight="false" outlineLevel="0" collapsed="false">
      <c r="A3831" s="0" t="s">
        <v>821</v>
      </c>
      <c r="B3831" s="0" t="s">
        <v>61</v>
      </c>
      <c r="C3831" s="0" t="s">
        <v>62</v>
      </c>
      <c r="D3831" s="0" t="n">
        <v>15</v>
      </c>
      <c r="E3831" s="5" t="n">
        <v>45990.3612962963</v>
      </c>
      <c r="F3831" s="0" t="n">
        <v>1.65</v>
      </c>
      <c r="H3831" s="6" t="s">
        <v>188</v>
      </c>
      <c r="I3831" s="6" t="n">
        <f aca="false">D3831*F3831</f>
        <v>24.75</v>
      </c>
      <c r="J3831" s="6" t="n">
        <f aca="false">HOUR(E3831)</f>
        <v>8</v>
      </c>
      <c r="K3831" s="6" t="n">
        <f aca="false">IF(COUNTIF($A$2:$A3831,A3831)=1,1,0)</f>
        <v>1</v>
      </c>
    </row>
    <row r="3832" customFormat="false" ht="15" hidden="false" customHeight="false" outlineLevel="0" collapsed="false">
      <c r="A3832" s="0" t="s">
        <v>821</v>
      </c>
      <c r="B3832" s="0" t="s">
        <v>127</v>
      </c>
      <c r="C3832" s="0" t="s">
        <v>128</v>
      </c>
      <c r="D3832" s="0" t="n">
        <v>1</v>
      </c>
      <c r="E3832" s="5" t="n">
        <v>45990.3612962963</v>
      </c>
      <c r="F3832" s="0" t="n">
        <v>1.45</v>
      </c>
      <c r="H3832" s="6" t="s">
        <v>188</v>
      </c>
      <c r="I3832" s="6" t="n">
        <f aca="false">D3832*F3832</f>
        <v>1.45</v>
      </c>
      <c r="J3832" s="6" t="n">
        <f aca="false">HOUR(E3832)</f>
        <v>8</v>
      </c>
      <c r="K3832" s="6" t="n">
        <f aca="false">IF(COUNTIF($A$2:$A3832,A3832)=1,1,0)</f>
        <v>0</v>
      </c>
    </row>
    <row r="3833" customFormat="false" ht="15" hidden="false" customHeight="false" outlineLevel="0" collapsed="false">
      <c r="A3833" s="0" t="s">
        <v>821</v>
      </c>
      <c r="B3833" s="0" t="s">
        <v>47</v>
      </c>
      <c r="C3833" s="0" t="s">
        <v>48</v>
      </c>
      <c r="D3833" s="0" t="n">
        <v>24</v>
      </c>
      <c r="E3833" s="5" t="n">
        <v>45990.3612962963</v>
      </c>
      <c r="F3833" s="0" t="n">
        <v>12.75</v>
      </c>
      <c r="H3833" s="6" t="s">
        <v>188</v>
      </c>
      <c r="I3833" s="6" t="n">
        <f aca="false">D3833*F3833</f>
        <v>306</v>
      </c>
      <c r="J3833" s="6" t="n">
        <f aca="false">HOUR(E3833)</f>
        <v>8</v>
      </c>
      <c r="K3833" s="6" t="n">
        <f aca="false">IF(COUNTIF($A$2:$A3833,A3833)=1,1,0)</f>
        <v>0</v>
      </c>
    </row>
    <row r="3834" customFormat="false" ht="15" hidden="false" customHeight="false" outlineLevel="0" collapsed="false">
      <c r="A3834" s="0" t="s">
        <v>821</v>
      </c>
      <c r="B3834" s="0" t="s">
        <v>57</v>
      </c>
      <c r="C3834" s="0" t="s">
        <v>58</v>
      </c>
      <c r="D3834" s="0" t="n">
        <v>22</v>
      </c>
      <c r="E3834" s="5" t="n">
        <v>45990.3612962963</v>
      </c>
      <c r="F3834" s="0" t="n">
        <v>2.08</v>
      </c>
      <c r="H3834" s="6" t="s">
        <v>188</v>
      </c>
      <c r="I3834" s="6" t="n">
        <f aca="false">D3834*F3834</f>
        <v>45.76</v>
      </c>
      <c r="J3834" s="6" t="n">
        <f aca="false">HOUR(E3834)</f>
        <v>8</v>
      </c>
      <c r="K3834" s="6" t="n">
        <f aca="false">IF(COUNTIF($A$2:$A3834,A3834)=1,1,0)</f>
        <v>0</v>
      </c>
    </row>
    <row r="3835" customFormat="false" ht="15" hidden="false" customHeight="false" outlineLevel="0" collapsed="false">
      <c r="A3835" s="0" t="s">
        <v>821</v>
      </c>
      <c r="B3835" s="0" t="s">
        <v>134</v>
      </c>
      <c r="C3835" s="0" t="s">
        <v>135</v>
      </c>
      <c r="D3835" s="0" t="n">
        <v>19</v>
      </c>
      <c r="E3835" s="5" t="n">
        <v>45990.3612962963</v>
      </c>
      <c r="F3835" s="0" t="n">
        <v>5.95</v>
      </c>
      <c r="H3835" s="6" t="s">
        <v>188</v>
      </c>
      <c r="I3835" s="6" t="n">
        <f aca="false">D3835*F3835</f>
        <v>113.05</v>
      </c>
      <c r="J3835" s="6" t="n">
        <f aca="false">HOUR(E3835)</f>
        <v>8</v>
      </c>
      <c r="K3835" s="6" t="n">
        <f aca="false">IF(COUNTIF($A$2:$A3835,A3835)=1,1,0)</f>
        <v>0</v>
      </c>
    </row>
    <row r="3836" customFormat="false" ht="15" hidden="false" customHeight="false" outlineLevel="0" collapsed="false">
      <c r="A3836" s="0" t="s">
        <v>821</v>
      </c>
      <c r="B3836" s="0" t="s">
        <v>77</v>
      </c>
      <c r="C3836" s="0" t="s">
        <v>78</v>
      </c>
      <c r="D3836" s="0" t="n">
        <v>7</v>
      </c>
      <c r="E3836" s="5" t="n">
        <v>45990.3612962963</v>
      </c>
      <c r="F3836" s="0" t="n">
        <v>1.65</v>
      </c>
      <c r="H3836" s="6" t="s">
        <v>188</v>
      </c>
      <c r="I3836" s="6" t="n">
        <f aca="false">D3836*F3836</f>
        <v>11.55</v>
      </c>
      <c r="J3836" s="6" t="n">
        <f aca="false">HOUR(E3836)</f>
        <v>8</v>
      </c>
      <c r="K3836" s="6" t="n">
        <f aca="false">IF(COUNTIF($A$2:$A3836,A3836)=1,1,0)</f>
        <v>0</v>
      </c>
    </row>
    <row r="3837" customFormat="false" ht="15" hidden="false" customHeight="false" outlineLevel="0" collapsed="false">
      <c r="A3837" s="0" t="s">
        <v>821</v>
      </c>
      <c r="B3837" s="0" t="s">
        <v>121</v>
      </c>
      <c r="C3837" s="0" t="s">
        <v>122</v>
      </c>
      <c r="D3837" s="0" t="n">
        <v>16</v>
      </c>
      <c r="E3837" s="5" t="n">
        <v>45990.3612962963</v>
      </c>
      <c r="F3837" s="0" t="n">
        <v>2.1</v>
      </c>
      <c r="H3837" s="6" t="s">
        <v>188</v>
      </c>
      <c r="I3837" s="6" t="n">
        <f aca="false">D3837*F3837</f>
        <v>33.6</v>
      </c>
      <c r="J3837" s="6" t="n">
        <f aca="false">HOUR(E3837)</f>
        <v>8</v>
      </c>
      <c r="K3837" s="6" t="n">
        <f aca="false">IF(COUNTIF($A$2:$A3837,A3837)=1,1,0)</f>
        <v>0</v>
      </c>
    </row>
    <row r="3838" customFormat="false" ht="15" hidden="false" customHeight="false" outlineLevel="0" collapsed="false">
      <c r="A3838" s="0" t="s">
        <v>821</v>
      </c>
      <c r="B3838" s="0" t="s">
        <v>75</v>
      </c>
      <c r="C3838" s="0" t="s">
        <v>76</v>
      </c>
      <c r="D3838" s="0" t="n">
        <v>13</v>
      </c>
      <c r="E3838" s="5" t="n">
        <v>45990.3612962963</v>
      </c>
      <c r="F3838" s="0" t="n">
        <v>3.39</v>
      </c>
      <c r="H3838" s="6" t="s">
        <v>188</v>
      </c>
      <c r="I3838" s="6" t="n">
        <f aca="false">D3838*F3838</f>
        <v>44.07</v>
      </c>
      <c r="J3838" s="6" t="n">
        <f aca="false">HOUR(E3838)</f>
        <v>8</v>
      </c>
      <c r="K3838" s="6" t="n">
        <f aca="false">IF(COUNTIF($A$2:$A3838,A3838)=1,1,0)</f>
        <v>0</v>
      </c>
    </row>
    <row r="3839" customFormat="false" ht="15" hidden="false" customHeight="false" outlineLevel="0" collapsed="false">
      <c r="A3839" s="0" t="s">
        <v>822</v>
      </c>
      <c r="B3839" s="0" t="s">
        <v>91</v>
      </c>
      <c r="C3839" s="0" t="s">
        <v>92</v>
      </c>
      <c r="D3839" s="0" t="n">
        <v>13</v>
      </c>
      <c r="E3839" s="5" t="n">
        <v>45990.404224537</v>
      </c>
      <c r="F3839" s="0" t="n">
        <v>7.65</v>
      </c>
      <c r="G3839" s="0" t="n">
        <v>17238</v>
      </c>
      <c r="H3839" s="6" t="s">
        <v>113</v>
      </c>
      <c r="I3839" s="6" t="n">
        <f aca="false">D3839*F3839</f>
        <v>99.45</v>
      </c>
      <c r="J3839" s="6" t="n">
        <f aca="false">HOUR(E3839)</f>
        <v>9</v>
      </c>
      <c r="K3839" s="6" t="n">
        <f aca="false">IF(COUNTIF($A$2:$A3839,A3839)=1,1,0)</f>
        <v>1</v>
      </c>
    </row>
    <row r="3840" customFormat="false" ht="15" hidden="false" customHeight="false" outlineLevel="0" collapsed="false">
      <c r="A3840" s="0" t="s">
        <v>822</v>
      </c>
      <c r="B3840" s="0" t="s">
        <v>137</v>
      </c>
      <c r="C3840" s="0" t="s">
        <v>138</v>
      </c>
      <c r="D3840" s="0" t="n">
        <v>7</v>
      </c>
      <c r="E3840" s="5" t="n">
        <v>45990.404224537</v>
      </c>
      <c r="F3840" s="0" t="n">
        <v>2.1</v>
      </c>
      <c r="G3840" s="0" t="n">
        <v>17238</v>
      </c>
      <c r="H3840" s="6" t="s">
        <v>113</v>
      </c>
      <c r="I3840" s="6" t="n">
        <f aca="false">D3840*F3840</f>
        <v>14.7</v>
      </c>
      <c r="J3840" s="6" t="n">
        <f aca="false">HOUR(E3840)</f>
        <v>9</v>
      </c>
      <c r="K3840" s="6" t="n">
        <f aca="false">IF(COUNTIF($A$2:$A3840,A3840)=1,1,0)</f>
        <v>0</v>
      </c>
    </row>
    <row r="3841" customFormat="false" ht="15" hidden="false" customHeight="false" outlineLevel="0" collapsed="false">
      <c r="A3841" s="0" t="s">
        <v>823</v>
      </c>
      <c r="B3841" s="0" t="s">
        <v>77</v>
      </c>
      <c r="C3841" s="0" t="s">
        <v>78</v>
      </c>
      <c r="D3841" s="0" t="n">
        <v>8</v>
      </c>
      <c r="E3841" s="5" t="n">
        <v>45990.470775463</v>
      </c>
      <c r="F3841" s="0" t="n">
        <v>1.65</v>
      </c>
      <c r="G3841" s="0" t="n">
        <v>17079</v>
      </c>
      <c r="H3841" s="6" t="s">
        <v>42</v>
      </c>
      <c r="I3841" s="6" t="n">
        <f aca="false">D3841*F3841</f>
        <v>13.2</v>
      </c>
      <c r="J3841" s="6" t="n">
        <f aca="false">HOUR(E3841)</f>
        <v>11</v>
      </c>
      <c r="K3841" s="6" t="n">
        <f aca="false">IF(COUNTIF($A$2:$A3841,A3841)=1,1,0)</f>
        <v>1</v>
      </c>
    </row>
    <row r="3842" customFormat="false" ht="15" hidden="false" customHeight="false" outlineLevel="0" collapsed="false">
      <c r="A3842" s="0" t="s">
        <v>823</v>
      </c>
      <c r="B3842" s="0" t="s">
        <v>69</v>
      </c>
      <c r="C3842" s="0" t="s">
        <v>70</v>
      </c>
      <c r="D3842" s="0" t="n">
        <v>32</v>
      </c>
      <c r="E3842" s="5" t="n">
        <v>45990.470775463</v>
      </c>
      <c r="F3842" s="0" t="n">
        <v>2.08</v>
      </c>
      <c r="G3842" s="0" t="n">
        <v>17079</v>
      </c>
      <c r="H3842" s="6" t="s">
        <v>42</v>
      </c>
      <c r="I3842" s="6" t="n">
        <f aca="false">D3842*F3842</f>
        <v>66.56</v>
      </c>
      <c r="J3842" s="6" t="n">
        <f aca="false">HOUR(E3842)</f>
        <v>11</v>
      </c>
      <c r="K3842" s="6" t="n">
        <f aca="false">IF(COUNTIF($A$2:$A3842,A3842)=1,1,0)</f>
        <v>0</v>
      </c>
    </row>
    <row r="3843" customFormat="false" ht="15" hidden="false" customHeight="false" outlineLevel="0" collapsed="false">
      <c r="A3843" s="0" t="s">
        <v>823</v>
      </c>
      <c r="B3843" s="0" t="s">
        <v>40</v>
      </c>
      <c r="C3843" s="0" t="s">
        <v>41</v>
      </c>
      <c r="D3843" s="0" t="n">
        <v>5</v>
      </c>
      <c r="E3843" s="5" t="n">
        <v>45990.470775463</v>
      </c>
      <c r="F3843" s="0" t="n">
        <v>1.06</v>
      </c>
      <c r="G3843" s="0" t="n">
        <v>17079</v>
      </c>
      <c r="H3843" s="6" t="s">
        <v>42</v>
      </c>
      <c r="I3843" s="6" t="n">
        <f aca="false">D3843*F3843</f>
        <v>5.3</v>
      </c>
      <c r="J3843" s="6" t="n">
        <f aca="false">HOUR(E3843)</f>
        <v>11</v>
      </c>
      <c r="K3843" s="6" t="n">
        <f aca="false">IF(COUNTIF($A$2:$A3843,A3843)=1,1,0)</f>
        <v>0</v>
      </c>
    </row>
    <row r="3844" customFormat="false" ht="15" hidden="false" customHeight="false" outlineLevel="0" collapsed="false">
      <c r="A3844" s="0" t="s">
        <v>823</v>
      </c>
      <c r="B3844" s="0" t="s">
        <v>95</v>
      </c>
      <c r="C3844" s="0" t="s">
        <v>96</v>
      </c>
      <c r="D3844" s="0" t="n">
        <v>37</v>
      </c>
      <c r="E3844" s="5" t="n">
        <v>45990.470775463</v>
      </c>
      <c r="F3844" s="0" t="n">
        <v>2.55</v>
      </c>
      <c r="G3844" s="0" t="n">
        <v>17079</v>
      </c>
      <c r="H3844" s="6" t="s">
        <v>42</v>
      </c>
      <c r="I3844" s="6" t="n">
        <f aca="false">D3844*F3844</f>
        <v>94.35</v>
      </c>
      <c r="J3844" s="6" t="n">
        <f aca="false">HOUR(E3844)</f>
        <v>11</v>
      </c>
      <c r="K3844" s="6" t="n">
        <f aca="false">IF(COUNTIF($A$2:$A3844,A3844)=1,1,0)</f>
        <v>0</v>
      </c>
    </row>
    <row r="3845" customFormat="false" ht="15" hidden="false" customHeight="false" outlineLevel="0" collapsed="false">
      <c r="A3845" s="0" t="s">
        <v>823</v>
      </c>
      <c r="B3845" s="0" t="s">
        <v>50</v>
      </c>
      <c r="C3845" s="0" t="s">
        <v>51</v>
      </c>
      <c r="D3845" s="0" t="n">
        <v>13</v>
      </c>
      <c r="E3845" s="5" t="n">
        <v>45990.470775463</v>
      </c>
      <c r="F3845" s="0" t="n">
        <v>5.95</v>
      </c>
      <c r="G3845" s="0" t="n">
        <v>17079</v>
      </c>
      <c r="H3845" s="6" t="s">
        <v>42</v>
      </c>
      <c r="I3845" s="6" t="n">
        <f aca="false">D3845*F3845</f>
        <v>77.35</v>
      </c>
      <c r="J3845" s="6" t="n">
        <f aca="false">HOUR(E3845)</f>
        <v>11</v>
      </c>
      <c r="K3845" s="6" t="n">
        <f aca="false">IF(COUNTIF($A$2:$A3845,A3845)=1,1,0)</f>
        <v>0</v>
      </c>
    </row>
    <row r="3846" customFormat="false" ht="15" hidden="false" customHeight="false" outlineLevel="0" collapsed="false">
      <c r="A3846" s="0" t="s">
        <v>823</v>
      </c>
      <c r="B3846" s="0" t="s">
        <v>72</v>
      </c>
      <c r="C3846" s="0" t="s">
        <v>73</v>
      </c>
      <c r="D3846" s="0" t="n">
        <v>48</v>
      </c>
      <c r="E3846" s="5" t="n">
        <v>45990.470775463</v>
      </c>
      <c r="F3846" s="0" t="n">
        <v>4.95</v>
      </c>
      <c r="G3846" s="0" t="n">
        <v>17079</v>
      </c>
      <c r="H3846" s="6" t="s">
        <v>42</v>
      </c>
      <c r="I3846" s="6" t="n">
        <f aca="false">D3846*F3846</f>
        <v>237.6</v>
      </c>
      <c r="J3846" s="6" t="n">
        <f aca="false">HOUR(E3846)</f>
        <v>11</v>
      </c>
      <c r="K3846" s="6" t="n">
        <f aca="false">IF(COUNTIF($A$2:$A3846,A3846)=1,1,0)</f>
        <v>0</v>
      </c>
    </row>
    <row r="3847" customFormat="false" ht="15" hidden="false" customHeight="false" outlineLevel="0" collapsed="false">
      <c r="A3847" s="0" t="s">
        <v>823</v>
      </c>
      <c r="B3847" s="0" t="s">
        <v>61</v>
      </c>
      <c r="C3847" s="0" t="s">
        <v>62</v>
      </c>
      <c r="D3847" s="0" t="n">
        <v>1</v>
      </c>
      <c r="E3847" s="5" t="n">
        <v>45990.470775463</v>
      </c>
      <c r="F3847" s="0" t="n">
        <v>1.65</v>
      </c>
      <c r="G3847" s="0" t="n">
        <v>17079</v>
      </c>
      <c r="H3847" s="6" t="s">
        <v>42</v>
      </c>
      <c r="I3847" s="6" t="n">
        <f aca="false">D3847*F3847</f>
        <v>1.65</v>
      </c>
      <c r="J3847" s="6" t="n">
        <f aca="false">HOUR(E3847)</f>
        <v>11</v>
      </c>
      <c r="K3847" s="6" t="n">
        <f aca="false">IF(COUNTIF($A$2:$A3847,A3847)=1,1,0)</f>
        <v>0</v>
      </c>
    </row>
    <row r="3848" customFormat="false" ht="15" hidden="false" customHeight="false" outlineLevel="0" collapsed="false">
      <c r="A3848" s="0" t="s">
        <v>823</v>
      </c>
      <c r="B3848" s="0" t="s">
        <v>55</v>
      </c>
      <c r="C3848" s="0" t="s">
        <v>56</v>
      </c>
      <c r="D3848" s="0" t="n">
        <v>12</v>
      </c>
      <c r="E3848" s="5" t="n">
        <v>45990.470775463</v>
      </c>
      <c r="F3848" s="0" t="n">
        <v>1.65</v>
      </c>
      <c r="G3848" s="0" t="n">
        <v>17079</v>
      </c>
      <c r="H3848" s="6" t="s">
        <v>42</v>
      </c>
      <c r="I3848" s="6" t="n">
        <f aca="false">D3848*F3848</f>
        <v>19.8</v>
      </c>
      <c r="J3848" s="6" t="n">
        <f aca="false">HOUR(E3848)</f>
        <v>11</v>
      </c>
      <c r="K3848" s="6" t="n">
        <f aca="false">IF(COUNTIF($A$2:$A3848,A3848)=1,1,0)</f>
        <v>0</v>
      </c>
    </row>
    <row r="3849" customFormat="false" ht="15" hidden="false" customHeight="false" outlineLevel="0" collapsed="false">
      <c r="A3849" s="0" t="s">
        <v>824</v>
      </c>
      <c r="B3849" s="0" t="s">
        <v>59</v>
      </c>
      <c r="C3849" s="0" t="s">
        <v>60</v>
      </c>
      <c r="D3849" s="0" t="n">
        <v>12</v>
      </c>
      <c r="E3849" s="5" t="n">
        <v>45990.4854398148</v>
      </c>
      <c r="F3849" s="0" t="n">
        <v>0.42</v>
      </c>
      <c r="G3849" s="0" t="n">
        <v>17034</v>
      </c>
      <c r="H3849" s="6" t="s">
        <v>74</v>
      </c>
      <c r="I3849" s="6" t="n">
        <f aca="false">D3849*F3849</f>
        <v>5.04</v>
      </c>
      <c r="J3849" s="6" t="n">
        <f aca="false">HOUR(E3849)</f>
        <v>11</v>
      </c>
      <c r="K3849" s="6" t="n">
        <f aca="false">IF(COUNTIF($A$2:$A3849,A3849)=1,1,0)</f>
        <v>1</v>
      </c>
    </row>
    <row r="3850" customFormat="false" ht="15" hidden="false" customHeight="false" outlineLevel="0" collapsed="false">
      <c r="A3850" s="0" t="s">
        <v>824</v>
      </c>
      <c r="B3850" s="0" t="s">
        <v>145</v>
      </c>
      <c r="C3850" s="0" t="s">
        <v>146</v>
      </c>
      <c r="D3850" s="0" t="n">
        <v>14</v>
      </c>
      <c r="E3850" s="5" t="n">
        <v>45990.4854398148</v>
      </c>
      <c r="F3850" s="0" t="n">
        <v>1.85</v>
      </c>
      <c r="G3850" s="0" t="n">
        <v>17034</v>
      </c>
      <c r="H3850" s="6" t="s">
        <v>74</v>
      </c>
      <c r="I3850" s="6" t="n">
        <f aca="false">D3850*F3850</f>
        <v>25.9</v>
      </c>
      <c r="J3850" s="6" t="n">
        <f aca="false">HOUR(E3850)</f>
        <v>11</v>
      </c>
      <c r="K3850" s="6" t="n">
        <f aca="false">IF(COUNTIF($A$2:$A3850,A3850)=1,1,0)</f>
        <v>0</v>
      </c>
    </row>
    <row r="3851" customFormat="false" ht="15" hidden="false" customHeight="false" outlineLevel="0" collapsed="false">
      <c r="A3851" s="0" t="s">
        <v>824</v>
      </c>
      <c r="B3851" s="0" t="s">
        <v>83</v>
      </c>
      <c r="C3851" s="0" t="s">
        <v>84</v>
      </c>
      <c r="D3851" s="0" t="n">
        <v>22</v>
      </c>
      <c r="E3851" s="5" t="n">
        <v>45990.4854398148</v>
      </c>
      <c r="F3851" s="0" t="n">
        <v>2.95</v>
      </c>
      <c r="G3851" s="0" t="n">
        <v>17034</v>
      </c>
      <c r="H3851" s="6" t="s">
        <v>74</v>
      </c>
      <c r="I3851" s="6" t="n">
        <f aca="false">D3851*F3851</f>
        <v>64.9</v>
      </c>
      <c r="J3851" s="6" t="n">
        <f aca="false">HOUR(E3851)</f>
        <v>11</v>
      </c>
      <c r="K3851" s="6" t="n">
        <f aca="false">IF(COUNTIF($A$2:$A3851,A3851)=1,1,0)</f>
        <v>0</v>
      </c>
    </row>
    <row r="3852" customFormat="false" ht="15" hidden="false" customHeight="false" outlineLevel="0" collapsed="false">
      <c r="A3852" s="0" t="s">
        <v>824</v>
      </c>
      <c r="B3852" s="0" t="s">
        <v>99</v>
      </c>
      <c r="C3852" s="0" t="s">
        <v>100</v>
      </c>
      <c r="D3852" s="0" t="n">
        <v>3</v>
      </c>
      <c r="E3852" s="5" t="n">
        <v>45990.4854398148</v>
      </c>
      <c r="F3852" s="0" t="n">
        <v>2.08</v>
      </c>
      <c r="G3852" s="0" t="n">
        <v>17034</v>
      </c>
      <c r="H3852" s="6" t="s">
        <v>74</v>
      </c>
      <c r="I3852" s="6" t="n">
        <f aca="false">D3852*F3852</f>
        <v>6.24</v>
      </c>
      <c r="J3852" s="6" t="n">
        <f aca="false">HOUR(E3852)</f>
        <v>11</v>
      </c>
      <c r="K3852" s="6" t="n">
        <f aca="false">IF(COUNTIF($A$2:$A3852,A3852)=1,1,0)</f>
        <v>0</v>
      </c>
    </row>
    <row r="3853" customFormat="false" ht="15" hidden="false" customHeight="false" outlineLevel="0" collapsed="false">
      <c r="A3853" s="0" t="s">
        <v>824</v>
      </c>
      <c r="B3853" s="0" t="s">
        <v>104</v>
      </c>
      <c r="C3853" s="0" t="s">
        <v>105</v>
      </c>
      <c r="D3853" s="0" t="n">
        <v>15</v>
      </c>
      <c r="E3853" s="5" t="n">
        <v>45990.4854398148</v>
      </c>
      <c r="F3853" s="0" t="n">
        <v>1.65</v>
      </c>
      <c r="G3853" s="0" t="n">
        <v>17034</v>
      </c>
      <c r="H3853" s="6" t="s">
        <v>74</v>
      </c>
      <c r="I3853" s="6" t="n">
        <f aca="false">D3853*F3853</f>
        <v>24.75</v>
      </c>
      <c r="J3853" s="6" t="n">
        <f aca="false">HOUR(E3853)</f>
        <v>11</v>
      </c>
      <c r="K3853" s="6" t="n">
        <f aca="false">IF(COUNTIF($A$2:$A3853,A3853)=1,1,0)</f>
        <v>0</v>
      </c>
    </row>
    <row r="3854" customFormat="false" ht="15" hidden="false" customHeight="false" outlineLevel="0" collapsed="false">
      <c r="A3854" s="0" t="s">
        <v>824</v>
      </c>
      <c r="B3854" s="0" t="s">
        <v>63</v>
      </c>
      <c r="C3854" s="0" t="s">
        <v>64</v>
      </c>
      <c r="D3854" s="0" t="n">
        <v>16</v>
      </c>
      <c r="E3854" s="5" t="n">
        <v>45990.4854398148</v>
      </c>
      <c r="F3854" s="0" t="n">
        <v>1.85</v>
      </c>
      <c r="G3854" s="0" t="n">
        <v>17034</v>
      </c>
      <c r="H3854" s="6" t="s">
        <v>74</v>
      </c>
      <c r="I3854" s="6" t="n">
        <f aca="false">D3854*F3854</f>
        <v>29.6</v>
      </c>
      <c r="J3854" s="6" t="n">
        <f aca="false">HOUR(E3854)</f>
        <v>11</v>
      </c>
      <c r="K3854" s="6" t="n">
        <f aca="false">IF(COUNTIF($A$2:$A3854,A3854)=1,1,0)</f>
        <v>0</v>
      </c>
    </row>
    <row r="3855" customFormat="false" ht="15" hidden="false" customHeight="false" outlineLevel="0" collapsed="false">
      <c r="A3855" s="0" t="s">
        <v>824</v>
      </c>
      <c r="B3855" s="0" t="s">
        <v>45</v>
      </c>
      <c r="C3855" s="0" t="s">
        <v>46</v>
      </c>
      <c r="D3855" s="0" t="n">
        <v>9</v>
      </c>
      <c r="E3855" s="5" t="n">
        <v>45990.4854398148</v>
      </c>
      <c r="F3855" s="0" t="n">
        <v>2.1</v>
      </c>
      <c r="G3855" s="0" t="n">
        <v>17034</v>
      </c>
      <c r="H3855" s="6" t="s">
        <v>74</v>
      </c>
      <c r="I3855" s="6" t="n">
        <f aca="false">D3855*F3855</f>
        <v>18.9</v>
      </c>
      <c r="J3855" s="6" t="n">
        <f aca="false">HOUR(E3855)</f>
        <v>11</v>
      </c>
      <c r="K3855" s="6" t="n">
        <f aca="false">IF(COUNTIF($A$2:$A3855,A3855)=1,1,0)</f>
        <v>0</v>
      </c>
    </row>
    <row r="3856" customFormat="false" ht="15" hidden="false" customHeight="false" outlineLevel="0" collapsed="false">
      <c r="A3856" s="0" t="s">
        <v>824</v>
      </c>
      <c r="B3856" s="0" t="s">
        <v>77</v>
      </c>
      <c r="C3856" s="0" t="s">
        <v>78</v>
      </c>
      <c r="D3856" s="0" t="n">
        <v>17</v>
      </c>
      <c r="E3856" s="5" t="n">
        <v>45990.4854398148</v>
      </c>
      <c r="F3856" s="0" t="n">
        <v>1.65</v>
      </c>
      <c r="G3856" s="0" t="n">
        <v>17034</v>
      </c>
      <c r="H3856" s="6" t="s">
        <v>74</v>
      </c>
      <c r="I3856" s="6" t="n">
        <f aca="false">D3856*F3856</f>
        <v>28.05</v>
      </c>
      <c r="J3856" s="6" t="n">
        <f aca="false">HOUR(E3856)</f>
        <v>11</v>
      </c>
      <c r="K3856" s="6" t="n">
        <f aca="false">IF(COUNTIF($A$2:$A3856,A3856)=1,1,0)</f>
        <v>0</v>
      </c>
    </row>
    <row r="3857" customFormat="false" ht="15" hidden="false" customHeight="false" outlineLevel="0" collapsed="false">
      <c r="A3857" s="0" t="s">
        <v>824</v>
      </c>
      <c r="B3857" s="0" t="s">
        <v>116</v>
      </c>
      <c r="C3857" s="0" t="s">
        <v>117</v>
      </c>
      <c r="D3857" s="0" t="n">
        <v>10</v>
      </c>
      <c r="E3857" s="5" t="n">
        <v>45990.4854398148</v>
      </c>
      <c r="F3857" s="0" t="n">
        <v>1.95</v>
      </c>
      <c r="G3857" s="0" t="n">
        <v>17034</v>
      </c>
      <c r="H3857" s="6" t="s">
        <v>74</v>
      </c>
      <c r="I3857" s="6" t="n">
        <f aca="false">D3857*F3857</f>
        <v>19.5</v>
      </c>
      <c r="J3857" s="6" t="n">
        <f aca="false">HOUR(E3857)</f>
        <v>11</v>
      </c>
      <c r="K3857" s="6" t="n">
        <f aca="false">IF(COUNTIF($A$2:$A3857,A3857)=1,1,0)</f>
        <v>0</v>
      </c>
    </row>
    <row r="3858" customFormat="false" ht="15" hidden="false" customHeight="false" outlineLevel="0" collapsed="false">
      <c r="A3858" s="0" t="s">
        <v>825</v>
      </c>
      <c r="B3858" s="0" t="s">
        <v>79</v>
      </c>
      <c r="C3858" s="0" t="s">
        <v>80</v>
      </c>
      <c r="D3858" s="0" t="n">
        <v>4</v>
      </c>
      <c r="E3858" s="5" t="n">
        <v>45990.5007986111</v>
      </c>
      <c r="F3858" s="0" t="n">
        <v>3.39</v>
      </c>
      <c r="G3858" s="0" t="n">
        <v>17220</v>
      </c>
      <c r="H3858" s="6" t="s">
        <v>74</v>
      </c>
      <c r="I3858" s="6" t="n">
        <f aca="false">D3858*F3858</f>
        <v>13.56</v>
      </c>
      <c r="J3858" s="6" t="n">
        <f aca="false">HOUR(E3858)</f>
        <v>12</v>
      </c>
      <c r="K3858" s="6" t="n">
        <f aca="false">IF(COUNTIF($A$2:$A3858,A3858)=1,1,0)</f>
        <v>1</v>
      </c>
    </row>
    <row r="3859" customFormat="false" ht="15" hidden="false" customHeight="false" outlineLevel="0" collapsed="false">
      <c r="A3859" s="0" t="s">
        <v>825</v>
      </c>
      <c r="B3859" s="0" t="s">
        <v>61</v>
      </c>
      <c r="C3859" s="0" t="s">
        <v>62</v>
      </c>
      <c r="D3859" s="0" t="n">
        <v>7</v>
      </c>
      <c r="E3859" s="5" t="n">
        <v>45990.5007986111</v>
      </c>
      <c r="F3859" s="0" t="n">
        <v>1.65</v>
      </c>
      <c r="G3859" s="0" t="n">
        <v>17220</v>
      </c>
      <c r="H3859" s="6" t="s">
        <v>74</v>
      </c>
      <c r="I3859" s="6" t="n">
        <f aca="false">D3859*F3859</f>
        <v>11.55</v>
      </c>
      <c r="J3859" s="6" t="n">
        <f aca="false">HOUR(E3859)</f>
        <v>12</v>
      </c>
      <c r="K3859" s="6" t="n">
        <f aca="false">IF(COUNTIF($A$2:$A3859,A3859)=1,1,0)</f>
        <v>0</v>
      </c>
    </row>
    <row r="3860" customFormat="false" ht="15" hidden="false" customHeight="false" outlineLevel="0" collapsed="false">
      <c r="A3860" s="0" t="s">
        <v>825</v>
      </c>
      <c r="B3860" s="0" t="s">
        <v>81</v>
      </c>
      <c r="C3860" s="0" t="s">
        <v>82</v>
      </c>
      <c r="D3860" s="0" t="n">
        <v>4</v>
      </c>
      <c r="E3860" s="5" t="n">
        <v>45990.5007986111</v>
      </c>
      <c r="F3860" s="0" t="n">
        <v>1.65</v>
      </c>
      <c r="G3860" s="0" t="n">
        <v>17220</v>
      </c>
      <c r="H3860" s="6" t="s">
        <v>74</v>
      </c>
      <c r="I3860" s="6" t="n">
        <f aca="false">D3860*F3860</f>
        <v>6.6</v>
      </c>
      <c r="J3860" s="6" t="n">
        <f aca="false">HOUR(E3860)</f>
        <v>12</v>
      </c>
      <c r="K3860" s="6" t="n">
        <f aca="false">IF(COUNTIF($A$2:$A3860,A3860)=1,1,0)</f>
        <v>0</v>
      </c>
    </row>
    <row r="3861" customFormat="false" ht="15" hidden="false" customHeight="false" outlineLevel="0" collapsed="false">
      <c r="A3861" s="0" t="s">
        <v>825</v>
      </c>
      <c r="B3861" s="0" t="s">
        <v>109</v>
      </c>
      <c r="C3861" s="0" t="s">
        <v>110</v>
      </c>
      <c r="D3861" s="0" t="n">
        <v>6</v>
      </c>
      <c r="E3861" s="5" t="n">
        <v>45990.5007986111</v>
      </c>
      <c r="F3861" s="0" t="n">
        <v>0.85</v>
      </c>
      <c r="G3861" s="0" t="n">
        <v>17220</v>
      </c>
      <c r="H3861" s="6" t="s">
        <v>74</v>
      </c>
      <c r="I3861" s="6" t="n">
        <f aca="false">D3861*F3861</f>
        <v>5.1</v>
      </c>
      <c r="J3861" s="6" t="n">
        <f aca="false">HOUR(E3861)</f>
        <v>12</v>
      </c>
      <c r="K3861" s="6" t="n">
        <f aca="false">IF(COUNTIF($A$2:$A3861,A3861)=1,1,0)</f>
        <v>0</v>
      </c>
    </row>
    <row r="3862" customFormat="false" ht="15" hidden="false" customHeight="false" outlineLevel="0" collapsed="false">
      <c r="A3862" s="0" t="s">
        <v>825</v>
      </c>
      <c r="B3862" s="0" t="s">
        <v>104</v>
      </c>
      <c r="C3862" s="0" t="s">
        <v>105</v>
      </c>
      <c r="D3862" s="0" t="n">
        <v>24</v>
      </c>
      <c r="E3862" s="5" t="n">
        <v>45990.5007986111</v>
      </c>
      <c r="F3862" s="0" t="n">
        <v>1.65</v>
      </c>
      <c r="G3862" s="0" t="n">
        <v>17220</v>
      </c>
      <c r="H3862" s="6" t="s">
        <v>74</v>
      </c>
      <c r="I3862" s="6" t="n">
        <f aca="false">D3862*F3862</f>
        <v>39.6</v>
      </c>
      <c r="J3862" s="6" t="n">
        <f aca="false">HOUR(E3862)</f>
        <v>12</v>
      </c>
      <c r="K3862" s="6" t="n">
        <f aca="false">IF(COUNTIF($A$2:$A3862,A3862)=1,1,0)</f>
        <v>0</v>
      </c>
    </row>
    <row r="3863" customFormat="false" ht="15" hidden="false" customHeight="false" outlineLevel="0" collapsed="false">
      <c r="A3863" s="0" t="s">
        <v>825</v>
      </c>
      <c r="B3863" s="0" t="s">
        <v>69</v>
      </c>
      <c r="C3863" s="0" t="s">
        <v>70</v>
      </c>
      <c r="D3863" s="0" t="n">
        <v>32</v>
      </c>
      <c r="E3863" s="5" t="n">
        <v>45990.5007986111</v>
      </c>
      <c r="F3863" s="0" t="n">
        <v>2.08</v>
      </c>
      <c r="G3863" s="0" t="n">
        <v>17220</v>
      </c>
      <c r="H3863" s="6" t="s">
        <v>74</v>
      </c>
      <c r="I3863" s="6" t="n">
        <f aca="false">D3863*F3863</f>
        <v>66.56</v>
      </c>
      <c r="J3863" s="6" t="n">
        <f aca="false">HOUR(E3863)</f>
        <v>12</v>
      </c>
      <c r="K3863" s="6" t="n">
        <f aca="false">IF(COUNTIF($A$2:$A3863,A3863)=1,1,0)</f>
        <v>0</v>
      </c>
    </row>
    <row r="3864" customFormat="false" ht="15" hidden="false" customHeight="false" outlineLevel="0" collapsed="false">
      <c r="A3864" s="0" t="s">
        <v>825</v>
      </c>
      <c r="B3864" s="0" t="s">
        <v>145</v>
      </c>
      <c r="C3864" s="0" t="s">
        <v>146</v>
      </c>
      <c r="D3864" s="0" t="n">
        <v>7</v>
      </c>
      <c r="E3864" s="5" t="n">
        <v>45990.5007986111</v>
      </c>
      <c r="F3864" s="0" t="n">
        <v>1.85</v>
      </c>
      <c r="G3864" s="0" t="n">
        <v>17220</v>
      </c>
      <c r="H3864" s="6" t="s">
        <v>74</v>
      </c>
      <c r="I3864" s="6" t="n">
        <f aca="false">D3864*F3864</f>
        <v>12.95</v>
      </c>
      <c r="J3864" s="6" t="n">
        <f aca="false">HOUR(E3864)</f>
        <v>12</v>
      </c>
      <c r="K3864" s="6" t="n">
        <f aca="false">IF(COUNTIF($A$2:$A3864,A3864)=1,1,0)</f>
        <v>0</v>
      </c>
    </row>
    <row r="3865" customFormat="false" ht="15" hidden="false" customHeight="false" outlineLevel="0" collapsed="false">
      <c r="A3865" s="0" t="s">
        <v>826</v>
      </c>
      <c r="B3865" s="0" t="s">
        <v>79</v>
      </c>
      <c r="C3865" s="0" t="s">
        <v>80</v>
      </c>
      <c r="D3865" s="0" t="n">
        <v>23</v>
      </c>
      <c r="E3865" s="5" t="n">
        <v>45990.5103125</v>
      </c>
      <c r="F3865" s="0" t="n">
        <v>3.39</v>
      </c>
      <c r="G3865" s="0" t="n">
        <v>17221</v>
      </c>
      <c r="H3865" s="6" t="s">
        <v>74</v>
      </c>
      <c r="I3865" s="6" t="n">
        <f aca="false">D3865*F3865</f>
        <v>77.97</v>
      </c>
      <c r="J3865" s="6" t="n">
        <f aca="false">HOUR(E3865)</f>
        <v>12</v>
      </c>
      <c r="K3865" s="6" t="n">
        <f aca="false">IF(COUNTIF($A$2:$A3865,A3865)=1,1,0)</f>
        <v>1</v>
      </c>
    </row>
    <row r="3866" customFormat="false" ht="15" hidden="false" customHeight="false" outlineLevel="0" collapsed="false">
      <c r="A3866" s="0" t="s">
        <v>826</v>
      </c>
      <c r="B3866" s="0" t="s">
        <v>45</v>
      </c>
      <c r="C3866" s="0" t="s">
        <v>46</v>
      </c>
      <c r="D3866" s="0" t="n">
        <v>11</v>
      </c>
      <c r="E3866" s="5" t="n">
        <v>45990.5103125</v>
      </c>
      <c r="F3866" s="0" t="n">
        <v>2.1</v>
      </c>
      <c r="G3866" s="0" t="n">
        <v>17221</v>
      </c>
      <c r="H3866" s="6" t="s">
        <v>74</v>
      </c>
      <c r="I3866" s="6" t="n">
        <f aca="false">D3866*F3866</f>
        <v>23.1</v>
      </c>
      <c r="J3866" s="6" t="n">
        <f aca="false">HOUR(E3866)</f>
        <v>12</v>
      </c>
      <c r="K3866" s="6" t="n">
        <f aca="false">IF(COUNTIF($A$2:$A3866,A3866)=1,1,0)</f>
        <v>0</v>
      </c>
    </row>
    <row r="3867" customFormat="false" ht="15" hidden="false" customHeight="false" outlineLevel="0" collapsed="false">
      <c r="A3867" s="0" t="s">
        <v>826</v>
      </c>
      <c r="B3867" s="0" t="s">
        <v>95</v>
      </c>
      <c r="C3867" s="0" t="s">
        <v>96</v>
      </c>
      <c r="D3867" s="0" t="n">
        <v>39</v>
      </c>
      <c r="E3867" s="5" t="n">
        <v>45990.5103125</v>
      </c>
      <c r="F3867" s="0" t="n">
        <v>2.55</v>
      </c>
      <c r="G3867" s="0" t="n">
        <v>17221</v>
      </c>
      <c r="H3867" s="6" t="s">
        <v>74</v>
      </c>
      <c r="I3867" s="6" t="n">
        <f aca="false">D3867*F3867</f>
        <v>99.45</v>
      </c>
      <c r="J3867" s="6" t="n">
        <f aca="false">HOUR(E3867)</f>
        <v>12</v>
      </c>
      <c r="K3867" s="6" t="n">
        <f aca="false">IF(COUNTIF($A$2:$A3867,A3867)=1,1,0)</f>
        <v>0</v>
      </c>
    </row>
    <row r="3868" customFormat="false" ht="15" hidden="false" customHeight="false" outlineLevel="0" collapsed="false">
      <c r="A3868" s="0" t="s">
        <v>826</v>
      </c>
      <c r="B3868" s="0" t="s">
        <v>69</v>
      </c>
      <c r="C3868" s="0" t="s">
        <v>70</v>
      </c>
      <c r="D3868" s="0" t="n">
        <v>22</v>
      </c>
      <c r="E3868" s="5" t="n">
        <v>45990.5103125</v>
      </c>
      <c r="F3868" s="0" t="n">
        <v>2.08</v>
      </c>
      <c r="G3868" s="0" t="n">
        <v>17221</v>
      </c>
      <c r="H3868" s="6" t="s">
        <v>74</v>
      </c>
      <c r="I3868" s="6" t="n">
        <f aca="false">D3868*F3868</f>
        <v>45.76</v>
      </c>
      <c r="J3868" s="6" t="n">
        <f aca="false">HOUR(E3868)</f>
        <v>12</v>
      </c>
      <c r="K3868" s="6" t="n">
        <f aca="false">IF(COUNTIF($A$2:$A3868,A3868)=1,1,0)</f>
        <v>0</v>
      </c>
    </row>
    <row r="3869" customFormat="false" ht="15" hidden="false" customHeight="false" outlineLevel="0" collapsed="false">
      <c r="A3869" s="0" t="s">
        <v>826</v>
      </c>
      <c r="B3869" s="0" t="s">
        <v>127</v>
      </c>
      <c r="C3869" s="0" t="s">
        <v>128</v>
      </c>
      <c r="D3869" s="0" t="n">
        <v>11</v>
      </c>
      <c r="E3869" s="5" t="n">
        <v>45990.5103125</v>
      </c>
      <c r="F3869" s="0" t="n">
        <v>1.45</v>
      </c>
      <c r="G3869" s="0" t="n">
        <v>17221</v>
      </c>
      <c r="H3869" s="6" t="s">
        <v>74</v>
      </c>
      <c r="I3869" s="6" t="n">
        <f aca="false">D3869*F3869</f>
        <v>15.95</v>
      </c>
      <c r="J3869" s="6" t="n">
        <f aca="false">HOUR(E3869)</f>
        <v>12</v>
      </c>
      <c r="K3869" s="6" t="n">
        <f aca="false">IF(COUNTIF($A$2:$A3869,A3869)=1,1,0)</f>
        <v>0</v>
      </c>
    </row>
    <row r="3870" customFormat="false" ht="15" hidden="false" customHeight="false" outlineLevel="0" collapsed="false">
      <c r="A3870" s="0" t="s">
        <v>826</v>
      </c>
      <c r="B3870" s="0" t="s">
        <v>134</v>
      </c>
      <c r="C3870" s="0" t="s">
        <v>135</v>
      </c>
      <c r="D3870" s="0" t="n">
        <v>18</v>
      </c>
      <c r="E3870" s="5" t="n">
        <v>45990.5103125</v>
      </c>
      <c r="F3870" s="0" t="n">
        <v>5.95</v>
      </c>
      <c r="G3870" s="0" t="n">
        <v>17221</v>
      </c>
      <c r="H3870" s="6" t="s">
        <v>74</v>
      </c>
      <c r="I3870" s="6" t="n">
        <f aca="false">D3870*F3870</f>
        <v>107.1</v>
      </c>
      <c r="J3870" s="6" t="n">
        <f aca="false">HOUR(E3870)</f>
        <v>12</v>
      </c>
      <c r="K3870" s="6" t="n">
        <f aca="false">IF(COUNTIF($A$2:$A3870,A3870)=1,1,0)</f>
        <v>0</v>
      </c>
    </row>
    <row r="3871" customFormat="false" ht="15" hidden="false" customHeight="false" outlineLevel="0" collapsed="false">
      <c r="A3871" s="0" t="s">
        <v>826</v>
      </c>
      <c r="B3871" s="0" t="s">
        <v>107</v>
      </c>
      <c r="C3871" s="0" t="s">
        <v>108</v>
      </c>
      <c r="D3871" s="0" t="n">
        <v>3</v>
      </c>
      <c r="E3871" s="5" t="n">
        <v>45990.5103125</v>
      </c>
      <c r="F3871" s="0" t="n">
        <v>3.75</v>
      </c>
      <c r="G3871" s="0" t="n">
        <v>17221</v>
      </c>
      <c r="H3871" s="6" t="s">
        <v>74</v>
      </c>
      <c r="I3871" s="6" t="n">
        <f aca="false">D3871*F3871</f>
        <v>11.25</v>
      </c>
      <c r="J3871" s="6" t="n">
        <f aca="false">HOUR(E3871)</f>
        <v>12</v>
      </c>
      <c r="K3871" s="6" t="n">
        <f aca="false">IF(COUNTIF($A$2:$A3871,A3871)=1,1,0)</f>
        <v>0</v>
      </c>
    </row>
    <row r="3872" customFormat="false" ht="15" hidden="false" customHeight="false" outlineLevel="0" collapsed="false">
      <c r="A3872" s="0" t="s">
        <v>827</v>
      </c>
      <c r="B3872" s="0" t="s">
        <v>79</v>
      </c>
      <c r="C3872" s="0" t="s">
        <v>80</v>
      </c>
      <c r="D3872" s="0" t="n">
        <v>20</v>
      </c>
      <c r="E3872" s="5" t="n">
        <v>45990.5269444444</v>
      </c>
      <c r="F3872" s="0" t="n">
        <v>3.39</v>
      </c>
      <c r="G3872" s="0" t="n">
        <v>17212</v>
      </c>
      <c r="H3872" s="6" t="s">
        <v>74</v>
      </c>
      <c r="I3872" s="6" t="n">
        <f aca="false">D3872*F3872</f>
        <v>67.8</v>
      </c>
      <c r="J3872" s="6" t="n">
        <f aca="false">HOUR(E3872)</f>
        <v>12</v>
      </c>
      <c r="K3872" s="6" t="n">
        <f aca="false">IF(COUNTIF($A$2:$A3872,A3872)=1,1,0)</f>
        <v>1</v>
      </c>
    </row>
    <row r="3873" customFormat="false" ht="15" hidden="false" customHeight="false" outlineLevel="0" collapsed="false">
      <c r="A3873" s="0" t="s">
        <v>827</v>
      </c>
      <c r="B3873" s="0" t="s">
        <v>127</v>
      </c>
      <c r="C3873" s="0" t="s">
        <v>128</v>
      </c>
      <c r="D3873" s="0" t="n">
        <v>17</v>
      </c>
      <c r="E3873" s="5" t="n">
        <v>45990.5269444444</v>
      </c>
      <c r="F3873" s="0" t="n">
        <v>1.45</v>
      </c>
      <c r="G3873" s="0" t="n">
        <v>17212</v>
      </c>
      <c r="H3873" s="6" t="s">
        <v>74</v>
      </c>
      <c r="I3873" s="6" t="n">
        <f aca="false">D3873*F3873</f>
        <v>24.65</v>
      </c>
      <c r="J3873" s="6" t="n">
        <f aca="false">HOUR(E3873)</f>
        <v>12</v>
      </c>
      <c r="K3873" s="6" t="n">
        <f aca="false">IF(COUNTIF($A$2:$A3873,A3873)=1,1,0)</f>
        <v>0</v>
      </c>
    </row>
    <row r="3874" customFormat="false" ht="15" hidden="false" customHeight="false" outlineLevel="0" collapsed="false">
      <c r="A3874" s="0" t="s">
        <v>828</v>
      </c>
      <c r="B3874" s="0" t="s">
        <v>83</v>
      </c>
      <c r="C3874" s="0" t="s">
        <v>84</v>
      </c>
      <c r="D3874" s="0" t="n">
        <v>15</v>
      </c>
      <c r="E3874" s="5" t="n">
        <v>45990.6191550926</v>
      </c>
      <c r="F3874" s="0" t="n">
        <v>2.95</v>
      </c>
      <c r="H3874" s="6" t="s">
        <v>74</v>
      </c>
      <c r="I3874" s="6" t="n">
        <f aca="false">D3874*F3874</f>
        <v>44.25</v>
      </c>
      <c r="J3874" s="6" t="n">
        <f aca="false">HOUR(E3874)</f>
        <v>14</v>
      </c>
      <c r="K3874" s="6" t="n">
        <f aca="false">IF(COUNTIF($A$2:$A3874,A3874)=1,1,0)</f>
        <v>1</v>
      </c>
    </row>
    <row r="3875" customFormat="false" ht="15" hidden="false" customHeight="false" outlineLevel="0" collapsed="false">
      <c r="A3875" s="0" t="s">
        <v>828</v>
      </c>
      <c r="B3875" s="0" t="s">
        <v>53</v>
      </c>
      <c r="C3875" s="0" t="s">
        <v>54</v>
      </c>
      <c r="D3875" s="0" t="n">
        <v>17</v>
      </c>
      <c r="E3875" s="5" t="n">
        <v>45990.6191550926</v>
      </c>
      <c r="F3875" s="0" t="n">
        <v>2.95</v>
      </c>
      <c r="H3875" s="6" t="s">
        <v>74</v>
      </c>
      <c r="I3875" s="6" t="n">
        <f aca="false">D3875*F3875</f>
        <v>50.15</v>
      </c>
      <c r="J3875" s="6" t="n">
        <f aca="false">HOUR(E3875)</f>
        <v>14</v>
      </c>
      <c r="K3875" s="6" t="n">
        <f aca="false">IF(COUNTIF($A$2:$A3875,A3875)=1,1,0)</f>
        <v>0</v>
      </c>
    </row>
    <row r="3876" customFormat="false" ht="15" hidden="false" customHeight="false" outlineLevel="0" collapsed="false">
      <c r="A3876" s="0" t="s">
        <v>828</v>
      </c>
      <c r="B3876" s="0" t="s">
        <v>43</v>
      </c>
      <c r="C3876" s="0" t="s">
        <v>44</v>
      </c>
      <c r="D3876" s="0" t="n">
        <v>18</v>
      </c>
      <c r="E3876" s="5" t="n">
        <v>45990.6191550926</v>
      </c>
      <c r="F3876" s="0" t="n">
        <v>4.25</v>
      </c>
      <c r="H3876" s="6" t="s">
        <v>74</v>
      </c>
      <c r="I3876" s="6" t="n">
        <f aca="false">D3876*F3876</f>
        <v>76.5</v>
      </c>
      <c r="J3876" s="6" t="n">
        <f aca="false">HOUR(E3876)</f>
        <v>14</v>
      </c>
      <c r="K3876" s="6" t="n">
        <f aca="false">IF(COUNTIF($A$2:$A3876,A3876)=1,1,0)</f>
        <v>0</v>
      </c>
    </row>
    <row r="3877" customFormat="false" ht="15" hidden="false" customHeight="false" outlineLevel="0" collapsed="false">
      <c r="A3877" s="0" t="s">
        <v>828</v>
      </c>
      <c r="B3877" s="0" t="s">
        <v>102</v>
      </c>
      <c r="C3877" s="0" t="s">
        <v>103</v>
      </c>
      <c r="D3877" s="0" t="n">
        <v>14</v>
      </c>
      <c r="E3877" s="5" t="n">
        <v>45990.6191550926</v>
      </c>
      <c r="F3877" s="0" t="n">
        <v>8.5</v>
      </c>
      <c r="H3877" s="6" t="s">
        <v>74</v>
      </c>
      <c r="I3877" s="6" t="n">
        <f aca="false">D3877*F3877</f>
        <v>119</v>
      </c>
      <c r="J3877" s="6" t="n">
        <f aca="false">HOUR(E3877)</f>
        <v>14</v>
      </c>
      <c r="K3877" s="6" t="n">
        <f aca="false">IF(COUNTIF($A$2:$A3877,A3877)=1,1,0)</f>
        <v>0</v>
      </c>
    </row>
    <row r="3878" customFormat="false" ht="15" hidden="false" customHeight="false" outlineLevel="0" collapsed="false">
      <c r="A3878" s="0" t="s">
        <v>828</v>
      </c>
      <c r="B3878" s="0" t="s">
        <v>145</v>
      </c>
      <c r="C3878" s="0" t="s">
        <v>146</v>
      </c>
      <c r="D3878" s="0" t="n">
        <v>17</v>
      </c>
      <c r="E3878" s="5" t="n">
        <v>45990.6191550926</v>
      </c>
      <c r="F3878" s="0" t="n">
        <v>1.85</v>
      </c>
      <c r="H3878" s="6" t="s">
        <v>74</v>
      </c>
      <c r="I3878" s="6" t="n">
        <f aca="false">D3878*F3878</f>
        <v>31.45</v>
      </c>
      <c r="J3878" s="6" t="n">
        <f aca="false">HOUR(E3878)</f>
        <v>14</v>
      </c>
      <c r="K3878" s="6" t="n">
        <f aca="false">IF(COUNTIF($A$2:$A3878,A3878)=1,1,0)</f>
        <v>0</v>
      </c>
    </row>
    <row r="3879" customFormat="false" ht="15" hidden="false" customHeight="false" outlineLevel="0" collapsed="false">
      <c r="A3879" s="0" t="s">
        <v>828</v>
      </c>
      <c r="B3879" s="0" t="s">
        <v>140</v>
      </c>
      <c r="C3879" s="0" t="s">
        <v>141</v>
      </c>
      <c r="D3879" s="0" t="n">
        <v>6</v>
      </c>
      <c r="E3879" s="5" t="n">
        <v>45990.6191550926</v>
      </c>
      <c r="F3879" s="0" t="n">
        <v>2.08</v>
      </c>
      <c r="H3879" s="6" t="s">
        <v>74</v>
      </c>
      <c r="I3879" s="6" t="n">
        <f aca="false">D3879*F3879</f>
        <v>12.48</v>
      </c>
      <c r="J3879" s="6" t="n">
        <f aca="false">HOUR(E3879)</f>
        <v>14</v>
      </c>
      <c r="K3879" s="6" t="n">
        <f aca="false">IF(COUNTIF($A$2:$A3879,A3879)=1,1,0)</f>
        <v>0</v>
      </c>
    </row>
    <row r="3880" customFormat="false" ht="15" hidden="false" customHeight="false" outlineLevel="0" collapsed="false">
      <c r="A3880" s="0" t="s">
        <v>828</v>
      </c>
      <c r="B3880" s="0" t="s">
        <v>75</v>
      </c>
      <c r="C3880" s="0" t="s">
        <v>76</v>
      </c>
      <c r="D3880" s="0" t="n">
        <v>2</v>
      </c>
      <c r="E3880" s="5" t="n">
        <v>45990.6191550926</v>
      </c>
      <c r="F3880" s="0" t="n">
        <v>3.39</v>
      </c>
      <c r="H3880" s="6" t="s">
        <v>74</v>
      </c>
      <c r="I3880" s="6" t="n">
        <f aca="false">D3880*F3880</f>
        <v>6.78</v>
      </c>
      <c r="J3880" s="6" t="n">
        <f aca="false">HOUR(E3880)</f>
        <v>14</v>
      </c>
      <c r="K3880" s="6" t="n">
        <f aca="false">IF(COUNTIF($A$2:$A3880,A3880)=1,1,0)</f>
        <v>0</v>
      </c>
    </row>
    <row r="3881" customFormat="false" ht="15" hidden="false" customHeight="false" outlineLevel="0" collapsed="false">
      <c r="A3881" s="0" t="s">
        <v>829</v>
      </c>
      <c r="B3881" s="0" t="s">
        <v>140</v>
      </c>
      <c r="C3881" s="0" t="s">
        <v>141</v>
      </c>
      <c r="D3881" s="0" t="n">
        <v>22</v>
      </c>
      <c r="E3881" s="5" t="n">
        <v>45990.6752083333</v>
      </c>
      <c r="F3881" s="0" t="n">
        <v>2.08</v>
      </c>
      <c r="G3881" s="0" t="n">
        <v>17175</v>
      </c>
      <c r="H3881" s="6" t="s">
        <v>113</v>
      </c>
      <c r="I3881" s="6" t="n">
        <f aca="false">D3881*F3881</f>
        <v>45.76</v>
      </c>
      <c r="J3881" s="6" t="n">
        <f aca="false">HOUR(E3881)</f>
        <v>16</v>
      </c>
      <c r="K3881" s="6" t="n">
        <f aca="false">IF(COUNTIF($A$2:$A3881,A3881)=1,1,0)</f>
        <v>1</v>
      </c>
    </row>
    <row r="3882" customFormat="false" ht="15" hidden="false" customHeight="false" outlineLevel="0" collapsed="false">
      <c r="A3882" s="0" t="s">
        <v>829</v>
      </c>
      <c r="B3882" s="0" t="s">
        <v>134</v>
      </c>
      <c r="C3882" s="0" t="s">
        <v>135</v>
      </c>
      <c r="D3882" s="0" t="n">
        <v>19</v>
      </c>
      <c r="E3882" s="5" t="n">
        <v>45990.6752083333</v>
      </c>
      <c r="F3882" s="0" t="n">
        <v>5.95</v>
      </c>
      <c r="G3882" s="0" t="n">
        <v>17175</v>
      </c>
      <c r="H3882" s="6" t="s">
        <v>113</v>
      </c>
      <c r="I3882" s="6" t="n">
        <f aca="false">D3882*F3882</f>
        <v>113.05</v>
      </c>
      <c r="J3882" s="6" t="n">
        <f aca="false">HOUR(E3882)</f>
        <v>16</v>
      </c>
      <c r="K3882" s="6" t="n">
        <f aca="false">IF(COUNTIF($A$2:$A3882,A3882)=1,1,0)</f>
        <v>0</v>
      </c>
    </row>
    <row r="3883" customFormat="false" ht="15" hidden="false" customHeight="false" outlineLevel="0" collapsed="false">
      <c r="A3883" s="0" t="s">
        <v>829</v>
      </c>
      <c r="B3883" s="0" t="s">
        <v>69</v>
      </c>
      <c r="C3883" s="0" t="s">
        <v>70</v>
      </c>
      <c r="D3883" s="0" t="n">
        <v>37</v>
      </c>
      <c r="E3883" s="5" t="n">
        <v>45990.6752083333</v>
      </c>
      <c r="F3883" s="0" t="n">
        <v>2.08</v>
      </c>
      <c r="G3883" s="0" t="n">
        <v>17175</v>
      </c>
      <c r="H3883" s="6" t="s">
        <v>113</v>
      </c>
      <c r="I3883" s="6" t="n">
        <f aca="false">D3883*F3883</f>
        <v>76.96</v>
      </c>
      <c r="J3883" s="6" t="n">
        <f aca="false">HOUR(E3883)</f>
        <v>16</v>
      </c>
      <c r="K3883" s="6" t="n">
        <f aca="false">IF(COUNTIF($A$2:$A3883,A3883)=1,1,0)</f>
        <v>0</v>
      </c>
    </row>
    <row r="3884" customFormat="false" ht="15" hidden="false" customHeight="false" outlineLevel="0" collapsed="false">
      <c r="A3884" s="0" t="s">
        <v>829</v>
      </c>
      <c r="B3884" s="0" t="s">
        <v>127</v>
      </c>
      <c r="C3884" s="0" t="s">
        <v>128</v>
      </c>
      <c r="D3884" s="0" t="n">
        <v>6</v>
      </c>
      <c r="E3884" s="5" t="n">
        <v>45990.6752083333</v>
      </c>
      <c r="F3884" s="0" t="n">
        <v>1.45</v>
      </c>
      <c r="G3884" s="0" t="n">
        <v>17175</v>
      </c>
      <c r="H3884" s="6" t="s">
        <v>113</v>
      </c>
      <c r="I3884" s="6" t="n">
        <f aca="false">D3884*F3884</f>
        <v>8.7</v>
      </c>
      <c r="J3884" s="6" t="n">
        <f aca="false">HOUR(E3884)</f>
        <v>16</v>
      </c>
      <c r="K3884" s="6" t="n">
        <f aca="false">IF(COUNTIF($A$2:$A3884,A3884)=1,1,0)</f>
        <v>0</v>
      </c>
    </row>
    <row r="3885" customFormat="false" ht="15" hidden="false" customHeight="false" outlineLevel="0" collapsed="false">
      <c r="A3885" s="0" t="s">
        <v>829</v>
      </c>
      <c r="B3885" s="0" t="s">
        <v>88</v>
      </c>
      <c r="C3885" s="0" t="s">
        <v>89</v>
      </c>
      <c r="D3885" s="0" t="n">
        <v>10</v>
      </c>
      <c r="E3885" s="5" t="n">
        <v>45990.6752083333</v>
      </c>
      <c r="F3885" s="0" t="n">
        <v>2.75</v>
      </c>
      <c r="G3885" s="0" t="n">
        <v>17175</v>
      </c>
      <c r="H3885" s="6" t="s">
        <v>113</v>
      </c>
      <c r="I3885" s="6" t="n">
        <f aca="false">D3885*F3885</f>
        <v>27.5</v>
      </c>
      <c r="J3885" s="6" t="n">
        <f aca="false">HOUR(E3885)</f>
        <v>16</v>
      </c>
      <c r="K3885" s="6" t="n">
        <f aca="false">IF(COUNTIF($A$2:$A3885,A3885)=1,1,0)</f>
        <v>0</v>
      </c>
    </row>
    <row r="3886" customFormat="false" ht="15" hidden="false" customHeight="false" outlineLevel="0" collapsed="false">
      <c r="A3886" s="0" t="s">
        <v>829</v>
      </c>
      <c r="B3886" s="0" t="s">
        <v>79</v>
      </c>
      <c r="C3886" s="0" t="s">
        <v>80</v>
      </c>
      <c r="D3886" s="0" t="n">
        <v>18</v>
      </c>
      <c r="E3886" s="5" t="n">
        <v>45990.6752083333</v>
      </c>
      <c r="F3886" s="0" t="n">
        <v>3.39</v>
      </c>
      <c r="G3886" s="0" t="n">
        <v>17175</v>
      </c>
      <c r="H3886" s="6" t="s">
        <v>113</v>
      </c>
      <c r="I3886" s="6" t="n">
        <f aca="false">D3886*F3886</f>
        <v>61.02</v>
      </c>
      <c r="J3886" s="6" t="n">
        <f aca="false">HOUR(E3886)</f>
        <v>16</v>
      </c>
      <c r="K3886" s="6" t="n">
        <f aca="false">IF(COUNTIF($A$2:$A3886,A3886)=1,1,0)</f>
        <v>0</v>
      </c>
    </row>
    <row r="3887" customFormat="false" ht="15" hidden="false" customHeight="false" outlineLevel="0" collapsed="false">
      <c r="A3887" s="0" t="s">
        <v>829</v>
      </c>
      <c r="B3887" s="0" t="s">
        <v>77</v>
      </c>
      <c r="C3887" s="0" t="s">
        <v>78</v>
      </c>
      <c r="D3887" s="0" t="n">
        <v>2</v>
      </c>
      <c r="E3887" s="5" t="n">
        <v>45990.6752083333</v>
      </c>
      <c r="F3887" s="0" t="n">
        <v>1.65</v>
      </c>
      <c r="G3887" s="0" t="n">
        <v>17175</v>
      </c>
      <c r="H3887" s="6" t="s">
        <v>113</v>
      </c>
      <c r="I3887" s="6" t="n">
        <f aca="false">D3887*F3887</f>
        <v>3.3</v>
      </c>
      <c r="J3887" s="6" t="n">
        <f aca="false">HOUR(E3887)</f>
        <v>16</v>
      </c>
      <c r="K3887" s="6" t="n">
        <f aca="false">IF(COUNTIF($A$2:$A3887,A3887)=1,1,0)</f>
        <v>0</v>
      </c>
    </row>
    <row r="3888" customFormat="false" ht="15" hidden="false" customHeight="false" outlineLevel="0" collapsed="false">
      <c r="A3888" s="0" t="s">
        <v>829</v>
      </c>
      <c r="B3888" s="0" t="s">
        <v>116</v>
      </c>
      <c r="C3888" s="0" t="s">
        <v>117</v>
      </c>
      <c r="D3888" s="0" t="n">
        <v>18</v>
      </c>
      <c r="E3888" s="5" t="n">
        <v>45990.6752083333</v>
      </c>
      <c r="F3888" s="0" t="n">
        <v>1.95</v>
      </c>
      <c r="G3888" s="0" t="n">
        <v>17175</v>
      </c>
      <c r="H3888" s="6" t="s">
        <v>113</v>
      </c>
      <c r="I3888" s="6" t="n">
        <f aca="false">D3888*F3888</f>
        <v>35.1</v>
      </c>
      <c r="J3888" s="6" t="n">
        <f aca="false">HOUR(E3888)</f>
        <v>16</v>
      </c>
      <c r="K3888" s="6" t="n">
        <f aca="false">IF(COUNTIF($A$2:$A3888,A3888)=1,1,0)</f>
        <v>0</v>
      </c>
    </row>
    <row r="3889" customFormat="false" ht="15" hidden="false" customHeight="false" outlineLevel="0" collapsed="false">
      <c r="A3889" s="0" t="s">
        <v>829</v>
      </c>
      <c r="B3889" s="0" t="s">
        <v>63</v>
      </c>
      <c r="C3889" s="0" t="s">
        <v>64</v>
      </c>
      <c r="D3889" s="0" t="n">
        <v>5</v>
      </c>
      <c r="E3889" s="5" t="n">
        <v>45990.6752083333</v>
      </c>
      <c r="F3889" s="0" t="n">
        <v>1.85</v>
      </c>
      <c r="G3889" s="0" t="n">
        <v>17175</v>
      </c>
      <c r="H3889" s="6" t="s">
        <v>113</v>
      </c>
      <c r="I3889" s="6" t="n">
        <f aca="false">D3889*F3889</f>
        <v>9.25</v>
      </c>
      <c r="J3889" s="6" t="n">
        <f aca="false">HOUR(E3889)</f>
        <v>16</v>
      </c>
      <c r="K3889" s="6" t="n">
        <f aca="false">IF(COUNTIF($A$2:$A3889,A3889)=1,1,0)</f>
        <v>0</v>
      </c>
    </row>
    <row r="3890" customFormat="false" ht="15" hidden="false" customHeight="false" outlineLevel="0" collapsed="false">
      <c r="A3890" s="0" t="s">
        <v>830</v>
      </c>
      <c r="B3890" s="0" t="s">
        <v>118</v>
      </c>
      <c r="C3890" s="0" t="s">
        <v>119</v>
      </c>
      <c r="D3890" s="0" t="n">
        <v>20</v>
      </c>
      <c r="E3890" s="5" t="n">
        <v>45990.7112152778</v>
      </c>
      <c r="F3890" s="0" t="n">
        <v>4.95</v>
      </c>
      <c r="G3890" s="0" t="n">
        <v>17203</v>
      </c>
      <c r="H3890" s="6" t="s">
        <v>74</v>
      </c>
      <c r="I3890" s="6" t="n">
        <f aca="false">D3890*F3890</f>
        <v>99</v>
      </c>
      <c r="J3890" s="6" t="n">
        <f aca="false">HOUR(E3890)</f>
        <v>17</v>
      </c>
      <c r="K3890" s="6" t="n">
        <f aca="false">IF(COUNTIF($A$2:$A3890,A3890)=1,1,0)</f>
        <v>1</v>
      </c>
    </row>
    <row r="3891" customFormat="false" ht="15" hidden="false" customHeight="false" outlineLevel="0" collapsed="false">
      <c r="A3891" s="0" t="s">
        <v>830</v>
      </c>
      <c r="B3891" s="0" t="s">
        <v>77</v>
      </c>
      <c r="C3891" s="0" t="s">
        <v>78</v>
      </c>
      <c r="D3891" s="0" t="n">
        <v>3</v>
      </c>
      <c r="E3891" s="5" t="n">
        <v>45990.7112152778</v>
      </c>
      <c r="F3891" s="0" t="n">
        <v>1.65</v>
      </c>
      <c r="G3891" s="0" t="n">
        <v>17203</v>
      </c>
      <c r="H3891" s="6" t="s">
        <v>74</v>
      </c>
      <c r="I3891" s="6" t="n">
        <f aca="false">D3891*F3891</f>
        <v>4.95</v>
      </c>
      <c r="J3891" s="6" t="n">
        <f aca="false">HOUR(E3891)</f>
        <v>17</v>
      </c>
      <c r="K3891" s="6" t="n">
        <f aca="false">IF(COUNTIF($A$2:$A3891,A3891)=1,1,0)</f>
        <v>0</v>
      </c>
    </row>
    <row r="3892" customFormat="false" ht="15" hidden="false" customHeight="false" outlineLevel="0" collapsed="false">
      <c r="A3892" s="0" t="s">
        <v>830</v>
      </c>
      <c r="B3892" s="0" t="s">
        <v>72</v>
      </c>
      <c r="C3892" s="0" t="s">
        <v>73</v>
      </c>
      <c r="D3892" s="0" t="n">
        <v>22</v>
      </c>
      <c r="E3892" s="5" t="n">
        <v>45990.7112152778</v>
      </c>
      <c r="F3892" s="0" t="n">
        <v>4.95</v>
      </c>
      <c r="G3892" s="0" t="n">
        <v>17203</v>
      </c>
      <c r="H3892" s="6" t="s">
        <v>74</v>
      </c>
      <c r="I3892" s="6" t="n">
        <f aca="false">D3892*F3892</f>
        <v>108.9</v>
      </c>
      <c r="J3892" s="6" t="n">
        <f aca="false">HOUR(E3892)</f>
        <v>17</v>
      </c>
      <c r="K3892" s="6" t="n">
        <f aca="false">IF(COUNTIF($A$2:$A3892,A3892)=1,1,0)</f>
        <v>0</v>
      </c>
    </row>
    <row r="3893" customFormat="false" ht="15" hidden="false" customHeight="false" outlineLevel="0" collapsed="false">
      <c r="A3893" s="0" t="s">
        <v>830</v>
      </c>
      <c r="B3893" s="0" t="s">
        <v>116</v>
      </c>
      <c r="C3893" s="0" t="s">
        <v>117</v>
      </c>
      <c r="D3893" s="0" t="n">
        <v>4</v>
      </c>
      <c r="E3893" s="5" t="n">
        <v>45990.7112152778</v>
      </c>
      <c r="F3893" s="0" t="n">
        <v>1.95</v>
      </c>
      <c r="G3893" s="0" t="n">
        <v>17203</v>
      </c>
      <c r="H3893" s="6" t="s">
        <v>74</v>
      </c>
      <c r="I3893" s="6" t="n">
        <f aca="false">D3893*F3893</f>
        <v>7.8</v>
      </c>
      <c r="J3893" s="6" t="n">
        <f aca="false">HOUR(E3893)</f>
        <v>17</v>
      </c>
      <c r="K3893" s="6" t="n">
        <f aca="false">IF(COUNTIF($A$2:$A3893,A3893)=1,1,0)</f>
        <v>0</v>
      </c>
    </row>
    <row r="3894" customFormat="false" ht="15" hidden="false" customHeight="false" outlineLevel="0" collapsed="false">
      <c r="A3894" s="0" t="s">
        <v>830</v>
      </c>
      <c r="B3894" s="0" t="s">
        <v>50</v>
      </c>
      <c r="C3894" s="0" t="s">
        <v>51</v>
      </c>
      <c r="D3894" s="0" t="n">
        <v>10</v>
      </c>
      <c r="E3894" s="5" t="n">
        <v>45990.7112152778</v>
      </c>
      <c r="F3894" s="0" t="n">
        <v>5.95</v>
      </c>
      <c r="G3894" s="0" t="n">
        <v>17203</v>
      </c>
      <c r="H3894" s="6" t="s">
        <v>74</v>
      </c>
      <c r="I3894" s="6" t="n">
        <f aca="false">D3894*F3894</f>
        <v>59.5</v>
      </c>
      <c r="J3894" s="6" t="n">
        <f aca="false">HOUR(E3894)</f>
        <v>17</v>
      </c>
      <c r="K3894" s="6" t="n">
        <f aca="false">IF(COUNTIF($A$2:$A3894,A3894)=1,1,0)</f>
        <v>0</v>
      </c>
    </row>
    <row r="3895" customFormat="false" ht="15" hidden="false" customHeight="false" outlineLevel="0" collapsed="false">
      <c r="A3895" s="0" t="s">
        <v>830</v>
      </c>
      <c r="B3895" s="0" t="s">
        <v>55</v>
      </c>
      <c r="C3895" s="0" t="s">
        <v>56</v>
      </c>
      <c r="D3895" s="0" t="n">
        <v>20</v>
      </c>
      <c r="E3895" s="5" t="n">
        <v>45990.7112152778</v>
      </c>
      <c r="F3895" s="0" t="n">
        <v>1.65</v>
      </c>
      <c r="G3895" s="0" t="n">
        <v>17203</v>
      </c>
      <c r="H3895" s="6" t="s">
        <v>74</v>
      </c>
      <c r="I3895" s="6" t="n">
        <f aca="false">D3895*F3895</f>
        <v>33</v>
      </c>
      <c r="J3895" s="6" t="n">
        <f aca="false">HOUR(E3895)</f>
        <v>17</v>
      </c>
      <c r="K3895" s="6" t="n">
        <f aca="false">IF(COUNTIF($A$2:$A3895,A3895)=1,1,0)</f>
        <v>0</v>
      </c>
    </row>
    <row r="3896" customFormat="false" ht="15" hidden="false" customHeight="false" outlineLevel="0" collapsed="false">
      <c r="A3896" s="0" t="s">
        <v>830</v>
      </c>
      <c r="B3896" s="0" t="s">
        <v>63</v>
      </c>
      <c r="C3896" s="0" t="s">
        <v>64</v>
      </c>
      <c r="D3896" s="0" t="n">
        <v>15</v>
      </c>
      <c r="E3896" s="5" t="n">
        <v>45990.7112152778</v>
      </c>
      <c r="F3896" s="0" t="n">
        <v>1.85</v>
      </c>
      <c r="G3896" s="0" t="n">
        <v>17203</v>
      </c>
      <c r="H3896" s="6" t="s">
        <v>74</v>
      </c>
      <c r="I3896" s="6" t="n">
        <f aca="false">D3896*F3896</f>
        <v>27.75</v>
      </c>
      <c r="J3896" s="6" t="n">
        <f aca="false">HOUR(E3896)</f>
        <v>17</v>
      </c>
      <c r="K3896" s="6" t="n">
        <f aca="false">IF(COUNTIF($A$2:$A3896,A3896)=1,1,0)</f>
        <v>0</v>
      </c>
    </row>
    <row r="3897" customFormat="false" ht="15" hidden="false" customHeight="false" outlineLevel="0" collapsed="false">
      <c r="A3897" s="0" t="s">
        <v>830</v>
      </c>
      <c r="B3897" s="0" t="s">
        <v>91</v>
      </c>
      <c r="C3897" s="0" t="s">
        <v>92</v>
      </c>
      <c r="D3897" s="0" t="n">
        <v>21</v>
      </c>
      <c r="E3897" s="5" t="n">
        <v>45990.7112152778</v>
      </c>
      <c r="F3897" s="0" t="n">
        <v>7.65</v>
      </c>
      <c r="G3897" s="0" t="n">
        <v>17203</v>
      </c>
      <c r="H3897" s="6" t="s">
        <v>74</v>
      </c>
      <c r="I3897" s="6" t="n">
        <f aca="false">D3897*F3897</f>
        <v>160.65</v>
      </c>
      <c r="J3897" s="6" t="n">
        <f aca="false">HOUR(E3897)</f>
        <v>17</v>
      </c>
      <c r="K3897" s="6" t="n">
        <f aca="false">IF(COUNTIF($A$2:$A3897,A3897)=1,1,0)</f>
        <v>0</v>
      </c>
    </row>
    <row r="3898" customFormat="false" ht="15" hidden="false" customHeight="false" outlineLevel="0" collapsed="false">
      <c r="A3898" s="0" t="s">
        <v>830</v>
      </c>
      <c r="B3898" s="0" t="s">
        <v>95</v>
      </c>
      <c r="C3898" s="0" t="s">
        <v>96</v>
      </c>
      <c r="D3898" s="0" t="n">
        <v>41</v>
      </c>
      <c r="E3898" s="5" t="n">
        <v>45990.7112152778</v>
      </c>
      <c r="F3898" s="0" t="n">
        <v>2.55</v>
      </c>
      <c r="G3898" s="0" t="n">
        <v>17203</v>
      </c>
      <c r="H3898" s="6" t="s">
        <v>74</v>
      </c>
      <c r="I3898" s="6" t="n">
        <f aca="false">D3898*F3898</f>
        <v>104.55</v>
      </c>
      <c r="J3898" s="6" t="n">
        <f aca="false">HOUR(E3898)</f>
        <v>17</v>
      </c>
      <c r="K3898" s="6" t="n">
        <f aca="false">IF(COUNTIF($A$2:$A3898,A3898)=1,1,0)</f>
        <v>0</v>
      </c>
    </row>
    <row r="3899" customFormat="false" ht="15" hidden="false" customHeight="false" outlineLevel="0" collapsed="false">
      <c r="A3899" s="0" t="s">
        <v>831</v>
      </c>
      <c r="B3899" s="0" t="s">
        <v>57</v>
      </c>
      <c r="C3899" s="0" t="s">
        <v>58</v>
      </c>
      <c r="D3899" s="0" t="n">
        <v>13</v>
      </c>
      <c r="E3899" s="5" t="n">
        <v>45990.7809027778</v>
      </c>
      <c r="F3899" s="0" t="n">
        <v>2.08</v>
      </c>
      <c r="H3899" s="6" t="s">
        <v>74</v>
      </c>
      <c r="I3899" s="6" t="n">
        <f aca="false">D3899*F3899</f>
        <v>27.04</v>
      </c>
      <c r="J3899" s="6" t="n">
        <f aca="false">HOUR(E3899)</f>
        <v>18</v>
      </c>
      <c r="K3899" s="6" t="n">
        <f aca="false">IF(COUNTIF($A$2:$A3899,A3899)=1,1,0)</f>
        <v>1</v>
      </c>
    </row>
    <row r="3900" customFormat="false" ht="15" hidden="false" customHeight="false" outlineLevel="0" collapsed="false">
      <c r="A3900" s="0" t="s">
        <v>831</v>
      </c>
      <c r="B3900" s="0" t="s">
        <v>88</v>
      </c>
      <c r="C3900" s="0" t="s">
        <v>89</v>
      </c>
      <c r="D3900" s="0" t="n">
        <v>18</v>
      </c>
      <c r="E3900" s="5" t="n">
        <v>45990.7809027778</v>
      </c>
      <c r="F3900" s="0" t="n">
        <v>2.75</v>
      </c>
      <c r="H3900" s="6" t="s">
        <v>74</v>
      </c>
      <c r="I3900" s="6" t="n">
        <f aca="false">D3900*F3900</f>
        <v>49.5</v>
      </c>
      <c r="J3900" s="6" t="n">
        <f aca="false">HOUR(E3900)</f>
        <v>18</v>
      </c>
      <c r="K3900" s="6" t="n">
        <f aca="false">IF(COUNTIF($A$2:$A3900,A3900)=1,1,0)</f>
        <v>0</v>
      </c>
    </row>
    <row r="3901" customFormat="false" ht="15" hidden="false" customHeight="false" outlineLevel="0" collapsed="false">
      <c r="A3901" s="0" t="s">
        <v>831</v>
      </c>
      <c r="B3901" s="0" t="s">
        <v>61</v>
      </c>
      <c r="C3901" s="0" t="s">
        <v>62</v>
      </c>
      <c r="D3901" s="0" t="n">
        <v>2</v>
      </c>
      <c r="E3901" s="5" t="n">
        <v>45990.7809027778</v>
      </c>
      <c r="F3901" s="0" t="n">
        <v>1.65</v>
      </c>
      <c r="H3901" s="6" t="s">
        <v>74</v>
      </c>
      <c r="I3901" s="6" t="n">
        <f aca="false">D3901*F3901</f>
        <v>3.3</v>
      </c>
      <c r="J3901" s="6" t="n">
        <f aca="false">HOUR(E3901)</f>
        <v>18</v>
      </c>
      <c r="K3901" s="6" t="n">
        <f aca="false">IF(COUNTIF($A$2:$A3901,A3901)=1,1,0)</f>
        <v>0</v>
      </c>
    </row>
    <row r="3902" customFormat="false" ht="15" hidden="false" customHeight="false" outlineLevel="0" collapsed="false">
      <c r="A3902" s="0" t="s">
        <v>831</v>
      </c>
      <c r="B3902" s="0" t="s">
        <v>107</v>
      </c>
      <c r="C3902" s="0" t="s">
        <v>108</v>
      </c>
      <c r="D3902" s="0" t="n">
        <v>7</v>
      </c>
      <c r="E3902" s="5" t="n">
        <v>45990.7809027778</v>
      </c>
      <c r="F3902" s="0" t="n">
        <v>3.75</v>
      </c>
      <c r="H3902" s="6" t="s">
        <v>74</v>
      </c>
      <c r="I3902" s="6" t="n">
        <f aca="false">D3902*F3902</f>
        <v>26.25</v>
      </c>
      <c r="J3902" s="6" t="n">
        <f aca="false">HOUR(E3902)</f>
        <v>18</v>
      </c>
      <c r="K3902" s="6" t="n">
        <f aca="false">IF(COUNTIF($A$2:$A3902,A3902)=1,1,0)</f>
        <v>0</v>
      </c>
    </row>
    <row r="3903" customFormat="false" ht="15" hidden="false" customHeight="false" outlineLevel="0" collapsed="false">
      <c r="A3903" s="0" t="s">
        <v>831</v>
      </c>
      <c r="B3903" s="0" t="s">
        <v>116</v>
      </c>
      <c r="C3903" s="0" t="s">
        <v>117</v>
      </c>
      <c r="D3903" s="0" t="n">
        <v>2</v>
      </c>
      <c r="E3903" s="5" t="n">
        <v>45990.7809027778</v>
      </c>
      <c r="F3903" s="0" t="n">
        <v>1.95</v>
      </c>
      <c r="H3903" s="6" t="s">
        <v>74</v>
      </c>
      <c r="I3903" s="6" t="n">
        <f aca="false">D3903*F3903</f>
        <v>3.9</v>
      </c>
      <c r="J3903" s="6" t="n">
        <f aca="false">HOUR(E3903)</f>
        <v>18</v>
      </c>
      <c r="K3903" s="6" t="n">
        <f aca="false">IF(COUNTIF($A$2:$A3903,A3903)=1,1,0)</f>
        <v>0</v>
      </c>
    </row>
    <row r="3904" customFormat="false" ht="15" hidden="false" customHeight="false" outlineLevel="0" collapsed="false">
      <c r="A3904" s="0" t="s">
        <v>831</v>
      </c>
      <c r="B3904" s="0" t="s">
        <v>102</v>
      </c>
      <c r="C3904" s="0" t="s">
        <v>103</v>
      </c>
      <c r="D3904" s="0" t="n">
        <v>23</v>
      </c>
      <c r="E3904" s="5" t="n">
        <v>45990.7809027778</v>
      </c>
      <c r="F3904" s="0" t="n">
        <v>8.5</v>
      </c>
      <c r="H3904" s="6" t="s">
        <v>74</v>
      </c>
      <c r="I3904" s="6" t="n">
        <f aca="false">D3904*F3904</f>
        <v>195.5</v>
      </c>
      <c r="J3904" s="6" t="n">
        <f aca="false">HOUR(E3904)</f>
        <v>18</v>
      </c>
      <c r="K3904" s="6" t="n">
        <f aca="false">IF(COUNTIF($A$2:$A3904,A3904)=1,1,0)</f>
        <v>0</v>
      </c>
    </row>
    <row r="3905" customFormat="false" ht="15" hidden="false" customHeight="false" outlineLevel="0" collapsed="false">
      <c r="A3905" s="0" t="s">
        <v>831</v>
      </c>
      <c r="B3905" s="0" t="s">
        <v>125</v>
      </c>
      <c r="C3905" s="0" t="s">
        <v>126</v>
      </c>
      <c r="D3905" s="0" t="n">
        <v>12</v>
      </c>
      <c r="E3905" s="5" t="n">
        <v>45990.7809027778</v>
      </c>
      <c r="F3905" s="0" t="n">
        <v>1.25</v>
      </c>
      <c r="H3905" s="6" t="s">
        <v>74</v>
      </c>
      <c r="I3905" s="6" t="n">
        <f aca="false">D3905*F3905</f>
        <v>15</v>
      </c>
      <c r="J3905" s="6" t="n">
        <f aca="false">HOUR(E3905)</f>
        <v>18</v>
      </c>
      <c r="K3905" s="6" t="n">
        <f aca="false">IF(COUNTIF($A$2:$A3905,A3905)=1,1,0)</f>
        <v>0</v>
      </c>
    </row>
    <row r="3906" customFormat="false" ht="15" hidden="false" customHeight="false" outlineLevel="0" collapsed="false">
      <c r="A3906" s="0" t="s">
        <v>831</v>
      </c>
      <c r="B3906" s="0" t="s">
        <v>140</v>
      </c>
      <c r="C3906" s="0" t="s">
        <v>141</v>
      </c>
      <c r="D3906" s="0" t="n">
        <v>13</v>
      </c>
      <c r="E3906" s="5" t="n">
        <v>45990.7809027778</v>
      </c>
      <c r="F3906" s="0" t="n">
        <v>2.08</v>
      </c>
      <c r="H3906" s="6" t="s">
        <v>74</v>
      </c>
      <c r="I3906" s="6" t="n">
        <f aca="false">D3906*F3906</f>
        <v>27.04</v>
      </c>
      <c r="J3906" s="6" t="n">
        <f aca="false">HOUR(E3906)</f>
        <v>18</v>
      </c>
      <c r="K3906" s="6" t="n">
        <f aca="false">IF(COUNTIF($A$2:$A3906,A3906)=1,1,0)</f>
        <v>0</v>
      </c>
    </row>
    <row r="3907" customFormat="false" ht="15" hidden="false" customHeight="false" outlineLevel="0" collapsed="false">
      <c r="A3907" s="0" t="s">
        <v>832</v>
      </c>
      <c r="B3907" s="0" t="s">
        <v>114</v>
      </c>
      <c r="C3907" s="0" t="s">
        <v>115</v>
      </c>
      <c r="D3907" s="0" t="n">
        <v>3</v>
      </c>
      <c r="E3907" s="5" t="n">
        <v>45990.788587963</v>
      </c>
      <c r="F3907" s="0" t="n">
        <v>2.08</v>
      </c>
      <c r="G3907" s="0" t="n">
        <v>17090</v>
      </c>
      <c r="H3907" s="6" t="s">
        <v>42</v>
      </c>
      <c r="I3907" s="6" t="n">
        <f aca="false">D3907*F3907</f>
        <v>6.24</v>
      </c>
      <c r="J3907" s="6" t="n">
        <f aca="false">HOUR(E3907)</f>
        <v>18</v>
      </c>
      <c r="K3907" s="6" t="n">
        <f aca="false">IF(COUNTIF($A$2:$A3907,A3907)=1,1,0)</f>
        <v>1</v>
      </c>
    </row>
    <row r="3908" customFormat="false" ht="15" hidden="false" customHeight="false" outlineLevel="0" collapsed="false">
      <c r="A3908" s="0" t="s">
        <v>832</v>
      </c>
      <c r="B3908" s="0" t="s">
        <v>50</v>
      </c>
      <c r="C3908" s="0" t="s">
        <v>51</v>
      </c>
      <c r="D3908" s="0" t="n">
        <v>12</v>
      </c>
      <c r="E3908" s="5" t="n">
        <v>45990.788587963</v>
      </c>
      <c r="F3908" s="0" t="n">
        <v>5.95</v>
      </c>
      <c r="G3908" s="0" t="n">
        <v>17090</v>
      </c>
      <c r="H3908" s="6" t="s">
        <v>42</v>
      </c>
      <c r="I3908" s="6" t="n">
        <f aca="false">D3908*F3908</f>
        <v>71.4</v>
      </c>
      <c r="J3908" s="6" t="n">
        <f aca="false">HOUR(E3908)</f>
        <v>18</v>
      </c>
      <c r="K3908" s="6" t="n">
        <f aca="false">IF(COUNTIF($A$2:$A3908,A3908)=1,1,0)</f>
        <v>0</v>
      </c>
    </row>
    <row r="3909" customFormat="false" ht="15" hidden="false" customHeight="false" outlineLevel="0" collapsed="false">
      <c r="A3909" s="0" t="s">
        <v>832</v>
      </c>
      <c r="B3909" s="0" t="s">
        <v>77</v>
      </c>
      <c r="C3909" s="0" t="s">
        <v>78</v>
      </c>
      <c r="D3909" s="0" t="n">
        <v>16</v>
      </c>
      <c r="E3909" s="5" t="n">
        <v>45990.788587963</v>
      </c>
      <c r="F3909" s="0" t="n">
        <v>1.65</v>
      </c>
      <c r="G3909" s="0" t="n">
        <v>17090</v>
      </c>
      <c r="H3909" s="6" t="s">
        <v>42</v>
      </c>
      <c r="I3909" s="6" t="n">
        <f aca="false">D3909*F3909</f>
        <v>26.4</v>
      </c>
      <c r="J3909" s="6" t="n">
        <f aca="false">HOUR(E3909)</f>
        <v>18</v>
      </c>
      <c r="K3909" s="6" t="n">
        <f aca="false">IF(COUNTIF($A$2:$A3909,A3909)=1,1,0)</f>
        <v>0</v>
      </c>
    </row>
    <row r="3910" customFormat="false" ht="15" hidden="false" customHeight="false" outlineLevel="0" collapsed="false">
      <c r="A3910" s="0" t="s">
        <v>832</v>
      </c>
      <c r="B3910" s="0" t="s">
        <v>57</v>
      </c>
      <c r="C3910" s="0" t="s">
        <v>58</v>
      </c>
      <c r="D3910" s="0" t="n">
        <v>23</v>
      </c>
      <c r="E3910" s="5" t="n">
        <v>45990.788587963</v>
      </c>
      <c r="F3910" s="0" t="n">
        <v>2.08</v>
      </c>
      <c r="G3910" s="0" t="n">
        <v>17090</v>
      </c>
      <c r="H3910" s="6" t="s">
        <v>42</v>
      </c>
      <c r="I3910" s="6" t="n">
        <f aca="false">D3910*F3910</f>
        <v>47.84</v>
      </c>
      <c r="J3910" s="6" t="n">
        <f aca="false">HOUR(E3910)</f>
        <v>18</v>
      </c>
      <c r="K3910" s="6" t="n">
        <f aca="false">IF(COUNTIF($A$2:$A3910,A3910)=1,1,0)</f>
        <v>0</v>
      </c>
    </row>
    <row r="3911" customFormat="false" ht="15" hidden="false" customHeight="false" outlineLevel="0" collapsed="false">
      <c r="A3911" s="0" t="s">
        <v>832</v>
      </c>
      <c r="B3911" s="0" t="s">
        <v>125</v>
      </c>
      <c r="C3911" s="0" t="s">
        <v>126</v>
      </c>
      <c r="D3911" s="0" t="n">
        <v>5</v>
      </c>
      <c r="E3911" s="5" t="n">
        <v>45990.788587963</v>
      </c>
      <c r="F3911" s="0" t="n">
        <v>1.25</v>
      </c>
      <c r="G3911" s="0" t="n">
        <v>17090</v>
      </c>
      <c r="H3911" s="6" t="s">
        <v>42</v>
      </c>
      <c r="I3911" s="6" t="n">
        <f aca="false">D3911*F3911</f>
        <v>6.25</v>
      </c>
      <c r="J3911" s="6" t="n">
        <f aca="false">HOUR(E3911)</f>
        <v>18</v>
      </c>
      <c r="K3911" s="6" t="n">
        <f aca="false">IF(COUNTIF($A$2:$A3911,A3911)=1,1,0)</f>
        <v>0</v>
      </c>
    </row>
    <row r="3912" customFormat="false" ht="15" hidden="false" customHeight="false" outlineLevel="0" collapsed="false">
      <c r="A3912" s="0" t="s">
        <v>832</v>
      </c>
      <c r="B3912" s="0" t="s">
        <v>47</v>
      </c>
      <c r="C3912" s="0" t="s">
        <v>48</v>
      </c>
      <c r="D3912" s="0" t="n">
        <v>25</v>
      </c>
      <c r="E3912" s="5" t="n">
        <v>45990.788587963</v>
      </c>
      <c r="F3912" s="0" t="n">
        <v>12.75</v>
      </c>
      <c r="G3912" s="0" t="n">
        <v>17090</v>
      </c>
      <c r="H3912" s="6" t="s">
        <v>42</v>
      </c>
      <c r="I3912" s="6" t="n">
        <f aca="false">D3912*F3912</f>
        <v>318.75</v>
      </c>
      <c r="J3912" s="6" t="n">
        <f aca="false">HOUR(E3912)</f>
        <v>18</v>
      </c>
      <c r="K3912" s="6" t="n">
        <f aca="false">IF(COUNTIF($A$2:$A3912,A3912)=1,1,0)</f>
        <v>0</v>
      </c>
    </row>
    <row r="3913" customFormat="false" ht="15" hidden="false" customHeight="false" outlineLevel="0" collapsed="false">
      <c r="A3913" s="0" t="s">
        <v>832</v>
      </c>
      <c r="B3913" s="0" t="s">
        <v>83</v>
      </c>
      <c r="D3913" s="0" t="n">
        <v>14</v>
      </c>
      <c r="E3913" s="5" t="n">
        <v>45990.788587963</v>
      </c>
      <c r="F3913" s="0" t="n">
        <v>2.95</v>
      </c>
      <c r="G3913" s="0" t="n">
        <v>17090</v>
      </c>
      <c r="H3913" s="6" t="s">
        <v>42</v>
      </c>
      <c r="I3913" s="6" t="n">
        <f aca="false">D3913*F3913</f>
        <v>41.3</v>
      </c>
      <c r="J3913" s="6" t="n">
        <f aca="false">HOUR(E3913)</f>
        <v>18</v>
      </c>
      <c r="K3913" s="6" t="n">
        <f aca="false">IF(COUNTIF($A$2:$A3913,A3913)=1,1,0)</f>
        <v>0</v>
      </c>
    </row>
    <row r="3914" customFormat="false" ht="15" hidden="false" customHeight="false" outlineLevel="0" collapsed="false">
      <c r="A3914" s="0" t="s">
        <v>832</v>
      </c>
      <c r="B3914" s="0" t="s">
        <v>127</v>
      </c>
      <c r="C3914" s="0" t="s">
        <v>128</v>
      </c>
      <c r="D3914" s="0" t="n">
        <v>1</v>
      </c>
      <c r="E3914" s="5" t="n">
        <v>45990.788587963</v>
      </c>
      <c r="F3914" s="0" t="n">
        <v>1.45</v>
      </c>
      <c r="G3914" s="0" t="n">
        <v>17090</v>
      </c>
      <c r="H3914" s="6" t="s">
        <v>42</v>
      </c>
      <c r="I3914" s="6" t="n">
        <f aca="false">D3914*F3914</f>
        <v>1.45</v>
      </c>
      <c r="J3914" s="6" t="n">
        <f aca="false">HOUR(E3914)</f>
        <v>18</v>
      </c>
      <c r="K3914" s="6" t="n">
        <f aca="false">IF(COUNTIF($A$2:$A3914,A3914)=1,1,0)</f>
        <v>0</v>
      </c>
    </row>
    <row r="3915" customFormat="false" ht="15" hidden="false" customHeight="false" outlineLevel="0" collapsed="false">
      <c r="A3915" s="0" t="s">
        <v>832</v>
      </c>
      <c r="B3915" s="0" t="s">
        <v>53</v>
      </c>
      <c r="C3915" s="0" t="s">
        <v>54</v>
      </c>
      <c r="D3915" s="0" t="n">
        <v>5</v>
      </c>
      <c r="E3915" s="5" t="n">
        <v>45990.788587963</v>
      </c>
      <c r="F3915" s="0" t="n">
        <v>2.95</v>
      </c>
      <c r="G3915" s="0" t="n">
        <v>17090</v>
      </c>
      <c r="H3915" s="6" t="s">
        <v>42</v>
      </c>
      <c r="I3915" s="6" t="n">
        <f aca="false">D3915*F3915</f>
        <v>14.75</v>
      </c>
      <c r="J3915" s="6" t="n">
        <f aca="false">HOUR(E3915)</f>
        <v>18</v>
      </c>
      <c r="K3915" s="6" t="n">
        <f aca="false">IF(COUNTIF($A$2:$A3915,A3915)=1,1,0)</f>
        <v>0</v>
      </c>
    </row>
    <row r="3916" customFormat="false" ht="15" hidden="false" customHeight="false" outlineLevel="0" collapsed="false">
      <c r="A3916" s="0" t="s">
        <v>832</v>
      </c>
      <c r="B3916" s="0" t="s">
        <v>65</v>
      </c>
      <c r="C3916" s="0" t="s">
        <v>66</v>
      </c>
      <c r="D3916" s="0" t="n">
        <v>20</v>
      </c>
      <c r="E3916" s="5" t="n">
        <v>45990.788587963</v>
      </c>
      <c r="F3916" s="0" t="n">
        <v>1.65</v>
      </c>
      <c r="G3916" s="0" t="n">
        <v>17090</v>
      </c>
      <c r="H3916" s="6" t="s">
        <v>42</v>
      </c>
      <c r="I3916" s="6" t="n">
        <f aca="false">D3916*F3916</f>
        <v>33</v>
      </c>
      <c r="J3916" s="6" t="n">
        <f aca="false">HOUR(E3916)</f>
        <v>18</v>
      </c>
      <c r="K3916" s="6" t="n">
        <f aca="false">IF(COUNTIF($A$2:$A3916,A3916)=1,1,0)</f>
        <v>0</v>
      </c>
    </row>
    <row r="3917" customFormat="false" ht="15" hidden="false" customHeight="false" outlineLevel="0" collapsed="false">
      <c r="A3917" s="0" t="s">
        <v>833</v>
      </c>
      <c r="B3917" s="0" t="s">
        <v>140</v>
      </c>
      <c r="C3917" s="0" t="s">
        <v>141</v>
      </c>
      <c r="D3917" s="0" t="n">
        <v>13</v>
      </c>
      <c r="E3917" s="5" t="n">
        <v>45990.8334837963</v>
      </c>
      <c r="F3917" s="0" t="n">
        <v>2.08</v>
      </c>
      <c r="G3917" s="0" t="n">
        <v>17040</v>
      </c>
      <c r="H3917" s="6" t="s">
        <v>74</v>
      </c>
      <c r="I3917" s="6" t="n">
        <f aca="false">D3917*F3917</f>
        <v>27.04</v>
      </c>
      <c r="J3917" s="6" t="n">
        <f aca="false">HOUR(E3917)</f>
        <v>20</v>
      </c>
      <c r="K3917" s="6" t="n">
        <f aca="false">IF(COUNTIF($A$2:$A3917,A3917)=1,1,0)</f>
        <v>1</v>
      </c>
    </row>
    <row r="3918" customFormat="false" ht="15" hidden="false" customHeight="false" outlineLevel="0" collapsed="false">
      <c r="A3918" s="0" t="s">
        <v>833</v>
      </c>
      <c r="B3918" s="0" t="s">
        <v>40</v>
      </c>
      <c r="C3918" s="0" t="s">
        <v>41</v>
      </c>
      <c r="D3918" s="0" t="n">
        <v>11</v>
      </c>
      <c r="E3918" s="5" t="n">
        <v>45990.8334837963</v>
      </c>
      <c r="F3918" s="0" t="n">
        <v>1.06</v>
      </c>
      <c r="G3918" s="0" t="n">
        <v>17040</v>
      </c>
      <c r="H3918" s="6" t="s">
        <v>74</v>
      </c>
      <c r="I3918" s="6" t="n">
        <f aca="false">D3918*F3918</f>
        <v>11.66</v>
      </c>
      <c r="J3918" s="6" t="n">
        <f aca="false">HOUR(E3918)</f>
        <v>20</v>
      </c>
      <c r="K3918" s="6" t="n">
        <f aca="false">IF(COUNTIF($A$2:$A3918,A3918)=1,1,0)</f>
        <v>0</v>
      </c>
    </row>
    <row r="3919" customFormat="false" ht="15" hidden="false" customHeight="false" outlineLevel="0" collapsed="false">
      <c r="A3919" s="0" t="s">
        <v>833</v>
      </c>
      <c r="B3919" s="0" t="s">
        <v>75</v>
      </c>
      <c r="C3919" s="0" t="s">
        <v>76</v>
      </c>
      <c r="D3919" s="0" t="n">
        <v>2</v>
      </c>
      <c r="E3919" s="5" t="n">
        <v>45990.8334837963</v>
      </c>
      <c r="F3919" s="0" t="n">
        <v>3.39</v>
      </c>
      <c r="G3919" s="0" t="n">
        <v>17040</v>
      </c>
      <c r="H3919" s="6" t="s">
        <v>74</v>
      </c>
      <c r="I3919" s="6" t="n">
        <f aca="false">D3919*F3919</f>
        <v>6.78</v>
      </c>
      <c r="J3919" s="6" t="n">
        <f aca="false">HOUR(E3919)</f>
        <v>20</v>
      </c>
      <c r="K3919" s="6" t="n">
        <f aca="false">IF(COUNTIF($A$2:$A3919,A3919)=1,1,0)</f>
        <v>0</v>
      </c>
    </row>
    <row r="3920" customFormat="false" ht="15" hidden="false" customHeight="false" outlineLevel="0" collapsed="false">
      <c r="A3920" s="0" t="s">
        <v>833</v>
      </c>
      <c r="B3920" s="0" t="s">
        <v>104</v>
      </c>
      <c r="C3920" s="0" t="s">
        <v>105</v>
      </c>
      <c r="D3920" s="0" t="n">
        <v>6</v>
      </c>
      <c r="E3920" s="5" t="n">
        <v>45990.8334837963</v>
      </c>
      <c r="F3920" s="0" t="n">
        <v>1.65</v>
      </c>
      <c r="G3920" s="0" t="n">
        <v>17040</v>
      </c>
      <c r="H3920" s="6" t="s">
        <v>74</v>
      </c>
      <c r="I3920" s="6" t="n">
        <f aca="false">D3920*F3920</f>
        <v>9.9</v>
      </c>
      <c r="J3920" s="6" t="n">
        <f aca="false">HOUR(E3920)</f>
        <v>20</v>
      </c>
      <c r="K3920" s="6" t="n">
        <f aca="false">IF(COUNTIF($A$2:$A3920,A3920)=1,1,0)</f>
        <v>0</v>
      </c>
    </row>
    <row r="3921" customFormat="false" ht="15" hidden="false" customHeight="false" outlineLevel="0" collapsed="false">
      <c r="A3921" s="0" t="s">
        <v>833</v>
      </c>
      <c r="B3921" s="0" t="s">
        <v>127</v>
      </c>
      <c r="C3921" s="0" t="s">
        <v>128</v>
      </c>
      <c r="D3921" s="0" t="n">
        <v>2</v>
      </c>
      <c r="E3921" s="5" t="n">
        <v>45990.8334837963</v>
      </c>
      <c r="F3921" s="0" t="n">
        <v>1.45</v>
      </c>
      <c r="G3921" s="0" t="n">
        <v>17040</v>
      </c>
      <c r="H3921" s="6" t="s">
        <v>74</v>
      </c>
      <c r="I3921" s="6" t="n">
        <f aca="false">D3921*F3921</f>
        <v>2.9</v>
      </c>
      <c r="J3921" s="6" t="n">
        <f aca="false">HOUR(E3921)</f>
        <v>20</v>
      </c>
      <c r="K3921" s="6" t="n">
        <f aca="false">IF(COUNTIF($A$2:$A3921,A3921)=1,1,0)</f>
        <v>0</v>
      </c>
    </row>
    <row r="3922" customFormat="false" ht="15" hidden="false" customHeight="false" outlineLevel="0" collapsed="false">
      <c r="A3922" s="0" t="s">
        <v>833</v>
      </c>
      <c r="B3922" s="0" t="s">
        <v>59</v>
      </c>
      <c r="C3922" s="0" t="s">
        <v>60</v>
      </c>
      <c r="D3922" s="0" t="n">
        <v>10</v>
      </c>
      <c r="E3922" s="5" t="n">
        <v>45990.8334837963</v>
      </c>
      <c r="F3922" s="0" t="n">
        <v>0.42</v>
      </c>
      <c r="G3922" s="0" t="n">
        <v>17040</v>
      </c>
      <c r="H3922" s="6" t="s">
        <v>74</v>
      </c>
      <c r="I3922" s="6" t="n">
        <f aca="false">D3922*F3922</f>
        <v>4.2</v>
      </c>
      <c r="J3922" s="6" t="n">
        <f aca="false">HOUR(E3922)</f>
        <v>20</v>
      </c>
      <c r="K3922" s="6" t="n">
        <f aca="false">IF(COUNTIF($A$2:$A3922,A3922)=1,1,0)</f>
        <v>0</v>
      </c>
    </row>
    <row r="3923" customFormat="false" ht="15" hidden="false" customHeight="false" outlineLevel="0" collapsed="false">
      <c r="A3923" s="0" t="s">
        <v>833</v>
      </c>
      <c r="B3923" s="0" t="s">
        <v>63</v>
      </c>
      <c r="C3923" s="0" t="s">
        <v>64</v>
      </c>
      <c r="D3923" s="0" t="n">
        <v>22</v>
      </c>
      <c r="E3923" s="5" t="n">
        <v>45990.8334837963</v>
      </c>
      <c r="F3923" s="0" t="n">
        <v>1.85</v>
      </c>
      <c r="G3923" s="0" t="n">
        <v>17040</v>
      </c>
      <c r="H3923" s="6" t="s">
        <v>74</v>
      </c>
      <c r="I3923" s="6" t="n">
        <f aca="false">D3923*F3923</f>
        <v>40.7</v>
      </c>
      <c r="J3923" s="6" t="n">
        <f aca="false">HOUR(E3923)</f>
        <v>20</v>
      </c>
      <c r="K3923" s="6" t="n">
        <f aca="false">IF(COUNTIF($A$2:$A3923,A3923)=1,1,0)</f>
        <v>0</v>
      </c>
    </row>
    <row r="3924" customFormat="false" ht="15" hidden="false" customHeight="false" outlineLevel="0" collapsed="false">
      <c r="A3924" s="0" t="s">
        <v>833</v>
      </c>
      <c r="B3924" s="0" t="s">
        <v>69</v>
      </c>
      <c r="C3924" s="0" t="s">
        <v>70</v>
      </c>
      <c r="D3924" s="0" t="n">
        <v>34</v>
      </c>
      <c r="E3924" s="5" t="n">
        <v>45990.8334837963</v>
      </c>
      <c r="F3924" s="0" t="n">
        <v>2.08</v>
      </c>
      <c r="G3924" s="0" t="n">
        <v>17040</v>
      </c>
      <c r="H3924" s="6" t="s">
        <v>74</v>
      </c>
      <c r="I3924" s="6" t="n">
        <f aca="false">D3924*F3924</f>
        <v>70.72</v>
      </c>
      <c r="J3924" s="6" t="n">
        <f aca="false">HOUR(E3924)</f>
        <v>20</v>
      </c>
      <c r="K3924" s="6" t="n">
        <f aca="false">IF(COUNTIF($A$2:$A3924,A3924)=1,1,0)</f>
        <v>0</v>
      </c>
    </row>
    <row r="3925" customFormat="false" ht="15" hidden="false" customHeight="false" outlineLevel="0" collapsed="false">
      <c r="A3925" s="0" t="s">
        <v>833</v>
      </c>
      <c r="B3925" s="0" t="s">
        <v>95</v>
      </c>
      <c r="C3925" s="0" t="s">
        <v>96</v>
      </c>
      <c r="D3925" s="0" t="n">
        <v>30</v>
      </c>
      <c r="E3925" s="5" t="n">
        <v>45990.8334837963</v>
      </c>
      <c r="F3925" s="0" t="n">
        <v>2.55</v>
      </c>
      <c r="G3925" s="0" t="n">
        <v>17040</v>
      </c>
      <c r="H3925" s="6" t="s">
        <v>74</v>
      </c>
      <c r="I3925" s="6" t="n">
        <f aca="false">D3925*F3925</f>
        <v>76.5</v>
      </c>
      <c r="J3925" s="6" t="n">
        <f aca="false">HOUR(E3925)</f>
        <v>20</v>
      </c>
      <c r="K3925" s="6" t="n">
        <f aca="false">IF(COUNTIF($A$2:$A3925,A3925)=1,1,0)</f>
        <v>0</v>
      </c>
    </row>
    <row r="3926" customFormat="false" ht="15" hidden="false" customHeight="false" outlineLevel="0" collapsed="false">
      <c r="A3926" s="0" t="s">
        <v>833</v>
      </c>
      <c r="B3926" s="0" t="s">
        <v>121</v>
      </c>
      <c r="C3926" s="0" t="s">
        <v>122</v>
      </c>
      <c r="D3926" s="0" t="n">
        <v>18</v>
      </c>
      <c r="E3926" s="5" t="n">
        <v>45990.8334837963</v>
      </c>
      <c r="F3926" s="0" t="n">
        <v>2.1</v>
      </c>
      <c r="G3926" s="0" t="n">
        <v>17040</v>
      </c>
      <c r="H3926" s="6" t="s">
        <v>74</v>
      </c>
      <c r="I3926" s="6" t="n">
        <f aca="false">D3926*F3926</f>
        <v>37.8</v>
      </c>
      <c r="J3926" s="6" t="n">
        <f aca="false">HOUR(E3926)</f>
        <v>20</v>
      </c>
      <c r="K3926" s="6" t="n">
        <f aca="false">IF(COUNTIF($A$2:$A3926,A3926)=1,1,0)</f>
        <v>0</v>
      </c>
    </row>
    <row r="3927" customFormat="false" ht="15" hidden="false" customHeight="false" outlineLevel="0" collapsed="false">
      <c r="A3927" s="0" t="s">
        <v>834</v>
      </c>
      <c r="B3927" s="0" t="s">
        <v>93</v>
      </c>
      <c r="C3927" s="0" t="s">
        <v>94</v>
      </c>
      <c r="D3927" s="0" t="n">
        <v>11</v>
      </c>
      <c r="E3927" s="5" t="n">
        <v>45990.9000925926</v>
      </c>
      <c r="F3927" s="0" t="n">
        <v>1.69</v>
      </c>
      <c r="G3927" s="0" t="n">
        <v>17233</v>
      </c>
      <c r="H3927" s="6" t="s">
        <v>52</v>
      </c>
      <c r="I3927" s="6" t="n">
        <f aca="false">D3927*F3927</f>
        <v>18.59</v>
      </c>
      <c r="J3927" s="6" t="n">
        <f aca="false">HOUR(E3927)</f>
        <v>21</v>
      </c>
      <c r="K3927" s="6" t="n">
        <f aca="false">IF(COUNTIF($A$2:$A3927,A3927)=1,1,0)</f>
        <v>1</v>
      </c>
    </row>
    <row r="3928" customFormat="false" ht="15" hidden="false" customHeight="false" outlineLevel="0" collapsed="false">
      <c r="A3928" s="0" t="s">
        <v>834</v>
      </c>
      <c r="B3928" s="0" t="s">
        <v>116</v>
      </c>
      <c r="C3928" s="0" t="s">
        <v>117</v>
      </c>
      <c r="D3928" s="0" t="n">
        <v>1</v>
      </c>
      <c r="E3928" s="5" t="n">
        <v>45990.9000925926</v>
      </c>
      <c r="F3928" s="0" t="n">
        <v>1.95</v>
      </c>
      <c r="G3928" s="0" t="n">
        <v>17233</v>
      </c>
      <c r="H3928" s="6" t="s">
        <v>52</v>
      </c>
      <c r="I3928" s="6" t="n">
        <f aca="false">D3928*F3928</f>
        <v>1.95</v>
      </c>
      <c r="J3928" s="6" t="n">
        <f aca="false">HOUR(E3928)</f>
        <v>21</v>
      </c>
      <c r="K3928" s="6" t="n">
        <f aca="false">IF(COUNTIF($A$2:$A3928,A3928)=1,1,0)</f>
        <v>0</v>
      </c>
    </row>
    <row r="3929" customFormat="false" ht="15" hidden="false" customHeight="false" outlineLevel="0" collapsed="false">
      <c r="A3929" s="0" t="s">
        <v>834</v>
      </c>
      <c r="B3929" s="0" t="s">
        <v>50</v>
      </c>
      <c r="C3929" s="0" t="s">
        <v>51</v>
      </c>
      <c r="D3929" s="0" t="n">
        <v>12</v>
      </c>
      <c r="E3929" s="5" t="n">
        <v>45990.9000925926</v>
      </c>
      <c r="F3929" s="0" t="n">
        <v>5.95</v>
      </c>
      <c r="G3929" s="0" t="n">
        <v>17233</v>
      </c>
      <c r="H3929" s="6" t="s">
        <v>52</v>
      </c>
      <c r="I3929" s="6" t="n">
        <f aca="false">D3929*F3929</f>
        <v>71.4</v>
      </c>
      <c r="J3929" s="6" t="n">
        <f aca="false">HOUR(E3929)</f>
        <v>21</v>
      </c>
      <c r="K3929" s="6" t="n">
        <f aca="false">IF(COUNTIF($A$2:$A3929,A3929)=1,1,0)</f>
        <v>0</v>
      </c>
    </row>
    <row r="3930" customFormat="false" ht="15" hidden="false" customHeight="false" outlineLevel="0" collapsed="false">
      <c r="A3930" s="0" t="s">
        <v>834</v>
      </c>
      <c r="B3930" s="0" t="s">
        <v>59</v>
      </c>
      <c r="C3930" s="0" t="s">
        <v>60</v>
      </c>
      <c r="D3930" s="0" t="n">
        <v>11</v>
      </c>
      <c r="E3930" s="5" t="n">
        <v>45990.9000925926</v>
      </c>
      <c r="F3930" s="0" t="n">
        <v>0.42</v>
      </c>
      <c r="G3930" s="0" t="n">
        <v>17233</v>
      </c>
      <c r="H3930" s="6" t="s">
        <v>52</v>
      </c>
      <c r="I3930" s="6" t="n">
        <f aca="false">D3930*F3930</f>
        <v>4.62</v>
      </c>
      <c r="J3930" s="6" t="n">
        <f aca="false">HOUR(E3930)</f>
        <v>21</v>
      </c>
      <c r="K3930" s="6" t="n">
        <f aca="false">IF(COUNTIF($A$2:$A3930,A3930)=1,1,0)</f>
        <v>0</v>
      </c>
    </row>
    <row r="3931" customFormat="false" ht="15" hidden="false" customHeight="false" outlineLevel="0" collapsed="false">
      <c r="A3931" s="0" t="s">
        <v>834</v>
      </c>
      <c r="B3931" s="0" t="s">
        <v>83</v>
      </c>
      <c r="C3931" s="0" t="s">
        <v>84</v>
      </c>
      <c r="D3931" s="0" t="n">
        <v>23</v>
      </c>
      <c r="E3931" s="5" t="n">
        <v>45990.9000925926</v>
      </c>
      <c r="F3931" s="0" t="n">
        <v>2.95</v>
      </c>
      <c r="G3931" s="0" t="n">
        <v>17233</v>
      </c>
      <c r="H3931" s="6" t="s">
        <v>52</v>
      </c>
      <c r="I3931" s="6" t="n">
        <f aca="false">D3931*F3931</f>
        <v>67.85</v>
      </c>
      <c r="J3931" s="6" t="n">
        <f aca="false">HOUR(E3931)</f>
        <v>21</v>
      </c>
      <c r="K3931" s="6" t="n">
        <f aca="false">IF(COUNTIF($A$2:$A3931,A3931)=1,1,0)</f>
        <v>0</v>
      </c>
    </row>
    <row r="3932" customFormat="false" ht="15" hidden="false" customHeight="false" outlineLevel="0" collapsed="false">
      <c r="A3932" s="0" t="s">
        <v>835</v>
      </c>
      <c r="B3932" s="0" t="s">
        <v>88</v>
      </c>
      <c r="C3932" s="0" t="s">
        <v>89</v>
      </c>
      <c r="D3932" s="0" t="n">
        <v>8</v>
      </c>
      <c r="E3932" s="5" t="n">
        <v>45991.3748148148</v>
      </c>
      <c r="F3932" s="0" t="n">
        <v>2.75</v>
      </c>
      <c r="H3932" s="6" t="s">
        <v>74</v>
      </c>
      <c r="I3932" s="6" t="n">
        <f aca="false">D3932*F3932</f>
        <v>22</v>
      </c>
      <c r="J3932" s="6" t="n">
        <f aca="false">HOUR(E3932)</f>
        <v>8</v>
      </c>
      <c r="K3932" s="6" t="n">
        <f aca="false">IF(COUNTIF($A$2:$A3932,A3932)=1,1,0)</f>
        <v>1</v>
      </c>
    </row>
    <row r="3933" customFormat="false" ht="15" hidden="false" customHeight="false" outlineLevel="0" collapsed="false">
      <c r="A3933" s="0" t="s">
        <v>835</v>
      </c>
      <c r="B3933" s="0" t="s">
        <v>99</v>
      </c>
      <c r="C3933" s="0" t="s">
        <v>100</v>
      </c>
      <c r="D3933" s="0" t="n">
        <v>2</v>
      </c>
      <c r="E3933" s="5" t="n">
        <v>45991.3748148148</v>
      </c>
      <c r="F3933" s="0" t="n">
        <v>2.08</v>
      </c>
      <c r="H3933" s="6" t="s">
        <v>74</v>
      </c>
      <c r="I3933" s="6" t="n">
        <f aca="false">D3933*F3933</f>
        <v>4.16</v>
      </c>
      <c r="J3933" s="6" t="n">
        <f aca="false">HOUR(E3933)</f>
        <v>8</v>
      </c>
      <c r="K3933" s="6" t="n">
        <f aca="false">IF(COUNTIF($A$2:$A3933,A3933)=1,1,0)</f>
        <v>0</v>
      </c>
    </row>
    <row r="3934" customFormat="false" ht="15" hidden="false" customHeight="false" outlineLevel="0" collapsed="false">
      <c r="A3934" s="0" t="s">
        <v>835</v>
      </c>
      <c r="B3934" s="0" t="s">
        <v>50</v>
      </c>
      <c r="C3934" s="0" t="s">
        <v>51</v>
      </c>
      <c r="D3934" s="0" t="n">
        <v>14</v>
      </c>
      <c r="E3934" s="5" t="n">
        <v>45991.3748148148</v>
      </c>
      <c r="F3934" s="0" t="n">
        <v>5.95</v>
      </c>
      <c r="H3934" s="6" t="s">
        <v>74</v>
      </c>
      <c r="I3934" s="6" t="n">
        <f aca="false">D3934*F3934</f>
        <v>83.3</v>
      </c>
      <c r="J3934" s="6" t="n">
        <f aca="false">HOUR(E3934)</f>
        <v>8</v>
      </c>
      <c r="K3934" s="6" t="n">
        <f aca="false">IF(COUNTIF($A$2:$A3934,A3934)=1,1,0)</f>
        <v>0</v>
      </c>
    </row>
    <row r="3935" customFormat="false" ht="15" hidden="false" customHeight="false" outlineLevel="0" collapsed="false">
      <c r="A3935" s="0" t="s">
        <v>835</v>
      </c>
      <c r="B3935" s="0" t="s">
        <v>104</v>
      </c>
      <c r="C3935" s="0" t="s">
        <v>105</v>
      </c>
      <c r="D3935" s="0" t="n">
        <v>4</v>
      </c>
      <c r="E3935" s="5" t="n">
        <v>45991.3748148148</v>
      </c>
      <c r="F3935" s="0" t="n">
        <v>1.65</v>
      </c>
      <c r="H3935" s="6" t="s">
        <v>74</v>
      </c>
      <c r="I3935" s="6" t="n">
        <f aca="false">D3935*F3935</f>
        <v>6.6</v>
      </c>
      <c r="J3935" s="6" t="n">
        <f aca="false">HOUR(E3935)</f>
        <v>8</v>
      </c>
      <c r="K3935" s="6" t="n">
        <f aca="false">IF(COUNTIF($A$2:$A3935,A3935)=1,1,0)</f>
        <v>0</v>
      </c>
    </row>
    <row r="3936" customFormat="false" ht="15" hidden="false" customHeight="false" outlineLevel="0" collapsed="false">
      <c r="A3936" s="0" t="s">
        <v>835</v>
      </c>
      <c r="B3936" s="0" t="s">
        <v>61</v>
      </c>
      <c r="C3936" s="0" t="s">
        <v>62</v>
      </c>
      <c r="D3936" s="0" t="n">
        <v>13</v>
      </c>
      <c r="E3936" s="5" t="n">
        <v>45991.3748148148</v>
      </c>
      <c r="F3936" s="0" t="n">
        <v>1.65</v>
      </c>
      <c r="H3936" s="6" t="s">
        <v>74</v>
      </c>
      <c r="I3936" s="6" t="n">
        <f aca="false">D3936*F3936</f>
        <v>21.45</v>
      </c>
      <c r="J3936" s="6" t="n">
        <f aca="false">HOUR(E3936)</f>
        <v>8</v>
      </c>
      <c r="K3936" s="6" t="n">
        <f aca="false">IF(COUNTIF($A$2:$A3936,A3936)=1,1,0)</f>
        <v>0</v>
      </c>
    </row>
    <row r="3937" customFormat="false" ht="15" hidden="false" customHeight="false" outlineLevel="0" collapsed="false">
      <c r="A3937" s="0" t="s">
        <v>835</v>
      </c>
      <c r="B3937" s="0" t="s">
        <v>79</v>
      </c>
      <c r="C3937" s="0" t="s">
        <v>80</v>
      </c>
      <c r="D3937" s="0" t="n">
        <v>22</v>
      </c>
      <c r="E3937" s="5" t="n">
        <v>45991.3748148148</v>
      </c>
      <c r="F3937" s="0" t="n">
        <v>3.39</v>
      </c>
      <c r="H3937" s="6" t="s">
        <v>74</v>
      </c>
      <c r="I3937" s="6" t="n">
        <f aca="false">D3937*F3937</f>
        <v>74.58</v>
      </c>
      <c r="J3937" s="6" t="n">
        <f aca="false">HOUR(E3937)</f>
        <v>8</v>
      </c>
      <c r="K3937" s="6" t="n">
        <f aca="false">IF(COUNTIF($A$2:$A3937,A3937)=1,1,0)</f>
        <v>0</v>
      </c>
    </row>
    <row r="3938" customFormat="false" ht="15" hidden="false" customHeight="false" outlineLevel="0" collapsed="false">
      <c r="A3938" s="0" t="s">
        <v>835</v>
      </c>
      <c r="B3938" s="0" t="s">
        <v>57</v>
      </c>
      <c r="C3938" s="0" t="s">
        <v>58</v>
      </c>
      <c r="D3938" s="0" t="n">
        <v>14</v>
      </c>
      <c r="E3938" s="5" t="n">
        <v>45991.3748148148</v>
      </c>
      <c r="F3938" s="0" t="n">
        <v>2.08</v>
      </c>
      <c r="H3938" s="6" t="s">
        <v>74</v>
      </c>
      <c r="I3938" s="6" t="n">
        <f aca="false">D3938*F3938</f>
        <v>29.12</v>
      </c>
      <c r="J3938" s="6" t="n">
        <f aca="false">HOUR(E3938)</f>
        <v>8</v>
      </c>
      <c r="K3938" s="6" t="n">
        <f aca="false">IF(COUNTIF($A$2:$A3938,A3938)=1,1,0)</f>
        <v>0</v>
      </c>
    </row>
    <row r="3939" customFormat="false" ht="15" hidden="false" customHeight="false" outlineLevel="0" collapsed="false">
      <c r="A3939" s="0" t="s">
        <v>835</v>
      </c>
      <c r="B3939" s="0" t="s">
        <v>69</v>
      </c>
      <c r="C3939" s="0" t="s">
        <v>70</v>
      </c>
      <c r="D3939" s="0" t="n">
        <v>36</v>
      </c>
      <c r="E3939" s="5" t="n">
        <v>45991.3748148148</v>
      </c>
      <c r="F3939" s="0" t="n">
        <v>2.08</v>
      </c>
      <c r="H3939" s="6" t="s">
        <v>74</v>
      </c>
      <c r="I3939" s="6" t="n">
        <f aca="false">D3939*F3939</f>
        <v>74.88</v>
      </c>
      <c r="J3939" s="6" t="n">
        <f aca="false">HOUR(E3939)</f>
        <v>8</v>
      </c>
      <c r="K3939" s="6" t="n">
        <f aca="false">IF(COUNTIF($A$2:$A3939,A3939)=1,1,0)</f>
        <v>0</v>
      </c>
    </row>
    <row r="3940" customFormat="false" ht="15" hidden="false" customHeight="false" outlineLevel="0" collapsed="false">
      <c r="A3940" s="0" t="s">
        <v>835</v>
      </c>
      <c r="B3940" s="0" t="s">
        <v>81</v>
      </c>
      <c r="C3940" s="0" t="s">
        <v>82</v>
      </c>
      <c r="D3940" s="0" t="n">
        <v>8</v>
      </c>
      <c r="E3940" s="5" t="n">
        <v>45991.3748148148</v>
      </c>
      <c r="F3940" s="0" t="n">
        <v>1.65</v>
      </c>
      <c r="H3940" s="6" t="s">
        <v>74</v>
      </c>
      <c r="I3940" s="6" t="n">
        <f aca="false">D3940*F3940</f>
        <v>13.2</v>
      </c>
      <c r="J3940" s="6" t="n">
        <f aca="false">HOUR(E3940)</f>
        <v>8</v>
      </c>
      <c r="K3940" s="6" t="n">
        <f aca="false">IF(COUNTIF($A$2:$A3940,A3940)=1,1,0)</f>
        <v>0</v>
      </c>
    </row>
    <row r="3941" customFormat="false" ht="15" hidden="false" customHeight="false" outlineLevel="0" collapsed="false">
      <c r="A3941" s="0" t="s">
        <v>836</v>
      </c>
      <c r="B3941" s="0" t="s">
        <v>57</v>
      </c>
      <c r="C3941" s="0" t="s">
        <v>58</v>
      </c>
      <c r="D3941" s="0" t="n">
        <v>24</v>
      </c>
      <c r="E3941" s="5" t="n">
        <v>45991.3874768519</v>
      </c>
      <c r="F3941" s="0" t="n">
        <v>2.08</v>
      </c>
      <c r="G3941" s="0" t="n">
        <v>17251</v>
      </c>
      <c r="H3941" s="6" t="s">
        <v>113</v>
      </c>
      <c r="I3941" s="6" t="n">
        <f aca="false">D3941*F3941</f>
        <v>49.92</v>
      </c>
      <c r="J3941" s="6" t="n">
        <f aca="false">HOUR(E3941)</f>
        <v>9</v>
      </c>
      <c r="K3941" s="6" t="n">
        <f aca="false">IF(COUNTIF($A$2:$A3941,A3941)=1,1,0)</f>
        <v>1</v>
      </c>
    </row>
    <row r="3942" customFormat="false" ht="15" hidden="false" customHeight="false" outlineLevel="0" collapsed="false">
      <c r="A3942" s="0" t="s">
        <v>836</v>
      </c>
      <c r="B3942" s="0" t="s">
        <v>63</v>
      </c>
      <c r="C3942" s="0" t="s">
        <v>64</v>
      </c>
      <c r="D3942" s="0" t="n">
        <v>17</v>
      </c>
      <c r="E3942" s="5" t="n">
        <v>45991.3874768519</v>
      </c>
      <c r="F3942" s="0" t="n">
        <v>1.85</v>
      </c>
      <c r="G3942" s="0" t="n">
        <v>17251</v>
      </c>
      <c r="H3942" s="6" t="s">
        <v>113</v>
      </c>
      <c r="I3942" s="6" t="n">
        <f aca="false">D3942*F3942</f>
        <v>31.45</v>
      </c>
      <c r="J3942" s="6" t="n">
        <f aca="false">HOUR(E3942)</f>
        <v>9</v>
      </c>
      <c r="K3942" s="6" t="n">
        <f aca="false">IF(COUNTIF($A$2:$A3942,A3942)=1,1,0)</f>
        <v>0</v>
      </c>
    </row>
    <row r="3943" customFormat="false" ht="15" hidden="false" customHeight="false" outlineLevel="0" collapsed="false">
      <c r="A3943" s="0" t="s">
        <v>836</v>
      </c>
      <c r="B3943" s="0" t="s">
        <v>86</v>
      </c>
      <c r="C3943" s="0" t="s">
        <v>87</v>
      </c>
      <c r="D3943" s="0" t="n">
        <v>8</v>
      </c>
      <c r="E3943" s="5" t="n">
        <v>45991.3874768519</v>
      </c>
      <c r="F3943" s="0" t="n">
        <v>4.25</v>
      </c>
      <c r="G3943" s="0" t="n">
        <v>17251</v>
      </c>
      <c r="H3943" s="6" t="s">
        <v>113</v>
      </c>
      <c r="I3943" s="6" t="n">
        <f aca="false">D3943*F3943</f>
        <v>34</v>
      </c>
      <c r="J3943" s="6" t="n">
        <f aca="false">HOUR(E3943)</f>
        <v>9</v>
      </c>
      <c r="K3943" s="6" t="n">
        <f aca="false">IF(COUNTIF($A$2:$A3943,A3943)=1,1,0)</f>
        <v>0</v>
      </c>
    </row>
    <row r="3944" customFormat="false" ht="15" hidden="false" customHeight="false" outlineLevel="0" collapsed="false">
      <c r="A3944" s="0" t="s">
        <v>836</v>
      </c>
      <c r="B3944" s="0" t="s">
        <v>95</v>
      </c>
      <c r="C3944" s="0" t="s">
        <v>96</v>
      </c>
      <c r="D3944" s="0" t="n">
        <v>43</v>
      </c>
      <c r="E3944" s="5" t="n">
        <v>45991.3874768519</v>
      </c>
      <c r="F3944" s="0" t="n">
        <v>2.55</v>
      </c>
      <c r="G3944" s="0" t="n">
        <v>17251</v>
      </c>
      <c r="H3944" s="6" t="s">
        <v>113</v>
      </c>
      <c r="I3944" s="6" t="n">
        <f aca="false">D3944*F3944</f>
        <v>109.65</v>
      </c>
      <c r="J3944" s="6" t="n">
        <f aca="false">HOUR(E3944)</f>
        <v>9</v>
      </c>
      <c r="K3944" s="6" t="n">
        <f aca="false">IF(COUNTIF($A$2:$A3944,A3944)=1,1,0)</f>
        <v>0</v>
      </c>
    </row>
    <row r="3945" customFormat="false" ht="15" hidden="false" customHeight="false" outlineLevel="0" collapsed="false">
      <c r="A3945" s="0" t="s">
        <v>836</v>
      </c>
      <c r="B3945" s="0" t="s">
        <v>99</v>
      </c>
      <c r="C3945" s="0" t="s">
        <v>100</v>
      </c>
      <c r="D3945" s="0" t="n">
        <v>24</v>
      </c>
      <c r="E3945" s="5" t="n">
        <v>45991.3874768519</v>
      </c>
      <c r="F3945" s="0" t="n">
        <v>2.08</v>
      </c>
      <c r="G3945" s="0" t="n">
        <v>17251</v>
      </c>
      <c r="H3945" s="6" t="s">
        <v>113</v>
      </c>
      <c r="I3945" s="6" t="n">
        <f aca="false">D3945*F3945</f>
        <v>49.92</v>
      </c>
      <c r="J3945" s="6" t="n">
        <f aca="false">HOUR(E3945)</f>
        <v>9</v>
      </c>
      <c r="K3945" s="6" t="n">
        <f aca="false">IF(COUNTIF($A$2:$A3945,A3945)=1,1,0)</f>
        <v>0</v>
      </c>
    </row>
    <row r="3946" customFormat="false" ht="15" hidden="false" customHeight="false" outlineLevel="0" collapsed="false">
      <c r="A3946" s="0" t="s">
        <v>836</v>
      </c>
      <c r="B3946" s="0" t="s">
        <v>145</v>
      </c>
      <c r="C3946" s="0" t="s">
        <v>146</v>
      </c>
      <c r="D3946" s="0" t="n">
        <v>4</v>
      </c>
      <c r="E3946" s="5" t="n">
        <v>45991.3874768519</v>
      </c>
      <c r="F3946" s="0" t="n">
        <v>1.85</v>
      </c>
      <c r="G3946" s="0" t="n">
        <v>17251</v>
      </c>
      <c r="H3946" s="6" t="s">
        <v>113</v>
      </c>
      <c r="I3946" s="6" t="n">
        <f aca="false">D3946*F3946</f>
        <v>7.4</v>
      </c>
      <c r="J3946" s="6" t="n">
        <f aca="false">HOUR(E3946)</f>
        <v>9</v>
      </c>
      <c r="K3946" s="6" t="n">
        <f aca="false">IF(COUNTIF($A$2:$A3946,A3946)=1,1,0)</f>
        <v>0</v>
      </c>
    </row>
    <row r="3947" customFormat="false" ht="15" hidden="false" customHeight="false" outlineLevel="0" collapsed="false">
      <c r="A3947" s="0" t="s">
        <v>837</v>
      </c>
      <c r="B3947" s="0" t="s">
        <v>65</v>
      </c>
      <c r="C3947" s="0" t="s">
        <v>66</v>
      </c>
      <c r="D3947" s="0" t="n">
        <v>-8</v>
      </c>
      <c r="E3947" s="5" t="n">
        <v>45991.3978819445</v>
      </c>
      <c r="F3947" s="0" t="n">
        <v>1.65</v>
      </c>
      <c r="G3947" s="0" t="n">
        <v>17092</v>
      </c>
      <c r="H3947" s="6" t="s">
        <v>98</v>
      </c>
      <c r="I3947" s="6" t="n">
        <f aca="false">D3947*F3947</f>
        <v>-13.2</v>
      </c>
      <c r="J3947" s="6" t="n">
        <f aca="false">HOUR(E3947)</f>
        <v>9</v>
      </c>
      <c r="K3947" s="6" t="n">
        <f aca="false">IF(COUNTIF($A$2:$A3947,A3947)=1,1,0)</f>
        <v>1</v>
      </c>
    </row>
    <row r="3948" customFormat="false" ht="15" hidden="false" customHeight="false" outlineLevel="0" collapsed="false">
      <c r="A3948" s="0" t="s">
        <v>838</v>
      </c>
      <c r="B3948" s="0" t="s">
        <v>61</v>
      </c>
      <c r="C3948" s="0" t="s">
        <v>62</v>
      </c>
      <c r="D3948" s="0" t="n">
        <v>9</v>
      </c>
      <c r="E3948" s="5" t="n">
        <v>45991.4269444444</v>
      </c>
      <c r="F3948" s="0" t="n">
        <v>1.65</v>
      </c>
      <c r="G3948" s="0" t="n">
        <v>17072</v>
      </c>
      <c r="H3948" s="6" t="s">
        <v>74</v>
      </c>
      <c r="I3948" s="6" t="n">
        <f aca="false">D3948*F3948</f>
        <v>14.85</v>
      </c>
      <c r="J3948" s="6" t="n">
        <f aca="false">HOUR(E3948)</f>
        <v>10</v>
      </c>
      <c r="K3948" s="6" t="n">
        <f aca="false">IF(COUNTIF($A$2:$A3948,A3948)=1,1,0)</f>
        <v>1</v>
      </c>
    </row>
    <row r="3949" customFormat="false" ht="15" hidden="false" customHeight="false" outlineLevel="0" collapsed="false">
      <c r="A3949" s="0" t="s">
        <v>838</v>
      </c>
      <c r="B3949" s="0" t="s">
        <v>63</v>
      </c>
      <c r="C3949" s="0" t="s">
        <v>64</v>
      </c>
      <c r="D3949" s="0" t="n">
        <v>20</v>
      </c>
      <c r="E3949" s="5" t="n">
        <v>45991.4269444444</v>
      </c>
      <c r="F3949" s="0" t="n">
        <v>1.85</v>
      </c>
      <c r="G3949" s="0" t="n">
        <v>17072</v>
      </c>
      <c r="H3949" s="6" t="s">
        <v>74</v>
      </c>
      <c r="I3949" s="6" t="n">
        <f aca="false">D3949*F3949</f>
        <v>37</v>
      </c>
      <c r="J3949" s="6" t="n">
        <f aca="false">HOUR(E3949)</f>
        <v>10</v>
      </c>
      <c r="K3949" s="6" t="n">
        <f aca="false">IF(COUNTIF($A$2:$A3949,A3949)=1,1,0)</f>
        <v>0</v>
      </c>
    </row>
    <row r="3950" customFormat="false" ht="15" hidden="false" customHeight="false" outlineLevel="0" collapsed="false">
      <c r="A3950" s="0" t="s">
        <v>838</v>
      </c>
      <c r="B3950" s="0" t="s">
        <v>50</v>
      </c>
      <c r="C3950" s="0" t="s">
        <v>51</v>
      </c>
      <c r="D3950" s="0" t="n">
        <v>11</v>
      </c>
      <c r="E3950" s="5" t="n">
        <v>45991.4269444444</v>
      </c>
      <c r="F3950" s="0" t="n">
        <v>5.95</v>
      </c>
      <c r="G3950" s="0" t="n">
        <v>17072</v>
      </c>
      <c r="H3950" s="6" t="s">
        <v>74</v>
      </c>
      <c r="I3950" s="6" t="n">
        <f aca="false">D3950*F3950</f>
        <v>65.45</v>
      </c>
      <c r="J3950" s="6" t="n">
        <f aca="false">HOUR(E3950)</f>
        <v>10</v>
      </c>
      <c r="K3950" s="6" t="n">
        <f aca="false">IF(COUNTIF($A$2:$A3950,A3950)=1,1,0)</f>
        <v>0</v>
      </c>
    </row>
    <row r="3951" customFormat="false" ht="15" hidden="false" customHeight="false" outlineLevel="0" collapsed="false">
      <c r="A3951" s="0" t="s">
        <v>838</v>
      </c>
      <c r="B3951" s="0" t="s">
        <v>53</v>
      </c>
      <c r="C3951" s="0" t="s">
        <v>54</v>
      </c>
      <c r="D3951" s="0" t="n">
        <v>19</v>
      </c>
      <c r="E3951" s="5" t="n">
        <v>45991.4269444444</v>
      </c>
      <c r="F3951" s="0" t="n">
        <v>2.95</v>
      </c>
      <c r="G3951" s="0" t="n">
        <v>17072</v>
      </c>
      <c r="H3951" s="6" t="s">
        <v>74</v>
      </c>
      <c r="I3951" s="6" t="n">
        <f aca="false">D3951*F3951</f>
        <v>56.05</v>
      </c>
      <c r="J3951" s="6" t="n">
        <f aca="false">HOUR(E3951)</f>
        <v>10</v>
      </c>
      <c r="K3951" s="6" t="n">
        <f aca="false">IF(COUNTIF($A$2:$A3951,A3951)=1,1,0)</f>
        <v>0</v>
      </c>
    </row>
    <row r="3952" customFormat="false" ht="15" hidden="false" customHeight="false" outlineLevel="0" collapsed="false">
      <c r="A3952" s="0" t="s">
        <v>838</v>
      </c>
      <c r="B3952" s="0" t="s">
        <v>134</v>
      </c>
      <c r="C3952" s="0" t="s">
        <v>135</v>
      </c>
      <c r="D3952" s="0" t="n">
        <v>19</v>
      </c>
      <c r="E3952" s="5" t="n">
        <v>45991.4269444444</v>
      </c>
      <c r="F3952" s="0" t="n">
        <v>5.95</v>
      </c>
      <c r="G3952" s="0" t="n">
        <v>17072</v>
      </c>
      <c r="H3952" s="6" t="s">
        <v>74</v>
      </c>
      <c r="I3952" s="6" t="n">
        <f aca="false">D3952*F3952</f>
        <v>113.05</v>
      </c>
      <c r="J3952" s="6" t="n">
        <f aca="false">HOUR(E3952)</f>
        <v>10</v>
      </c>
      <c r="K3952" s="6" t="n">
        <f aca="false">IF(COUNTIF($A$2:$A3952,A3952)=1,1,0)</f>
        <v>0</v>
      </c>
    </row>
    <row r="3953" customFormat="false" ht="15" hidden="false" customHeight="false" outlineLevel="0" collapsed="false">
      <c r="A3953" s="0" t="s">
        <v>839</v>
      </c>
      <c r="B3953" s="0" t="s">
        <v>88</v>
      </c>
      <c r="C3953" s="0" t="s">
        <v>89</v>
      </c>
      <c r="D3953" s="0" t="n">
        <v>22</v>
      </c>
      <c r="E3953" s="5" t="n">
        <v>45991.4283333333</v>
      </c>
      <c r="F3953" s="0" t="n">
        <v>2.75</v>
      </c>
      <c r="G3953" s="0" t="n">
        <v>17063</v>
      </c>
      <c r="H3953" s="6" t="s">
        <v>98</v>
      </c>
      <c r="I3953" s="6" t="n">
        <f aca="false">D3953*F3953</f>
        <v>60.5</v>
      </c>
      <c r="J3953" s="6" t="n">
        <f aca="false">HOUR(E3953)</f>
        <v>10</v>
      </c>
      <c r="K3953" s="6" t="n">
        <f aca="false">IF(COUNTIF($A$2:$A3953,A3953)=1,1,0)</f>
        <v>1</v>
      </c>
    </row>
    <row r="3954" customFormat="false" ht="15" hidden="false" customHeight="false" outlineLevel="0" collapsed="false">
      <c r="A3954" s="0" t="s">
        <v>839</v>
      </c>
      <c r="B3954" s="0" t="s">
        <v>55</v>
      </c>
      <c r="C3954" s="0" t="s">
        <v>56</v>
      </c>
      <c r="D3954" s="0" t="n">
        <v>3</v>
      </c>
      <c r="E3954" s="5" t="n">
        <v>45991.4283333333</v>
      </c>
      <c r="F3954" s="0" t="n">
        <v>1.65</v>
      </c>
      <c r="G3954" s="0" t="n">
        <v>17063</v>
      </c>
      <c r="H3954" s="6" t="s">
        <v>98</v>
      </c>
      <c r="I3954" s="6" t="n">
        <f aca="false">D3954*F3954</f>
        <v>4.95</v>
      </c>
      <c r="J3954" s="6" t="n">
        <f aca="false">HOUR(E3954)</f>
        <v>10</v>
      </c>
      <c r="K3954" s="6" t="n">
        <f aca="false">IF(COUNTIF($A$2:$A3954,A3954)=1,1,0)</f>
        <v>0</v>
      </c>
    </row>
    <row r="3955" customFormat="false" ht="15" hidden="false" customHeight="false" outlineLevel="0" collapsed="false">
      <c r="A3955" s="0" t="s">
        <v>839</v>
      </c>
      <c r="B3955" s="0" t="s">
        <v>102</v>
      </c>
      <c r="C3955" s="0" t="s">
        <v>103</v>
      </c>
      <c r="D3955" s="0" t="n">
        <v>42</v>
      </c>
      <c r="E3955" s="5" t="n">
        <v>45991.4283333333</v>
      </c>
      <c r="F3955" s="0" t="n">
        <v>8.5</v>
      </c>
      <c r="G3955" s="0" t="n">
        <v>17063</v>
      </c>
      <c r="H3955" s="6" t="s">
        <v>98</v>
      </c>
      <c r="I3955" s="6" t="n">
        <f aca="false">D3955*F3955</f>
        <v>357</v>
      </c>
      <c r="J3955" s="6" t="n">
        <f aca="false">HOUR(E3955)</f>
        <v>10</v>
      </c>
      <c r="K3955" s="6" t="n">
        <f aca="false">IF(COUNTIF($A$2:$A3955,A3955)=1,1,0)</f>
        <v>0</v>
      </c>
    </row>
    <row r="3956" customFormat="false" ht="15" hidden="false" customHeight="false" outlineLevel="0" collapsed="false">
      <c r="A3956" s="0" t="s">
        <v>839</v>
      </c>
      <c r="B3956" s="0" t="s">
        <v>134</v>
      </c>
      <c r="D3956" s="0" t="n">
        <v>4</v>
      </c>
      <c r="E3956" s="5" t="n">
        <v>45991.4283333333</v>
      </c>
      <c r="F3956" s="0" t="n">
        <v>5.95</v>
      </c>
      <c r="G3956" s="0" t="n">
        <v>17063</v>
      </c>
      <c r="H3956" s="6" t="s">
        <v>98</v>
      </c>
      <c r="I3956" s="6" t="n">
        <f aca="false">D3956*F3956</f>
        <v>23.8</v>
      </c>
      <c r="J3956" s="6" t="n">
        <f aca="false">HOUR(E3956)</f>
        <v>10</v>
      </c>
      <c r="K3956" s="6" t="n">
        <f aca="false">IF(COUNTIF($A$2:$A3956,A3956)=1,1,0)</f>
        <v>0</v>
      </c>
    </row>
    <row r="3957" customFormat="false" ht="15" hidden="false" customHeight="false" outlineLevel="0" collapsed="false">
      <c r="A3957" s="0" t="s">
        <v>839</v>
      </c>
      <c r="B3957" s="0" t="s">
        <v>145</v>
      </c>
      <c r="C3957" s="0" t="s">
        <v>146</v>
      </c>
      <c r="D3957" s="0" t="n">
        <v>18</v>
      </c>
      <c r="E3957" s="5" t="n">
        <v>45991.4283333333</v>
      </c>
      <c r="F3957" s="0" t="n">
        <v>1.85</v>
      </c>
      <c r="G3957" s="0" t="n">
        <v>17063</v>
      </c>
      <c r="H3957" s="6" t="s">
        <v>98</v>
      </c>
      <c r="I3957" s="6" t="n">
        <f aca="false">D3957*F3957</f>
        <v>33.3</v>
      </c>
      <c r="J3957" s="6" t="n">
        <f aca="false">HOUR(E3957)</f>
        <v>10</v>
      </c>
      <c r="K3957" s="6" t="n">
        <f aca="false">IF(COUNTIF($A$2:$A3957,A3957)=1,1,0)</f>
        <v>0</v>
      </c>
    </row>
    <row r="3958" customFormat="false" ht="15" hidden="false" customHeight="false" outlineLevel="0" collapsed="false">
      <c r="A3958" s="0" t="s">
        <v>839</v>
      </c>
      <c r="B3958" s="0" t="s">
        <v>43</v>
      </c>
      <c r="C3958" s="0" t="s">
        <v>44</v>
      </c>
      <c r="D3958" s="0" t="n">
        <v>8</v>
      </c>
      <c r="E3958" s="5" t="n">
        <v>45991.4283333333</v>
      </c>
      <c r="F3958" s="0" t="n">
        <v>4.25</v>
      </c>
      <c r="G3958" s="0" t="n">
        <v>17063</v>
      </c>
      <c r="H3958" s="6" t="s">
        <v>98</v>
      </c>
      <c r="I3958" s="6" t="n">
        <f aca="false">D3958*F3958</f>
        <v>34</v>
      </c>
      <c r="J3958" s="6" t="n">
        <f aca="false">HOUR(E3958)</f>
        <v>10</v>
      </c>
      <c r="K3958" s="6" t="n">
        <f aca="false">IF(COUNTIF($A$2:$A3958,A3958)=1,1,0)</f>
        <v>0</v>
      </c>
    </row>
    <row r="3959" customFormat="false" ht="15" hidden="false" customHeight="false" outlineLevel="0" collapsed="false">
      <c r="A3959" s="0" t="s">
        <v>839</v>
      </c>
      <c r="B3959" s="0" t="s">
        <v>118</v>
      </c>
      <c r="C3959" s="0" t="s">
        <v>119</v>
      </c>
      <c r="D3959" s="0" t="n">
        <v>9</v>
      </c>
      <c r="E3959" s="5" t="n">
        <v>45991.4283333333</v>
      </c>
      <c r="F3959" s="0" t="n">
        <v>4.95</v>
      </c>
      <c r="G3959" s="0" t="n">
        <v>17063</v>
      </c>
      <c r="H3959" s="6" t="s">
        <v>98</v>
      </c>
      <c r="I3959" s="6" t="n">
        <f aca="false">D3959*F3959</f>
        <v>44.55</v>
      </c>
      <c r="J3959" s="6" t="n">
        <f aca="false">HOUR(E3959)</f>
        <v>10</v>
      </c>
      <c r="K3959" s="6" t="n">
        <f aca="false">IF(COUNTIF($A$2:$A3959,A3959)=1,1,0)</f>
        <v>0</v>
      </c>
    </row>
    <row r="3960" customFormat="false" ht="15" hidden="false" customHeight="false" outlineLevel="0" collapsed="false">
      <c r="A3960" s="0" t="s">
        <v>839</v>
      </c>
      <c r="B3960" s="0" t="s">
        <v>61</v>
      </c>
      <c r="C3960" s="0" t="s">
        <v>62</v>
      </c>
      <c r="D3960" s="0" t="n">
        <v>22</v>
      </c>
      <c r="E3960" s="5" t="n">
        <v>45991.4283333333</v>
      </c>
      <c r="F3960" s="0" t="n">
        <v>1.65</v>
      </c>
      <c r="G3960" s="0" t="n">
        <v>17063</v>
      </c>
      <c r="H3960" s="6" t="s">
        <v>98</v>
      </c>
      <c r="I3960" s="6" t="n">
        <f aca="false">D3960*F3960</f>
        <v>36.3</v>
      </c>
      <c r="J3960" s="6" t="n">
        <f aca="false">HOUR(E3960)</f>
        <v>10</v>
      </c>
      <c r="K3960" s="6" t="n">
        <f aca="false">IF(COUNTIF($A$2:$A3960,A3960)=1,1,0)</f>
        <v>0</v>
      </c>
    </row>
    <row r="3961" customFormat="false" ht="15" hidden="false" customHeight="false" outlineLevel="0" collapsed="false">
      <c r="A3961" s="0" t="s">
        <v>839</v>
      </c>
      <c r="B3961" s="0" t="s">
        <v>72</v>
      </c>
      <c r="C3961" s="0" t="s">
        <v>73</v>
      </c>
      <c r="D3961" s="0" t="n">
        <v>22</v>
      </c>
      <c r="E3961" s="5" t="n">
        <v>45991.4283333333</v>
      </c>
      <c r="F3961" s="0" t="n">
        <v>4.95</v>
      </c>
      <c r="G3961" s="0" t="n">
        <v>17063</v>
      </c>
      <c r="H3961" s="6" t="s">
        <v>98</v>
      </c>
      <c r="I3961" s="6" t="n">
        <f aca="false">D3961*F3961</f>
        <v>108.9</v>
      </c>
      <c r="J3961" s="6" t="n">
        <f aca="false">HOUR(E3961)</f>
        <v>10</v>
      </c>
      <c r="K3961" s="6" t="n">
        <f aca="false">IF(COUNTIF($A$2:$A3961,A3961)=1,1,0)</f>
        <v>0</v>
      </c>
    </row>
    <row r="3962" customFormat="false" ht="15" hidden="false" customHeight="false" outlineLevel="0" collapsed="false">
      <c r="A3962" s="0" t="s">
        <v>839</v>
      </c>
      <c r="B3962" s="0" t="s">
        <v>109</v>
      </c>
      <c r="C3962" s="0" t="s">
        <v>110</v>
      </c>
      <c r="D3962" s="0" t="n">
        <v>11</v>
      </c>
      <c r="E3962" s="5" t="n">
        <v>45991.4283333333</v>
      </c>
      <c r="F3962" s="0" t="n">
        <v>0.85</v>
      </c>
      <c r="G3962" s="0" t="n">
        <v>17063</v>
      </c>
      <c r="H3962" s="6" t="s">
        <v>98</v>
      </c>
      <c r="I3962" s="6" t="n">
        <f aca="false">D3962*F3962</f>
        <v>9.35</v>
      </c>
      <c r="J3962" s="6" t="n">
        <f aca="false">HOUR(E3962)</f>
        <v>10</v>
      </c>
      <c r="K3962" s="6" t="n">
        <f aca="false">IF(COUNTIF($A$2:$A3962,A3962)=1,1,0)</f>
        <v>0</v>
      </c>
    </row>
    <row r="3963" customFormat="false" ht="15" hidden="false" customHeight="false" outlineLevel="0" collapsed="false">
      <c r="A3963" s="0" t="s">
        <v>840</v>
      </c>
      <c r="B3963" s="0" t="s">
        <v>109</v>
      </c>
      <c r="C3963" s="0" t="s">
        <v>110</v>
      </c>
      <c r="D3963" s="0" t="n">
        <v>4</v>
      </c>
      <c r="E3963" s="5" t="n">
        <v>45991.488125</v>
      </c>
      <c r="F3963" s="0" t="n">
        <v>0.85</v>
      </c>
      <c r="G3963" s="0" t="n">
        <v>17150</v>
      </c>
      <c r="H3963" s="6" t="s">
        <v>74</v>
      </c>
      <c r="I3963" s="6" t="n">
        <f aca="false">D3963*F3963</f>
        <v>3.4</v>
      </c>
      <c r="J3963" s="6" t="n">
        <f aca="false">HOUR(E3963)</f>
        <v>11</v>
      </c>
      <c r="K3963" s="6" t="n">
        <f aca="false">IF(COUNTIF($A$2:$A3963,A3963)=1,1,0)</f>
        <v>1</v>
      </c>
    </row>
    <row r="3964" customFormat="false" ht="15" hidden="false" customHeight="false" outlineLevel="0" collapsed="false">
      <c r="A3964" s="0" t="s">
        <v>840</v>
      </c>
      <c r="B3964" s="0" t="s">
        <v>107</v>
      </c>
      <c r="C3964" s="0" t="s">
        <v>108</v>
      </c>
      <c r="D3964" s="0" t="n">
        <v>18</v>
      </c>
      <c r="E3964" s="5" t="n">
        <v>45991.488125</v>
      </c>
      <c r="F3964" s="0" t="n">
        <v>3.75</v>
      </c>
      <c r="G3964" s="0" t="n">
        <v>17150</v>
      </c>
      <c r="H3964" s="6" t="s">
        <v>74</v>
      </c>
      <c r="I3964" s="6" t="n">
        <f aca="false">D3964*F3964</f>
        <v>67.5</v>
      </c>
      <c r="J3964" s="6" t="n">
        <f aca="false">HOUR(E3964)</f>
        <v>11</v>
      </c>
      <c r="K3964" s="6" t="n">
        <f aca="false">IF(COUNTIF($A$2:$A3964,A3964)=1,1,0)</f>
        <v>0</v>
      </c>
    </row>
    <row r="3965" customFormat="false" ht="15" hidden="false" customHeight="false" outlineLevel="0" collapsed="false">
      <c r="A3965" s="0" t="s">
        <v>840</v>
      </c>
      <c r="B3965" s="0" t="s">
        <v>88</v>
      </c>
      <c r="C3965" s="0" t="s">
        <v>89</v>
      </c>
      <c r="D3965" s="0" t="n">
        <v>6</v>
      </c>
      <c r="E3965" s="5" t="n">
        <v>45991.488125</v>
      </c>
      <c r="F3965" s="0" t="n">
        <v>2.75</v>
      </c>
      <c r="G3965" s="0" t="n">
        <v>17150</v>
      </c>
      <c r="H3965" s="6" t="s">
        <v>74</v>
      </c>
      <c r="I3965" s="6" t="n">
        <f aca="false">D3965*F3965</f>
        <v>16.5</v>
      </c>
      <c r="J3965" s="6" t="n">
        <f aca="false">HOUR(E3965)</f>
        <v>11</v>
      </c>
      <c r="K3965" s="6" t="n">
        <f aca="false">IF(COUNTIF($A$2:$A3965,A3965)=1,1,0)</f>
        <v>0</v>
      </c>
    </row>
    <row r="3966" customFormat="false" ht="15" hidden="false" customHeight="false" outlineLevel="0" collapsed="false">
      <c r="A3966" s="0" t="s">
        <v>840</v>
      </c>
      <c r="B3966" s="0" t="s">
        <v>93</v>
      </c>
      <c r="C3966" s="0" t="s">
        <v>94</v>
      </c>
      <c r="D3966" s="0" t="n">
        <v>15</v>
      </c>
      <c r="E3966" s="5" t="n">
        <v>45991.488125</v>
      </c>
      <c r="F3966" s="0" t="n">
        <v>1.69</v>
      </c>
      <c r="G3966" s="0" t="n">
        <v>17150</v>
      </c>
      <c r="H3966" s="6" t="s">
        <v>74</v>
      </c>
      <c r="I3966" s="6" t="n">
        <f aca="false">D3966*F3966</f>
        <v>25.35</v>
      </c>
      <c r="J3966" s="6" t="n">
        <f aca="false">HOUR(E3966)</f>
        <v>11</v>
      </c>
      <c r="K3966" s="6" t="n">
        <f aca="false">IF(COUNTIF($A$2:$A3966,A3966)=1,1,0)</f>
        <v>0</v>
      </c>
    </row>
    <row r="3967" customFormat="false" ht="15" hidden="false" customHeight="false" outlineLevel="0" collapsed="false">
      <c r="A3967" s="0" t="s">
        <v>840</v>
      </c>
      <c r="B3967" s="0" t="s">
        <v>145</v>
      </c>
      <c r="C3967" s="0" t="s">
        <v>146</v>
      </c>
      <c r="D3967" s="0" t="n">
        <v>22</v>
      </c>
      <c r="E3967" s="5" t="n">
        <v>45991.488125</v>
      </c>
      <c r="F3967" s="0" t="n">
        <v>1.85</v>
      </c>
      <c r="G3967" s="0" t="n">
        <v>17150</v>
      </c>
      <c r="H3967" s="6" t="s">
        <v>74</v>
      </c>
      <c r="I3967" s="6" t="n">
        <f aca="false">D3967*F3967</f>
        <v>40.7</v>
      </c>
      <c r="J3967" s="6" t="n">
        <f aca="false">HOUR(E3967)</f>
        <v>11</v>
      </c>
      <c r="K3967" s="6" t="n">
        <f aca="false">IF(COUNTIF($A$2:$A3967,A3967)=1,1,0)</f>
        <v>0</v>
      </c>
    </row>
    <row r="3968" customFormat="false" ht="15" hidden="false" customHeight="false" outlineLevel="0" collapsed="false">
      <c r="A3968" s="0" t="s">
        <v>840</v>
      </c>
      <c r="B3968" s="0" t="s">
        <v>125</v>
      </c>
      <c r="C3968" s="0" t="s">
        <v>126</v>
      </c>
      <c r="D3968" s="0" t="n">
        <v>16</v>
      </c>
      <c r="E3968" s="5" t="n">
        <v>45991.488125</v>
      </c>
      <c r="F3968" s="0" t="n">
        <v>1.25</v>
      </c>
      <c r="G3968" s="0" t="n">
        <v>17150</v>
      </c>
      <c r="H3968" s="6" t="s">
        <v>74</v>
      </c>
      <c r="I3968" s="6" t="n">
        <f aca="false">D3968*F3968</f>
        <v>20</v>
      </c>
      <c r="J3968" s="6" t="n">
        <f aca="false">HOUR(E3968)</f>
        <v>11</v>
      </c>
      <c r="K3968" s="6" t="n">
        <f aca="false">IF(COUNTIF($A$2:$A3968,A3968)=1,1,0)</f>
        <v>0</v>
      </c>
    </row>
    <row r="3969" customFormat="false" ht="15" hidden="false" customHeight="false" outlineLevel="0" collapsed="false">
      <c r="A3969" s="0" t="s">
        <v>840</v>
      </c>
      <c r="B3969" s="0" t="s">
        <v>40</v>
      </c>
      <c r="C3969" s="0" t="s">
        <v>41</v>
      </c>
      <c r="D3969" s="0" t="n">
        <v>8</v>
      </c>
      <c r="E3969" s="5" t="n">
        <v>45991.488125</v>
      </c>
      <c r="F3969" s="0" t="n">
        <v>1.06</v>
      </c>
      <c r="G3969" s="0" t="n">
        <v>17150</v>
      </c>
      <c r="H3969" s="6" t="s">
        <v>74</v>
      </c>
      <c r="I3969" s="6" t="n">
        <f aca="false">D3969*F3969</f>
        <v>8.48</v>
      </c>
      <c r="J3969" s="6" t="n">
        <f aca="false">HOUR(E3969)</f>
        <v>11</v>
      </c>
      <c r="K3969" s="6" t="n">
        <f aca="false">IF(COUNTIF($A$2:$A3969,A3969)=1,1,0)</f>
        <v>0</v>
      </c>
    </row>
    <row r="3970" customFormat="false" ht="15" hidden="false" customHeight="false" outlineLevel="0" collapsed="false">
      <c r="A3970" s="0" t="s">
        <v>840</v>
      </c>
      <c r="B3970" s="0" t="s">
        <v>91</v>
      </c>
      <c r="C3970" s="0" t="s">
        <v>92</v>
      </c>
      <c r="D3970" s="0" t="n">
        <v>23</v>
      </c>
      <c r="E3970" s="5" t="n">
        <v>45991.488125</v>
      </c>
      <c r="F3970" s="0" t="n">
        <v>7.65</v>
      </c>
      <c r="G3970" s="0" t="n">
        <v>17150</v>
      </c>
      <c r="H3970" s="6" t="s">
        <v>74</v>
      </c>
      <c r="I3970" s="6" t="n">
        <f aca="false">D3970*F3970</f>
        <v>175.95</v>
      </c>
      <c r="J3970" s="6" t="n">
        <f aca="false">HOUR(E3970)</f>
        <v>11</v>
      </c>
      <c r="K3970" s="6" t="n">
        <f aca="false">IF(COUNTIF($A$2:$A3970,A3970)=1,1,0)</f>
        <v>0</v>
      </c>
    </row>
    <row r="3971" customFormat="false" ht="15" hidden="false" customHeight="false" outlineLevel="0" collapsed="false">
      <c r="A3971" s="0" t="s">
        <v>840</v>
      </c>
      <c r="B3971" s="0" t="s">
        <v>53</v>
      </c>
      <c r="C3971" s="0" t="s">
        <v>54</v>
      </c>
      <c r="D3971" s="0" t="n">
        <v>15</v>
      </c>
      <c r="E3971" s="5" t="n">
        <v>45991.488125</v>
      </c>
      <c r="F3971" s="0" t="n">
        <v>2.95</v>
      </c>
      <c r="G3971" s="0" t="n">
        <v>17150</v>
      </c>
      <c r="H3971" s="6" t="s">
        <v>74</v>
      </c>
      <c r="I3971" s="6" t="n">
        <f aca="false">D3971*F3971</f>
        <v>44.25</v>
      </c>
      <c r="J3971" s="6" t="n">
        <f aca="false">HOUR(E3971)</f>
        <v>11</v>
      </c>
      <c r="K3971" s="6" t="n">
        <f aca="false">IF(COUNTIF($A$2:$A3971,A3971)=1,1,0)</f>
        <v>0</v>
      </c>
    </row>
    <row r="3972" customFormat="false" ht="15" hidden="false" customHeight="false" outlineLevel="0" collapsed="false">
      <c r="A3972" s="0" t="s">
        <v>840</v>
      </c>
      <c r="B3972" s="0" t="s">
        <v>114</v>
      </c>
      <c r="C3972" s="0" t="s">
        <v>115</v>
      </c>
      <c r="D3972" s="0" t="n">
        <v>11</v>
      </c>
      <c r="E3972" s="5" t="n">
        <v>45991.488125</v>
      </c>
      <c r="F3972" s="0" t="n">
        <v>2.08</v>
      </c>
      <c r="G3972" s="0" t="n">
        <v>17150</v>
      </c>
      <c r="H3972" s="6" t="s">
        <v>74</v>
      </c>
      <c r="I3972" s="6" t="n">
        <f aca="false">D3972*F3972</f>
        <v>22.88</v>
      </c>
      <c r="J3972" s="6" t="n">
        <f aca="false">HOUR(E3972)</f>
        <v>11</v>
      </c>
      <c r="K3972" s="6" t="n">
        <f aca="false">IF(COUNTIF($A$2:$A3972,A3972)=1,1,0)</f>
        <v>0</v>
      </c>
    </row>
    <row r="3973" customFormat="false" ht="15" hidden="false" customHeight="false" outlineLevel="0" collapsed="false">
      <c r="A3973" s="0" t="s">
        <v>841</v>
      </c>
      <c r="B3973" s="0" t="s">
        <v>79</v>
      </c>
      <c r="C3973" s="0" t="s">
        <v>80</v>
      </c>
      <c r="D3973" s="0" t="n">
        <v>8</v>
      </c>
      <c r="E3973" s="5" t="n">
        <v>45991.6082638889</v>
      </c>
      <c r="F3973" s="0" t="n">
        <v>3.39</v>
      </c>
      <c r="G3973" s="0" t="n">
        <v>17253</v>
      </c>
      <c r="H3973" s="6" t="s">
        <v>74</v>
      </c>
      <c r="I3973" s="6" t="n">
        <f aca="false">D3973*F3973</f>
        <v>27.12</v>
      </c>
      <c r="J3973" s="6" t="n">
        <f aca="false">HOUR(E3973)</f>
        <v>14</v>
      </c>
      <c r="K3973" s="6" t="n">
        <f aca="false">IF(COUNTIF($A$2:$A3973,A3973)=1,1,0)</f>
        <v>1</v>
      </c>
    </row>
    <row r="3974" customFormat="false" ht="15" hidden="false" customHeight="false" outlineLevel="0" collapsed="false">
      <c r="A3974" s="0" t="s">
        <v>841</v>
      </c>
      <c r="B3974" s="0" t="s">
        <v>140</v>
      </c>
      <c r="C3974" s="0" t="s">
        <v>141</v>
      </c>
      <c r="D3974" s="0" t="n">
        <v>12</v>
      </c>
      <c r="E3974" s="5" t="n">
        <v>45991.6082638889</v>
      </c>
      <c r="F3974" s="0" t="n">
        <v>2.08</v>
      </c>
      <c r="G3974" s="0" t="n">
        <v>17253</v>
      </c>
      <c r="H3974" s="6" t="s">
        <v>74</v>
      </c>
      <c r="I3974" s="6" t="n">
        <f aca="false">D3974*F3974</f>
        <v>24.96</v>
      </c>
      <c r="J3974" s="6" t="n">
        <f aca="false">HOUR(E3974)</f>
        <v>14</v>
      </c>
      <c r="K3974" s="6" t="n">
        <f aca="false">IF(COUNTIF($A$2:$A3974,A3974)=1,1,0)</f>
        <v>0</v>
      </c>
    </row>
    <row r="3975" customFormat="false" ht="15" hidden="false" customHeight="false" outlineLevel="0" collapsed="false">
      <c r="A3975" s="0" t="s">
        <v>841</v>
      </c>
      <c r="B3975" s="0" t="s">
        <v>131</v>
      </c>
      <c r="C3975" s="0" t="s">
        <v>132</v>
      </c>
      <c r="D3975" s="0" t="n">
        <v>2</v>
      </c>
      <c r="E3975" s="5" t="n">
        <v>45991.6082638889</v>
      </c>
      <c r="F3975" s="0" t="n">
        <v>3.39</v>
      </c>
      <c r="G3975" s="0" t="n">
        <v>17253</v>
      </c>
      <c r="H3975" s="6" t="s">
        <v>74</v>
      </c>
      <c r="I3975" s="6" t="n">
        <f aca="false">D3975*F3975</f>
        <v>6.78</v>
      </c>
      <c r="J3975" s="6" t="n">
        <f aca="false">HOUR(E3975)</f>
        <v>14</v>
      </c>
      <c r="K3975" s="6" t="n">
        <f aca="false">IF(COUNTIF($A$2:$A3975,A3975)=1,1,0)</f>
        <v>0</v>
      </c>
    </row>
    <row r="3976" customFormat="false" ht="15" hidden="false" customHeight="false" outlineLevel="0" collapsed="false">
      <c r="A3976" s="0" t="s">
        <v>841</v>
      </c>
      <c r="B3976" s="0" t="s">
        <v>47</v>
      </c>
      <c r="C3976" s="0" t="s">
        <v>48</v>
      </c>
      <c r="D3976" s="0" t="n">
        <v>27</v>
      </c>
      <c r="E3976" s="5" t="n">
        <v>45991.6082638889</v>
      </c>
      <c r="F3976" s="0" t="n">
        <v>12.75</v>
      </c>
      <c r="G3976" s="0" t="n">
        <v>17253</v>
      </c>
      <c r="H3976" s="6" t="s">
        <v>74</v>
      </c>
      <c r="I3976" s="6" t="n">
        <f aca="false">D3976*F3976</f>
        <v>344.25</v>
      </c>
      <c r="J3976" s="6" t="n">
        <f aca="false">HOUR(E3976)</f>
        <v>14</v>
      </c>
      <c r="K3976" s="6" t="n">
        <f aca="false">IF(COUNTIF($A$2:$A3976,A3976)=1,1,0)</f>
        <v>0</v>
      </c>
    </row>
    <row r="3977" customFormat="false" ht="15" hidden="false" customHeight="false" outlineLevel="0" collapsed="false">
      <c r="A3977" s="0" t="s">
        <v>841</v>
      </c>
      <c r="B3977" s="0" t="s">
        <v>69</v>
      </c>
      <c r="C3977" s="0" t="s">
        <v>70</v>
      </c>
      <c r="D3977" s="0" t="n">
        <v>7</v>
      </c>
      <c r="E3977" s="5" t="n">
        <v>45991.6082638889</v>
      </c>
      <c r="F3977" s="0" t="n">
        <v>2.08</v>
      </c>
      <c r="G3977" s="0" t="n">
        <v>17253</v>
      </c>
      <c r="H3977" s="6" t="s">
        <v>74</v>
      </c>
      <c r="I3977" s="6" t="n">
        <f aca="false">D3977*F3977</f>
        <v>14.56</v>
      </c>
      <c r="J3977" s="6" t="n">
        <f aca="false">HOUR(E3977)</f>
        <v>14</v>
      </c>
      <c r="K3977" s="6" t="n">
        <f aca="false">IF(COUNTIF($A$2:$A3977,A3977)=1,1,0)</f>
        <v>0</v>
      </c>
    </row>
    <row r="3978" customFormat="false" ht="15" hidden="false" customHeight="false" outlineLevel="0" collapsed="false">
      <c r="A3978" s="0" t="s">
        <v>841</v>
      </c>
      <c r="B3978" s="0" t="s">
        <v>88</v>
      </c>
      <c r="C3978" s="0" t="s">
        <v>89</v>
      </c>
      <c r="D3978" s="0" t="n">
        <v>10</v>
      </c>
      <c r="E3978" s="5" t="n">
        <v>45991.6082638889</v>
      </c>
      <c r="F3978" s="0" t="n">
        <v>2.75</v>
      </c>
      <c r="G3978" s="0" t="n">
        <v>17253</v>
      </c>
      <c r="H3978" s="6" t="s">
        <v>74</v>
      </c>
      <c r="I3978" s="6" t="n">
        <f aca="false">D3978*F3978</f>
        <v>27.5</v>
      </c>
      <c r="J3978" s="6" t="n">
        <f aca="false">HOUR(E3978)</f>
        <v>14</v>
      </c>
      <c r="K3978" s="6" t="n">
        <f aca="false">IF(COUNTIF($A$2:$A3978,A3978)=1,1,0)</f>
        <v>0</v>
      </c>
    </row>
    <row r="3979" customFormat="false" ht="15" hidden="false" customHeight="false" outlineLevel="0" collapsed="false">
      <c r="A3979" s="0" t="s">
        <v>841</v>
      </c>
      <c r="B3979" s="0" t="s">
        <v>145</v>
      </c>
      <c r="C3979" s="0" t="s">
        <v>146</v>
      </c>
      <c r="D3979" s="0" t="n">
        <v>23</v>
      </c>
      <c r="E3979" s="5" t="n">
        <v>45991.6082638889</v>
      </c>
      <c r="F3979" s="0" t="n">
        <v>1.85</v>
      </c>
      <c r="G3979" s="0" t="n">
        <v>17253</v>
      </c>
      <c r="H3979" s="6" t="s">
        <v>74</v>
      </c>
      <c r="I3979" s="6" t="n">
        <f aca="false">D3979*F3979</f>
        <v>42.55</v>
      </c>
      <c r="J3979" s="6" t="n">
        <f aca="false">HOUR(E3979)</f>
        <v>14</v>
      </c>
      <c r="K3979" s="6" t="n">
        <f aca="false">IF(COUNTIF($A$2:$A3979,A3979)=1,1,0)</f>
        <v>0</v>
      </c>
    </row>
    <row r="3980" customFormat="false" ht="15" hidden="false" customHeight="false" outlineLevel="0" collapsed="false">
      <c r="A3980" s="0" t="s">
        <v>841</v>
      </c>
      <c r="B3980" s="0" t="s">
        <v>72</v>
      </c>
      <c r="C3980" s="0" t="s">
        <v>73</v>
      </c>
      <c r="D3980" s="0" t="n">
        <v>13</v>
      </c>
      <c r="E3980" s="5" t="n">
        <v>45991.6082638889</v>
      </c>
      <c r="F3980" s="0" t="n">
        <v>4.95</v>
      </c>
      <c r="G3980" s="0" t="n">
        <v>17253</v>
      </c>
      <c r="H3980" s="6" t="s">
        <v>74</v>
      </c>
      <c r="I3980" s="6" t="n">
        <f aca="false">D3980*F3980</f>
        <v>64.35</v>
      </c>
      <c r="J3980" s="6" t="n">
        <f aca="false">HOUR(E3980)</f>
        <v>14</v>
      </c>
      <c r="K3980" s="6" t="n">
        <f aca="false">IF(COUNTIF($A$2:$A3980,A3980)=1,1,0)</f>
        <v>0</v>
      </c>
    </row>
    <row r="3981" customFormat="false" ht="15" hidden="false" customHeight="false" outlineLevel="0" collapsed="false">
      <c r="A3981" s="0" t="s">
        <v>841</v>
      </c>
      <c r="B3981" s="0" t="s">
        <v>137</v>
      </c>
      <c r="C3981" s="0" t="s">
        <v>138</v>
      </c>
      <c r="D3981" s="0" t="n">
        <v>1</v>
      </c>
      <c r="E3981" s="5" t="n">
        <v>45991.6082638889</v>
      </c>
      <c r="F3981" s="0" t="n">
        <v>2.1</v>
      </c>
      <c r="G3981" s="0" t="n">
        <v>17253</v>
      </c>
      <c r="H3981" s="6" t="s">
        <v>74</v>
      </c>
      <c r="I3981" s="6" t="n">
        <f aca="false">D3981*F3981</f>
        <v>2.1</v>
      </c>
      <c r="J3981" s="6" t="n">
        <f aca="false">HOUR(E3981)</f>
        <v>14</v>
      </c>
      <c r="K3981" s="6" t="n">
        <f aca="false">IF(COUNTIF($A$2:$A3981,A3981)=1,1,0)</f>
        <v>0</v>
      </c>
    </row>
    <row r="3982" customFormat="false" ht="15" hidden="false" customHeight="false" outlineLevel="0" collapsed="false">
      <c r="A3982" s="0" t="s">
        <v>841</v>
      </c>
      <c r="B3982" s="0" t="s">
        <v>61</v>
      </c>
      <c r="C3982" s="0" t="s">
        <v>62</v>
      </c>
      <c r="D3982" s="0" t="n">
        <v>14</v>
      </c>
      <c r="E3982" s="5" t="n">
        <v>45991.6082638889</v>
      </c>
      <c r="F3982" s="0" t="n">
        <v>1.65</v>
      </c>
      <c r="G3982" s="0" t="n">
        <v>17253</v>
      </c>
      <c r="H3982" s="6" t="s">
        <v>74</v>
      </c>
      <c r="I3982" s="6" t="n">
        <f aca="false">D3982*F3982</f>
        <v>23.1</v>
      </c>
      <c r="J3982" s="6" t="n">
        <f aca="false">HOUR(E3982)</f>
        <v>14</v>
      </c>
      <c r="K3982" s="6" t="n">
        <f aca="false">IF(COUNTIF($A$2:$A3982,A3982)=1,1,0)</f>
        <v>0</v>
      </c>
    </row>
    <row r="3983" customFormat="false" ht="15" hidden="false" customHeight="false" outlineLevel="0" collapsed="false">
      <c r="A3983" s="0" t="s">
        <v>842</v>
      </c>
      <c r="B3983" s="0" t="s">
        <v>131</v>
      </c>
      <c r="C3983" s="0" t="s">
        <v>132</v>
      </c>
      <c r="D3983" s="0" t="n">
        <v>-14</v>
      </c>
      <c r="E3983" s="5" t="n">
        <v>45991.6590740741</v>
      </c>
      <c r="F3983" s="0" t="n">
        <v>3.39</v>
      </c>
      <c r="H3983" s="6" t="s">
        <v>74</v>
      </c>
      <c r="I3983" s="6" t="n">
        <f aca="false">D3983*F3983</f>
        <v>-47.46</v>
      </c>
      <c r="J3983" s="6" t="n">
        <f aca="false">HOUR(E3983)</f>
        <v>15</v>
      </c>
      <c r="K3983" s="6" t="n">
        <f aca="false">IF(COUNTIF($A$2:$A3983,A3983)=1,1,0)</f>
        <v>1</v>
      </c>
    </row>
    <row r="3984" customFormat="false" ht="15" hidden="false" customHeight="false" outlineLevel="0" collapsed="false">
      <c r="A3984" s="0" t="s">
        <v>842</v>
      </c>
      <c r="B3984" s="0" t="s">
        <v>88</v>
      </c>
      <c r="C3984" s="0" t="s">
        <v>89</v>
      </c>
      <c r="D3984" s="0" t="n">
        <v>-23</v>
      </c>
      <c r="E3984" s="5" t="n">
        <v>45991.6590740741</v>
      </c>
      <c r="F3984" s="0" t="n">
        <v>2.75</v>
      </c>
      <c r="H3984" s="6" t="s">
        <v>74</v>
      </c>
      <c r="I3984" s="6" t="n">
        <f aca="false">D3984*F3984</f>
        <v>-63.25</v>
      </c>
      <c r="J3984" s="6" t="n">
        <f aca="false">HOUR(E3984)</f>
        <v>15</v>
      </c>
      <c r="K3984" s="6" t="n">
        <f aca="false">IF(COUNTIF($A$2:$A3984,A3984)=1,1,0)</f>
        <v>0</v>
      </c>
    </row>
    <row r="3985" customFormat="false" ht="15" hidden="false" customHeight="false" outlineLevel="0" collapsed="false">
      <c r="A3985" s="0" t="s">
        <v>842</v>
      </c>
      <c r="B3985" s="0" t="s">
        <v>118</v>
      </c>
      <c r="C3985" s="0" t="s">
        <v>119</v>
      </c>
      <c r="D3985" s="0" t="n">
        <v>-11</v>
      </c>
      <c r="E3985" s="5" t="n">
        <v>45991.6590740741</v>
      </c>
      <c r="F3985" s="0" t="n">
        <v>4.95</v>
      </c>
      <c r="H3985" s="6" t="s">
        <v>74</v>
      </c>
      <c r="I3985" s="6" t="n">
        <f aca="false">D3985*F3985</f>
        <v>-54.45</v>
      </c>
      <c r="J3985" s="6" t="n">
        <f aca="false">HOUR(E3985)</f>
        <v>15</v>
      </c>
      <c r="K3985" s="6" t="n">
        <f aca="false">IF(COUNTIF($A$2:$A3985,A3985)=1,1,0)</f>
        <v>0</v>
      </c>
    </row>
    <row r="3986" customFormat="false" ht="15" hidden="false" customHeight="false" outlineLevel="0" collapsed="false">
      <c r="A3986" s="0" t="s">
        <v>842</v>
      </c>
      <c r="B3986" s="0" t="s">
        <v>40</v>
      </c>
      <c r="C3986" s="0" t="s">
        <v>41</v>
      </c>
      <c r="D3986" s="0" t="n">
        <v>-18</v>
      </c>
      <c r="E3986" s="5" t="n">
        <v>45991.6590740741</v>
      </c>
      <c r="F3986" s="0" t="n">
        <v>1.06</v>
      </c>
      <c r="H3986" s="6" t="s">
        <v>74</v>
      </c>
      <c r="I3986" s="6" t="n">
        <f aca="false">D3986*F3986</f>
        <v>-19.08</v>
      </c>
      <c r="J3986" s="6" t="n">
        <f aca="false">HOUR(E3986)</f>
        <v>15</v>
      </c>
      <c r="K3986" s="6" t="n">
        <f aca="false">IF(COUNTIF($A$2:$A3986,A3986)=1,1,0)</f>
        <v>0</v>
      </c>
    </row>
    <row r="3987" customFormat="false" ht="15" hidden="false" customHeight="false" outlineLevel="0" collapsed="false">
      <c r="A3987" s="0" t="s">
        <v>843</v>
      </c>
      <c r="B3987" s="0" t="s">
        <v>140</v>
      </c>
      <c r="C3987" s="0" t="s">
        <v>141</v>
      </c>
      <c r="D3987" s="0" t="n">
        <v>24</v>
      </c>
      <c r="E3987" s="5" t="n">
        <v>45991.747349537</v>
      </c>
      <c r="F3987" s="0" t="n">
        <v>2.08</v>
      </c>
      <c r="G3987" s="0" t="n">
        <v>17093</v>
      </c>
      <c r="H3987" s="6" t="s">
        <v>74</v>
      </c>
      <c r="I3987" s="6" t="n">
        <f aca="false">D3987*F3987</f>
        <v>49.92</v>
      </c>
      <c r="J3987" s="6" t="n">
        <f aca="false">HOUR(E3987)</f>
        <v>17</v>
      </c>
      <c r="K3987" s="6" t="n">
        <f aca="false">IF(COUNTIF($A$2:$A3987,A3987)=1,1,0)</f>
        <v>1</v>
      </c>
    </row>
    <row r="3988" customFormat="false" ht="15" hidden="false" customHeight="false" outlineLevel="0" collapsed="false">
      <c r="A3988" s="0" t="s">
        <v>843</v>
      </c>
      <c r="B3988" s="0" t="s">
        <v>43</v>
      </c>
      <c r="C3988" s="0" t="s">
        <v>44</v>
      </c>
      <c r="D3988" s="0" t="n">
        <v>2</v>
      </c>
      <c r="E3988" s="5" t="n">
        <v>45991.747349537</v>
      </c>
      <c r="F3988" s="0" t="n">
        <v>4.25</v>
      </c>
      <c r="G3988" s="0" t="n">
        <v>17093</v>
      </c>
      <c r="H3988" s="6" t="s">
        <v>74</v>
      </c>
      <c r="I3988" s="6" t="n">
        <f aca="false">D3988*F3988</f>
        <v>8.5</v>
      </c>
      <c r="J3988" s="6" t="n">
        <f aca="false">HOUR(E3988)</f>
        <v>17</v>
      </c>
      <c r="K3988" s="6" t="n">
        <f aca="false">IF(COUNTIF($A$2:$A3988,A3988)=1,1,0)</f>
        <v>0</v>
      </c>
    </row>
    <row r="3989" customFormat="false" ht="15" hidden="false" customHeight="false" outlineLevel="0" collapsed="false">
      <c r="A3989" s="0" t="s">
        <v>843</v>
      </c>
      <c r="B3989" s="0" t="s">
        <v>83</v>
      </c>
      <c r="C3989" s="0" t="s">
        <v>84</v>
      </c>
      <c r="D3989" s="0" t="n">
        <v>12</v>
      </c>
      <c r="E3989" s="5" t="n">
        <v>45991.747349537</v>
      </c>
      <c r="F3989" s="0" t="n">
        <v>2.95</v>
      </c>
      <c r="G3989" s="0" t="n">
        <v>17093</v>
      </c>
      <c r="H3989" s="6" t="s">
        <v>74</v>
      </c>
      <c r="I3989" s="6" t="n">
        <f aca="false">D3989*F3989</f>
        <v>35.4</v>
      </c>
      <c r="J3989" s="6" t="n">
        <f aca="false">HOUR(E3989)</f>
        <v>17</v>
      </c>
      <c r="K3989" s="6" t="n">
        <f aca="false">IF(COUNTIF($A$2:$A3989,A3989)=1,1,0)</f>
        <v>0</v>
      </c>
    </row>
    <row r="3990" customFormat="false" ht="15" hidden="false" customHeight="false" outlineLevel="0" collapsed="false">
      <c r="A3990" s="0" t="s">
        <v>843</v>
      </c>
      <c r="B3990" s="0" t="s">
        <v>145</v>
      </c>
      <c r="C3990" s="0" t="s">
        <v>146</v>
      </c>
      <c r="D3990" s="0" t="n">
        <v>12</v>
      </c>
      <c r="E3990" s="5" t="n">
        <v>45991.747349537</v>
      </c>
      <c r="F3990" s="0" t="n">
        <v>1.85</v>
      </c>
      <c r="G3990" s="0" t="n">
        <v>17093</v>
      </c>
      <c r="H3990" s="6" t="s">
        <v>74</v>
      </c>
      <c r="I3990" s="6" t="n">
        <f aca="false">D3990*F3990</f>
        <v>22.2</v>
      </c>
      <c r="J3990" s="6" t="n">
        <f aca="false">HOUR(E3990)</f>
        <v>17</v>
      </c>
      <c r="K3990" s="6" t="n">
        <f aca="false">IF(COUNTIF($A$2:$A3990,A3990)=1,1,0)</f>
        <v>0</v>
      </c>
    </row>
    <row r="3991" customFormat="false" ht="15" hidden="false" customHeight="false" outlineLevel="0" collapsed="false">
      <c r="A3991" s="0" t="s">
        <v>843</v>
      </c>
      <c r="B3991" s="0" t="s">
        <v>59</v>
      </c>
      <c r="C3991" s="0" t="s">
        <v>60</v>
      </c>
      <c r="D3991" s="0" t="n">
        <v>12</v>
      </c>
      <c r="E3991" s="5" t="n">
        <v>45991.747349537</v>
      </c>
      <c r="F3991" s="0" t="n">
        <v>0.42</v>
      </c>
      <c r="G3991" s="0" t="n">
        <v>17093</v>
      </c>
      <c r="H3991" s="6" t="s">
        <v>74</v>
      </c>
      <c r="I3991" s="6" t="n">
        <f aca="false">D3991*F3991</f>
        <v>5.04</v>
      </c>
      <c r="J3991" s="6" t="n">
        <f aca="false">HOUR(E3991)</f>
        <v>17</v>
      </c>
      <c r="K3991" s="6" t="n">
        <f aca="false">IF(COUNTIF($A$2:$A3991,A3991)=1,1,0)</f>
        <v>0</v>
      </c>
    </row>
    <row r="3992" customFormat="false" ht="15" hidden="false" customHeight="false" outlineLevel="0" collapsed="false">
      <c r="A3992" s="0" t="s">
        <v>843</v>
      </c>
      <c r="B3992" s="0" t="s">
        <v>86</v>
      </c>
      <c r="C3992" s="0" t="s">
        <v>87</v>
      </c>
      <c r="D3992" s="0" t="n">
        <v>22</v>
      </c>
      <c r="E3992" s="5" t="n">
        <v>45991.747349537</v>
      </c>
      <c r="F3992" s="0" t="n">
        <v>4.25</v>
      </c>
      <c r="G3992" s="0" t="n">
        <v>17093</v>
      </c>
      <c r="H3992" s="6" t="s">
        <v>74</v>
      </c>
      <c r="I3992" s="6" t="n">
        <f aca="false">D3992*F3992</f>
        <v>93.5</v>
      </c>
      <c r="J3992" s="6" t="n">
        <f aca="false">HOUR(E3992)</f>
        <v>17</v>
      </c>
      <c r="K3992" s="6" t="n">
        <f aca="false">IF(COUNTIF($A$2:$A3992,A3992)=1,1,0)</f>
        <v>0</v>
      </c>
    </row>
    <row r="3993" customFormat="false" ht="15" hidden="false" customHeight="false" outlineLevel="0" collapsed="false">
      <c r="A3993" s="0" t="s">
        <v>843</v>
      </c>
      <c r="B3993" s="0" t="s">
        <v>47</v>
      </c>
      <c r="C3993" s="0" t="s">
        <v>48</v>
      </c>
      <c r="D3993" s="0" t="n">
        <v>44</v>
      </c>
      <c r="E3993" s="5" t="n">
        <v>45991.747349537</v>
      </c>
      <c r="F3993" s="0" t="n">
        <v>12.75</v>
      </c>
      <c r="G3993" s="0" t="n">
        <v>17093</v>
      </c>
      <c r="H3993" s="6" t="s">
        <v>74</v>
      </c>
      <c r="I3993" s="6" t="n">
        <f aca="false">D3993*F3993</f>
        <v>561</v>
      </c>
      <c r="J3993" s="6" t="n">
        <f aca="false">HOUR(E3993)</f>
        <v>17</v>
      </c>
      <c r="K3993" s="6" t="n">
        <f aca="false">IF(COUNTIF($A$2:$A3993,A3993)=1,1,0)</f>
        <v>0</v>
      </c>
    </row>
    <row r="3994" customFormat="false" ht="15" hidden="false" customHeight="false" outlineLevel="0" collapsed="false">
      <c r="A3994" s="0" t="s">
        <v>844</v>
      </c>
      <c r="B3994" s="0" t="s">
        <v>109</v>
      </c>
      <c r="C3994" s="0" t="s">
        <v>110</v>
      </c>
      <c r="D3994" s="0" t="n">
        <v>23</v>
      </c>
      <c r="E3994" s="5" t="n">
        <v>45991.8010185185</v>
      </c>
      <c r="F3994" s="0" t="n">
        <v>0.85</v>
      </c>
      <c r="G3994" s="0" t="n">
        <v>17202</v>
      </c>
      <c r="H3994" s="6" t="s">
        <v>188</v>
      </c>
      <c r="I3994" s="6" t="n">
        <f aca="false">D3994*F3994</f>
        <v>19.55</v>
      </c>
      <c r="J3994" s="6" t="n">
        <f aca="false">HOUR(E3994)</f>
        <v>19</v>
      </c>
      <c r="K3994" s="6" t="n">
        <f aca="false">IF(COUNTIF($A$2:$A3994,A3994)=1,1,0)</f>
        <v>1</v>
      </c>
    </row>
    <row r="3995" customFormat="false" ht="15" hidden="false" customHeight="false" outlineLevel="0" collapsed="false">
      <c r="A3995" s="0" t="s">
        <v>844</v>
      </c>
      <c r="B3995" s="0" t="s">
        <v>127</v>
      </c>
      <c r="C3995" s="0" t="s">
        <v>128</v>
      </c>
      <c r="D3995" s="0" t="n">
        <v>23</v>
      </c>
      <c r="E3995" s="5" t="n">
        <v>45991.8010185185</v>
      </c>
      <c r="F3995" s="0" t="n">
        <v>1.45</v>
      </c>
      <c r="G3995" s="0" t="n">
        <v>17202</v>
      </c>
      <c r="H3995" s="6" t="s">
        <v>188</v>
      </c>
      <c r="I3995" s="6" t="n">
        <f aca="false">D3995*F3995</f>
        <v>33.35</v>
      </c>
      <c r="J3995" s="6" t="n">
        <f aca="false">HOUR(E3995)</f>
        <v>19</v>
      </c>
      <c r="K3995" s="6" t="n">
        <f aca="false">IF(COUNTIF($A$2:$A3995,A3995)=1,1,0)</f>
        <v>0</v>
      </c>
    </row>
    <row r="3996" customFormat="false" ht="15" hidden="false" customHeight="false" outlineLevel="0" collapsed="false">
      <c r="A3996" s="0" t="s">
        <v>844</v>
      </c>
      <c r="B3996" s="0" t="s">
        <v>43</v>
      </c>
      <c r="C3996" s="0" t="s">
        <v>44</v>
      </c>
      <c r="D3996" s="0" t="n">
        <v>7</v>
      </c>
      <c r="E3996" s="5" t="n">
        <v>45991.8010185185</v>
      </c>
      <c r="F3996" s="0" t="n">
        <v>4.25</v>
      </c>
      <c r="G3996" s="0" t="n">
        <v>17202</v>
      </c>
      <c r="H3996" s="6" t="s">
        <v>188</v>
      </c>
      <c r="I3996" s="6" t="n">
        <f aca="false">D3996*F3996</f>
        <v>29.75</v>
      </c>
      <c r="J3996" s="6" t="n">
        <f aca="false">HOUR(E3996)</f>
        <v>19</v>
      </c>
      <c r="K3996" s="6" t="n">
        <f aca="false">IF(COUNTIF($A$2:$A3996,A3996)=1,1,0)</f>
        <v>0</v>
      </c>
    </row>
    <row r="3997" customFormat="false" ht="15" hidden="false" customHeight="false" outlineLevel="0" collapsed="false">
      <c r="A3997" s="0" t="s">
        <v>844</v>
      </c>
      <c r="B3997" s="0" t="s">
        <v>134</v>
      </c>
      <c r="C3997" s="0" t="s">
        <v>135</v>
      </c>
      <c r="D3997" s="0" t="n">
        <v>17</v>
      </c>
      <c r="E3997" s="5" t="n">
        <v>45991.8010185185</v>
      </c>
      <c r="F3997" s="0" t="n">
        <v>5.95</v>
      </c>
      <c r="G3997" s="0" t="n">
        <v>17202</v>
      </c>
      <c r="H3997" s="6" t="s">
        <v>188</v>
      </c>
      <c r="I3997" s="6" t="n">
        <f aca="false">D3997*F3997</f>
        <v>101.15</v>
      </c>
      <c r="J3997" s="6" t="n">
        <f aca="false">HOUR(E3997)</f>
        <v>19</v>
      </c>
      <c r="K3997" s="6" t="n">
        <f aca="false">IF(COUNTIF($A$2:$A3997,A3997)=1,1,0)</f>
        <v>0</v>
      </c>
    </row>
    <row r="3998" customFormat="false" ht="15" hidden="false" customHeight="false" outlineLevel="0" collapsed="false">
      <c r="A3998" s="0" t="s">
        <v>844</v>
      </c>
      <c r="B3998" s="0" t="s">
        <v>102</v>
      </c>
      <c r="C3998" s="0" t="s">
        <v>103</v>
      </c>
      <c r="D3998" s="0" t="n">
        <v>38</v>
      </c>
      <c r="E3998" s="5" t="n">
        <v>45991.8010185185</v>
      </c>
      <c r="F3998" s="0" t="n">
        <v>8.5</v>
      </c>
      <c r="G3998" s="0" t="n">
        <v>17202</v>
      </c>
      <c r="H3998" s="6" t="s">
        <v>188</v>
      </c>
      <c r="I3998" s="6" t="n">
        <f aca="false">D3998*F3998</f>
        <v>323</v>
      </c>
      <c r="J3998" s="6" t="n">
        <f aca="false">HOUR(E3998)</f>
        <v>19</v>
      </c>
      <c r="K3998" s="6" t="n">
        <f aca="false">IF(COUNTIF($A$2:$A3998,A3998)=1,1,0)</f>
        <v>0</v>
      </c>
    </row>
    <row r="3999" customFormat="false" ht="15" hidden="false" customHeight="false" outlineLevel="0" collapsed="false">
      <c r="A3999" s="0" t="s">
        <v>845</v>
      </c>
      <c r="B3999" s="0" t="s">
        <v>88</v>
      </c>
      <c r="C3999" s="0" t="s">
        <v>89</v>
      </c>
      <c r="D3999" s="0" t="n">
        <v>2</v>
      </c>
      <c r="E3999" s="5" t="n">
        <v>45992.123287037</v>
      </c>
      <c r="F3999" s="0" t="n">
        <v>2.75</v>
      </c>
      <c r="G3999" s="0" t="n">
        <v>17158</v>
      </c>
      <c r="H3999" s="6" t="s">
        <v>74</v>
      </c>
      <c r="I3999" s="6" t="n">
        <f aca="false">D3999*F3999</f>
        <v>5.5</v>
      </c>
      <c r="J3999" s="6" t="n">
        <f aca="false">HOUR(E3999)</f>
        <v>2</v>
      </c>
      <c r="K3999" s="6" t="n">
        <f aca="false">IF(COUNTIF($A$2:$A3999,A3999)=1,1,0)</f>
        <v>1</v>
      </c>
    </row>
    <row r="4000" customFormat="false" ht="15" hidden="false" customHeight="false" outlineLevel="0" collapsed="false">
      <c r="A4000" s="0" t="s">
        <v>845</v>
      </c>
      <c r="B4000" s="0" t="s">
        <v>45</v>
      </c>
      <c r="C4000" s="0" t="s">
        <v>46</v>
      </c>
      <c r="D4000" s="0" t="n">
        <v>11</v>
      </c>
      <c r="E4000" s="5" t="n">
        <v>45992.123287037</v>
      </c>
      <c r="F4000" s="0" t="n">
        <v>2.1</v>
      </c>
      <c r="G4000" s="0" t="n">
        <v>17158</v>
      </c>
      <c r="H4000" s="6" t="s">
        <v>74</v>
      </c>
      <c r="I4000" s="6" t="n">
        <f aca="false">D4000*F4000</f>
        <v>23.1</v>
      </c>
      <c r="J4000" s="6" t="n">
        <f aca="false">HOUR(E4000)</f>
        <v>2</v>
      </c>
      <c r="K4000" s="6" t="n">
        <f aca="false">IF(COUNTIF($A$2:$A4000,A4000)=1,1,0)</f>
        <v>0</v>
      </c>
    </row>
    <row r="4001" customFormat="false" ht="15" hidden="false" customHeight="false" outlineLevel="0" collapsed="false">
      <c r="A4001" s="0" t="s">
        <v>845</v>
      </c>
      <c r="B4001" s="0" t="s">
        <v>145</v>
      </c>
      <c r="C4001" s="0" t="s">
        <v>146</v>
      </c>
      <c r="D4001" s="0" t="n">
        <v>20</v>
      </c>
      <c r="E4001" s="5" t="n">
        <v>45992.123287037</v>
      </c>
      <c r="F4001" s="0" t="n">
        <v>1.85</v>
      </c>
      <c r="G4001" s="0" t="n">
        <v>17158</v>
      </c>
      <c r="H4001" s="6" t="s">
        <v>74</v>
      </c>
      <c r="I4001" s="6" t="n">
        <f aca="false">D4001*F4001</f>
        <v>37</v>
      </c>
      <c r="J4001" s="6" t="n">
        <f aca="false">HOUR(E4001)</f>
        <v>2</v>
      </c>
      <c r="K4001" s="6" t="n">
        <f aca="false">IF(COUNTIF($A$2:$A4001,A4001)=1,1,0)</f>
        <v>0</v>
      </c>
    </row>
    <row r="4002" customFormat="false" ht="15" hidden="false" customHeight="false" outlineLevel="0" collapsed="false">
      <c r="A4002" s="0" t="s">
        <v>845</v>
      </c>
      <c r="B4002" s="0" t="s">
        <v>53</v>
      </c>
      <c r="D4002" s="0" t="n">
        <v>2</v>
      </c>
      <c r="E4002" s="5" t="n">
        <v>45992.123287037</v>
      </c>
      <c r="F4002" s="0" t="n">
        <v>2.95</v>
      </c>
      <c r="G4002" s="0" t="n">
        <v>17158</v>
      </c>
      <c r="H4002" s="6" t="s">
        <v>74</v>
      </c>
      <c r="I4002" s="6" t="n">
        <f aca="false">D4002*F4002</f>
        <v>5.9</v>
      </c>
      <c r="J4002" s="6" t="n">
        <f aca="false">HOUR(E4002)</f>
        <v>2</v>
      </c>
      <c r="K4002" s="6" t="n">
        <f aca="false">IF(COUNTIF($A$2:$A4002,A4002)=1,1,0)</f>
        <v>0</v>
      </c>
    </row>
    <row r="4003" customFormat="false" ht="15" hidden="false" customHeight="false" outlineLevel="0" collapsed="false">
      <c r="A4003" s="0" t="s">
        <v>845</v>
      </c>
      <c r="B4003" s="0" t="s">
        <v>86</v>
      </c>
      <c r="C4003" s="0" t="s">
        <v>87</v>
      </c>
      <c r="D4003" s="0" t="n">
        <v>4</v>
      </c>
      <c r="E4003" s="5" t="n">
        <v>45992.123287037</v>
      </c>
      <c r="F4003" s="0" t="n">
        <v>4.25</v>
      </c>
      <c r="G4003" s="0" t="n">
        <v>17158</v>
      </c>
      <c r="H4003" s="6" t="s">
        <v>74</v>
      </c>
      <c r="I4003" s="6" t="n">
        <f aca="false">D4003*F4003</f>
        <v>17</v>
      </c>
      <c r="J4003" s="6" t="n">
        <f aca="false">HOUR(E4003)</f>
        <v>2</v>
      </c>
      <c r="K4003" s="6" t="n">
        <f aca="false">IF(COUNTIF($A$2:$A4003,A4003)=1,1,0)</f>
        <v>0</v>
      </c>
    </row>
    <row r="4004" customFormat="false" ht="15" hidden="false" customHeight="false" outlineLevel="0" collapsed="false">
      <c r="A4004" s="0" t="s">
        <v>845</v>
      </c>
      <c r="B4004" s="0" t="s">
        <v>93</v>
      </c>
      <c r="C4004" s="0" t="s">
        <v>94</v>
      </c>
      <c r="D4004" s="0" t="n">
        <v>23</v>
      </c>
      <c r="E4004" s="5" t="n">
        <v>45992.123287037</v>
      </c>
      <c r="F4004" s="0" t="n">
        <v>1.69</v>
      </c>
      <c r="G4004" s="0" t="n">
        <v>17158</v>
      </c>
      <c r="H4004" s="6" t="s">
        <v>74</v>
      </c>
      <c r="I4004" s="6" t="n">
        <f aca="false">D4004*F4004</f>
        <v>38.87</v>
      </c>
      <c r="J4004" s="6" t="n">
        <f aca="false">HOUR(E4004)</f>
        <v>2</v>
      </c>
      <c r="K4004" s="6" t="n">
        <f aca="false">IF(COUNTIF($A$2:$A4004,A4004)=1,1,0)</f>
        <v>0</v>
      </c>
    </row>
    <row r="4005" customFormat="false" ht="15" hidden="false" customHeight="false" outlineLevel="0" collapsed="false">
      <c r="A4005" s="0" t="s">
        <v>846</v>
      </c>
      <c r="B4005" s="0" t="s">
        <v>75</v>
      </c>
      <c r="D4005" s="0" t="n">
        <v>24</v>
      </c>
      <c r="E4005" s="5" t="n">
        <v>45992.3049652778</v>
      </c>
      <c r="F4005" s="0" t="n">
        <v>3.39</v>
      </c>
      <c r="G4005" s="0" t="n">
        <v>17127</v>
      </c>
      <c r="H4005" s="6" t="s">
        <v>188</v>
      </c>
      <c r="I4005" s="6" t="n">
        <f aca="false">D4005*F4005</f>
        <v>81.36</v>
      </c>
      <c r="J4005" s="6" t="n">
        <f aca="false">HOUR(E4005)</f>
        <v>7</v>
      </c>
      <c r="K4005" s="6" t="n">
        <f aca="false">IF(COUNTIF($A$2:$A4005,A4005)=1,1,0)</f>
        <v>1</v>
      </c>
    </row>
    <row r="4006" customFormat="false" ht="15" hidden="false" customHeight="false" outlineLevel="0" collapsed="false">
      <c r="A4006" s="0" t="s">
        <v>846</v>
      </c>
      <c r="B4006" s="0" t="s">
        <v>81</v>
      </c>
      <c r="C4006" s="0" t="s">
        <v>82</v>
      </c>
      <c r="D4006" s="0" t="n">
        <v>17</v>
      </c>
      <c r="E4006" s="5" t="n">
        <v>45992.3049652778</v>
      </c>
      <c r="F4006" s="0" t="n">
        <v>1.65</v>
      </c>
      <c r="G4006" s="0" t="n">
        <v>17127</v>
      </c>
      <c r="H4006" s="6" t="s">
        <v>188</v>
      </c>
      <c r="I4006" s="6" t="n">
        <f aca="false">D4006*F4006</f>
        <v>28.05</v>
      </c>
      <c r="J4006" s="6" t="n">
        <f aca="false">HOUR(E4006)</f>
        <v>7</v>
      </c>
      <c r="K4006" s="6" t="n">
        <f aca="false">IF(COUNTIF($A$2:$A4006,A4006)=1,1,0)</f>
        <v>0</v>
      </c>
    </row>
    <row r="4007" customFormat="false" ht="15" hidden="false" customHeight="false" outlineLevel="0" collapsed="false">
      <c r="A4007" s="0" t="s">
        <v>846</v>
      </c>
      <c r="B4007" s="0" t="s">
        <v>131</v>
      </c>
      <c r="C4007" s="0" t="s">
        <v>132</v>
      </c>
      <c r="D4007" s="0" t="n">
        <v>19</v>
      </c>
      <c r="E4007" s="5" t="n">
        <v>45992.3049652778</v>
      </c>
      <c r="F4007" s="0" t="n">
        <v>3.39</v>
      </c>
      <c r="G4007" s="0" t="n">
        <v>17127</v>
      </c>
      <c r="H4007" s="6" t="s">
        <v>188</v>
      </c>
      <c r="I4007" s="6" t="n">
        <f aca="false">D4007*F4007</f>
        <v>64.41</v>
      </c>
      <c r="J4007" s="6" t="n">
        <f aca="false">HOUR(E4007)</f>
        <v>7</v>
      </c>
      <c r="K4007" s="6" t="n">
        <f aca="false">IF(COUNTIF($A$2:$A4007,A4007)=1,1,0)</f>
        <v>0</v>
      </c>
    </row>
    <row r="4008" customFormat="false" ht="15" hidden="false" customHeight="false" outlineLevel="0" collapsed="false">
      <c r="A4008" s="0" t="s">
        <v>846</v>
      </c>
      <c r="B4008" s="0" t="s">
        <v>127</v>
      </c>
      <c r="C4008" s="0" t="s">
        <v>128</v>
      </c>
      <c r="D4008" s="0" t="n">
        <v>14</v>
      </c>
      <c r="E4008" s="5" t="n">
        <v>45992.3049652778</v>
      </c>
      <c r="F4008" s="0" t="n">
        <v>1.45</v>
      </c>
      <c r="G4008" s="0" t="n">
        <v>17127</v>
      </c>
      <c r="H4008" s="6" t="s">
        <v>188</v>
      </c>
      <c r="I4008" s="6" t="n">
        <f aca="false">D4008*F4008</f>
        <v>20.3</v>
      </c>
      <c r="J4008" s="6" t="n">
        <f aca="false">HOUR(E4008)</f>
        <v>7</v>
      </c>
      <c r="K4008" s="6" t="n">
        <f aca="false">IF(COUNTIF($A$2:$A4008,A4008)=1,1,0)</f>
        <v>0</v>
      </c>
    </row>
    <row r="4009" customFormat="false" ht="15" hidden="false" customHeight="false" outlineLevel="0" collapsed="false">
      <c r="A4009" s="0" t="s">
        <v>846</v>
      </c>
      <c r="B4009" s="0" t="s">
        <v>125</v>
      </c>
      <c r="C4009" s="0" t="s">
        <v>126</v>
      </c>
      <c r="D4009" s="0" t="n">
        <v>9</v>
      </c>
      <c r="E4009" s="5" t="n">
        <v>45992.3049652778</v>
      </c>
      <c r="F4009" s="0" t="n">
        <v>1.25</v>
      </c>
      <c r="G4009" s="0" t="n">
        <v>17127</v>
      </c>
      <c r="H4009" s="6" t="s">
        <v>188</v>
      </c>
      <c r="I4009" s="6" t="n">
        <f aca="false">D4009*F4009</f>
        <v>11.25</v>
      </c>
      <c r="J4009" s="6" t="n">
        <f aca="false">HOUR(E4009)</f>
        <v>7</v>
      </c>
      <c r="K4009" s="6" t="n">
        <f aca="false">IF(COUNTIF($A$2:$A4009,A4009)=1,1,0)</f>
        <v>0</v>
      </c>
    </row>
    <row r="4010" customFormat="false" ht="15" hidden="false" customHeight="false" outlineLevel="0" collapsed="false">
      <c r="A4010" s="0" t="s">
        <v>846</v>
      </c>
      <c r="B4010" s="0" t="s">
        <v>40</v>
      </c>
      <c r="C4010" s="0" t="s">
        <v>41</v>
      </c>
      <c r="D4010" s="0" t="n">
        <v>13</v>
      </c>
      <c r="E4010" s="5" t="n">
        <v>45992.3049652778</v>
      </c>
      <c r="F4010" s="0" t="n">
        <v>1.06</v>
      </c>
      <c r="G4010" s="0" t="n">
        <v>17127</v>
      </c>
      <c r="H4010" s="6" t="s">
        <v>188</v>
      </c>
      <c r="I4010" s="6" t="n">
        <f aca="false">D4010*F4010</f>
        <v>13.78</v>
      </c>
      <c r="J4010" s="6" t="n">
        <f aca="false">HOUR(E4010)</f>
        <v>7</v>
      </c>
      <c r="K4010" s="6" t="n">
        <f aca="false">IF(COUNTIF($A$2:$A4010,A4010)=1,1,0)</f>
        <v>0</v>
      </c>
    </row>
    <row r="4011" customFormat="false" ht="15" hidden="false" customHeight="false" outlineLevel="0" collapsed="false">
      <c r="A4011" s="0" t="s">
        <v>846</v>
      </c>
      <c r="B4011" s="0" t="s">
        <v>61</v>
      </c>
      <c r="C4011" s="0" t="s">
        <v>62</v>
      </c>
      <c r="D4011" s="0" t="n">
        <v>22</v>
      </c>
      <c r="E4011" s="5" t="n">
        <v>45992.3049652778</v>
      </c>
      <c r="F4011" s="0" t="n">
        <v>1.65</v>
      </c>
      <c r="G4011" s="0" t="n">
        <v>17127</v>
      </c>
      <c r="H4011" s="6" t="s">
        <v>188</v>
      </c>
      <c r="I4011" s="6" t="n">
        <f aca="false">D4011*F4011</f>
        <v>36.3</v>
      </c>
      <c r="J4011" s="6" t="n">
        <f aca="false">HOUR(E4011)</f>
        <v>7</v>
      </c>
      <c r="K4011" s="6" t="n">
        <f aca="false">IF(COUNTIF($A$2:$A4011,A4011)=1,1,0)</f>
        <v>0</v>
      </c>
    </row>
    <row r="4012" customFormat="false" ht="15" hidden="false" customHeight="false" outlineLevel="0" collapsed="false">
      <c r="A4012" s="0" t="s">
        <v>846</v>
      </c>
      <c r="B4012" s="0" t="s">
        <v>86</v>
      </c>
      <c r="C4012" s="0" t="s">
        <v>87</v>
      </c>
      <c r="D4012" s="0" t="n">
        <v>14</v>
      </c>
      <c r="E4012" s="5" t="n">
        <v>45992.3049652778</v>
      </c>
      <c r="F4012" s="0" t="n">
        <v>4.25</v>
      </c>
      <c r="G4012" s="0" t="n">
        <v>17127</v>
      </c>
      <c r="H4012" s="6" t="s">
        <v>188</v>
      </c>
      <c r="I4012" s="6" t="n">
        <f aca="false">D4012*F4012</f>
        <v>59.5</v>
      </c>
      <c r="J4012" s="6" t="n">
        <f aca="false">HOUR(E4012)</f>
        <v>7</v>
      </c>
      <c r="K4012" s="6" t="n">
        <f aca="false">IF(COUNTIF($A$2:$A4012,A4012)=1,1,0)</f>
        <v>0</v>
      </c>
    </row>
    <row r="4013" customFormat="false" ht="15" hidden="false" customHeight="false" outlineLevel="0" collapsed="false">
      <c r="A4013" s="0" t="s">
        <v>846</v>
      </c>
      <c r="B4013" s="0" t="s">
        <v>88</v>
      </c>
      <c r="C4013" s="0" t="s">
        <v>89</v>
      </c>
      <c r="D4013" s="0" t="n">
        <v>6</v>
      </c>
      <c r="E4013" s="5" t="n">
        <v>45992.3049652778</v>
      </c>
      <c r="F4013" s="0" t="n">
        <v>2.75</v>
      </c>
      <c r="G4013" s="0" t="n">
        <v>17127</v>
      </c>
      <c r="H4013" s="6" t="s">
        <v>188</v>
      </c>
      <c r="I4013" s="6" t="n">
        <f aca="false">D4013*F4013</f>
        <v>16.5</v>
      </c>
      <c r="J4013" s="6" t="n">
        <f aca="false">HOUR(E4013)</f>
        <v>7</v>
      </c>
      <c r="K4013" s="6" t="n">
        <f aca="false">IF(COUNTIF($A$2:$A4013,A4013)=1,1,0)</f>
        <v>0</v>
      </c>
    </row>
    <row r="4014" customFormat="false" ht="15" hidden="false" customHeight="false" outlineLevel="0" collapsed="false">
      <c r="A4014" s="0" t="s">
        <v>847</v>
      </c>
      <c r="B4014" s="0" t="s">
        <v>104</v>
      </c>
      <c r="C4014" s="0" t="s">
        <v>105</v>
      </c>
      <c r="D4014" s="0" t="n">
        <v>1</v>
      </c>
      <c r="E4014" s="5" t="n">
        <v>45992.3659606482</v>
      </c>
      <c r="F4014" s="0" t="n">
        <v>1.65</v>
      </c>
      <c r="G4014" s="0" t="n">
        <v>17138</v>
      </c>
      <c r="H4014" s="6" t="s">
        <v>68</v>
      </c>
      <c r="I4014" s="6" t="n">
        <f aca="false">D4014*F4014</f>
        <v>1.65</v>
      </c>
      <c r="J4014" s="6" t="n">
        <f aca="false">HOUR(E4014)</f>
        <v>8</v>
      </c>
      <c r="K4014" s="6" t="n">
        <f aca="false">IF(COUNTIF($A$2:$A4014,A4014)=1,1,0)</f>
        <v>1</v>
      </c>
    </row>
    <row r="4015" customFormat="false" ht="15" hidden="false" customHeight="false" outlineLevel="0" collapsed="false">
      <c r="A4015" s="0" t="s">
        <v>847</v>
      </c>
      <c r="B4015" s="0" t="s">
        <v>121</v>
      </c>
      <c r="C4015" s="0" t="s">
        <v>122</v>
      </c>
      <c r="D4015" s="0" t="n">
        <v>19</v>
      </c>
      <c r="E4015" s="5" t="n">
        <v>45992.3659606482</v>
      </c>
      <c r="F4015" s="0" t="n">
        <v>2.1</v>
      </c>
      <c r="G4015" s="0" t="n">
        <v>17138</v>
      </c>
      <c r="H4015" s="6" t="s">
        <v>68</v>
      </c>
      <c r="I4015" s="6" t="n">
        <f aca="false">D4015*F4015</f>
        <v>39.9</v>
      </c>
      <c r="J4015" s="6" t="n">
        <f aca="false">HOUR(E4015)</f>
        <v>8</v>
      </c>
      <c r="K4015" s="6" t="n">
        <f aca="false">IF(COUNTIF($A$2:$A4015,A4015)=1,1,0)</f>
        <v>0</v>
      </c>
    </row>
    <row r="4016" customFormat="false" ht="15" hidden="false" customHeight="false" outlineLevel="0" collapsed="false">
      <c r="A4016" s="0" t="s">
        <v>848</v>
      </c>
      <c r="B4016" s="0" t="s">
        <v>137</v>
      </c>
      <c r="D4016" s="0" t="n">
        <v>18</v>
      </c>
      <c r="E4016" s="5" t="n">
        <v>45992.4039814815</v>
      </c>
      <c r="F4016" s="0" t="n">
        <v>2.1</v>
      </c>
      <c r="G4016" s="0" t="n">
        <v>17166</v>
      </c>
      <c r="H4016" s="6" t="s">
        <v>68</v>
      </c>
      <c r="I4016" s="6" t="n">
        <f aca="false">D4016*F4016</f>
        <v>37.8</v>
      </c>
      <c r="J4016" s="6" t="n">
        <f aca="false">HOUR(E4016)</f>
        <v>9</v>
      </c>
      <c r="K4016" s="6" t="n">
        <f aca="false">IF(COUNTIF($A$2:$A4016,A4016)=1,1,0)</f>
        <v>1</v>
      </c>
    </row>
    <row r="4017" customFormat="false" ht="15" hidden="false" customHeight="false" outlineLevel="0" collapsed="false">
      <c r="A4017" s="0" t="s">
        <v>848</v>
      </c>
      <c r="B4017" s="0" t="s">
        <v>77</v>
      </c>
      <c r="C4017" s="0" t="s">
        <v>78</v>
      </c>
      <c r="D4017" s="0" t="n">
        <v>23</v>
      </c>
      <c r="E4017" s="5" t="n">
        <v>45992.4039814815</v>
      </c>
      <c r="F4017" s="0" t="n">
        <v>1.65</v>
      </c>
      <c r="G4017" s="0" t="n">
        <v>17166</v>
      </c>
      <c r="H4017" s="6" t="s">
        <v>68</v>
      </c>
      <c r="I4017" s="6" t="n">
        <f aca="false">D4017*F4017</f>
        <v>37.95</v>
      </c>
      <c r="J4017" s="6" t="n">
        <f aca="false">HOUR(E4017)</f>
        <v>9</v>
      </c>
      <c r="K4017" s="6" t="n">
        <f aca="false">IF(COUNTIF($A$2:$A4017,A4017)=1,1,0)</f>
        <v>0</v>
      </c>
    </row>
    <row r="4018" customFormat="false" ht="15" hidden="false" customHeight="false" outlineLevel="0" collapsed="false">
      <c r="A4018" s="0" t="s">
        <v>849</v>
      </c>
      <c r="B4018" s="0" t="s">
        <v>93</v>
      </c>
      <c r="C4018" s="0" t="s">
        <v>94</v>
      </c>
      <c r="D4018" s="0" t="n">
        <v>19</v>
      </c>
      <c r="E4018" s="5" t="n">
        <v>45992.4221296296</v>
      </c>
      <c r="F4018" s="0" t="n">
        <v>1.69</v>
      </c>
      <c r="H4018" s="6" t="s">
        <v>113</v>
      </c>
      <c r="I4018" s="6" t="n">
        <f aca="false">D4018*F4018</f>
        <v>32.11</v>
      </c>
      <c r="J4018" s="6" t="n">
        <f aca="false">HOUR(E4018)</f>
        <v>10</v>
      </c>
      <c r="K4018" s="6" t="n">
        <f aca="false">IF(COUNTIF($A$2:$A4018,A4018)=1,1,0)</f>
        <v>1</v>
      </c>
    </row>
    <row r="4019" customFormat="false" ht="15" hidden="false" customHeight="false" outlineLevel="0" collapsed="false">
      <c r="A4019" s="0" t="s">
        <v>850</v>
      </c>
      <c r="B4019" s="0" t="s">
        <v>86</v>
      </c>
      <c r="C4019" s="0" t="s">
        <v>87</v>
      </c>
      <c r="D4019" s="0" t="n">
        <v>2</v>
      </c>
      <c r="E4019" s="5" t="n">
        <v>45992.4258333333</v>
      </c>
      <c r="F4019" s="0" t="n">
        <v>4.25</v>
      </c>
      <c r="G4019" s="0" t="n">
        <v>17139</v>
      </c>
      <c r="H4019" s="6" t="s">
        <v>74</v>
      </c>
      <c r="I4019" s="6" t="n">
        <f aca="false">D4019*F4019</f>
        <v>8.5</v>
      </c>
      <c r="J4019" s="6" t="n">
        <f aca="false">HOUR(E4019)</f>
        <v>10</v>
      </c>
      <c r="K4019" s="6" t="n">
        <f aca="false">IF(COUNTIF($A$2:$A4019,A4019)=1,1,0)</f>
        <v>1</v>
      </c>
    </row>
    <row r="4020" customFormat="false" ht="15" hidden="false" customHeight="false" outlineLevel="0" collapsed="false">
      <c r="A4020" s="0" t="s">
        <v>850</v>
      </c>
      <c r="B4020" s="0" t="s">
        <v>116</v>
      </c>
      <c r="C4020" s="0" t="s">
        <v>117</v>
      </c>
      <c r="D4020" s="0" t="n">
        <v>17</v>
      </c>
      <c r="E4020" s="5" t="n">
        <v>45992.4258333333</v>
      </c>
      <c r="F4020" s="0" t="n">
        <v>1.95</v>
      </c>
      <c r="G4020" s="0" t="n">
        <v>17139</v>
      </c>
      <c r="H4020" s="6" t="s">
        <v>74</v>
      </c>
      <c r="I4020" s="6" t="n">
        <f aca="false">D4020*F4020</f>
        <v>33.15</v>
      </c>
      <c r="J4020" s="6" t="n">
        <f aca="false">HOUR(E4020)</f>
        <v>10</v>
      </c>
      <c r="K4020" s="6" t="n">
        <f aca="false">IF(COUNTIF($A$2:$A4020,A4020)=1,1,0)</f>
        <v>0</v>
      </c>
    </row>
    <row r="4021" customFormat="false" ht="15" hidden="false" customHeight="false" outlineLevel="0" collapsed="false">
      <c r="A4021" s="0" t="s">
        <v>850</v>
      </c>
      <c r="B4021" s="0" t="s">
        <v>102</v>
      </c>
      <c r="C4021" s="0" t="s">
        <v>103</v>
      </c>
      <c r="D4021" s="0" t="n">
        <v>9</v>
      </c>
      <c r="E4021" s="5" t="n">
        <v>45992.4258333333</v>
      </c>
      <c r="F4021" s="0" t="n">
        <v>8.5</v>
      </c>
      <c r="G4021" s="0" t="n">
        <v>17139</v>
      </c>
      <c r="H4021" s="6" t="s">
        <v>74</v>
      </c>
      <c r="I4021" s="6" t="n">
        <f aca="false">D4021*F4021</f>
        <v>76.5</v>
      </c>
      <c r="J4021" s="6" t="n">
        <f aca="false">HOUR(E4021)</f>
        <v>10</v>
      </c>
      <c r="K4021" s="6" t="n">
        <f aca="false">IF(COUNTIF($A$2:$A4021,A4021)=1,1,0)</f>
        <v>0</v>
      </c>
    </row>
    <row r="4022" customFormat="false" ht="15" hidden="false" customHeight="false" outlineLevel="0" collapsed="false">
      <c r="A4022" s="0" t="s">
        <v>851</v>
      </c>
      <c r="B4022" s="0" t="s">
        <v>69</v>
      </c>
      <c r="C4022" s="0" t="s">
        <v>70</v>
      </c>
      <c r="D4022" s="0" t="n">
        <v>20</v>
      </c>
      <c r="E4022" s="5" t="n">
        <v>45992.4642592593</v>
      </c>
      <c r="F4022" s="0" t="n">
        <v>2.08</v>
      </c>
      <c r="G4022" s="0" t="n">
        <v>17191</v>
      </c>
      <c r="H4022" s="6" t="s">
        <v>113</v>
      </c>
      <c r="I4022" s="6" t="n">
        <f aca="false">D4022*F4022</f>
        <v>41.6</v>
      </c>
      <c r="J4022" s="6" t="n">
        <f aca="false">HOUR(E4022)</f>
        <v>11</v>
      </c>
      <c r="K4022" s="6" t="n">
        <f aca="false">IF(COUNTIF($A$2:$A4022,A4022)=1,1,0)</f>
        <v>1</v>
      </c>
    </row>
    <row r="4023" customFormat="false" ht="15" hidden="false" customHeight="false" outlineLevel="0" collapsed="false">
      <c r="A4023" s="0" t="s">
        <v>851</v>
      </c>
      <c r="B4023" s="0" t="s">
        <v>83</v>
      </c>
      <c r="C4023" s="0" t="s">
        <v>84</v>
      </c>
      <c r="D4023" s="0" t="n">
        <v>14</v>
      </c>
      <c r="E4023" s="5" t="n">
        <v>45992.4642592593</v>
      </c>
      <c r="F4023" s="0" t="n">
        <v>2.95</v>
      </c>
      <c r="G4023" s="0" t="n">
        <v>17191</v>
      </c>
      <c r="H4023" s="6" t="s">
        <v>113</v>
      </c>
      <c r="I4023" s="6" t="n">
        <f aca="false">D4023*F4023</f>
        <v>41.3</v>
      </c>
      <c r="J4023" s="6" t="n">
        <f aca="false">HOUR(E4023)</f>
        <v>11</v>
      </c>
      <c r="K4023" s="6" t="n">
        <f aca="false">IF(COUNTIF($A$2:$A4023,A4023)=1,1,0)</f>
        <v>0</v>
      </c>
    </row>
    <row r="4024" customFormat="false" ht="15" hidden="false" customHeight="false" outlineLevel="0" collapsed="false">
      <c r="A4024" s="0" t="s">
        <v>851</v>
      </c>
      <c r="B4024" s="0" t="s">
        <v>109</v>
      </c>
      <c r="C4024" s="0" t="s">
        <v>110</v>
      </c>
      <c r="D4024" s="0" t="n">
        <v>1</v>
      </c>
      <c r="E4024" s="5" t="n">
        <v>45992.4642592593</v>
      </c>
      <c r="F4024" s="0" t="n">
        <v>0.85</v>
      </c>
      <c r="G4024" s="0" t="n">
        <v>17191</v>
      </c>
      <c r="H4024" s="6" t="s">
        <v>113</v>
      </c>
      <c r="I4024" s="6" t="n">
        <f aca="false">D4024*F4024</f>
        <v>0.85</v>
      </c>
      <c r="J4024" s="6" t="n">
        <f aca="false">HOUR(E4024)</f>
        <v>11</v>
      </c>
      <c r="K4024" s="6" t="n">
        <f aca="false">IF(COUNTIF($A$2:$A4024,A4024)=1,1,0)</f>
        <v>0</v>
      </c>
    </row>
    <row r="4025" customFormat="false" ht="15" hidden="false" customHeight="false" outlineLevel="0" collapsed="false">
      <c r="A4025" s="0" t="s">
        <v>852</v>
      </c>
      <c r="B4025" s="0" t="s">
        <v>75</v>
      </c>
      <c r="C4025" s="0" t="s">
        <v>76</v>
      </c>
      <c r="D4025" s="0" t="n">
        <v>19</v>
      </c>
      <c r="E4025" s="5" t="n">
        <v>45992.6911111111</v>
      </c>
      <c r="F4025" s="0" t="n">
        <v>3.39</v>
      </c>
      <c r="G4025" s="0" t="n">
        <v>17126</v>
      </c>
      <c r="H4025" s="6" t="s">
        <v>98</v>
      </c>
      <c r="I4025" s="6" t="n">
        <f aca="false">D4025*F4025</f>
        <v>64.41</v>
      </c>
      <c r="J4025" s="6" t="n">
        <f aca="false">HOUR(E4025)</f>
        <v>16</v>
      </c>
      <c r="K4025" s="6" t="n">
        <f aca="false">IF(COUNTIF($A$2:$A4025,A4025)=1,1,0)</f>
        <v>1</v>
      </c>
    </row>
    <row r="4026" customFormat="false" ht="15" hidden="false" customHeight="false" outlineLevel="0" collapsed="false">
      <c r="A4026" s="0" t="s">
        <v>852</v>
      </c>
      <c r="B4026" s="0" t="s">
        <v>65</v>
      </c>
      <c r="C4026" s="0" t="s">
        <v>66</v>
      </c>
      <c r="D4026" s="0" t="n">
        <v>22</v>
      </c>
      <c r="E4026" s="5" t="n">
        <v>45992.6911111111</v>
      </c>
      <c r="F4026" s="0" t="n">
        <v>1.65</v>
      </c>
      <c r="G4026" s="0" t="n">
        <v>17126</v>
      </c>
      <c r="H4026" s="6" t="s">
        <v>98</v>
      </c>
      <c r="I4026" s="6" t="n">
        <f aca="false">D4026*F4026</f>
        <v>36.3</v>
      </c>
      <c r="J4026" s="6" t="n">
        <f aca="false">HOUR(E4026)</f>
        <v>16</v>
      </c>
      <c r="K4026" s="6" t="n">
        <f aca="false">IF(COUNTIF($A$2:$A4026,A4026)=1,1,0)</f>
        <v>0</v>
      </c>
    </row>
    <row r="4027" customFormat="false" ht="15" hidden="false" customHeight="false" outlineLevel="0" collapsed="false">
      <c r="A4027" s="0" t="s">
        <v>852</v>
      </c>
      <c r="B4027" s="0" t="s">
        <v>127</v>
      </c>
      <c r="C4027" s="0" t="s">
        <v>128</v>
      </c>
      <c r="D4027" s="0" t="n">
        <v>12</v>
      </c>
      <c r="E4027" s="5" t="n">
        <v>45992.6911111111</v>
      </c>
      <c r="F4027" s="0" t="n">
        <v>1.45</v>
      </c>
      <c r="G4027" s="0" t="n">
        <v>17126</v>
      </c>
      <c r="H4027" s="6" t="s">
        <v>98</v>
      </c>
      <c r="I4027" s="6" t="n">
        <f aca="false">D4027*F4027</f>
        <v>17.4</v>
      </c>
      <c r="J4027" s="6" t="n">
        <f aca="false">HOUR(E4027)</f>
        <v>16</v>
      </c>
      <c r="K4027" s="6" t="n">
        <f aca="false">IF(COUNTIF($A$2:$A4027,A4027)=1,1,0)</f>
        <v>0</v>
      </c>
    </row>
    <row r="4028" customFormat="false" ht="15" hidden="false" customHeight="false" outlineLevel="0" collapsed="false">
      <c r="A4028" s="0" t="s">
        <v>852</v>
      </c>
      <c r="B4028" s="0" t="s">
        <v>140</v>
      </c>
      <c r="C4028" s="0" t="s">
        <v>141</v>
      </c>
      <c r="D4028" s="0" t="n">
        <v>11</v>
      </c>
      <c r="E4028" s="5" t="n">
        <v>45992.6911111111</v>
      </c>
      <c r="F4028" s="0" t="n">
        <v>2.08</v>
      </c>
      <c r="G4028" s="0" t="n">
        <v>17126</v>
      </c>
      <c r="H4028" s="6" t="s">
        <v>98</v>
      </c>
      <c r="I4028" s="6" t="n">
        <f aca="false">D4028*F4028</f>
        <v>22.88</v>
      </c>
      <c r="J4028" s="6" t="n">
        <f aca="false">HOUR(E4028)</f>
        <v>16</v>
      </c>
      <c r="K4028" s="6" t="n">
        <f aca="false">IF(COUNTIF($A$2:$A4028,A4028)=1,1,0)</f>
        <v>0</v>
      </c>
    </row>
    <row r="4029" customFormat="false" ht="15" hidden="false" customHeight="false" outlineLevel="0" collapsed="false">
      <c r="A4029" s="0" t="s">
        <v>853</v>
      </c>
      <c r="B4029" s="0" t="s">
        <v>69</v>
      </c>
      <c r="C4029" s="0" t="s">
        <v>70</v>
      </c>
      <c r="D4029" s="0" t="n">
        <v>20</v>
      </c>
      <c r="E4029" s="5" t="n">
        <v>45992.7938078704</v>
      </c>
      <c r="F4029" s="0" t="n">
        <v>2.08</v>
      </c>
      <c r="G4029" s="0" t="n">
        <v>17127</v>
      </c>
      <c r="H4029" s="6" t="s">
        <v>74</v>
      </c>
      <c r="I4029" s="6" t="n">
        <f aca="false">D4029*F4029</f>
        <v>41.6</v>
      </c>
      <c r="J4029" s="6" t="n">
        <f aca="false">HOUR(E4029)</f>
        <v>19</v>
      </c>
      <c r="K4029" s="6" t="n">
        <f aca="false">IF(COUNTIF($A$2:$A4029,A4029)=1,1,0)</f>
        <v>1</v>
      </c>
    </row>
    <row r="4030" customFormat="false" ht="15" hidden="false" customHeight="false" outlineLevel="0" collapsed="false">
      <c r="A4030" s="0" t="s">
        <v>853</v>
      </c>
      <c r="B4030" s="0" t="s">
        <v>47</v>
      </c>
      <c r="C4030" s="0" t="s">
        <v>48</v>
      </c>
      <c r="D4030" s="0" t="n">
        <v>9</v>
      </c>
      <c r="E4030" s="5" t="n">
        <v>45992.7938078704</v>
      </c>
      <c r="F4030" s="0" t="n">
        <v>12.75</v>
      </c>
      <c r="G4030" s="0" t="n">
        <v>17127</v>
      </c>
      <c r="H4030" s="6" t="s">
        <v>74</v>
      </c>
      <c r="I4030" s="6" t="n">
        <f aca="false">D4030*F4030</f>
        <v>114.75</v>
      </c>
      <c r="J4030" s="6" t="n">
        <f aca="false">HOUR(E4030)</f>
        <v>19</v>
      </c>
      <c r="K4030" s="6" t="n">
        <f aca="false">IF(COUNTIF($A$2:$A4030,A4030)=1,1,0)</f>
        <v>0</v>
      </c>
    </row>
    <row r="4031" customFormat="false" ht="15" hidden="false" customHeight="false" outlineLevel="0" collapsed="false">
      <c r="A4031" s="0" t="s">
        <v>853</v>
      </c>
      <c r="B4031" s="0" t="s">
        <v>83</v>
      </c>
      <c r="C4031" s="0" t="s">
        <v>84</v>
      </c>
      <c r="D4031" s="0" t="n">
        <v>16</v>
      </c>
      <c r="E4031" s="5" t="n">
        <v>45992.7938078704</v>
      </c>
      <c r="F4031" s="0" t="n">
        <v>2.95</v>
      </c>
      <c r="G4031" s="0" t="n">
        <v>17127</v>
      </c>
      <c r="H4031" s="6" t="s">
        <v>74</v>
      </c>
      <c r="I4031" s="6" t="n">
        <f aca="false">D4031*F4031</f>
        <v>47.2</v>
      </c>
      <c r="J4031" s="6" t="n">
        <f aca="false">HOUR(E4031)</f>
        <v>19</v>
      </c>
      <c r="K4031" s="6" t="n">
        <f aca="false">IF(COUNTIF($A$2:$A4031,A4031)=1,1,0)</f>
        <v>0</v>
      </c>
    </row>
    <row r="4032" customFormat="false" ht="15" hidden="false" customHeight="false" outlineLevel="0" collapsed="false">
      <c r="A4032" s="0" t="s">
        <v>853</v>
      </c>
      <c r="B4032" s="0" t="s">
        <v>77</v>
      </c>
      <c r="C4032" s="0" t="s">
        <v>78</v>
      </c>
      <c r="D4032" s="0" t="n">
        <v>19</v>
      </c>
      <c r="E4032" s="5" t="n">
        <v>45992.7938078704</v>
      </c>
      <c r="F4032" s="0" t="n">
        <v>1.65</v>
      </c>
      <c r="G4032" s="0" t="n">
        <v>17127</v>
      </c>
      <c r="H4032" s="6" t="s">
        <v>74</v>
      </c>
      <c r="I4032" s="6" t="n">
        <f aca="false">D4032*F4032</f>
        <v>31.35</v>
      </c>
      <c r="J4032" s="6" t="n">
        <f aca="false">HOUR(E4032)</f>
        <v>19</v>
      </c>
      <c r="K4032" s="6" t="n">
        <f aca="false">IF(COUNTIF($A$2:$A4032,A4032)=1,1,0)</f>
        <v>0</v>
      </c>
    </row>
    <row r="4033" customFormat="false" ht="15" hidden="false" customHeight="false" outlineLevel="0" collapsed="false">
      <c r="A4033" s="0" t="s">
        <v>853</v>
      </c>
      <c r="B4033" s="0" t="s">
        <v>79</v>
      </c>
      <c r="C4033" s="0" t="s">
        <v>80</v>
      </c>
      <c r="D4033" s="0" t="n">
        <v>6</v>
      </c>
      <c r="E4033" s="5" t="n">
        <v>45992.7938078704</v>
      </c>
      <c r="F4033" s="0" t="n">
        <v>3.39</v>
      </c>
      <c r="G4033" s="0" t="n">
        <v>17127</v>
      </c>
      <c r="H4033" s="6" t="s">
        <v>74</v>
      </c>
      <c r="I4033" s="6" t="n">
        <f aca="false">D4033*F4033</f>
        <v>20.34</v>
      </c>
      <c r="J4033" s="6" t="n">
        <f aca="false">HOUR(E4033)</f>
        <v>19</v>
      </c>
      <c r="K4033" s="6" t="n">
        <f aca="false">IF(COUNTIF($A$2:$A4033,A4033)=1,1,0)</f>
        <v>0</v>
      </c>
    </row>
    <row r="4034" customFormat="false" ht="15" hidden="false" customHeight="false" outlineLevel="0" collapsed="false">
      <c r="A4034" s="0" t="s">
        <v>853</v>
      </c>
      <c r="B4034" s="0" t="s">
        <v>102</v>
      </c>
      <c r="C4034" s="0" t="s">
        <v>103</v>
      </c>
      <c r="D4034" s="0" t="n">
        <v>21</v>
      </c>
      <c r="E4034" s="5" t="n">
        <v>45992.7938078704</v>
      </c>
      <c r="F4034" s="0" t="n">
        <v>8.5</v>
      </c>
      <c r="G4034" s="0" t="n">
        <v>17127</v>
      </c>
      <c r="H4034" s="6" t="s">
        <v>74</v>
      </c>
      <c r="I4034" s="6" t="n">
        <f aca="false">D4034*F4034</f>
        <v>178.5</v>
      </c>
      <c r="J4034" s="6" t="n">
        <f aca="false">HOUR(E4034)</f>
        <v>19</v>
      </c>
      <c r="K4034" s="6" t="n">
        <f aca="false">IF(COUNTIF($A$2:$A4034,A4034)=1,1,0)</f>
        <v>0</v>
      </c>
    </row>
    <row r="4035" customFormat="false" ht="15" hidden="false" customHeight="false" outlineLevel="0" collapsed="false">
      <c r="A4035" s="0" t="s">
        <v>853</v>
      </c>
      <c r="B4035" s="0" t="s">
        <v>109</v>
      </c>
      <c r="C4035" s="0" t="s">
        <v>110</v>
      </c>
      <c r="D4035" s="0" t="n">
        <v>6</v>
      </c>
      <c r="E4035" s="5" t="n">
        <v>45992.7938078704</v>
      </c>
      <c r="F4035" s="0" t="n">
        <v>0.85</v>
      </c>
      <c r="G4035" s="0" t="n">
        <v>17127</v>
      </c>
      <c r="H4035" s="6" t="s">
        <v>74</v>
      </c>
      <c r="I4035" s="6" t="n">
        <f aca="false">D4035*F4035</f>
        <v>5.1</v>
      </c>
      <c r="J4035" s="6" t="n">
        <f aca="false">HOUR(E4035)</f>
        <v>19</v>
      </c>
      <c r="K4035" s="6" t="n">
        <f aca="false">IF(COUNTIF($A$2:$A4035,A4035)=1,1,0)</f>
        <v>0</v>
      </c>
    </row>
    <row r="4036" customFormat="false" ht="15" hidden="false" customHeight="false" outlineLevel="0" collapsed="false">
      <c r="A4036" s="0" t="s">
        <v>853</v>
      </c>
      <c r="B4036" s="0" t="s">
        <v>140</v>
      </c>
      <c r="C4036" s="0" t="s">
        <v>141</v>
      </c>
      <c r="D4036" s="0" t="n">
        <v>8</v>
      </c>
      <c r="E4036" s="5" t="n">
        <v>45992.7938078704</v>
      </c>
      <c r="F4036" s="0" t="n">
        <v>2.08</v>
      </c>
      <c r="G4036" s="0" t="n">
        <v>17127</v>
      </c>
      <c r="H4036" s="6" t="s">
        <v>74</v>
      </c>
      <c r="I4036" s="6" t="n">
        <f aca="false">D4036*F4036</f>
        <v>16.64</v>
      </c>
      <c r="J4036" s="6" t="n">
        <f aca="false">HOUR(E4036)</f>
        <v>19</v>
      </c>
      <c r="K4036" s="6" t="n">
        <f aca="false">IF(COUNTIF($A$2:$A4036,A4036)=1,1,0)</f>
        <v>0</v>
      </c>
    </row>
    <row r="4037" customFormat="false" ht="15" hidden="false" customHeight="false" outlineLevel="0" collapsed="false">
      <c r="A4037" s="0" t="s">
        <v>853</v>
      </c>
      <c r="B4037" s="0" t="s">
        <v>40</v>
      </c>
      <c r="C4037" s="0" t="s">
        <v>41</v>
      </c>
      <c r="D4037" s="0" t="n">
        <v>24</v>
      </c>
      <c r="E4037" s="5" t="n">
        <v>45992.7938078704</v>
      </c>
      <c r="F4037" s="0" t="n">
        <v>1.06</v>
      </c>
      <c r="G4037" s="0" t="n">
        <v>17127</v>
      </c>
      <c r="H4037" s="6" t="s">
        <v>74</v>
      </c>
      <c r="I4037" s="6" t="n">
        <f aca="false">D4037*F4037</f>
        <v>25.44</v>
      </c>
      <c r="J4037" s="6" t="n">
        <f aca="false">HOUR(E4037)</f>
        <v>19</v>
      </c>
      <c r="K4037" s="6" t="n">
        <f aca="false">IF(COUNTIF($A$2:$A4037,A4037)=1,1,0)</f>
        <v>0</v>
      </c>
    </row>
    <row r="4038" customFormat="false" ht="15" hidden="false" customHeight="false" outlineLevel="0" collapsed="false">
      <c r="A4038" s="0" t="s">
        <v>854</v>
      </c>
      <c r="B4038" s="0" t="s">
        <v>145</v>
      </c>
      <c r="C4038" s="0" t="s">
        <v>146</v>
      </c>
      <c r="D4038" s="0" t="n">
        <v>22</v>
      </c>
      <c r="E4038" s="5" t="n">
        <v>45992.812037037</v>
      </c>
      <c r="F4038" s="0" t="n">
        <v>1.85</v>
      </c>
      <c r="G4038" s="0" t="n">
        <v>17136</v>
      </c>
      <c r="H4038" s="6" t="s">
        <v>74</v>
      </c>
      <c r="I4038" s="6" t="n">
        <f aca="false">D4038*F4038</f>
        <v>40.7</v>
      </c>
      <c r="J4038" s="6" t="n">
        <f aca="false">HOUR(E4038)</f>
        <v>19</v>
      </c>
      <c r="K4038" s="6" t="n">
        <f aca="false">IF(COUNTIF($A$2:$A4038,A4038)=1,1,0)</f>
        <v>1</v>
      </c>
    </row>
    <row r="4039" customFormat="false" ht="15" hidden="false" customHeight="false" outlineLevel="0" collapsed="false">
      <c r="A4039" s="0" t="s">
        <v>854</v>
      </c>
      <c r="B4039" s="0" t="s">
        <v>91</v>
      </c>
      <c r="C4039" s="0" t="s">
        <v>92</v>
      </c>
      <c r="D4039" s="0" t="n">
        <v>7</v>
      </c>
      <c r="E4039" s="5" t="n">
        <v>45992.812037037</v>
      </c>
      <c r="F4039" s="0" t="n">
        <v>7.65</v>
      </c>
      <c r="G4039" s="0" t="n">
        <v>17136</v>
      </c>
      <c r="H4039" s="6" t="s">
        <v>74</v>
      </c>
      <c r="I4039" s="6" t="n">
        <f aca="false">D4039*F4039</f>
        <v>53.55</v>
      </c>
      <c r="J4039" s="6" t="n">
        <f aca="false">HOUR(E4039)</f>
        <v>19</v>
      </c>
      <c r="K4039" s="6" t="n">
        <f aca="false">IF(COUNTIF($A$2:$A4039,A4039)=1,1,0)</f>
        <v>0</v>
      </c>
    </row>
    <row r="4040" customFormat="false" ht="15" hidden="false" customHeight="false" outlineLevel="0" collapsed="false">
      <c r="A4040" s="0" t="s">
        <v>854</v>
      </c>
      <c r="B4040" s="0" t="s">
        <v>69</v>
      </c>
      <c r="C4040" s="0" t="s">
        <v>70</v>
      </c>
      <c r="D4040" s="0" t="n">
        <v>48</v>
      </c>
      <c r="E4040" s="5" t="n">
        <v>45992.812037037</v>
      </c>
      <c r="F4040" s="0" t="n">
        <v>2.08</v>
      </c>
      <c r="G4040" s="0" t="n">
        <v>17136</v>
      </c>
      <c r="H4040" s="6" t="s">
        <v>74</v>
      </c>
      <c r="I4040" s="6" t="n">
        <f aca="false">D4040*F4040</f>
        <v>99.84</v>
      </c>
      <c r="J4040" s="6" t="n">
        <f aca="false">HOUR(E4040)</f>
        <v>19</v>
      </c>
      <c r="K4040" s="6" t="n">
        <f aca="false">IF(COUNTIF($A$2:$A4040,A4040)=1,1,0)</f>
        <v>0</v>
      </c>
    </row>
    <row r="4041" customFormat="false" ht="15" hidden="false" customHeight="false" outlineLevel="0" collapsed="false">
      <c r="A4041" s="0" t="s">
        <v>854</v>
      </c>
      <c r="B4041" s="0" t="s">
        <v>93</v>
      </c>
      <c r="C4041" s="0" t="s">
        <v>94</v>
      </c>
      <c r="D4041" s="0" t="n">
        <v>24</v>
      </c>
      <c r="E4041" s="5" t="n">
        <v>45992.812037037</v>
      </c>
      <c r="F4041" s="0" t="n">
        <v>1.69</v>
      </c>
      <c r="G4041" s="0" t="n">
        <v>17136</v>
      </c>
      <c r="H4041" s="6" t="s">
        <v>74</v>
      </c>
      <c r="I4041" s="6" t="n">
        <f aca="false">D4041*F4041</f>
        <v>40.56</v>
      </c>
      <c r="J4041" s="6" t="n">
        <f aca="false">HOUR(E4041)</f>
        <v>19</v>
      </c>
      <c r="K4041" s="6" t="n">
        <f aca="false">IF(COUNTIF($A$2:$A4041,A4041)=1,1,0)</f>
        <v>0</v>
      </c>
    </row>
    <row r="4042" customFormat="false" ht="15" hidden="false" customHeight="false" outlineLevel="0" collapsed="false">
      <c r="A4042" s="0" t="s">
        <v>854</v>
      </c>
      <c r="B4042" s="0" t="s">
        <v>125</v>
      </c>
      <c r="C4042" s="0" t="s">
        <v>126</v>
      </c>
      <c r="D4042" s="0" t="n">
        <v>2</v>
      </c>
      <c r="E4042" s="5" t="n">
        <v>45992.812037037</v>
      </c>
      <c r="F4042" s="0" t="n">
        <v>1.25</v>
      </c>
      <c r="G4042" s="0" t="n">
        <v>17136</v>
      </c>
      <c r="H4042" s="6" t="s">
        <v>74</v>
      </c>
      <c r="I4042" s="6" t="n">
        <f aca="false">D4042*F4042</f>
        <v>2.5</v>
      </c>
      <c r="J4042" s="6" t="n">
        <f aca="false">HOUR(E4042)</f>
        <v>19</v>
      </c>
      <c r="K4042" s="6" t="n">
        <f aca="false">IF(COUNTIF($A$2:$A4042,A4042)=1,1,0)</f>
        <v>0</v>
      </c>
    </row>
    <row r="4043" customFormat="false" ht="15" hidden="false" customHeight="false" outlineLevel="0" collapsed="false">
      <c r="A4043" s="0" t="s">
        <v>854</v>
      </c>
      <c r="B4043" s="0" t="s">
        <v>88</v>
      </c>
      <c r="C4043" s="0" t="s">
        <v>89</v>
      </c>
      <c r="D4043" s="0" t="n">
        <v>6</v>
      </c>
      <c r="E4043" s="5" t="n">
        <v>45992.812037037</v>
      </c>
      <c r="F4043" s="0" t="n">
        <v>2.75</v>
      </c>
      <c r="G4043" s="0" t="n">
        <v>17136</v>
      </c>
      <c r="H4043" s="6" t="s">
        <v>74</v>
      </c>
      <c r="I4043" s="6" t="n">
        <f aca="false">D4043*F4043</f>
        <v>16.5</v>
      </c>
      <c r="J4043" s="6" t="n">
        <f aca="false">HOUR(E4043)</f>
        <v>19</v>
      </c>
      <c r="K4043" s="6" t="n">
        <f aca="false">IF(COUNTIF($A$2:$A4043,A4043)=1,1,0)</f>
        <v>0</v>
      </c>
    </row>
    <row r="4044" customFormat="false" ht="15" hidden="false" customHeight="false" outlineLevel="0" collapsed="false">
      <c r="A4044" s="0" t="s">
        <v>854</v>
      </c>
      <c r="B4044" s="0" t="s">
        <v>140</v>
      </c>
      <c r="C4044" s="0" t="s">
        <v>141</v>
      </c>
      <c r="D4044" s="0" t="n">
        <v>4</v>
      </c>
      <c r="E4044" s="5" t="n">
        <v>45992.812037037</v>
      </c>
      <c r="F4044" s="0" t="n">
        <v>2.08</v>
      </c>
      <c r="G4044" s="0" t="n">
        <v>17136</v>
      </c>
      <c r="H4044" s="6" t="s">
        <v>74</v>
      </c>
      <c r="I4044" s="6" t="n">
        <f aca="false">D4044*F4044</f>
        <v>8.32</v>
      </c>
      <c r="J4044" s="6" t="n">
        <f aca="false">HOUR(E4044)</f>
        <v>19</v>
      </c>
      <c r="K4044" s="6" t="n">
        <f aca="false">IF(COUNTIF($A$2:$A4044,A4044)=1,1,0)</f>
        <v>0</v>
      </c>
    </row>
    <row r="4045" customFormat="false" ht="15" hidden="false" customHeight="false" outlineLevel="0" collapsed="false">
      <c r="A4045" s="0" t="s">
        <v>854</v>
      </c>
      <c r="B4045" s="0" t="s">
        <v>102</v>
      </c>
      <c r="C4045" s="0" t="s">
        <v>103</v>
      </c>
      <c r="D4045" s="0" t="n">
        <v>10</v>
      </c>
      <c r="E4045" s="5" t="n">
        <v>45992.812037037</v>
      </c>
      <c r="F4045" s="0" t="n">
        <v>8.5</v>
      </c>
      <c r="G4045" s="0" t="n">
        <v>17136</v>
      </c>
      <c r="H4045" s="6" t="s">
        <v>74</v>
      </c>
      <c r="I4045" s="6" t="n">
        <f aca="false">D4045*F4045</f>
        <v>85</v>
      </c>
      <c r="J4045" s="6" t="n">
        <f aca="false">HOUR(E4045)</f>
        <v>19</v>
      </c>
      <c r="K4045" s="6" t="n">
        <f aca="false">IF(COUNTIF($A$2:$A4045,A4045)=1,1,0)</f>
        <v>0</v>
      </c>
    </row>
    <row r="4046" customFormat="false" ht="15" hidden="false" customHeight="false" outlineLevel="0" collapsed="false">
      <c r="A4046" s="0" t="s">
        <v>855</v>
      </c>
      <c r="B4046" s="0" t="s">
        <v>114</v>
      </c>
      <c r="C4046" s="0" t="s">
        <v>115</v>
      </c>
      <c r="D4046" s="0" t="n">
        <v>5</v>
      </c>
      <c r="E4046" s="5" t="n">
        <v>45992.9858564815</v>
      </c>
      <c r="F4046" s="0" t="n">
        <v>2.08</v>
      </c>
      <c r="G4046" s="0" t="n">
        <v>17130</v>
      </c>
      <c r="H4046" s="6" t="s">
        <v>74</v>
      </c>
      <c r="I4046" s="6" t="n">
        <f aca="false">D4046*F4046</f>
        <v>10.4</v>
      </c>
      <c r="J4046" s="6" t="n">
        <f aca="false">HOUR(E4046)</f>
        <v>23</v>
      </c>
      <c r="K4046" s="6" t="n">
        <f aca="false">IF(COUNTIF($A$2:$A4046,A4046)=1,1,0)</f>
        <v>1</v>
      </c>
    </row>
    <row r="4047" customFormat="false" ht="15" hidden="false" customHeight="false" outlineLevel="0" collapsed="false">
      <c r="A4047" s="0" t="s">
        <v>855</v>
      </c>
      <c r="B4047" s="0" t="s">
        <v>107</v>
      </c>
      <c r="C4047" s="0" t="s">
        <v>108</v>
      </c>
      <c r="D4047" s="0" t="n">
        <v>1</v>
      </c>
      <c r="E4047" s="5" t="n">
        <v>45992.9858564815</v>
      </c>
      <c r="F4047" s="0" t="n">
        <v>3.75</v>
      </c>
      <c r="G4047" s="0" t="n">
        <v>17130</v>
      </c>
      <c r="H4047" s="6" t="s">
        <v>74</v>
      </c>
      <c r="I4047" s="6" t="n">
        <f aca="false">D4047*F4047</f>
        <v>3.75</v>
      </c>
      <c r="J4047" s="6" t="n">
        <f aca="false">HOUR(E4047)</f>
        <v>23</v>
      </c>
      <c r="K4047" s="6" t="n">
        <f aca="false">IF(COUNTIF($A$2:$A4047,A4047)=1,1,0)</f>
        <v>0</v>
      </c>
    </row>
    <row r="4048" customFormat="false" ht="15" hidden="false" customHeight="false" outlineLevel="0" collapsed="false">
      <c r="A4048" s="0" t="s">
        <v>856</v>
      </c>
      <c r="B4048" s="0" t="s">
        <v>83</v>
      </c>
      <c r="C4048" s="0" t="s">
        <v>84</v>
      </c>
      <c r="D4048" s="0" t="n">
        <v>24</v>
      </c>
      <c r="E4048" s="5" t="n">
        <v>45993.3847685185</v>
      </c>
      <c r="F4048" s="0" t="n">
        <v>2.95</v>
      </c>
      <c r="H4048" s="6" t="s">
        <v>74</v>
      </c>
      <c r="I4048" s="6" t="n">
        <f aca="false">D4048*F4048</f>
        <v>70.8</v>
      </c>
      <c r="J4048" s="6" t="n">
        <f aca="false">HOUR(E4048)</f>
        <v>9</v>
      </c>
      <c r="K4048" s="6" t="n">
        <f aca="false">IF(COUNTIF($A$2:$A4048,A4048)=1,1,0)</f>
        <v>1</v>
      </c>
    </row>
    <row r="4049" customFormat="false" ht="15" hidden="false" customHeight="false" outlineLevel="0" collapsed="false">
      <c r="A4049" s="0" t="s">
        <v>856</v>
      </c>
      <c r="B4049" s="0" t="s">
        <v>53</v>
      </c>
      <c r="C4049" s="0" t="s">
        <v>54</v>
      </c>
      <c r="D4049" s="0" t="n">
        <v>2</v>
      </c>
      <c r="E4049" s="5" t="n">
        <v>45993.3847685185</v>
      </c>
      <c r="F4049" s="0" t="n">
        <v>2.95</v>
      </c>
      <c r="H4049" s="6" t="s">
        <v>74</v>
      </c>
      <c r="I4049" s="6" t="n">
        <f aca="false">D4049*F4049</f>
        <v>5.9</v>
      </c>
      <c r="J4049" s="6" t="n">
        <f aca="false">HOUR(E4049)</f>
        <v>9</v>
      </c>
      <c r="K4049" s="6" t="n">
        <f aca="false">IF(COUNTIF($A$2:$A4049,A4049)=1,1,0)</f>
        <v>0</v>
      </c>
    </row>
    <row r="4050" customFormat="false" ht="15" hidden="false" customHeight="false" outlineLevel="0" collapsed="false">
      <c r="A4050" s="0" t="s">
        <v>856</v>
      </c>
      <c r="B4050" s="0" t="s">
        <v>69</v>
      </c>
      <c r="C4050" s="0" t="s">
        <v>70</v>
      </c>
      <c r="D4050" s="0" t="n">
        <v>46</v>
      </c>
      <c r="E4050" s="5" t="n">
        <v>45993.3847685185</v>
      </c>
      <c r="F4050" s="0" t="n">
        <v>2.08</v>
      </c>
      <c r="H4050" s="6" t="s">
        <v>74</v>
      </c>
      <c r="I4050" s="6" t="n">
        <f aca="false">D4050*F4050</f>
        <v>95.68</v>
      </c>
      <c r="J4050" s="6" t="n">
        <f aca="false">HOUR(E4050)</f>
        <v>9</v>
      </c>
      <c r="K4050" s="6" t="n">
        <f aca="false">IF(COUNTIF($A$2:$A4050,A4050)=1,1,0)</f>
        <v>0</v>
      </c>
    </row>
    <row r="4051" customFormat="false" ht="15" hidden="false" customHeight="false" outlineLevel="0" collapsed="false">
      <c r="A4051" s="0" t="s">
        <v>856</v>
      </c>
      <c r="B4051" s="0" t="s">
        <v>72</v>
      </c>
      <c r="C4051" s="0" t="s">
        <v>73</v>
      </c>
      <c r="D4051" s="0" t="n">
        <v>26</v>
      </c>
      <c r="E4051" s="5" t="n">
        <v>45993.3847685185</v>
      </c>
      <c r="F4051" s="0" t="n">
        <v>4.95</v>
      </c>
      <c r="H4051" s="6" t="s">
        <v>74</v>
      </c>
      <c r="I4051" s="6" t="n">
        <f aca="false">D4051*F4051</f>
        <v>128.7</v>
      </c>
      <c r="J4051" s="6" t="n">
        <f aca="false">HOUR(E4051)</f>
        <v>9</v>
      </c>
      <c r="K4051" s="6" t="n">
        <f aca="false">IF(COUNTIF($A$2:$A4051,A4051)=1,1,0)</f>
        <v>0</v>
      </c>
    </row>
    <row r="4052" customFormat="false" ht="15" hidden="false" customHeight="false" outlineLevel="0" collapsed="false">
      <c r="A4052" s="0" t="s">
        <v>857</v>
      </c>
      <c r="B4052" s="0" t="s">
        <v>114</v>
      </c>
      <c r="C4052" s="0" t="s">
        <v>115</v>
      </c>
      <c r="D4052" s="0" t="n">
        <v>21</v>
      </c>
      <c r="E4052" s="5" t="n">
        <v>45993.4070717593</v>
      </c>
      <c r="F4052" s="0" t="n">
        <v>2.08</v>
      </c>
      <c r="G4052" s="0" t="n">
        <v>17090</v>
      </c>
      <c r="H4052" s="6" t="s">
        <v>74</v>
      </c>
      <c r="I4052" s="6" t="n">
        <f aca="false">D4052*F4052</f>
        <v>43.68</v>
      </c>
      <c r="J4052" s="6" t="n">
        <f aca="false">HOUR(E4052)</f>
        <v>9</v>
      </c>
      <c r="K4052" s="6" t="n">
        <f aca="false">IF(COUNTIF($A$2:$A4052,A4052)=1,1,0)</f>
        <v>1</v>
      </c>
    </row>
    <row r="4053" customFormat="false" ht="15" hidden="false" customHeight="false" outlineLevel="0" collapsed="false">
      <c r="A4053" s="0" t="s">
        <v>857</v>
      </c>
      <c r="B4053" s="0" t="s">
        <v>107</v>
      </c>
      <c r="C4053" s="0" t="s">
        <v>108</v>
      </c>
      <c r="D4053" s="0" t="n">
        <v>4</v>
      </c>
      <c r="E4053" s="5" t="n">
        <v>45993.4070717593</v>
      </c>
      <c r="F4053" s="0" t="n">
        <v>3.75</v>
      </c>
      <c r="G4053" s="0" t="n">
        <v>17090</v>
      </c>
      <c r="H4053" s="6" t="s">
        <v>74</v>
      </c>
      <c r="I4053" s="6" t="n">
        <f aca="false">D4053*F4053</f>
        <v>15</v>
      </c>
      <c r="J4053" s="6" t="n">
        <f aca="false">HOUR(E4053)</f>
        <v>9</v>
      </c>
      <c r="K4053" s="6" t="n">
        <f aca="false">IF(COUNTIF($A$2:$A4053,A4053)=1,1,0)</f>
        <v>0</v>
      </c>
    </row>
    <row r="4054" customFormat="false" ht="15" hidden="false" customHeight="false" outlineLevel="0" collapsed="false">
      <c r="A4054" s="0" t="s">
        <v>857</v>
      </c>
      <c r="B4054" s="0" t="s">
        <v>75</v>
      </c>
      <c r="C4054" s="0" t="s">
        <v>76</v>
      </c>
      <c r="D4054" s="0" t="n">
        <v>5</v>
      </c>
      <c r="E4054" s="5" t="n">
        <v>45993.4070717593</v>
      </c>
      <c r="F4054" s="0" t="n">
        <v>3.39</v>
      </c>
      <c r="G4054" s="0" t="n">
        <v>17090</v>
      </c>
      <c r="H4054" s="6" t="s">
        <v>74</v>
      </c>
      <c r="I4054" s="6" t="n">
        <f aca="false">D4054*F4054</f>
        <v>16.95</v>
      </c>
      <c r="J4054" s="6" t="n">
        <f aca="false">HOUR(E4054)</f>
        <v>9</v>
      </c>
      <c r="K4054" s="6" t="n">
        <f aca="false">IF(COUNTIF($A$2:$A4054,A4054)=1,1,0)</f>
        <v>0</v>
      </c>
    </row>
    <row r="4055" customFormat="false" ht="15" hidden="false" customHeight="false" outlineLevel="0" collapsed="false">
      <c r="A4055" s="0" t="s">
        <v>857</v>
      </c>
      <c r="B4055" s="0" t="s">
        <v>93</v>
      </c>
      <c r="C4055" s="0" t="s">
        <v>94</v>
      </c>
      <c r="D4055" s="0" t="n">
        <v>1</v>
      </c>
      <c r="E4055" s="5" t="n">
        <v>45993.4070717593</v>
      </c>
      <c r="F4055" s="0" t="n">
        <v>1.69</v>
      </c>
      <c r="G4055" s="0" t="n">
        <v>17090</v>
      </c>
      <c r="H4055" s="6" t="s">
        <v>74</v>
      </c>
      <c r="I4055" s="6" t="n">
        <f aca="false">D4055*F4055</f>
        <v>1.69</v>
      </c>
      <c r="J4055" s="6" t="n">
        <f aca="false">HOUR(E4055)</f>
        <v>9</v>
      </c>
      <c r="K4055" s="6" t="n">
        <f aca="false">IF(COUNTIF($A$2:$A4055,A4055)=1,1,0)</f>
        <v>0</v>
      </c>
    </row>
    <row r="4056" customFormat="false" ht="15" hidden="false" customHeight="false" outlineLevel="0" collapsed="false">
      <c r="A4056" s="0" t="s">
        <v>857</v>
      </c>
      <c r="B4056" s="0" t="s">
        <v>102</v>
      </c>
      <c r="C4056" s="0" t="s">
        <v>103</v>
      </c>
      <c r="D4056" s="0" t="n">
        <v>30</v>
      </c>
      <c r="E4056" s="5" t="n">
        <v>45993.4070717593</v>
      </c>
      <c r="F4056" s="0" t="n">
        <v>8.5</v>
      </c>
      <c r="G4056" s="0" t="n">
        <v>17090</v>
      </c>
      <c r="H4056" s="6" t="s">
        <v>74</v>
      </c>
      <c r="I4056" s="6" t="n">
        <f aca="false">D4056*F4056</f>
        <v>255</v>
      </c>
      <c r="J4056" s="6" t="n">
        <f aca="false">HOUR(E4056)</f>
        <v>9</v>
      </c>
      <c r="K4056" s="6" t="n">
        <f aca="false">IF(COUNTIF($A$2:$A4056,A4056)=1,1,0)</f>
        <v>0</v>
      </c>
    </row>
    <row r="4057" customFormat="false" ht="15" hidden="false" customHeight="false" outlineLevel="0" collapsed="false">
      <c r="A4057" s="0" t="s">
        <v>857</v>
      </c>
      <c r="B4057" s="0" t="s">
        <v>127</v>
      </c>
      <c r="C4057" s="0" t="s">
        <v>128</v>
      </c>
      <c r="D4057" s="0" t="n">
        <v>1</v>
      </c>
      <c r="E4057" s="5" t="n">
        <v>45993.4070717593</v>
      </c>
      <c r="F4057" s="0" t="n">
        <v>1.45</v>
      </c>
      <c r="G4057" s="0" t="n">
        <v>17090</v>
      </c>
      <c r="H4057" s="6" t="s">
        <v>74</v>
      </c>
      <c r="I4057" s="6" t="n">
        <f aca="false">D4057*F4057</f>
        <v>1.45</v>
      </c>
      <c r="J4057" s="6" t="n">
        <f aca="false">HOUR(E4057)</f>
        <v>9</v>
      </c>
      <c r="K4057" s="6" t="n">
        <f aca="false">IF(COUNTIF($A$2:$A4057,A4057)=1,1,0)</f>
        <v>0</v>
      </c>
    </row>
    <row r="4058" customFormat="false" ht="15" hidden="false" customHeight="false" outlineLevel="0" collapsed="false">
      <c r="A4058" s="0" t="s">
        <v>857</v>
      </c>
      <c r="B4058" s="0" t="s">
        <v>104</v>
      </c>
      <c r="C4058" s="0" t="s">
        <v>105</v>
      </c>
      <c r="D4058" s="0" t="n">
        <v>21</v>
      </c>
      <c r="E4058" s="5" t="n">
        <v>45993.4070717593</v>
      </c>
      <c r="F4058" s="0" t="n">
        <v>1.65</v>
      </c>
      <c r="G4058" s="0" t="n">
        <v>17090</v>
      </c>
      <c r="H4058" s="6" t="s">
        <v>74</v>
      </c>
      <c r="I4058" s="6" t="n">
        <f aca="false">D4058*F4058</f>
        <v>34.65</v>
      </c>
      <c r="J4058" s="6" t="n">
        <f aca="false">HOUR(E4058)</f>
        <v>9</v>
      </c>
      <c r="K4058" s="6" t="n">
        <f aca="false">IF(COUNTIF($A$2:$A4058,A4058)=1,1,0)</f>
        <v>0</v>
      </c>
    </row>
    <row r="4059" customFormat="false" ht="15" hidden="false" customHeight="false" outlineLevel="0" collapsed="false">
      <c r="A4059" s="0" t="s">
        <v>858</v>
      </c>
      <c r="B4059" s="0" t="s">
        <v>140</v>
      </c>
      <c r="C4059" s="0" t="s">
        <v>141</v>
      </c>
      <c r="D4059" s="0" t="n">
        <v>2</v>
      </c>
      <c r="E4059" s="5" t="n">
        <v>45993.4559143519</v>
      </c>
      <c r="F4059" s="0" t="n">
        <v>2.08</v>
      </c>
      <c r="G4059" s="0" t="n">
        <v>17207</v>
      </c>
      <c r="H4059" s="6" t="s">
        <v>74</v>
      </c>
      <c r="I4059" s="6" t="n">
        <f aca="false">D4059*F4059</f>
        <v>4.16</v>
      </c>
      <c r="J4059" s="6" t="n">
        <f aca="false">HOUR(E4059)</f>
        <v>10</v>
      </c>
      <c r="K4059" s="6" t="n">
        <f aca="false">IF(COUNTIF($A$2:$A4059,A4059)=1,1,0)</f>
        <v>1</v>
      </c>
    </row>
    <row r="4060" customFormat="false" ht="15" hidden="false" customHeight="false" outlineLevel="0" collapsed="false">
      <c r="A4060" s="0" t="s">
        <v>858</v>
      </c>
      <c r="B4060" s="0" t="s">
        <v>104</v>
      </c>
      <c r="C4060" s="0" t="s">
        <v>105</v>
      </c>
      <c r="D4060" s="0" t="n">
        <v>3</v>
      </c>
      <c r="E4060" s="5" t="n">
        <v>45993.4559143519</v>
      </c>
      <c r="F4060" s="0" t="n">
        <v>1.65</v>
      </c>
      <c r="G4060" s="0" t="n">
        <v>17207</v>
      </c>
      <c r="H4060" s="6" t="s">
        <v>74</v>
      </c>
      <c r="I4060" s="6" t="n">
        <f aca="false">D4060*F4060</f>
        <v>4.95</v>
      </c>
      <c r="J4060" s="6" t="n">
        <f aca="false">HOUR(E4060)</f>
        <v>10</v>
      </c>
      <c r="K4060" s="6" t="n">
        <f aca="false">IF(COUNTIF($A$2:$A4060,A4060)=1,1,0)</f>
        <v>0</v>
      </c>
    </row>
    <row r="4061" customFormat="false" ht="15" hidden="false" customHeight="false" outlineLevel="0" collapsed="false">
      <c r="A4061" s="0" t="s">
        <v>858</v>
      </c>
      <c r="B4061" s="0" t="s">
        <v>125</v>
      </c>
      <c r="C4061" s="0" t="s">
        <v>126</v>
      </c>
      <c r="D4061" s="0" t="n">
        <v>23</v>
      </c>
      <c r="E4061" s="5" t="n">
        <v>45993.4559143519</v>
      </c>
      <c r="F4061" s="0" t="n">
        <v>1.25</v>
      </c>
      <c r="G4061" s="0" t="n">
        <v>17207</v>
      </c>
      <c r="H4061" s="6" t="s">
        <v>74</v>
      </c>
      <c r="I4061" s="6" t="n">
        <f aca="false">D4061*F4061</f>
        <v>28.75</v>
      </c>
      <c r="J4061" s="6" t="n">
        <f aca="false">HOUR(E4061)</f>
        <v>10</v>
      </c>
      <c r="K4061" s="6" t="n">
        <f aca="false">IF(COUNTIF($A$2:$A4061,A4061)=1,1,0)</f>
        <v>0</v>
      </c>
    </row>
    <row r="4062" customFormat="false" ht="15" hidden="false" customHeight="false" outlineLevel="0" collapsed="false">
      <c r="A4062" s="0" t="s">
        <v>858</v>
      </c>
      <c r="B4062" s="0" t="s">
        <v>99</v>
      </c>
      <c r="C4062" s="0" t="s">
        <v>100</v>
      </c>
      <c r="D4062" s="0" t="n">
        <v>3</v>
      </c>
      <c r="E4062" s="5" t="n">
        <v>45993.4559143519</v>
      </c>
      <c r="F4062" s="0" t="n">
        <v>2.08</v>
      </c>
      <c r="G4062" s="0" t="n">
        <v>17207</v>
      </c>
      <c r="H4062" s="6" t="s">
        <v>74</v>
      </c>
      <c r="I4062" s="6" t="n">
        <f aca="false">D4062*F4062</f>
        <v>6.24</v>
      </c>
      <c r="J4062" s="6" t="n">
        <f aca="false">HOUR(E4062)</f>
        <v>10</v>
      </c>
      <c r="K4062" s="6" t="n">
        <f aca="false">IF(COUNTIF($A$2:$A4062,A4062)=1,1,0)</f>
        <v>0</v>
      </c>
    </row>
    <row r="4063" customFormat="false" ht="15" hidden="false" customHeight="false" outlineLevel="0" collapsed="false">
      <c r="A4063" s="0" t="s">
        <v>858</v>
      </c>
      <c r="B4063" s="0" t="s">
        <v>61</v>
      </c>
      <c r="C4063" s="0" t="s">
        <v>62</v>
      </c>
      <c r="D4063" s="0" t="n">
        <v>3</v>
      </c>
      <c r="E4063" s="5" t="n">
        <v>45993.4559143519</v>
      </c>
      <c r="F4063" s="0" t="n">
        <v>1.65</v>
      </c>
      <c r="G4063" s="0" t="n">
        <v>17207</v>
      </c>
      <c r="H4063" s="6" t="s">
        <v>74</v>
      </c>
      <c r="I4063" s="6" t="n">
        <f aca="false">D4063*F4063</f>
        <v>4.95</v>
      </c>
      <c r="J4063" s="6" t="n">
        <f aca="false">HOUR(E4063)</f>
        <v>10</v>
      </c>
      <c r="K4063" s="6" t="n">
        <f aca="false">IF(COUNTIF($A$2:$A4063,A4063)=1,1,0)</f>
        <v>0</v>
      </c>
    </row>
    <row r="4064" customFormat="false" ht="15" hidden="false" customHeight="false" outlineLevel="0" collapsed="false">
      <c r="A4064" s="0" t="s">
        <v>858</v>
      </c>
      <c r="B4064" s="0" t="s">
        <v>121</v>
      </c>
      <c r="C4064" s="0" t="s">
        <v>122</v>
      </c>
      <c r="D4064" s="0" t="n">
        <v>14</v>
      </c>
      <c r="E4064" s="5" t="n">
        <v>45993.4559143519</v>
      </c>
      <c r="F4064" s="0" t="n">
        <v>2.1</v>
      </c>
      <c r="G4064" s="0" t="n">
        <v>17207</v>
      </c>
      <c r="H4064" s="6" t="s">
        <v>74</v>
      </c>
      <c r="I4064" s="6" t="n">
        <f aca="false">D4064*F4064</f>
        <v>29.4</v>
      </c>
      <c r="J4064" s="6" t="n">
        <f aca="false">HOUR(E4064)</f>
        <v>10</v>
      </c>
      <c r="K4064" s="6" t="n">
        <f aca="false">IF(COUNTIF($A$2:$A4064,A4064)=1,1,0)</f>
        <v>0</v>
      </c>
    </row>
    <row r="4065" customFormat="false" ht="15" hidden="false" customHeight="false" outlineLevel="0" collapsed="false">
      <c r="A4065" s="0" t="s">
        <v>858</v>
      </c>
      <c r="B4065" s="0" t="s">
        <v>116</v>
      </c>
      <c r="C4065" s="0" t="s">
        <v>117</v>
      </c>
      <c r="D4065" s="0" t="n">
        <v>1</v>
      </c>
      <c r="E4065" s="5" t="n">
        <v>45993.4559143519</v>
      </c>
      <c r="F4065" s="0" t="n">
        <v>1.95</v>
      </c>
      <c r="G4065" s="0" t="n">
        <v>17207</v>
      </c>
      <c r="H4065" s="6" t="s">
        <v>74</v>
      </c>
      <c r="I4065" s="6" t="n">
        <f aca="false">D4065*F4065</f>
        <v>1.95</v>
      </c>
      <c r="J4065" s="6" t="n">
        <f aca="false">HOUR(E4065)</f>
        <v>10</v>
      </c>
      <c r="K4065" s="6" t="n">
        <f aca="false">IF(COUNTIF($A$2:$A4065,A4065)=1,1,0)</f>
        <v>0</v>
      </c>
    </row>
    <row r="4066" customFormat="false" ht="15" hidden="false" customHeight="false" outlineLevel="0" collapsed="false">
      <c r="A4066" s="0" t="s">
        <v>859</v>
      </c>
      <c r="B4066" s="0" t="s">
        <v>118</v>
      </c>
      <c r="C4066" s="0" t="s">
        <v>119</v>
      </c>
      <c r="D4066" s="0" t="n">
        <v>26</v>
      </c>
      <c r="E4066" s="5" t="n">
        <v>45993.5886226852</v>
      </c>
      <c r="F4066" s="0" t="n">
        <v>4.95</v>
      </c>
      <c r="G4066" s="0" t="n">
        <v>17227</v>
      </c>
      <c r="H4066" s="6" t="s">
        <v>74</v>
      </c>
      <c r="I4066" s="6" t="n">
        <f aca="false">D4066*F4066</f>
        <v>128.7</v>
      </c>
      <c r="J4066" s="6" t="n">
        <f aca="false">HOUR(E4066)</f>
        <v>14</v>
      </c>
      <c r="K4066" s="6" t="n">
        <f aca="false">IF(COUNTIF($A$2:$A4066,A4066)=1,1,0)</f>
        <v>1</v>
      </c>
    </row>
    <row r="4067" customFormat="false" ht="15" hidden="false" customHeight="false" outlineLevel="0" collapsed="false">
      <c r="A4067" s="0" t="s">
        <v>859</v>
      </c>
      <c r="B4067" s="0" t="s">
        <v>75</v>
      </c>
      <c r="C4067" s="0" t="s">
        <v>76</v>
      </c>
      <c r="D4067" s="0" t="n">
        <v>22</v>
      </c>
      <c r="E4067" s="5" t="n">
        <v>45993.5886226852</v>
      </c>
      <c r="F4067" s="0" t="n">
        <v>3.39</v>
      </c>
      <c r="G4067" s="0" t="n">
        <v>17227</v>
      </c>
      <c r="H4067" s="6" t="s">
        <v>74</v>
      </c>
      <c r="I4067" s="6" t="n">
        <f aca="false">D4067*F4067</f>
        <v>74.58</v>
      </c>
      <c r="J4067" s="6" t="n">
        <f aca="false">HOUR(E4067)</f>
        <v>14</v>
      </c>
      <c r="K4067" s="6" t="n">
        <f aca="false">IF(COUNTIF($A$2:$A4067,A4067)=1,1,0)</f>
        <v>0</v>
      </c>
    </row>
    <row r="4068" customFormat="false" ht="15" hidden="false" customHeight="false" outlineLevel="0" collapsed="false">
      <c r="A4068" s="0" t="s">
        <v>859</v>
      </c>
      <c r="B4068" s="0" t="s">
        <v>57</v>
      </c>
      <c r="C4068" s="0" t="s">
        <v>58</v>
      </c>
      <c r="D4068" s="0" t="n">
        <v>22</v>
      </c>
      <c r="E4068" s="5" t="n">
        <v>45993.5886226852</v>
      </c>
      <c r="F4068" s="0" t="n">
        <v>2.08</v>
      </c>
      <c r="G4068" s="0" t="n">
        <v>17227</v>
      </c>
      <c r="H4068" s="6" t="s">
        <v>74</v>
      </c>
      <c r="I4068" s="6" t="n">
        <f aca="false">D4068*F4068</f>
        <v>45.76</v>
      </c>
      <c r="J4068" s="6" t="n">
        <f aca="false">HOUR(E4068)</f>
        <v>14</v>
      </c>
      <c r="K4068" s="6" t="n">
        <f aca="false">IF(COUNTIF($A$2:$A4068,A4068)=1,1,0)</f>
        <v>0</v>
      </c>
    </row>
    <row r="4069" customFormat="false" ht="15" hidden="false" customHeight="false" outlineLevel="0" collapsed="false">
      <c r="A4069" s="0" t="s">
        <v>860</v>
      </c>
      <c r="B4069" s="0" t="s">
        <v>145</v>
      </c>
      <c r="C4069" s="0" t="s">
        <v>146</v>
      </c>
      <c r="D4069" s="0" t="n">
        <v>5</v>
      </c>
      <c r="E4069" s="5" t="n">
        <v>45993.82125</v>
      </c>
      <c r="F4069" s="0" t="n">
        <v>1.85</v>
      </c>
      <c r="G4069" s="0" t="n">
        <v>17189</v>
      </c>
      <c r="H4069" s="6" t="s">
        <v>74</v>
      </c>
      <c r="I4069" s="6" t="n">
        <f aca="false">D4069*F4069</f>
        <v>9.25</v>
      </c>
      <c r="J4069" s="6" t="n">
        <f aca="false">HOUR(E4069)</f>
        <v>19</v>
      </c>
      <c r="K4069" s="6" t="n">
        <f aca="false">IF(COUNTIF($A$2:$A4069,A4069)=1,1,0)</f>
        <v>1</v>
      </c>
    </row>
    <row r="4070" customFormat="false" ht="15" hidden="false" customHeight="false" outlineLevel="0" collapsed="false">
      <c r="A4070" s="0" t="s">
        <v>860</v>
      </c>
      <c r="B4070" s="0" t="s">
        <v>137</v>
      </c>
      <c r="C4070" s="0" t="s">
        <v>138</v>
      </c>
      <c r="D4070" s="0" t="n">
        <v>22</v>
      </c>
      <c r="E4070" s="5" t="n">
        <v>45993.82125</v>
      </c>
      <c r="F4070" s="0" t="n">
        <v>2.1</v>
      </c>
      <c r="G4070" s="0" t="n">
        <v>17189</v>
      </c>
      <c r="H4070" s="6" t="s">
        <v>74</v>
      </c>
      <c r="I4070" s="6" t="n">
        <f aca="false">D4070*F4070</f>
        <v>46.2</v>
      </c>
      <c r="J4070" s="6" t="n">
        <f aca="false">HOUR(E4070)</f>
        <v>19</v>
      </c>
      <c r="K4070" s="6" t="n">
        <f aca="false">IF(COUNTIF($A$2:$A4070,A4070)=1,1,0)</f>
        <v>0</v>
      </c>
    </row>
    <row r="4071" customFormat="false" ht="15" hidden="false" customHeight="false" outlineLevel="0" collapsed="false">
      <c r="A4071" s="0" t="s">
        <v>861</v>
      </c>
      <c r="B4071" s="0" t="s">
        <v>140</v>
      </c>
      <c r="C4071" s="0" t="s">
        <v>141</v>
      </c>
      <c r="D4071" s="0" t="n">
        <v>24</v>
      </c>
      <c r="E4071" s="5" t="n">
        <v>45994.3896180556</v>
      </c>
      <c r="F4071" s="0" t="n">
        <v>2.08</v>
      </c>
      <c r="G4071" s="0" t="n">
        <v>17218</v>
      </c>
      <c r="H4071" s="6" t="s">
        <v>42</v>
      </c>
      <c r="I4071" s="6" t="n">
        <f aca="false">D4071*F4071</f>
        <v>49.92</v>
      </c>
      <c r="J4071" s="6" t="n">
        <f aca="false">HOUR(E4071)</f>
        <v>9</v>
      </c>
      <c r="K4071" s="6" t="n">
        <f aca="false">IF(COUNTIF($A$2:$A4071,A4071)=1,1,0)</f>
        <v>1</v>
      </c>
    </row>
    <row r="4072" customFormat="false" ht="15" hidden="false" customHeight="false" outlineLevel="0" collapsed="false">
      <c r="A4072" s="0" t="s">
        <v>861</v>
      </c>
      <c r="B4072" s="0" t="s">
        <v>88</v>
      </c>
      <c r="C4072" s="0" t="s">
        <v>89</v>
      </c>
      <c r="D4072" s="0" t="n">
        <v>12</v>
      </c>
      <c r="E4072" s="5" t="n">
        <v>45994.3896180556</v>
      </c>
      <c r="F4072" s="0" t="n">
        <v>2.75</v>
      </c>
      <c r="G4072" s="0" t="n">
        <v>17218</v>
      </c>
      <c r="H4072" s="6" t="s">
        <v>42</v>
      </c>
      <c r="I4072" s="6" t="n">
        <f aca="false">D4072*F4072</f>
        <v>33</v>
      </c>
      <c r="J4072" s="6" t="n">
        <f aca="false">HOUR(E4072)</f>
        <v>9</v>
      </c>
      <c r="K4072" s="6" t="n">
        <f aca="false">IF(COUNTIF($A$2:$A4072,A4072)=1,1,0)</f>
        <v>0</v>
      </c>
    </row>
    <row r="4073" customFormat="false" ht="15" hidden="false" customHeight="false" outlineLevel="0" collapsed="false">
      <c r="A4073" s="0" t="s">
        <v>861</v>
      </c>
      <c r="B4073" s="0" t="s">
        <v>137</v>
      </c>
      <c r="C4073" s="0" t="s">
        <v>138</v>
      </c>
      <c r="D4073" s="0" t="n">
        <v>9</v>
      </c>
      <c r="E4073" s="5" t="n">
        <v>45994.3896180556</v>
      </c>
      <c r="F4073" s="0" t="n">
        <v>2.1</v>
      </c>
      <c r="G4073" s="0" t="n">
        <v>17218</v>
      </c>
      <c r="H4073" s="6" t="s">
        <v>42</v>
      </c>
      <c r="I4073" s="6" t="n">
        <f aca="false">D4073*F4073</f>
        <v>18.9</v>
      </c>
      <c r="J4073" s="6" t="n">
        <f aca="false">HOUR(E4073)</f>
        <v>9</v>
      </c>
      <c r="K4073" s="6" t="n">
        <f aca="false">IF(COUNTIF($A$2:$A4073,A4073)=1,1,0)</f>
        <v>0</v>
      </c>
    </row>
    <row r="4074" customFormat="false" ht="15" hidden="false" customHeight="false" outlineLevel="0" collapsed="false">
      <c r="A4074" s="0" t="s">
        <v>861</v>
      </c>
      <c r="B4074" s="0" t="s">
        <v>69</v>
      </c>
      <c r="C4074" s="0" t="s">
        <v>70</v>
      </c>
      <c r="D4074" s="0" t="n">
        <v>19</v>
      </c>
      <c r="E4074" s="5" t="n">
        <v>45994.3896180556</v>
      </c>
      <c r="F4074" s="0" t="n">
        <v>2.08</v>
      </c>
      <c r="G4074" s="0" t="n">
        <v>17218</v>
      </c>
      <c r="H4074" s="6" t="s">
        <v>42</v>
      </c>
      <c r="I4074" s="6" t="n">
        <f aca="false">D4074*F4074</f>
        <v>39.52</v>
      </c>
      <c r="J4074" s="6" t="n">
        <f aca="false">HOUR(E4074)</f>
        <v>9</v>
      </c>
      <c r="K4074" s="6" t="n">
        <f aca="false">IF(COUNTIF($A$2:$A4074,A4074)=1,1,0)</f>
        <v>0</v>
      </c>
    </row>
    <row r="4075" customFormat="false" ht="15" hidden="false" customHeight="false" outlineLevel="0" collapsed="false">
      <c r="A4075" s="0" t="s">
        <v>861</v>
      </c>
      <c r="B4075" s="0" t="s">
        <v>93</v>
      </c>
      <c r="C4075" s="0" t="s">
        <v>94</v>
      </c>
      <c r="D4075" s="0" t="n">
        <v>20</v>
      </c>
      <c r="E4075" s="5" t="n">
        <v>45994.3896180556</v>
      </c>
      <c r="F4075" s="0" t="n">
        <v>1.69</v>
      </c>
      <c r="G4075" s="0" t="n">
        <v>17218</v>
      </c>
      <c r="H4075" s="6" t="s">
        <v>42</v>
      </c>
      <c r="I4075" s="6" t="n">
        <f aca="false">D4075*F4075</f>
        <v>33.8</v>
      </c>
      <c r="J4075" s="6" t="n">
        <f aca="false">HOUR(E4075)</f>
        <v>9</v>
      </c>
      <c r="K4075" s="6" t="n">
        <f aca="false">IF(COUNTIF($A$2:$A4075,A4075)=1,1,0)</f>
        <v>0</v>
      </c>
    </row>
    <row r="4076" customFormat="false" ht="15" hidden="false" customHeight="false" outlineLevel="0" collapsed="false">
      <c r="A4076" s="0" t="s">
        <v>862</v>
      </c>
      <c r="B4076" s="0" t="s">
        <v>69</v>
      </c>
      <c r="C4076" s="0" t="s">
        <v>70</v>
      </c>
      <c r="D4076" s="0" t="n">
        <v>20</v>
      </c>
      <c r="E4076" s="5" t="n">
        <v>45994.4912847222</v>
      </c>
      <c r="F4076" s="0" t="n">
        <v>2.08</v>
      </c>
      <c r="G4076" s="0" t="n">
        <v>17132</v>
      </c>
      <c r="H4076" s="6" t="s">
        <v>74</v>
      </c>
      <c r="I4076" s="6" t="n">
        <f aca="false">D4076*F4076</f>
        <v>41.6</v>
      </c>
      <c r="J4076" s="6" t="n">
        <f aca="false">HOUR(E4076)</f>
        <v>11</v>
      </c>
      <c r="K4076" s="6" t="n">
        <f aca="false">IF(COUNTIF($A$2:$A4076,A4076)=1,1,0)</f>
        <v>1</v>
      </c>
    </row>
    <row r="4077" customFormat="false" ht="15" hidden="false" customHeight="false" outlineLevel="0" collapsed="false">
      <c r="A4077" s="0" t="s">
        <v>862</v>
      </c>
      <c r="B4077" s="0" t="s">
        <v>88</v>
      </c>
      <c r="C4077" s="0" t="s">
        <v>89</v>
      </c>
      <c r="D4077" s="0" t="n">
        <v>10</v>
      </c>
      <c r="E4077" s="5" t="n">
        <v>45994.4912847222</v>
      </c>
      <c r="F4077" s="0" t="n">
        <v>2.75</v>
      </c>
      <c r="G4077" s="0" t="n">
        <v>17132</v>
      </c>
      <c r="H4077" s="6" t="s">
        <v>74</v>
      </c>
      <c r="I4077" s="6" t="n">
        <f aca="false">D4077*F4077</f>
        <v>27.5</v>
      </c>
      <c r="J4077" s="6" t="n">
        <f aca="false">HOUR(E4077)</f>
        <v>11</v>
      </c>
      <c r="K4077" s="6" t="n">
        <f aca="false">IF(COUNTIF($A$2:$A4077,A4077)=1,1,0)</f>
        <v>0</v>
      </c>
    </row>
    <row r="4078" customFormat="false" ht="15" hidden="false" customHeight="false" outlineLevel="0" collapsed="false">
      <c r="A4078" s="0" t="s">
        <v>862</v>
      </c>
      <c r="B4078" s="0" t="s">
        <v>137</v>
      </c>
      <c r="C4078" s="0" t="s">
        <v>138</v>
      </c>
      <c r="D4078" s="0" t="n">
        <v>3</v>
      </c>
      <c r="E4078" s="5" t="n">
        <v>45994.4912847222</v>
      </c>
      <c r="F4078" s="0" t="n">
        <v>2.1</v>
      </c>
      <c r="G4078" s="0" t="n">
        <v>17132</v>
      </c>
      <c r="H4078" s="6" t="s">
        <v>74</v>
      </c>
      <c r="I4078" s="6" t="n">
        <f aca="false">D4078*F4078</f>
        <v>6.3</v>
      </c>
      <c r="J4078" s="6" t="n">
        <f aca="false">HOUR(E4078)</f>
        <v>11</v>
      </c>
      <c r="K4078" s="6" t="n">
        <f aca="false">IF(COUNTIF($A$2:$A4078,A4078)=1,1,0)</f>
        <v>0</v>
      </c>
    </row>
    <row r="4079" customFormat="false" ht="15" hidden="false" customHeight="false" outlineLevel="0" collapsed="false">
      <c r="A4079" s="0" t="s">
        <v>862</v>
      </c>
      <c r="B4079" s="0" t="s">
        <v>57</v>
      </c>
      <c r="C4079" s="0" t="s">
        <v>58</v>
      </c>
      <c r="D4079" s="0" t="n">
        <v>1</v>
      </c>
      <c r="E4079" s="5" t="n">
        <v>45994.4912847222</v>
      </c>
      <c r="F4079" s="0" t="n">
        <v>2.08</v>
      </c>
      <c r="G4079" s="0" t="n">
        <v>17132</v>
      </c>
      <c r="H4079" s="6" t="s">
        <v>74</v>
      </c>
      <c r="I4079" s="6" t="n">
        <f aca="false">D4079*F4079</f>
        <v>2.08</v>
      </c>
      <c r="J4079" s="6" t="n">
        <f aca="false">HOUR(E4079)</f>
        <v>11</v>
      </c>
      <c r="K4079" s="6" t="n">
        <f aca="false">IF(COUNTIF($A$2:$A4079,A4079)=1,1,0)</f>
        <v>0</v>
      </c>
    </row>
    <row r="4080" customFormat="false" ht="15" hidden="false" customHeight="false" outlineLevel="0" collapsed="false">
      <c r="A4080" s="0" t="s">
        <v>862</v>
      </c>
      <c r="B4080" s="0" t="s">
        <v>93</v>
      </c>
      <c r="C4080" s="0" t="s">
        <v>94</v>
      </c>
      <c r="D4080" s="0" t="n">
        <v>1</v>
      </c>
      <c r="E4080" s="5" t="n">
        <v>45994.4912847222</v>
      </c>
      <c r="F4080" s="0" t="n">
        <v>1.69</v>
      </c>
      <c r="G4080" s="0" t="n">
        <v>17132</v>
      </c>
      <c r="H4080" s="6" t="s">
        <v>74</v>
      </c>
      <c r="I4080" s="6" t="n">
        <f aca="false">D4080*F4080</f>
        <v>1.69</v>
      </c>
      <c r="J4080" s="6" t="n">
        <f aca="false">HOUR(E4080)</f>
        <v>11</v>
      </c>
      <c r="K4080" s="6" t="n">
        <f aca="false">IF(COUNTIF($A$2:$A4080,A4080)=1,1,0)</f>
        <v>0</v>
      </c>
    </row>
    <row r="4081" customFormat="false" ht="15" hidden="false" customHeight="false" outlineLevel="0" collapsed="false">
      <c r="A4081" s="0" t="s">
        <v>863</v>
      </c>
      <c r="B4081" s="0" t="s">
        <v>57</v>
      </c>
      <c r="C4081" s="0" t="s">
        <v>58</v>
      </c>
      <c r="D4081" s="0" t="n">
        <v>24</v>
      </c>
      <c r="E4081" s="5" t="n">
        <v>45994.5478125</v>
      </c>
      <c r="F4081" s="0" t="n">
        <v>2.08</v>
      </c>
      <c r="G4081" s="0" t="n">
        <v>17188</v>
      </c>
      <c r="H4081" s="6" t="s">
        <v>74</v>
      </c>
      <c r="I4081" s="6" t="n">
        <f aca="false">D4081*F4081</f>
        <v>49.92</v>
      </c>
      <c r="J4081" s="6" t="n">
        <f aca="false">HOUR(E4081)</f>
        <v>13</v>
      </c>
      <c r="K4081" s="6" t="n">
        <f aca="false">IF(COUNTIF($A$2:$A4081,A4081)=1,1,0)</f>
        <v>1</v>
      </c>
    </row>
    <row r="4082" customFormat="false" ht="15" hidden="false" customHeight="false" outlineLevel="0" collapsed="false">
      <c r="A4082" s="0" t="s">
        <v>863</v>
      </c>
      <c r="B4082" s="0" t="s">
        <v>69</v>
      </c>
      <c r="C4082" s="0" t="s">
        <v>70</v>
      </c>
      <c r="D4082" s="0" t="n">
        <v>43</v>
      </c>
      <c r="E4082" s="5" t="n">
        <v>45994.5478125</v>
      </c>
      <c r="F4082" s="0" t="n">
        <v>2.08</v>
      </c>
      <c r="G4082" s="0" t="n">
        <v>17188</v>
      </c>
      <c r="H4082" s="6" t="s">
        <v>74</v>
      </c>
      <c r="I4082" s="6" t="n">
        <f aca="false">D4082*F4082</f>
        <v>89.44</v>
      </c>
      <c r="J4082" s="6" t="n">
        <f aca="false">HOUR(E4082)</f>
        <v>13</v>
      </c>
      <c r="K4082" s="6" t="n">
        <f aca="false">IF(COUNTIF($A$2:$A4082,A4082)=1,1,0)</f>
        <v>0</v>
      </c>
    </row>
    <row r="4083" customFormat="false" ht="15" hidden="false" customHeight="false" outlineLevel="0" collapsed="false">
      <c r="A4083" s="0" t="s">
        <v>863</v>
      </c>
      <c r="B4083" s="0" t="s">
        <v>43</v>
      </c>
      <c r="C4083" s="0" t="s">
        <v>44</v>
      </c>
      <c r="D4083" s="0" t="n">
        <v>21</v>
      </c>
      <c r="E4083" s="5" t="n">
        <v>45994.5478125</v>
      </c>
      <c r="F4083" s="0" t="n">
        <v>4.25</v>
      </c>
      <c r="G4083" s="0" t="n">
        <v>17188</v>
      </c>
      <c r="H4083" s="6" t="s">
        <v>74</v>
      </c>
      <c r="I4083" s="6" t="n">
        <f aca="false">D4083*F4083</f>
        <v>89.25</v>
      </c>
      <c r="J4083" s="6" t="n">
        <f aca="false">HOUR(E4083)</f>
        <v>13</v>
      </c>
      <c r="K4083" s="6" t="n">
        <f aca="false">IF(COUNTIF($A$2:$A4083,A4083)=1,1,0)</f>
        <v>0</v>
      </c>
    </row>
    <row r="4084" customFormat="false" ht="15" hidden="false" customHeight="false" outlineLevel="0" collapsed="false">
      <c r="A4084" s="0" t="s">
        <v>863</v>
      </c>
      <c r="B4084" s="0" t="s">
        <v>114</v>
      </c>
      <c r="C4084" s="0" t="s">
        <v>115</v>
      </c>
      <c r="D4084" s="0" t="n">
        <v>1</v>
      </c>
      <c r="E4084" s="5" t="n">
        <v>45994.5478125</v>
      </c>
      <c r="F4084" s="0" t="n">
        <v>2.08</v>
      </c>
      <c r="G4084" s="0" t="n">
        <v>17188</v>
      </c>
      <c r="H4084" s="6" t="s">
        <v>74</v>
      </c>
      <c r="I4084" s="6" t="n">
        <f aca="false">D4084*F4084</f>
        <v>2.08</v>
      </c>
      <c r="J4084" s="6" t="n">
        <f aca="false">HOUR(E4084)</f>
        <v>13</v>
      </c>
      <c r="K4084" s="6" t="n">
        <f aca="false">IF(COUNTIF($A$2:$A4084,A4084)=1,1,0)</f>
        <v>0</v>
      </c>
    </row>
    <row r="4085" customFormat="false" ht="15" hidden="false" customHeight="false" outlineLevel="0" collapsed="false">
      <c r="A4085" s="0" t="s">
        <v>863</v>
      </c>
      <c r="B4085" s="0" t="s">
        <v>63</v>
      </c>
      <c r="C4085" s="0" t="s">
        <v>64</v>
      </c>
      <c r="D4085" s="0" t="n">
        <v>11</v>
      </c>
      <c r="E4085" s="5" t="n">
        <v>45994.5478125</v>
      </c>
      <c r="F4085" s="0" t="n">
        <v>1.85</v>
      </c>
      <c r="G4085" s="0" t="n">
        <v>17188</v>
      </c>
      <c r="H4085" s="6" t="s">
        <v>74</v>
      </c>
      <c r="I4085" s="6" t="n">
        <f aca="false">D4085*F4085</f>
        <v>20.35</v>
      </c>
      <c r="J4085" s="6" t="n">
        <f aca="false">HOUR(E4085)</f>
        <v>13</v>
      </c>
      <c r="K4085" s="6" t="n">
        <f aca="false">IF(COUNTIF($A$2:$A4085,A4085)=1,1,0)</f>
        <v>0</v>
      </c>
    </row>
    <row r="4086" customFormat="false" ht="15" hidden="false" customHeight="false" outlineLevel="0" collapsed="false">
      <c r="A4086" s="0" t="s">
        <v>864</v>
      </c>
      <c r="B4086" s="0" t="s">
        <v>102</v>
      </c>
      <c r="C4086" s="0" t="s">
        <v>103</v>
      </c>
      <c r="D4086" s="0" t="n">
        <v>22</v>
      </c>
      <c r="E4086" s="5" t="n">
        <v>45994.5490162037</v>
      </c>
      <c r="F4086" s="0" t="n">
        <v>8.5</v>
      </c>
      <c r="G4086" s="0" t="n">
        <v>17089</v>
      </c>
      <c r="H4086" s="6" t="s">
        <v>263</v>
      </c>
      <c r="I4086" s="6" t="n">
        <f aca="false">D4086*F4086</f>
        <v>187</v>
      </c>
      <c r="J4086" s="6" t="n">
        <f aca="false">HOUR(E4086)</f>
        <v>13</v>
      </c>
      <c r="K4086" s="6" t="n">
        <f aca="false">IF(COUNTIF($A$2:$A4086,A4086)=1,1,0)</f>
        <v>1</v>
      </c>
    </row>
    <row r="4087" customFormat="false" ht="15" hidden="false" customHeight="false" outlineLevel="0" collapsed="false">
      <c r="A4087" s="0" t="s">
        <v>864</v>
      </c>
      <c r="B4087" s="0" t="s">
        <v>145</v>
      </c>
      <c r="C4087" s="0" t="s">
        <v>146</v>
      </c>
      <c r="D4087" s="0" t="n">
        <v>8</v>
      </c>
      <c r="E4087" s="5" t="n">
        <v>45994.5490162037</v>
      </c>
      <c r="F4087" s="0" t="n">
        <v>1.85</v>
      </c>
      <c r="G4087" s="0" t="n">
        <v>17089</v>
      </c>
      <c r="H4087" s="6" t="s">
        <v>263</v>
      </c>
      <c r="I4087" s="6" t="n">
        <f aca="false">D4087*F4087</f>
        <v>14.8</v>
      </c>
      <c r="J4087" s="6" t="n">
        <f aca="false">HOUR(E4087)</f>
        <v>13</v>
      </c>
      <c r="K4087" s="6" t="n">
        <f aca="false">IF(COUNTIF($A$2:$A4087,A4087)=1,1,0)</f>
        <v>0</v>
      </c>
    </row>
    <row r="4088" customFormat="false" ht="15" hidden="false" customHeight="false" outlineLevel="0" collapsed="false">
      <c r="A4088" s="0" t="s">
        <v>865</v>
      </c>
      <c r="B4088" s="0" t="s">
        <v>131</v>
      </c>
      <c r="C4088" s="0" t="s">
        <v>132</v>
      </c>
      <c r="D4088" s="0" t="n">
        <v>9</v>
      </c>
      <c r="E4088" s="5" t="n">
        <v>45994.5648958333</v>
      </c>
      <c r="F4088" s="0" t="n">
        <v>3.39</v>
      </c>
      <c r="G4088" s="0" t="n">
        <v>17056</v>
      </c>
      <c r="H4088" s="6" t="s">
        <v>74</v>
      </c>
      <c r="I4088" s="6" t="n">
        <f aca="false">D4088*F4088</f>
        <v>30.51</v>
      </c>
      <c r="J4088" s="6" t="n">
        <f aca="false">HOUR(E4088)</f>
        <v>13</v>
      </c>
      <c r="K4088" s="6" t="n">
        <f aca="false">IF(COUNTIF($A$2:$A4088,A4088)=1,1,0)</f>
        <v>1</v>
      </c>
    </row>
    <row r="4089" customFormat="false" ht="15" hidden="false" customHeight="false" outlineLevel="0" collapsed="false">
      <c r="A4089" s="0" t="s">
        <v>865</v>
      </c>
      <c r="B4089" s="0" t="s">
        <v>88</v>
      </c>
      <c r="C4089" s="0" t="s">
        <v>89</v>
      </c>
      <c r="D4089" s="0" t="n">
        <v>20</v>
      </c>
      <c r="E4089" s="5" t="n">
        <v>45994.5648958333</v>
      </c>
      <c r="F4089" s="0" t="n">
        <v>2.75</v>
      </c>
      <c r="G4089" s="0" t="n">
        <v>17056</v>
      </c>
      <c r="H4089" s="6" t="s">
        <v>74</v>
      </c>
      <c r="I4089" s="6" t="n">
        <f aca="false">D4089*F4089</f>
        <v>55</v>
      </c>
      <c r="J4089" s="6" t="n">
        <f aca="false">HOUR(E4089)</f>
        <v>13</v>
      </c>
      <c r="K4089" s="6" t="n">
        <f aca="false">IF(COUNTIF($A$2:$A4089,A4089)=1,1,0)</f>
        <v>0</v>
      </c>
    </row>
    <row r="4090" customFormat="false" ht="15" hidden="false" customHeight="false" outlineLevel="0" collapsed="false">
      <c r="A4090" s="0" t="s">
        <v>865</v>
      </c>
      <c r="B4090" s="0" t="s">
        <v>125</v>
      </c>
      <c r="C4090" s="0" t="s">
        <v>126</v>
      </c>
      <c r="D4090" s="0" t="n">
        <v>13</v>
      </c>
      <c r="E4090" s="5" t="n">
        <v>45994.5648958333</v>
      </c>
      <c r="F4090" s="0" t="n">
        <v>1.25</v>
      </c>
      <c r="G4090" s="0" t="n">
        <v>17056</v>
      </c>
      <c r="H4090" s="6" t="s">
        <v>74</v>
      </c>
      <c r="I4090" s="6" t="n">
        <f aca="false">D4090*F4090</f>
        <v>16.25</v>
      </c>
      <c r="J4090" s="6" t="n">
        <f aca="false">HOUR(E4090)</f>
        <v>13</v>
      </c>
      <c r="K4090" s="6" t="n">
        <f aca="false">IF(COUNTIF($A$2:$A4090,A4090)=1,1,0)</f>
        <v>0</v>
      </c>
    </row>
    <row r="4091" customFormat="false" ht="15" hidden="false" customHeight="false" outlineLevel="0" collapsed="false">
      <c r="A4091" s="0" t="s">
        <v>865</v>
      </c>
      <c r="B4091" s="0" t="s">
        <v>63</v>
      </c>
      <c r="C4091" s="0" t="s">
        <v>64</v>
      </c>
      <c r="D4091" s="0" t="n">
        <v>3</v>
      </c>
      <c r="E4091" s="5" t="n">
        <v>45994.5648958333</v>
      </c>
      <c r="F4091" s="0" t="n">
        <v>1.85</v>
      </c>
      <c r="G4091" s="0" t="n">
        <v>17056</v>
      </c>
      <c r="H4091" s="6" t="s">
        <v>74</v>
      </c>
      <c r="I4091" s="6" t="n">
        <f aca="false">D4091*F4091</f>
        <v>5.55</v>
      </c>
      <c r="J4091" s="6" t="n">
        <f aca="false">HOUR(E4091)</f>
        <v>13</v>
      </c>
      <c r="K4091" s="6" t="n">
        <f aca="false">IF(COUNTIF($A$2:$A4091,A4091)=1,1,0)</f>
        <v>0</v>
      </c>
    </row>
    <row r="4092" customFormat="false" ht="15" hidden="false" customHeight="false" outlineLevel="0" collapsed="false">
      <c r="A4092" s="0" t="s">
        <v>866</v>
      </c>
      <c r="B4092" s="0" t="s">
        <v>53</v>
      </c>
      <c r="C4092" s="0" t="s">
        <v>54</v>
      </c>
      <c r="D4092" s="0" t="n">
        <v>16</v>
      </c>
      <c r="E4092" s="5" t="n">
        <v>45994.610474537</v>
      </c>
      <c r="F4092" s="0" t="n">
        <v>2.95</v>
      </c>
      <c r="G4092" s="0" t="n">
        <v>17002</v>
      </c>
      <c r="H4092" s="6" t="s">
        <v>74</v>
      </c>
      <c r="I4092" s="6" t="n">
        <f aca="false">D4092*F4092</f>
        <v>47.2</v>
      </c>
      <c r="J4092" s="6" t="n">
        <f aca="false">HOUR(E4092)</f>
        <v>14</v>
      </c>
      <c r="K4092" s="6" t="n">
        <f aca="false">IF(COUNTIF($A$2:$A4092,A4092)=1,1,0)</f>
        <v>1</v>
      </c>
    </row>
    <row r="4093" customFormat="false" ht="15" hidden="false" customHeight="false" outlineLevel="0" collapsed="false">
      <c r="A4093" s="0" t="s">
        <v>866</v>
      </c>
      <c r="B4093" s="0" t="s">
        <v>107</v>
      </c>
      <c r="C4093" s="0" t="s">
        <v>108</v>
      </c>
      <c r="D4093" s="0" t="n">
        <v>2</v>
      </c>
      <c r="E4093" s="5" t="n">
        <v>45994.610474537</v>
      </c>
      <c r="F4093" s="0" t="n">
        <v>3.75</v>
      </c>
      <c r="G4093" s="0" t="n">
        <v>17002</v>
      </c>
      <c r="H4093" s="6" t="s">
        <v>74</v>
      </c>
      <c r="I4093" s="6" t="n">
        <f aca="false">D4093*F4093</f>
        <v>7.5</v>
      </c>
      <c r="J4093" s="6" t="n">
        <f aca="false">HOUR(E4093)</f>
        <v>14</v>
      </c>
      <c r="K4093" s="6" t="n">
        <f aca="false">IF(COUNTIF($A$2:$A4093,A4093)=1,1,0)</f>
        <v>0</v>
      </c>
    </row>
    <row r="4094" customFormat="false" ht="15" hidden="false" customHeight="false" outlineLevel="0" collapsed="false">
      <c r="A4094" s="0" t="s">
        <v>866</v>
      </c>
      <c r="B4094" s="0" t="s">
        <v>104</v>
      </c>
      <c r="C4094" s="0" t="s">
        <v>105</v>
      </c>
      <c r="D4094" s="0" t="n">
        <v>22</v>
      </c>
      <c r="E4094" s="5" t="n">
        <v>45994.610474537</v>
      </c>
      <c r="F4094" s="0" t="n">
        <v>1.65</v>
      </c>
      <c r="G4094" s="0" t="n">
        <v>17002</v>
      </c>
      <c r="H4094" s="6" t="s">
        <v>74</v>
      </c>
      <c r="I4094" s="6" t="n">
        <f aca="false">D4094*F4094</f>
        <v>36.3</v>
      </c>
      <c r="J4094" s="6" t="n">
        <f aca="false">HOUR(E4094)</f>
        <v>14</v>
      </c>
      <c r="K4094" s="6" t="n">
        <f aca="false">IF(COUNTIF($A$2:$A4094,A4094)=1,1,0)</f>
        <v>0</v>
      </c>
    </row>
    <row r="4095" customFormat="false" ht="15" hidden="false" customHeight="false" outlineLevel="0" collapsed="false">
      <c r="A4095" s="0" t="s">
        <v>866</v>
      </c>
      <c r="B4095" s="0" t="s">
        <v>86</v>
      </c>
      <c r="C4095" s="0" t="s">
        <v>87</v>
      </c>
      <c r="D4095" s="0" t="n">
        <v>6</v>
      </c>
      <c r="E4095" s="5" t="n">
        <v>45994.610474537</v>
      </c>
      <c r="F4095" s="0" t="n">
        <v>4.25</v>
      </c>
      <c r="G4095" s="0" t="n">
        <v>17002</v>
      </c>
      <c r="H4095" s="6" t="s">
        <v>74</v>
      </c>
      <c r="I4095" s="6" t="n">
        <f aca="false">D4095*F4095</f>
        <v>25.5</v>
      </c>
      <c r="J4095" s="6" t="n">
        <f aca="false">HOUR(E4095)</f>
        <v>14</v>
      </c>
      <c r="K4095" s="6" t="n">
        <f aca="false">IF(COUNTIF($A$2:$A4095,A4095)=1,1,0)</f>
        <v>0</v>
      </c>
    </row>
    <row r="4096" customFormat="false" ht="15" hidden="false" customHeight="false" outlineLevel="0" collapsed="false">
      <c r="A4096" s="0" t="s">
        <v>866</v>
      </c>
      <c r="B4096" s="0" t="s">
        <v>72</v>
      </c>
      <c r="C4096" s="0" t="s">
        <v>73</v>
      </c>
      <c r="D4096" s="0" t="n">
        <v>9</v>
      </c>
      <c r="E4096" s="5" t="n">
        <v>45994.610474537</v>
      </c>
      <c r="F4096" s="0" t="n">
        <v>4.95</v>
      </c>
      <c r="G4096" s="0" t="n">
        <v>17002</v>
      </c>
      <c r="H4096" s="6" t="s">
        <v>74</v>
      </c>
      <c r="I4096" s="6" t="n">
        <f aca="false">D4096*F4096</f>
        <v>44.55</v>
      </c>
      <c r="J4096" s="6" t="n">
        <f aca="false">HOUR(E4096)</f>
        <v>14</v>
      </c>
      <c r="K4096" s="6" t="n">
        <f aca="false">IF(COUNTIF($A$2:$A4096,A4096)=1,1,0)</f>
        <v>0</v>
      </c>
    </row>
    <row r="4097" customFormat="false" ht="15" hidden="false" customHeight="false" outlineLevel="0" collapsed="false">
      <c r="A4097" s="0" t="s">
        <v>866</v>
      </c>
      <c r="B4097" s="0" t="s">
        <v>63</v>
      </c>
      <c r="C4097" s="0" t="s">
        <v>64</v>
      </c>
      <c r="D4097" s="0" t="n">
        <v>5</v>
      </c>
      <c r="E4097" s="5" t="n">
        <v>45994.610474537</v>
      </c>
      <c r="F4097" s="0" t="n">
        <v>1.85</v>
      </c>
      <c r="G4097" s="0" t="n">
        <v>17002</v>
      </c>
      <c r="H4097" s="6" t="s">
        <v>74</v>
      </c>
      <c r="I4097" s="6" t="n">
        <f aca="false">D4097*F4097</f>
        <v>9.25</v>
      </c>
      <c r="J4097" s="6" t="n">
        <f aca="false">HOUR(E4097)</f>
        <v>14</v>
      </c>
      <c r="K4097" s="6" t="n">
        <f aca="false">IF(COUNTIF($A$2:$A4097,A4097)=1,1,0)</f>
        <v>0</v>
      </c>
    </row>
    <row r="4098" customFormat="false" ht="15" hidden="false" customHeight="false" outlineLevel="0" collapsed="false">
      <c r="A4098" s="0" t="s">
        <v>866</v>
      </c>
      <c r="B4098" s="0" t="s">
        <v>50</v>
      </c>
      <c r="C4098" s="0" t="s">
        <v>51</v>
      </c>
      <c r="D4098" s="0" t="n">
        <v>15</v>
      </c>
      <c r="E4098" s="5" t="n">
        <v>45994.610474537</v>
      </c>
      <c r="F4098" s="0" t="n">
        <v>5.95</v>
      </c>
      <c r="G4098" s="0" t="n">
        <v>17002</v>
      </c>
      <c r="H4098" s="6" t="s">
        <v>74</v>
      </c>
      <c r="I4098" s="6" t="n">
        <f aca="false">D4098*F4098</f>
        <v>89.25</v>
      </c>
      <c r="J4098" s="6" t="n">
        <f aca="false">HOUR(E4098)</f>
        <v>14</v>
      </c>
      <c r="K4098" s="6" t="n">
        <f aca="false">IF(COUNTIF($A$2:$A4098,A4098)=1,1,0)</f>
        <v>0</v>
      </c>
    </row>
    <row r="4099" customFormat="false" ht="15" hidden="false" customHeight="false" outlineLevel="0" collapsed="false">
      <c r="A4099" s="0" t="s">
        <v>866</v>
      </c>
      <c r="B4099" s="0" t="s">
        <v>59</v>
      </c>
      <c r="C4099" s="0" t="s">
        <v>60</v>
      </c>
      <c r="D4099" s="0" t="n">
        <v>9</v>
      </c>
      <c r="E4099" s="5" t="n">
        <v>45994.610474537</v>
      </c>
      <c r="F4099" s="0" t="n">
        <v>0.42</v>
      </c>
      <c r="G4099" s="0" t="n">
        <v>17002</v>
      </c>
      <c r="H4099" s="6" t="s">
        <v>74</v>
      </c>
      <c r="I4099" s="6" t="n">
        <f aca="false">D4099*F4099</f>
        <v>3.78</v>
      </c>
      <c r="J4099" s="6" t="n">
        <f aca="false">HOUR(E4099)</f>
        <v>14</v>
      </c>
      <c r="K4099" s="6" t="n">
        <f aca="false">IF(COUNTIF($A$2:$A4099,A4099)=1,1,0)</f>
        <v>0</v>
      </c>
    </row>
    <row r="4100" customFormat="false" ht="15" hidden="false" customHeight="false" outlineLevel="0" collapsed="false">
      <c r="A4100" s="0" t="s">
        <v>866</v>
      </c>
      <c r="B4100" s="0" t="s">
        <v>40</v>
      </c>
      <c r="C4100" s="0" t="s">
        <v>41</v>
      </c>
      <c r="D4100" s="0" t="n">
        <v>10</v>
      </c>
      <c r="E4100" s="5" t="n">
        <v>45994.610474537</v>
      </c>
      <c r="F4100" s="0" t="n">
        <v>1.06</v>
      </c>
      <c r="G4100" s="0" t="n">
        <v>17002</v>
      </c>
      <c r="H4100" s="6" t="s">
        <v>74</v>
      </c>
      <c r="I4100" s="6" t="n">
        <f aca="false">D4100*F4100</f>
        <v>10.6</v>
      </c>
      <c r="J4100" s="6" t="n">
        <f aca="false">HOUR(E4100)</f>
        <v>14</v>
      </c>
      <c r="K4100" s="6" t="n">
        <f aca="false">IF(COUNTIF($A$2:$A4100,A4100)=1,1,0)</f>
        <v>0</v>
      </c>
    </row>
    <row r="4101" customFormat="false" ht="15" hidden="false" customHeight="false" outlineLevel="0" collapsed="false">
      <c r="A4101" s="0" t="s">
        <v>867</v>
      </c>
      <c r="B4101" s="0" t="s">
        <v>83</v>
      </c>
      <c r="C4101" s="0" t="s">
        <v>84</v>
      </c>
      <c r="D4101" s="0" t="n">
        <v>13</v>
      </c>
      <c r="E4101" s="5" t="n">
        <v>45994.6313773148</v>
      </c>
      <c r="F4101" s="0" t="n">
        <v>2.95</v>
      </c>
      <c r="G4101" s="0" t="n">
        <v>17143</v>
      </c>
      <c r="H4101" s="6" t="s">
        <v>74</v>
      </c>
      <c r="I4101" s="6" t="n">
        <f aca="false">D4101*F4101</f>
        <v>38.35</v>
      </c>
      <c r="J4101" s="6" t="n">
        <f aca="false">HOUR(E4101)</f>
        <v>15</v>
      </c>
      <c r="K4101" s="6" t="n">
        <f aca="false">IF(COUNTIF($A$2:$A4101,A4101)=1,1,0)</f>
        <v>1</v>
      </c>
    </row>
    <row r="4102" customFormat="false" ht="15" hidden="false" customHeight="false" outlineLevel="0" collapsed="false">
      <c r="A4102" s="0" t="s">
        <v>867</v>
      </c>
      <c r="B4102" s="0" t="s">
        <v>75</v>
      </c>
      <c r="C4102" s="0" t="s">
        <v>76</v>
      </c>
      <c r="D4102" s="0" t="n">
        <v>5</v>
      </c>
      <c r="E4102" s="5" t="n">
        <v>45994.6313773148</v>
      </c>
      <c r="F4102" s="0" t="n">
        <v>3.39</v>
      </c>
      <c r="G4102" s="0" t="n">
        <v>17143</v>
      </c>
      <c r="H4102" s="6" t="s">
        <v>74</v>
      </c>
      <c r="I4102" s="6" t="n">
        <f aca="false">D4102*F4102</f>
        <v>16.95</v>
      </c>
      <c r="J4102" s="6" t="n">
        <f aca="false">HOUR(E4102)</f>
        <v>15</v>
      </c>
      <c r="K4102" s="6" t="n">
        <f aca="false">IF(COUNTIF($A$2:$A4102,A4102)=1,1,0)</f>
        <v>0</v>
      </c>
    </row>
    <row r="4103" customFormat="false" ht="15" hidden="false" customHeight="false" outlineLevel="0" collapsed="false">
      <c r="A4103" s="0" t="s">
        <v>867</v>
      </c>
      <c r="B4103" s="0" t="s">
        <v>121</v>
      </c>
      <c r="C4103" s="0" t="s">
        <v>122</v>
      </c>
      <c r="D4103" s="0" t="n">
        <v>5</v>
      </c>
      <c r="E4103" s="5" t="n">
        <v>45994.6313773148</v>
      </c>
      <c r="F4103" s="0" t="n">
        <v>2.1</v>
      </c>
      <c r="G4103" s="0" t="n">
        <v>17143</v>
      </c>
      <c r="H4103" s="6" t="s">
        <v>74</v>
      </c>
      <c r="I4103" s="6" t="n">
        <f aca="false">D4103*F4103</f>
        <v>10.5</v>
      </c>
      <c r="J4103" s="6" t="n">
        <f aca="false">HOUR(E4103)</f>
        <v>15</v>
      </c>
      <c r="K4103" s="6" t="n">
        <f aca="false">IF(COUNTIF($A$2:$A4103,A4103)=1,1,0)</f>
        <v>0</v>
      </c>
    </row>
    <row r="4104" customFormat="false" ht="15" hidden="false" customHeight="false" outlineLevel="0" collapsed="false">
      <c r="A4104" s="0" t="s">
        <v>867</v>
      </c>
      <c r="B4104" s="0" t="s">
        <v>125</v>
      </c>
      <c r="C4104" s="0" t="s">
        <v>126</v>
      </c>
      <c r="D4104" s="0" t="n">
        <v>10</v>
      </c>
      <c r="E4104" s="5" t="n">
        <v>45994.6313773148</v>
      </c>
      <c r="F4104" s="0" t="n">
        <v>1.25</v>
      </c>
      <c r="G4104" s="0" t="n">
        <v>17143</v>
      </c>
      <c r="H4104" s="6" t="s">
        <v>74</v>
      </c>
      <c r="I4104" s="6" t="n">
        <f aca="false">D4104*F4104</f>
        <v>12.5</v>
      </c>
      <c r="J4104" s="6" t="n">
        <f aca="false">HOUR(E4104)</f>
        <v>15</v>
      </c>
      <c r="K4104" s="6" t="n">
        <f aca="false">IF(COUNTIF($A$2:$A4104,A4104)=1,1,0)</f>
        <v>0</v>
      </c>
    </row>
    <row r="4105" customFormat="false" ht="15" hidden="false" customHeight="false" outlineLevel="0" collapsed="false">
      <c r="A4105" s="0" t="s">
        <v>867</v>
      </c>
      <c r="B4105" s="0" t="s">
        <v>116</v>
      </c>
      <c r="C4105" s="0" t="s">
        <v>117</v>
      </c>
      <c r="D4105" s="0" t="n">
        <v>5</v>
      </c>
      <c r="E4105" s="5" t="n">
        <v>45994.6313773148</v>
      </c>
      <c r="F4105" s="0" t="n">
        <v>1.95</v>
      </c>
      <c r="G4105" s="0" t="n">
        <v>17143</v>
      </c>
      <c r="H4105" s="6" t="s">
        <v>74</v>
      </c>
      <c r="I4105" s="6" t="n">
        <f aca="false">D4105*F4105</f>
        <v>9.75</v>
      </c>
      <c r="J4105" s="6" t="n">
        <f aca="false">HOUR(E4105)</f>
        <v>15</v>
      </c>
      <c r="K4105" s="6" t="n">
        <f aca="false">IF(COUNTIF($A$2:$A4105,A4105)=1,1,0)</f>
        <v>0</v>
      </c>
    </row>
    <row r="4106" customFormat="false" ht="15" hidden="false" customHeight="false" outlineLevel="0" collapsed="false">
      <c r="A4106" s="0" t="s">
        <v>867</v>
      </c>
      <c r="B4106" s="0" t="s">
        <v>109</v>
      </c>
      <c r="C4106" s="0" t="s">
        <v>110</v>
      </c>
      <c r="D4106" s="0" t="n">
        <v>8</v>
      </c>
      <c r="E4106" s="5" t="n">
        <v>45994.6313773148</v>
      </c>
      <c r="F4106" s="0" t="n">
        <v>0.85</v>
      </c>
      <c r="G4106" s="0" t="n">
        <v>17143</v>
      </c>
      <c r="H4106" s="6" t="s">
        <v>74</v>
      </c>
      <c r="I4106" s="6" t="n">
        <f aca="false">D4106*F4106</f>
        <v>6.8</v>
      </c>
      <c r="J4106" s="6" t="n">
        <f aca="false">HOUR(E4106)</f>
        <v>15</v>
      </c>
      <c r="K4106" s="6" t="n">
        <f aca="false">IF(COUNTIF($A$2:$A4106,A4106)=1,1,0)</f>
        <v>0</v>
      </c>
    </row>
    <row r="4107" customFormat="false" ht="15" hidden="false" customHeight="false" outlineLevel="0" collapsed="false">
      <c r="A4107" s="0" t="s">
        <v>867</v>
      </c>
      <c r="B4107" s="0" t="s">
        <v>63</v>
      </c>
      <c r="C4107" s="0" t="s">
        <v>64</v>
      </c>
      <c r="D4107" s="0" t="n">
        <v>15</v>
      </c>
      <c r="E4107" s="5" t="n">
        <v>45994.6313773148</v>
      </c>
      <c r="F4107" s="0" t="n">
        <v>1.85</v>
      </c>
      <c r="G4107" s="0" t="n">
        <v>17143</v>
      </c>
      <c r="H4107" s="6" t="s">
        <v>74</v>
      </c>
      <c r="I4107" s="6" t="n">
        <f aca="false">D4107*F4107</f>
        <v>27.75</v>
      </c>
      <c r="J4107" s="6" t="n">
        <f aca="false">HOUR(E4107)</f>
        <v>15</v>
      </c>
      <c r="K4107" s="6" t="n">
        <f aca="false">IF(COUNTIF($A$2:$A4107,A4107)=1,1,0)</f>
        <v>0</v>
      </c>
    </row>
    <row r="4108" customFormat="false" ht="15" hidden="false" customHeight="false" outlineLevel="0" collapsed="false">
      <c r="A4108" s="0" t="s">
        <v>868</v>
      </c>
      <c r="B4108" s="0" t="s">
        <v>59</v>
      </c>
      <c r="C4108" s="0" t="s">
        <v>60</v>
      </c>
      <c r="D4108" s="0" t="n">
        <v>23</v>
      </c>
      <c r="E4108" s="5" t="n">
        <v>45994.6330324074</v>
      </c>
      <c r="F4108" s="0" t="n">
        <v>0.42</v>
      </c>
      <c r="G4108" s="0" t="n">
        <v>17060</v>
      </c>
      <c r="H4108" s="6" t="s">
        <v>74</v>
      </c>
      <c r="I4108" s="6" t="n">
        <f aca="false">D4108*F4108</f>
        <v>9.66</v>
      </c>
      <c r="J4108" s="6" t="n">
        <f aca="false">HOUR(E4108)</f>
        <v>15</v>
      </c>
      <c r="K4108" s="6" t="n">
        <f aca="false">IF(COUNTIF($A$2:$A4108,A4108)=1,1,0)</f>
        <v>1</v>
      </c>
    </row>
    <row r="4109" customFormat="false" ht="15" hidden="false" customHeight="false" outlineLevel="0" collapsed="false">
      <c r="A4109" s="0" t="s">
        <v>868</v>
      </c>
      <c r="B4109" s="0" t="s">
        <v>47</v>
      </c>
      <c r="C4109" s="0" t="s">
        <v>48</v>
      </c>
      <c r="D4109" s="0" t="n">
        <v>47</v>
      </c>
      <c r="E4109" s="5" t="n">
        <v>45994.6330324074</v>
      </c>
      <c r="F4109" s="0" t="n">
        <v>12.75</v>
      </c>
      <c r="G4109" s="0" t="n">
        <v>17060</v>
      </c>
      <c r="H4109" s="6" t="s">
        <v>74</v>
      </c>
      <c r="I4109" s="6" t="n">
        <f aca="false">D4109*F4109</f>
        <v>599.25</v>
      </c>
      <c r="J4109" s="6" t="n">
        <f aca="false">HOUR(E4109)</f>
        <v>15</v>
      </c>
      <c r="K4109" s="6" t="n">
        <f aca="false">IF(COUNTIF($A$2:$A4109,A4109)=1,1,0)</f>
        <v>0</v>
      </c>
    </row>
    <row r="4110" customFormat="false" ht="15" hidden="false" customHeight="false" outlineLevel="0" collapsed="false">
      <c r="A4110" s="0" t="s">
        <v>868</v>
      </c>
      <c r="B4110" s="0" t="s">
        <v>131</v>
      </c>
      <c r="C4110" s="0" t="s">
        <v>132</v>
      </c>
      <c r="D4110" s="0" t="n">
        <v>6</v>
      </c>
      <c r="E4110" s="5" t="n">
        <v>45994.6330324074</v>
      </c>
      <c r="F4110" s="0" t="n">
        <v>3.39</v>
      </c>
      <c r="G4110" s="0" t="n">
        <v>17060</v>
      </c>
      <c r="H4110" s="6" t="s">
        <v>74</v>
      </c>
      <c r="I4110" s="6" t="n">
        <f aca="false">D4110*F4110</f>
        <v>20.34</v>
      </c>
      <c r="J4110" s="6" t="n">
        <f aca="false">HOUR(E4110)</f>
        <v>15</v>
      </c>
      <c r="K4110" s="6" t="n">
        <f aca="false">IF(COUNTIF($A$2:$A4110,A4110)=1,1,0)</f>
        <v>0</v>
      </c>
    </row>
    <row r="4111" customFormat="false" ht="15" hidden="false" customHeight="false" outlineLevel="0" collapsed="false">
      <c r="A4111" s="0" t="s">
        <v>868</v>
      </c>
      <c r="B4111" s="0" t="s">
        <v>57</v>
      </c>
      <c r="C4111" s="0" t="s">
        <v>58</v>
      </c>
      <c r="D4111" s="0" t="n">
        <v>6</v>
      </c>
      <c r="E4111" s="5" t="n">
        <v>45994.6330324074</v>
      </c>
      <c r="F4111" s="0" t="n">
        <v>2.08</v>
      </c>
      <c r="G4111" s="0" t="n">
        <v>17060</v>
      </c>
      <c r="H4111" s="6" t="s">
        <v>74</v>
      </c>
      <c r="I4111" s="6" t="n">
        <f aca="false">D4111*F4111</f>
        <v>12.48</v>
      </c>
      <c r="J4111" s="6" t="n">
        <f aca="false">HOUR(E4111)</f>
        <v>15</v>
      </c>
      <c r="K4111" s="6" t="n">
        <f aca="false">IF(COUNTIF($A$2:$A4111,A4111)=1,1,0)</f>
        <v>0</v>
      </c>
    </row>
    <row r="4112" customFormat="false" ht="15" hidden="false" customHeight="false" outlineLevel="0" collapsed="false">
      <c r="A4112" s="0" t="s">
        <v>868</v>
      </c>
      <c r="B4112" s="0" t="s">
        <v>127</v>
      </c>
      <c r="C4112" s="0" t="s">
        <v>128</v>
      </c>
      <c r="D4112" s="0" t="n">
        <v>10</v>
      </c>
      <c r="E4112" s="5" t="n">
        <v>45994.6330324074</v>
      </c>
      <c r="F4112" s="0" t="n">
        <v>1.45</v>
      </c>
      <c r="G4112" s="0" t="n">
        <v>17060</v>
      </c>
      <c r="H4112" s="6" t="s">
        <v>74</v>
      </c>
      <c r="I4112" s="6" t="n">
        <f aca="false">D4112*F4112</f>
        <v>14.5</v>
      </c>
      <c r="J4112" s="6" t="n">
        <f aca="false">HOUR(E4112)</f>
        <v>15</v>
      </c>
      <c r="K4112" s="6" t="n">
        <f aca="false">IF(COUNTIF($A$2:$A4112,A4112)=1,1,0)</f>
        <v>0</v>
      </c>
    </row>
    <row r="4113" customFormat="false" ht="15" hidden="false" customHeight="false" outlineLevel="0" collapsed="false">
      <c r="A4113" s="0" t="s">
        <v>868</v>
      </c>
      <c r="B4113" s="0" t="s">
        <v>102</v>
      </c>
      <c r="C4113" s="0" t="s">
        <v>103</v>
      </c>
      <c r="D4113" s="0" t="n">
        <v>43</v>
      </c>
      <c r="E4113" s="5" t="n">
        <v>45994.6330324074</v>
      </c>
      <c r="F4113" s="0" t="n">
        <v>8.5</v>
      </c>
      <c r="G4113" s="0" t="n">
        <v>17060</v>
      </c>
      <c r="H4113" s="6" t="s">
        <v>74</v>
      </c>
      <c r="I4113" s="6" t="n">
        <f aca="false">D4113*F4113</f>
        <v>365.5</v>
      </c>
      <c r="J4113" s="6" t="n">
        <f aca="false">HOUR(E4113)</f>
        <v>15</v>
      </c>
      <c r="K4113" s="6" t="n">
        <f aca="false">IF(COUNTIF($A$2:$A4113,A4113)=1,1,0)</f>
        <v>0</v>
      </c>
    </row>
    <row r="4114" customFormat="false" ht="15" hidden="false" customHeight="false" outlineLevel="0" collapsed="false">
      <c r="A4114" s="0" t="s">
        <v>868</v>
      </c>
      <c r="B4114" s="0" t="s">
        <v>145</v>
      </c>
      <c r="C4114" s="0" t="s">
        <v>146</v>
      </c>
      <c r="D4114" s="0" t="n">
        <v>20</v>
      </c>
      <c r="E4114" s="5" t="n">
        <v>45994.6330324074</v>
      </c>
      <c r="F4114" s="0" t="n">
        <v>1.85</v>
      </c>
      <c r="G4114" s="0" t="n">
        <v>17060</v>
      </c>
      <c r="H4114" s="6" t="s">
        <v>74</v>
      </c>
      <c r="I4114" s="6" t="n">
        <f aca="false">D4114*F4114</f>
        <v>37</v>
      </c>
      <c r="J4114" s="6" t="n">
        <f aca="false">HOUR(E4114)</f>
        <v>15</v>
      </c>
      <c r="K4114" s="6" t="n">
        <f aca="false">IF(COUNTIF($A$2:$A4114,A4114)=1,1,0)</f>
        <v>0</v>
      </c>
    </row>
    <row r="4115" customFormat="false" ht="15" hidden="false" customHeight="false" outlineLevel="0" collapsed="false">
      <c r="A4115" s="0" t="s">
        <v>869</v>
      </c>
      <c r="B4115" s="0" t="s">
        <v>95</v>
      </c>
      <c r="C4115" s="0" t="s">
        <v>96</v>
      </c>
      <c r="D4115" s="0" t="n">
        <v>44</v>
      </c>
      <c r="E4115" s="5" t="n">
        <v>45994.6723842593</v>
      </c>
      <c r="F4115" s="0" t="n">
        <v>2.55</v>
      </c>
      <c r="G4115" s="0" t="n">
        <v>17154</v>
      </c>
      <c r="H4115" s="6" t="s">
        <v>98</v>
      </c>
      <c r="I4115" s="6" t="n">
        <f aca="false">D4115*F4115</f>
        <v>112.2</v>
      </c>
      <c r="J4115" s="6" t="n">
        <f aca="false">HOUR(E4115)</f>
        <v>16</v>
      </c>
      <c r="K4115" s="6" t="n">
        <f aca="false">IF(COUNTIF($A$2:$A4115,A4115)=1,1,0)</f>
        <v>1</v>
      </c>
    </row>
    <row r="4116" customFormat="false" ht="15" hidden="false" customHeight="false" outlineLevel="0" collapsed="false">
      <c r="A4116" s="0" t="s">
        <v>869</v>
      </c>
      <c r="B4116" s="0" t="s">
        <v>116</v>
      </c>
      <c r="C4116" s="0" t="s">
        <v>117</v>
      </c>
      <c r="D4116" s="0" t="n">
        <v>7</v>
      </c>
      <c r="E4116" s="5" t="n">
        <v>45994.6723842593</v>
      </c>
      <c r="F4116" s="0" t="n">
        <v>1.95</v>
      </c>
      <c r="G4116" s="0" t="n">
        <v>17154</v>
      </c>
      <c r="H4116" s="6" t="s">
        <v>98</v>
      </c>
      <c r="I4116" s="6" t="n">
        <f aca="false">D4116*F4116</f>
        <v>13.65</v>
      </c>
      <c r="J4116" s="6" t="n">
        <f aca="false">HOUR(E4116)</f>
        <v>16</v>
      </c>
      <c r="K4116" s="6" t="n">
        <f aca="false">IF(COUNTIF($A$2:$A4116,A4116)=1,1,0)</f>
        <v>0</v>
      </c>
    </row>
    <row r="4117" customFormat="false" ht="15" hidden="false" customHeight="false" outlineLevel="0" collapsed="false">
      <c r="A4117" s="0" t="s">
        <v>869</v>
      </c>
      <c r="B4117" s="0" t="s">
        <v>107</v>
      </c>
      <c r="C4117" s="0" t="s">
        <v>108</v>
      </c>
      <c r="D4117" s="0" t="n">
        <v>1</v>
      </c>
      <c r="E4117" s="5" t="n">
        <v>45994.6723842593</v>
      </c>
      <c r="F4117" s="0" t="n">
        <v>3.75</v>
      </c>
      <c r="G4117" s="0" t="n">
        <v>17154</v>
      </c>
      <c r="H4117" s="6" t="s">
        <v>98</v>
      </c>
      <c r="I4117" s="6" t="n">
        <f aca="false">D4117*F4117</f>
        <v>3.75</v>
      </c>
      <c r="J4117" s="6" t="n">
        <f aca="false">HOUR(E4117)</f>
        <v>16</v>
      </c>
      <c r="K4117" s="6" t="n">
        <f aca="false">IF(COUNTIF($A$2:$A4117,A4117)=1,1,0)</f>
        <v>0</v>
      </c>
    </row>
    <row r="4118" customFormat="false" ht="15" hidden="false" customHeight="false" outlineLevel="0" collapsed="false">
      <c r="A4118" s="0" t="s">
        <v>869</v>
      </c>
      <c r="B4118" s="0" t="s">
        <v>63</v>
      </c>
      <c r="C4118" s="0" t="s">
        <v>64</v>
      </c>
      <c r="D4118" s="0" t="n">
        <v>15</v>
      </c>
      <c r="E4118" s="5" t="n">
        <v>45994.6723842593</v>
      </c>
      <c r="F4118" s="0" t="n">
        <v>1.85</v>
      </c>
      <c r="G4118" s="0" t="n">
        <v>17154</v>
      </c>
      <c r="H4118" s="6" t="s">
        <v>98</v>
      </c>
      <c r="I4118" s="6" t="n">
        <f aca="false">D4118*F4118</f>
        <v>27.75</v>
      </c>
      <c r="J4118" s="6" t="n">
        <f aca="false">HOUR(E4118)</f>
        <v>16</v>
      </c>
      <c r="K4118" s="6" t="n">
        <f aca="false">IF(COUNTIF($A$2:$A4118,A4118)=1,1,0)</f>
        <v>0</v>
      </c>
    </row>
    <row r="4119" customFormat="false" ht="15" hidden="false" customHeight="false" outlineLevel="0" collapsed="false">
      <c r="A4119" s="0" t="s">
        <v>869</v>
      </c>
      <c r="B4119" s="0" t="s">
        <v>109</v>
      </c>
      <c r="C4119" s="0" t="s">
        <v>110</v>
      </c>
      <c r="D4119" s="0" t="n">
        <v>17</v>
      </c>
      <c r="E4119" s="5" t="n">
        <v>45994.6723842593</v>
      </c>
      <c r="F4119" s="0" t="n">
        <v>0.85</v>
      </c>
      <c r="G4119" s="0" t="n">
        <v>17154</v>
      </c>
      <c r="H4119" s="6" t="s">
        <v>98</v>
      </c>
      <c r="I4119" s="6" t="n">
        <f aca="false">D4119*F4119</f>
        <v>14.45</v>
      </c>
      <c r="J4119" s="6" t="n">
        <f aca="false">HOUR(E4119)</f>
        <v>16</v>
      </c>
      <c r="K4119" s="6" t="n">
        <f aca="false">IF(COUNTIF($A$2:$A4119,A4119)=1,1,0)</f>
        <v>0</v>
      </c>
    </row>
    <row r="4120" customFormat="false" ht="15" hidden="false" customHeight="false" outlineLevel="0" collapsed="false">
      <c r="A4120" s="0" t="s">
        <v>870</v>
      </c>
      <c r="B4120" s="0" t="s">
        <v>99</v>
      </c>
      <c r="C4120" s="0" t="s">
        <v>100</v>
      </c>
      <c r="D4120" s="0" t="n">
        <v>20</v>
      </c>
      <c r="E4120" s="5" t="n">
        <v>45994.6935069444</v>
      </c>
      <c r="F4120" s="0" t="n">
        <v>2.08</v>
      </c>
      <c r="G4120" s="0" t="n">
        <v>17003</v>
      </c>
      <c r="H4120" s="6" t="s">
        <v>74</v>
      </c>
      <c r="I4120" s="6" t="n">
        <f aca="false">D4120*F4120</f>
        <v>41.6</v>
      </c>
      <c r="J4120" s="6" t="n">
        <f aca="false">HOUR(E4120)</f>
        <v>16</v>
      </c>
      <c r="K4120" s="6" t="n">
        <f aca="false">IF(COUNTIF($A$2:$A4120,A4120)=1,1,0)</f>
        <v>1</v>
      </c>
    </row>
    <row r="4121" customFormat="false" ht="15" hidden="false" customHeight="false" outlineLevel="0" collapsed="false">
      <c r="A4121" s="0" t="s">
        <v>870</v>
      </c>
      <c r="B4121" s="0" t="s">
        <v>69</v>
      </c>
      <c r="C4121" s="0" t="s">
        <v>70</v>
      </c>
      <c r="D4121" s="0" t="n">
        <v>36</v>
      </c>
      <c r="E4121" s="5" t="n">
        <v>45994.6935069444</v>
      </c>
      <c r="F4121" s="0" t="n">
        <v>2.08</v>
      </c>
      <c r="G4121" s="0" t="n">
        <v>17003</v>
      </c>
      <c r="H4121" s="6" t="s">
        <v>74</v>
      </c>
      <c r="I4121" s="6" t="n">
        <f aca="false">D4121*F4121</f>
        <v>74.88</v>
      </c>
      <c r="J4121" s="6" t="n">
        <f aca="false">HOUR(E4121)</f>
        <v>16</v>
      </c>
      <c r="K4121" s="6" t="n">
        <f aca="false">IF(COUNTIF($A$2:$A4121,A4121)=1,1,0)</f>
        <v>0</v>
      </c>
    </row>
    <row r="4122" customFormat="false" ht="15" hidden="false" customHeight="false" outlineLevel="0" collapsed="false">
      <c r="A4122" s="0" t="s">
        <v>870</v>
      </c>
      <c r="B4122" s="0" t="s">
        <v>116</v>
      </c>
      <c r="C4122" s="0" t="s">
        <v>117</v>
      </c>
      <c r="D4122" s="0" t="n">
        <v>13</v>
      </c>
      <c r="E4122" s="5" t="n">
        <v>45994.6935069444</v>
      </c>
      <c r="F4122" s="0" t="n">
        <v>1.95</v>
      </c>
      <c r="G4122" s="0" t="n">
        <v>17003</v>
      </c>
      <c r="H4122" s="6" t="s">
        <v>74</v>
      </c>
      <c r="I4122" s="6" t="n">
        <f aca="false">D4122*F4122</f>
        <v>25.35</v>
      </c>
      <c r="J4122" s="6" t="n">
        <f aca="false">HOUR(E4122)</f>
        <v>16</v>
      </c>
      <c r="K4122" s="6" t="n">
        <f aca="false">IF(COUNTIF($A$2:$A4122,A4122)=1,1,0)</f>
        <v>0</v>
      </c>
    </row>
    <row r="4123" customFormat="false" ht="15" hidden="false" customHeight="false" outlineLevel="0" collapsed="false">
      <c r="A4123" s="0" t="s">
        <v>870</v>
      </c>
      <c r="B4123" s="0" t="s">
        <v>127</v>
      </c>
      <c r="C4123" s="0" t="s">
        <v>128</v>
      </c>
      <c r="D4123" s="0" t="n">
        <v>8</v>
      </c>
      <c r="E4123" s="5" t="n">
        <v>45994.6935069444</v>
      </c>
      <c r="F4123" s="0" t="n">
        <v>1.45</v>
      </c>
      <c r="G4123" s="0" t="n">
        <v>17003</v>
      </c>
      <c r="H4123" s="6" t="s">
        <v>74</v>
      </c>
      <c r="I4123" s="6" t="n">
        <f aca="false">D4123*F4123</f>
        <v>11.6</v>
      </c>
      <c r="J4123" s="6" t="n">
        <f aca="false">HOUR(E4123)</f>
        <v>16</v>
      </c>
      <c r="K4123" s="6" t="n">
        <f aca="false">IF(COUNTIF($A$2:$A4123,A4123)=1,1,0)</f>
        <v>0</v>
      </c>
    </row>
    <row r="4124" customFormat="false" ht="15" hidden="false" customHeight="false" outlineLevel="0" collapsed="false">
      <c r="A4124" s="0" t="s">
        <v>870</v>
      </c>
      <c r="B4124" s="0" t="s">
        <v>102</v>
      </c>
      <c r="C4124" s="0" t="s">
        <v>103</v>
      </c>
      <c r="D4124" s="0" t="n">
        <v>37</v>
      </c>
      <c r="E4124" s="5" t="n">
        <v>45994.6935069444</v>
      </c>
      <c r="F4124" s="0" t="n">
        <v>8.5</v>
      </c>
      <c r="G4124" s="0" t="n">
        <v>17003</v>
      </c>
      <c r="H4124" s="6" t="s">
        <v>74</v>
      </c>
      <c r="I4124" s="6" t="n">
        <f aca="false">D4124*F4124</f>
        <v>314.5</v>
      </c>
      <c r="J4124" s="6" t="n">
        <f aca="false">HOUR(E4124)</f>
        <v>16</v>
      </c>
      <c r="K4124" s="6" t="n">
        <f aca="false">IF(COUNTIF($A$2:$A4124,A4124)=1,1,0)</f>
        <v>0</v>
      </c>
    </row>
    <row r="4125" customFormat="false" ht="15" hidden="false" customHeight="false" outlineLevel="0" collapsed="false">
      <c r="A4125" s="0" t="s">
        <v>870</v>
      </c>
      <c r="B4125" s="0" t="s">
        <v>134</v>
      </c>
      <c r="C4125" s="0" t="s">
        <v>135</v>
      </c>
      <c r="D4125" s="0" t="n">
        <v>10</v>
      </c>
      <c r="E4125" s="5" t="n">
        <v>45994.6935069444</v>
      </c>
      <c r="F4125" s="0" t="n">
        <v>5.95</v>
      </c>
      <c r="G4125" s="0" t="n">
        <v>17003</v>
      </c>
      <c r="H4125" s="6" t="s">
        <v>74</v>
      </c>
      <c r="I4125" s="6" t="n">
        <f aca="false">D4125*F4125</f>
        <v>59.5</v>
      </c>
      <c r="J4125" s="6" t="n">
        <f aca="false">HOUR(E4125)</f>
        <v>16</v>
      </c>
      <c r="K4125" s="6" t="n">
        <f aca="false">IF(COUNTIF($A$2:$A4125,A4125)=1,1,0)</f>
        <v>0</v>
      </c>
    </row>
    <row r="4126" customFormat="false" ht="15" hidden="false" customHeight="false" outlineLevel="0" collapsed="false">
      <c r="A4126" s="0" t="s">
        <v>870</v>
      </c>
      <c r="B4126" s="0" t="s">
        <v>145</v>
      </c>
      <c r="C4126" s="0" t="s">
        <v>146</v>
      </c>
      <c r="D4126" s="0" t="n">
        <v>9</v>
      </c>
      <c r="E4126" s="5" t="n">
        <v>45994.6935069444</v>
      </c>
      <c r="F4126" s="0" t="n">
        <v>1.85</v>
      </c>
      <c r="G4126" s="0" t="n">
        <v>17003</v>
      </c>
      <c r="H4126" s="6" t="s">
        <v>74</v>
      </c>
      <c r="I4126" s="6" t="n">
        <f aca="false">D4126*F4126</f>
        <v>16.65</v>
      </c>
      <c r="J4126" s="6" t="n">
        <f aca="false">HOUR(E4126)</f>
        <v>16</v>
      </c>
      <c r="K4126" s="6" t="n">
        <f aca="false">IF(COUNTIF($A$2:$A4126,A4126)=1,1,0)</f>
        <v>0</v>
      </c>
    </row>
    <row r="4127" customFormat="false" ht="15" hidden="false" customHeight="false" outlineLevel="0" collapsed="false">
      <c r="A4127" s="0" t="s">
        <v>871</v>
      </c>
      <c r="B4127" s="0" t="s">
        <v>99</v>
      </c>
      <c r="C4127" s="0" t="s">
        <v>100</v>
      </c>
      <c r="D4127" s="0" t="n">
        <v>23</v>
      </c>
      <c r="E4127" s="5" t="n">
        <v>45994.762037037</v>
      </c>
      <c r="F4127" s="0" t="n">
        <v>2.08</v>
      </c>
      <c r="G4127" s="0" t="n">
        <v>17066</v>
      </c>
      <c r="H4127" s="6" t="s">
        <v>74</v>
      </c>
      <c r="I4127" s="6" t="n">
        <f aca="false">D4127*F4127</f>
        <v>47.84</v>
      </c>
      <c r="J4127" s="6" t="n">
        <f aca="false">HOUR(E4127)</f>
        <v>18</v>
      </c>
      <c r="K4127" s="6" t="n">
        <f aca="false">IF(COUNTIF($A$2:$A4127,A4127)=1,1,0)</f>
        <v>1</v>
      </c>
    </row>
    <row r="4128" customFormat="false" ht="15" hidden="false" customHeight="false" outlineLevel="0" collapsed="false">
      <c r="A4128" s="0" t="s">
        <v>871</v>
      </c>
      <c r="B4128" s="0" t="s">
        <v>59</v>
      </c>
      <c r="C4128" s="0" t="s">
        <v>60</v>
      </c>
      <c r="D4128" s="0" t="n">
        <v>8</v>
      </c>
      <c r="E4128" s="5" t="n">
        <v>45994.762037037</v>
      </c>
      <c r="F4128" s="0" t="n">
        <v>0.42</v>
      </c>
      <c r="G4128" s="0" t="n">
        <v>17066</v>
      </c>
      <c r="H4128" s="6" t="s">
        <v>74</v>
      </c>
      <c r="I4128" s="6" t="n">
        <f aca="false">D4128*F4128</f>
        <v>3.36</v>
      </c>
      <c r="J4128" s="6" t="n">
        <f aca="false">HOUR(E4128)</f>
        <v>18</v>
      </c>
      <c r="K4128" s="6" t="n">
        <f aca="false">IF(COUNTIF($A$2:$A4128,A4128)=1,1,0)</f>
        <v>0</v>
      </c>
    </row>
    <row r="4129" customFormat="false" ht="15" hidden="false" customHeight="false" outlineLevel="0" collapsed="false">
      <c r="A4129" s="0" t="s">
        <v>871</v>
      </c>
      <c r="B4129" s="0" t="s">
        <v>121</v>
      </c>
      <c r="C4129" s="0" t="s">
        <v>122</v>
      </c>
      <c r="D4129" s="0" t="n">
        <v>24</v>
      </c>
      <c r="E4129" s="5" t="n">
        <v>45994.762037037</v>
      </c>
      <c r="F4129" s="0" t="n">
        <v>2.1</v>
      </c>
      <c r="G4129" s="0" t="n">
        <v>17066</v>
      </c>
      <c r="H4129" s="6" t="s">
        <v>74</v>
      </c>
      <c r="I4129" s="6" t="n">
        <f aca="false">D4129*F4129</f>
        <v>50.4</v>
      </c>
      <c r="J4129" s="6" t="n">
        <f aca="false">HOUR(E4129)</f>
        <v>18</v>
      </c>
      <c r="K4129" s="6" t="n">
        <f aca="false">IF(COUNTIF($A$2:$A4129,A4129)=1,1,0)</f>
        <v>0</v>
      </c>
    </row>
    <row r="4130" customFormat="false" ht="15" hidden="false" customHeight="false" outlineLevel="0" collapsed="false">
      <c r="A4130" s="0" t="s">
        <v>871</v>
      </c>
      <c r="B4130" s="0" t="s">
        <v>63</v>
      </c>
      <c r="C4130" s="0" t="s">
        <v>64</v>
      </c>
      <c r="D4130" s="0" t="n">
        <v>13</v>
      </c>
      <c r="E4130" s="5" t="n">
        <v>45994.762037037</v>
      </c>
      <c r="F4130" s="0" t="n">
        <v>1.85</v>
      </c>
      <c r="G4130" s="0" t="n">
        <v>17066</v>
      </c>
      <c r="H4130" s="6" t="s">
        <v>74</v>
      </c>
      <c r="I4130" s="6" t="n">
        <f aca="false">D4130*F4130</f>
        <v>24.05</v>
      </c>
      <c r="J4130" s="6" t="n">
        <f aca="false">HOUR(E4130)</f>
        <v>18</v>
      </c>
      <c r="K4130" s="6" t="n">
        <f aca="false">IF(COUNTIF($A$2:$A4130,A4130)=1,1,0)</f>
        <v>0</v>
      </c>
    </row>
    <row r="4131" customFormat="false" ht="15" hidden="false" customHeight="false" outlineLevel="0" collapsed="false">
      <c r="A4131" s="0" t="s">
        <v>871</v>
      </c>
      <c r="B4131" s="0" t="s">
        <v>79</v>
      </c>
      <c r="C4131" s="0" t="s">
        <v>80</v>
      </c>
      <c r="D4131" s="0" t="n">
        <v>21</v>
      </c>
      <c r="E4131" s="5" t="n">
        <v>45994.762037037</v>
      </c>
      <c r="F4131" s="0" t="n">
        <v>3.39</v>
      </c>
      <c r="G4131" s="0" t="n">
        <v>17066</v>
      </c>
      <c r="H4131" s="6" t="s">
        <v>74</v>
      </c>
      <c r="I4131" s="6" t="n">
        <f aca="false">D4131*F4131</f>
        <v>71.19</v>
      </c>
      <c r="J4131" s="6" t="n">
        <f aca="false">HOUR(E4131)</f>
        <v>18</v>
      </c>
      <c r="K4131" s="6" t="n">
        <f aca="false">IF(COUNTIF($A$2:$A4131,A4131)=1,1,0)</f>
        <v>0</v>
      </c>
    </row>
    <row r="4132" customFormat="false" ht="15" hidden="false" customHeight="false" outlineLevel="0" collapsed="false">
      <c r="A4132" s="0" t="s">
        <v>871</v>
      </c>
      <c r="B4132" s="0" t="s">
        <v>50</v>
      </c>
      <c r="C4132" s="0" t="s">
        <v>51</v>
      </c>
      <c r="D4132" s="0" t="n">
        <v>12</v>
      </c>
      <c r="E4132" s="5" t="n">
        <v>45994.762037037</v>
      </c>
      <c r="F4132" s="0" t="n">
        <v>5.95</v>
      </c>
      <c r="G4132" s="0" t="n">
        <v>17066</v>
      </c>
      <c r="H4132" s="6" t="s">
        <v>74</v>
      </c>
      <c r="I4132" s="6" t="n">
        <f aca="false">D4132*F4132</f>
        <v>71.4</v>
      </c>
      <c r="J4132" s="6" t="n">
        <f aca="false">HOUR(E4132)</f>
        <v>18</v>
      </c>
      <c r="K4132" s="6" t="n">
        <f aca="false">IF(COUNTIF($A$2:$A4132,A4132)=1,1,0)</f>
        <v>0</v>
      </c>
    </row>
    <row r="4133" customFormat="false" ht="15" hidden="false" customHeight="false" outlineLevel="0" collapsed="false">
      <c r="A4133" s="0" t="s">
        <v>871</v>
      </c>
      <c r="B4133" s="0" t="s">
        <v>86</v>
      </c>
      <c r="C4133" s="0" t="s">
        <v>87</v>
      </c>
      <c r="D4133" s="0" t="n">
        <v>12</v>
      </c>
      <c r="E4133" s="5" t="n">
        <v>45994.762037037</v>
      </c>
      <c r="F4133" s="0" t="n">
        <v>4.25</v>
      </c>
      <c r="G4133" s="0" t="n">
        <v>17066</v>
      </c>
      <c r="H4133" s="6" t="s">
        <v>74</v>
      </c>
      <c r="I4133" s="6" t="n">
        <f aca="false">D4133*F4133</f>
        <v>51</v>
      </c>
      <c r="J4133" s="6" t="n">
        <f aca="false">HOUR(E4133)</f>
        <v>18</v>
      </c>
      <c r="K4133" s="6" t="n">
        <f aca="false">IF(COUNTIF($A$2:$A4133,A4133)=1,1,0)</f>
        <v>0</v>
      </c>
    </row>
    <row r="4134" customFormat="false" ht="15" hidden="false" customHeight="false" outlineLevel="0" collapsed="false">
      <c r="A4134" s="0" t="s">
        <v>871</v>
      </c>
      <c r="B4134" s="0" t="s">
        <v>109</v>
      </c>
      <c r="C4134" s="0" t="s">
        <v>110</v>
      </c>
      <c r="D4134" s="0" t="n">
        <v>14</v>
      </c>
      <c r="E4134" s="5" t="n">
        <v>45994.762037037</v>
      </c>
      <c r="F4134" s="0" t="n">
        <v>0.85</v>
      </c>
      <c r="G4134" s="0" t="n">
        <v>17066</v>
      </c>
      <c r="H4134" s="6" t="s">
        <v>74</v>
      </c>
      <c r="I4134" s="6" t="n">
        <f aca="false">D4134*F4134</f>
        <v>11.9</v>
      </c>
      <c r="J4134" s="6" t="n">
        <f aca="false">HOUR(E4134)</f>
        <v>18</v>
      </c>
      <c r="K4134" s="6" t="n">
        <f aca="false">IF(COUNTIF($A$2:$A4134,A4134)=1,1,0)</f>
        <v>0</v>
      </c>
    </row>
    <row r="4135" customFormat="false" ht="15" hidden="false" customHeight="false" outlineLevel="0" collapsed="false">
      <c r="A4135" s="0" t="s">
        <v>871</v>
      </c>
      <c r="B4135" s="0" t="s">
        <v>131</v>
      </c>
      <c r="C4135" s="0" t="s">
        <v>132</v>
      </c>
      <c r="D4135" s="0" t="n">
        <v>21</v>
      </c>
      <c r="E4135" s="5" t="n">
        <v>45994.762037037</v>
      </c>
      <c r="F4135" s="0" t="n">
        <v>3.39</v>
      </c>
      <c r="G4135" s="0" t="n">
        <v>17066</v>
      </c>
      <c r="H4135" s="6" t="s">
        <v>74</v>
      </c>
      <c r="I4135" s="6" t="n">
        <f aca="false">D4135*F4135</f>
        <v>71.19</v>
      </c>
      <c r="J4135" s="6" t="n">
        <f aca="false">HOUR(E4135)</f>
        <v>18</v>
      </c>
      <c r="K4135" s="6" t="n">
        <f aca="false">IF(COUNTIF($A$2:$A4135,A4135)=1,1,0)</f>
        <v>0</v>
      </c>
    </row>
    <row r="4136" customFormat="false" ht="15" hidden="false" customHeight="false" outlineLevel="0" collapsed="false">
      <c r="A4136" s="0" t="s">
        <v>871</v>
      </c>
      <c r="B4136" s="0" t="s">
        <v>88</v>
      </c>
      <c r="C4136" s="0" t="s">
        <v>89</v>
      </c>
      <c r="D4136" s="0" t="n">
        <v>9</v>
      </c>
      <c r="E4136" s="5" t="n">
        <v>45994.762037037</v>
      </c>
      <c r="F4136" s="0" t="n">
        <v>2.75</v>
      </c>
      <c r="G4136" s="0" t="n">
        <v>17066</v>
      </c>
      <c r="H4136" s="6" t="s">
        <v>74</v>
      </c>
      <c r="I4136" s="6" t="n">
        <f aca="false">D4136*F4136</f>
        <v>24.75</v>
      </c>
      <c r="J4136" s="6" t="n">
        <f aca="false">HOUR(E4136)</f>
        <v>18</v>
      </c>
      <c r="K4136" s="6" t="n">
        <f aca="false">IF(COUNTIF($A$2:$A4136,A4136)=1,1,0)</f>
        <v>0</v>
      </c>
    </row>
    <row r="4137" customFormat="false" ht="15" hidden="false" customHeight="false" outlineLevel="0" collapsed="false">
      <c r="A4137" s="0" t="s">
        <v>872</v>
      </c>
      <c r="B4137" s="0" t="s">
        <v>77</v>
      </c>
      <c r="C4137" s="0" t="s">
        <v>78</v>
      </c>
      <c r="D4137" s="0" t="n">
        <v>8</v>
      </c>
      <c r="E4137" s="5" t="n">
        <v>45995.409837963</v>
      </c>
      <c r="F4137" s="0" t="n">
        <v>1.65</v>
      </c>
      <c r="G4137" s="0" t="n">
        <v>17078</v>
      </c>
      <c r="H4137" s="6" t="s">
        <v>74</v>
      </c>
      <c r="I4137" s="6" t="n">
        <f aca="false">D4137*F4137</f>
        <v>13.2</v>
      </c>
      <c r="J4137" s="6" t="n">
        <f aca="false">HOUR(E4137)</f>
        <v>9</v>
      </c>
      <c r="K4137" s="6" t="n">
        <f aca="false">IF(COUNTIF($A$2:$A4137,A4137)=1,1,0)</f>
        <v>1</v>
      </c>
    </row>
    <row r="4138" customFormat="false" ht="15" hidden="false" customHeight="false" outlineLevel="0" collapsed="false">
      <c r="A4138" s="0" t="s">
        <v>872</v>
      </c>
      <c r="B4138" s="0" t="s">
        <v>40</v>
      </c>
      <c r="C4138" s="0" t="s">
        <v>41</v>
      </c>
      <c r="D4138" s="0" t="n">
        <v>6</v>
      </c>
      <c r="E4138" s="5" t="n">
        <v>45995.409837963</v>
      </c>
      <c r="F4138" s="0" t="n">
        <v>1.06</v>
      </c>
      <c r="G4138" s="0" t="n">
        <v>17078</v>
      </c>
      <c r="H4138" s="6" t="s">
        <v>74</v>
      </c>
      <c r="I4138" s="6" t="n">
        <f aca="false">D4138*F4138</f>
        <v>6.36</v>
      </c>
      <c r="J4138" s="6" t="n">
        <f aca="false">HOUR(E4138)</f>
        <v>9</v>
      </c>
      <c r="K4138" s="6" t="n">
        <f aca="false">IF(COUNTIF($A$2:$A4138,A4138)=1,1,0)</f>
        <v>0</v>
      </c>
    </row>
    <row r="4139" customFormat="false" ht="15" hidden="false" customHeight="false" outlineLevel="0" collapsed="false">
      <c r="A4139" s="0" t="s">
        <v>873</v>
      </c>
      <c r="B4139" s="0" t="s">
        <v>102</v>
      </c>
      <c r="D4139" s="0" t="n">
        <v>39</v>
      </c>
      <c r="E4139" s="5" t="n">
        <v>45995.5371527778</v>
      </c>
      <c r="F4139" s="0" t="n">
        <v>8.5</v>
      </c>
      <c r="G4139" s="0" t="n">
        <v>17015</v>
      </c>
      <c r="H4139" s="6" t="s">
        <v>74</v>
      </c>
      <c r="I4139" s="6" t="n">
        <f aca="false">D4139*F4139</f>
        <v>331.5</v>
      </c>
      <c r="J4139" s="6" t="n">
        <f aca="false">HOUR(E4139)</f>
        <v>12</v>
      </c>
      <c r="K4139" s="6" t="n">
        <f aca="false">IF(COUNTIF($A$2:$A4139,A4139)=1,1,0)</f>
        <v>1</v>
      </c>
    </row>
    <row r="4140" customFormat="false" ht="15" hidden="false" customHeight="false" outlineLevel="0" collapsed="false">
      <c r="A4140" s="0" t="s">
        <v>873</v>
      </c>
      <c r="B4140" s="0" t="s">
        <v>118</v>
      </c>
      <c r="C4140" s="0" t="s">
        <v>119</v>
      </c>
      <c r="D4140" s="0" t="n">
        <v>22</v>
      </c>
      <c r="E4140" s="5" t="n">
        <v>45995.5371527778</v>
      </c>
      <c r="F4140" s="0" t="n">
        <v>4.95</v>
      </c>
      <c r="G4140" s="0" t="n">
        <v>17015</v>
      </c>
      <c r="H4140" s="6" t="s">
        <v>74</v>
      </c>
      <c r="I4140" s="6" t="n">
        <f aca="false">D4140*F4140</f>
        <v>108.9</v>
      </c>
      <c r="J4140" s="6" t="n">
        <f aca="false">HOUR(E4140)</f>
        <v>12</v>
      </c>
      <c r="K4140" s="6" t="n">
        <f aca="false">IF(COUNTIF($A$2:$A4140,A4140)=1,1,0)</f>
        <v>0</v>
      </c>
    </row>
    <row r="4141" customFormat="false" ht="15" hidden="false" customHeight="false" outlineLevel="0" collapsed="false">
      <c r="A4141" s="0" t="s">
        <v>873</v>
      </c>
      <c r="B4141" s="0" t="s">
        <v>53</v>
      </c>
      <c r="C4141" s="0" t="s">
        <v>54</v>
      </c>
      <c r="D4141" s="0" t="n">
        <v>11</v>
      </c>
      <c r="E4141" s="5" t="n">
        <v>45995.5371527778</v>
      </c>
      <c r="F4141" s="0" t="n">
        <v>2.95</v>
      </c>
      <c r="G4141" s="0" t="n">
        <v>17015</v>
      </c>
      <c r="H4141" s="6" t="s">
        <v>74</v>
      </c>
      <c r="I4141" s="6" t="n">
        <f aca="false">D4141*F4141</f>
        <v>32.45</v>
      </c>
      <c r="J4141" s="6" t="n">
        <f aca="false">HOUR(E4141)</f>
        <v>12</v>
      </c>
      <c r="K4141" s="6" t="n">
        <f aca="false">IF(COUNTIF($A$2:$A4141,A4141)=1,1,0)</f>
        <v>0</v>
      </c>
    </row>
    <row r="4142" customFormat="false" ht="15" hidden="false" customHeight="false" outlineLevel="0" collapsed="false">
      <c r="A4142" s="0" t="s">
        <v>873</v>
      </c>
      <c r="B4142" s="0" t="s">
        <v>59</v>
      </c>
      <c r="C4142" s="0" t="s">
        <v>60</v>
      </c>
      <c r="D4142" s="0" t="n">
        <v>20</v>
      </c>
      <c r="E4142" s="5" t="n">
        <v>45995.5371527778</v>
      </c>
      <c r="F4142" s="0" t="n">
        <v>0.42</v>
      </c>
      <c r="G4142" s="0" t="n">
        <v>17015</v>
      </c>
      <c r="H4142" s="6" t="s">
        <v>74</v>
      </c>
      <c r="I4142" s="6" t="n">
        <f aca="false">D4142*F4142</f>
        <v>8.4</v>
      </c>
      <c r="J4142" s="6" t="n">
        <f aca="false">HOUR(E4142)</f>
        <v>12</v>
      </c>
      <c r="K4142" s="6" t="n">
        <f aca="false">IF(COUNTIF($A$2:$A4142,A4142)=1,1,0)</f>
        <v>0</v>
      </c>
    </row>
    <row r="4143" customFormat="false" ht="15" hidden="false" customHeight="false" outlineLevel="0" collapsed="false">
      <c r="A4143" s="0" t="s">
        <v>873</v>
      </c>
      <c r="B4143" s="0" t="s">
        <v>137</v>
      </c>
      <c r="C4143" s="0" t="s">
        <v>138</v>
      </c>
      <c r="D4143" s="0" t="n">
        <v>16</v>
      </c>
      <c r="E4143" s="5" t="n">
        <v>45995.5371527778</v>
      </c>
      <c r="F4143" s="0" t="n">
        <v>2.1</v>
      </c>
      <c r="G4143" s="0" t="n">
        <v>17015</v>
      </c>
      <c r="H4143" s="6" t="s">
        <v>74</v>
      </c>
      <c r="I4143" s="6" t="n">
        <f aca="false">D4143*F4143</f>
        <v>33.6</v>
      </c>
      <c r="J4143" s="6" t="n">
        <f aca="false">HOUR(E4143)</f>
        <v>12</v>
      </c>
      <c r="K4143" s="6" t="n">
        <f aca="false">IF(COUNTIF($A$2:$A4143,A4143)=1,1,0)</f>
        <v>0</v>
      </c>
    </row>
    <row r="4144" customFormat="false" ht="15" hidden="false" customHeight="false" outlineLevel="0" collapsed="false">
      <c r="A4144" s="0" t="s">
        <v>874</v>
      </c>
      <c r="B4144" s="0" t="s">
        <v>81</v>
      </c>
      <c r="C4144" s="0" t="s">
        <v>82</v>
      </c>
      <c r="D4144" s="0" t="n">
        <v>19</v>
      </c>
      <c r="E4144" s="5" t="n">
        <v>45995.5567361111</v>
      </c>
      <c r="F4144" s="0" t="n">
        <v>1.65</v>
      </c>
      <c r="G4144" s="0" t="n">
        <v>17180</v>
      </c>
      <c r="H4144" s="6" t="s">
        <v>151</v>
      </c>
      <c r="I4144" s="6" t="n">
        <f aca="false">D4144*F4144</f>
        <v>31.35</v>
      </c>
      <c r="J4144" s="6" t="n">
        <f aca="false">HOUR(E4144)</f>
        <v>13</v>
      </c>
      <c r="K4144" s="6" t="n">
        <f aca="false">IF(COUNTIF($A$2:$A4144,A4144)=1,1,0)</f>
        <v>1</v>
      </c>
    </row>
    <row r="4145" customFormat="false" ht="15" hidden="false" customHeight="false" outlineLevel="0" collapsed="false">
      <c r="A4145" s="0" t="s">
        <v>874</v>
      </c>
      <c r="B4145" s="0" t="s">
        <v>72</v>
      </c>
      <c r="C4145" s="0" t="s">
        <v>73</v>
      </c>
      <c r="D4145" s="0" t="n">
        <v>22</v>
      </c>
      <c r="E4145" s="5" t="n">
        <v>45995.5567361111</v>
      </c>
      <c r="F4145" s="0" t="n">
        <v>4.95</v>
      </c>
      <c r="G4145" s="0" t="n">
        <v>17180</v>
      </c>
      <c r="H4145" s="6" t="s">
        <v>151</v>
      </c>
      <c r="I4145" s="6" t="n">
        <f aca="false">D4145*F4145</f>
        <v>108.9</v>
      </c>
      <c r="J4145" s="6" t="n">
        <f aca="false">HOUR(E4145)</f>
        <v>13</v>
      </c>
      <c r="K4145" s="6" t="n">
        <f aca="false">IF(COUNTIF($A$2:$A4145,A4145)=1,1,0)</f>
        <v>0</v>
      </c>
    </row>
    <row r="4146" customFormat="false" ht="15" hidden="false" customHeight="false" outlineLevel="0" collapsed="false">
      <c r="A4146" s="0" t="s">
        <v>874</v>
      </c>
      <c r="B4146" s="0" t="s">
        <v>43</v>
      </c>
      <c r="C4146" s="0" t="s">
        <v>44</v>
      </c>
      <c r="D4146" s="0" t="n">
        <v>15</v>
      </c>
      <c r="E4146" s="5" t="n">
        <v>45995.5567361111</v>
      </c>
      <c r="F4146" s="0" t="n">
        <v>4.25</v>
      </c>
      <c r="G4146" s="0" t="n">
        <v>17180</v>
      </c>
      <c r="H4146" s="6" t="s">
        <v>151</v>
      </c>
      <c r="I4146" s="6" t="n">
        <f aca="false">D4146*F4146</f>
        <v>63.75</v>
      </c>
      <c r="J4146" s="6" t="n">
        <f aca="false">HOUR(E4146)</f>
        <v>13</v>
      </c>
      <c r="K4146" s="6" t="n">
        <f aca="false">IF(COUNTIF($A$2:$A4146,A4146)=1,1,0)</f>
        <v>0</v>
      </c>
    </row>
    <row r="4147" customFormat="false" ht="15" hidden="false" customHeight="false" outlineLevel="0" collapsed="false">
      <c r="A4147" s="0" t="s">
        <v>874</v>
      </c>
      <c r="B4147" s="0" t="s">
        <v>127</v>
      </c>
      <c r="C4147" s="0" t="s">
        <v>128</v>
      </c>
      <c r="D4147" s="0" t="n">
        <v>13</v>
      </c>
      <c r="E4147" s="5" t="n">
        <v>45995.5567361111</v>
      </c>
      <c r="F4147" s="0" t="n">
        <v>1.45</v>
      </c>
      <c r="G4147" s="0" t="n">
        <v>17180</v>
      </c>
      <c r="H4147" s="6" t="s">
        <v>151</v>
      </c>
      <c r="I4147" s="6" t="n">
        <f aca="false">D4147*F4147</f>
        <v>18.85</v>
      </c>
      <c r="J4147" s="6" t="n">
        <f aca="false">HOUR(E4147)</f>
        <v>13</v>
      </c>
      <c r="K4147" s="6" t="n">
        <f aca="false">IF(COUNTIF($A$2:$A4147,A4147)=1,1,0)</f>
        <v>0</v>
      </c>
    </row>
    <row r="4148" customFormat="false" ht="15" hidden="false" customHeight="false" outlineLevel="0" collapsed="false">
      <c r="A4148" s="0" t="s">
        <v>874</v>
      </c>
      <c r="B4148" s="0" t="s">
        <v>114</v>
      </c>
      <c r="D4148" s="0" t="n">
        <v>2</v>
      </c>
      <c r="E4148" s="5" t="n">
        <v>45995.5567361111</v>
      </c>
      <c r="F4148" s="0" t="n">
        <v>2.08</v>
      </c>
      <c r="G4148" s="0" t="n">
        <v>17180</v>
      </c>
      <c r="H4148" s="6" t="s">
        <v>151</v>
      </c>
      <c r="I4148" s="6" t="n">
        <f aca="false">D4148*F4148</f>
        <v>4.16</v>
      </c>
      <c r="J4148" s="6" t="n">
        <f aca="false">HOUR(E4148)</f>
        <v>13</v>
      </c>
      <c r="K4148" s="6" t="n">
        <f aca="false">IF(COUNTIF($A$2:$A4148,A4148)=1,1,0)</f>
        <v>0</v>
      </c>
    </row>
    <row r="4149" customFormat="false" ht="15" hidden="false" customHeight="false" outlineLevel="0" collapsed="false">
      <c r="A4149" s="0" t="s">
        <v>874</v>
      </c>
      <c r="B4149" s="0" t="s">
        <v>140</v>
      </c>
      <c r="C4149" s="0" t="s">
        <v>141</v>
      </c>
      <c r="D4149" s="0" t="n">
        <v>13</v>
      </c>
      <c r="E4149" s="5" t="n">
        <v>45995.5567361111</v>
      </c>
      <c r="F4149" s="0" t="n">
        <v>2.08</v>
      </c>
      <c r="G4149" s="0" t="n">
        <v>17180</v>
      </c>
      <c r="H4149" s="6" t="s">
        <v>151</v>
      </c>
      <c r="I4149" s="6" t="n">
        <f aca="false">D4149*F4149</f>
        <v>27.04</v>
      </c>
      <c r="J4149" s="6" t="n">
        <f aca="false">HOUR(E4149)</f>
        <v>13</v>
      </c>
      <c r="K4149" s="6" t="n">
        <f aca="false">IF(COUNTIF($A$2:$A4149,A4149)=1,1,0)</f>
        <v>0</v>
      </c>
    </row>
    <row r="4150" customFormat="false" ht="15" hidden="false" customHeight="false" outlineLevel="0" collapsed="false">
      <c r="A4150" s="0" t="s">
        <v>875</v>
      </c>
      <c r="B4150" s="0" t="s">
        <v>83</v>
      </c>
      <c r="C4150" s="0" t="s">
        <v>84</v>
      </c>
      <c r="D4150" s="0" t="n">
        <v>15</v>
      </c>
      <c r="E4150" s="5" t="n">
        <v>45995.6003356482</v>
      </c>
      <c r="F4150" s="0" t="n">
        <v>2.95</v>
      </c>
      <c r="G4150" s="0" t="n">
        <v>17230</v>
      </c>
      <c r="H4150" s="6" t="s">
        <v>263</v>
      </c>
      <c r="I4150" s="6" t="n">
        <f aca="false">D4150*F4150</f>
        <v>44.25</v>
      </c>
      <c r="J4150" s="6" t="n">
        <f aca="false">HOUR(E4150)</f>
        <v>14</v>
      </c>
      <c r="K4150" s="6" t="n">
        <f aca="false">IF(COUNTIF($A$2:$A4150,A4150)=1,1,0)</f>
        <v>1</v>
      </c>
    </row>
    <row r="4151" customFormat="false" ht="15" hidden="false" customHeight="false" outlineLevel="0" collapsed="false">
      <c r="A4151" s="0" t="s">
        <v>875</v>
      </c>
      <c r="B4151" s="0" t="s">
        <v>40</v>
      </c>
      <c r="C4151" s="0" t="s">
        <v>41</v>
      </c>
      <c r="D4151" s="0" t="n">
        <v>20</v>
      </c>
      <c r="E4151" s="5" t="n">
        <v>45995.6003356482</v>
      </c>
      <c r="F4151" s="0" t="n">
        <v>1.06</v>
      </c>
      <c r="G4151" s="0" t="n">
        <v>17230</v>
      </c>
      <c r="H4151" s="6" t="s">
        <v>263</v>
      </c>
      <c r="I4151" s="6" t="n">
        <f aca="false">D4151*F4151</f>
        <v>21.2</v>
      </c>
      <c r="J4151" s="6" t="n">
        <f aca="false">HOUR(E4151)</f>
        <v>14</v>
      </c>
      <c r="K4151" s="6" t="n">
        <f aca="false">IF(COUNTIF($A$2:$A4151,A4151)=1,1,0)</f>
        <v>0</v>
      </c>
    </row>
    <row r="4152" customFormat="false" ht="15" hidden="false" customHeight="false" outlineLevel="0" collapsed="false">
      <c r="A4152" s="0" t="s">
        <v>875</v>
      </c>
      <c r="B4152" s="0" t="s">
        <v>47</v>
      </c>
      <c r="C4152" s="0" t="s">
        <v>48</v>
      </c>
      <c r="D4152" s="0" t="n">
        <v>12</v>
      </c>
      <c r="E4152" s="5" t="n">
        <v>45995.6003356482</v>
      </c>
      <c r="F4152" s="0" t="n">
        <v>12.75</v>
      </c>
      <c r="G4152" s="0" t="n">
        <v>17230</v>
      </c>
      <c r="H4152" s="6" t="s">
        <v>263</v>
      </c>
      <c r="I4152" s="6" t="n">
        <f aca="false">D4152*F4152</f>
        <v>153</v>
      </c>
      <c r="J4152" s="6" t="n">
        <f aca="false">HOUR(E4152)</f>
        <v>14</v>
      </c>
      <c r="K4152" s="6" t="n">
        <f aca="false">IF(COUNTIF($A$2:$A4152,A4152)=1,1,0)</f>
        <v>0</v>
      </c>
    </row>
    <row r="4153" customFormat="false" ht="15" hidden="false" customHeight="false" outlineLevel="0" collapsed="false">
      <c r="A4153" s="0" t="s">
        <v>875</v>
      </c>
      <c r="B4153" s="0" t="s">
        <v>99</v>
      </c>
      <c r="C4153" s="0" t="s">
        <v>100</v>
      </c>
      <c r="D4153" s="0" t="n">
        <v>21</v>
      </c>
      <c r="E4153" s="5" t="n">
        <v>45995.6003356482</v>
      </c>
      <c r="F4153" s="0" t="n">
        <v>2.08</v>
      </c>
      <c r="G4153" s="0" t="n">
        <v>17230</v>
      </c>
      <c r="H4153" s="6" t="s">
        <v>263</v>
      </c>
      <c r="I4153" s="6" t="n">
        <f aca="false">D4153*F4153</f>
        <v>43.68</v>
      </c>
      <c r="J4153" s="6" t="n">
        <f aca="false">HOUR(E4153)</f>
        <v>14</v>
      </c>
      <c r="K4153" s="6" t="n">
        <f aca="false">IF(COUNTIF($A$2:$A4153,A4153)=1,1,0)</f>
        <v>0</v>
      </c>
    </row>
    <row r="4154" customFormat="false" ht="15" hidden="false" customHeight="false" outlineLevel="0" collapsed="false">
      <c r="A4154" s="0" t="s">
        <v>875</v>
      </c>
      <c r="B4154" s="0" t="s">
        <v>86</v>
      </c>
      <c r="C4154" s="0" t="s">
        <v>87</v>
      </c>
      <c r="D4154" s="0" t="n">
        <v>2</v>
      </c>
      <c r="E4154" s="5" t="n">
        <v>45995.6003356482</v>
      </c>
      <c r="F4154" s="0" t="n">
        <v>4.25</v>
      </c>
      <c r="G4154" s="0" t="n">
        <v>17230</v>
      </c>
      <c r="H4154" s="6" t="s">
        <v>263</v>
      </c>
      <c r="I4154" s="6" t="n">
        <f aca="false">D4154*F4154</f>
        <v>8.5</v>
      </c>
      <c r="J4154" s="6" t="n">
        <f aca="false">HOUR(E4154)</f>
        <v>14</v>
      </c>
      <c r="K4154" s="6" t="n">
        <f aca="false">IF(COUNTIF($A$2:$A4154,A4154)=1,1,0)</f>
        <v>0</v>
      </c>
    </row>
    <row r="4155" customFormat="false" ht="15" hidden="false" customHeight="false" outlineLevel="0" collapsed="false">
      <c r="A4155" s="0" t="s">
        <v>875</v>
      </c>
      <c r="B4155" s="0" t="s">
        <v>134</v>
      </c>
      <c r="C4155" s="0" t="s">
        <v>135</v>
      </c>
      <c r="D4155" s="0" t="n">
        <v>11</v>
      </c>
      <c r="E4155" s="5" t="n">
        <v>45995.6003356482</v>
      </c>
      <c r="F4155" s="0" t="n">
        <v>5.95</v>
      </c>
      <c r="G4155" s="0" t="n">
        <v>17230</v>
      </c>
      <c r="H4155" s="6" t="s">
        <v>263</v>
      </c>
      <c r="I4155" s="6" t="n">
        <f aca="false">D4155*F4155</f>
        <v>65.45</v>
      </c>
      <c r="J4155" s="6" t="n">
        <f aca="false">HOUR(E4155)</f>
        <v>14</v>
      </c>
      <c r="K4155" s="6" t="n">
        <f aca="false">IF(COUNTIF($A$2:$A4155,A4155)=1,1,0)</f>
        <v>0</v>
      </c>
    </row>
    <row r="4156" customFormat="false" ht="15" hidden="false" customHeight="false" outlineLevel="0" collapsed="false">
      <c r="A4156" s="0" t="s">
        <v>875</v>
      </c>
      <c r="B4156" s="0" t="s">
        <v>131</v>
      </c>
      <c r="C4156" s="0" t="s">
        <v>132</v>
      </c>
      <c r="D4156" s="0" t="n">
        <v>13</v>
      </c>
      <c r="E4156" s="5" t="n">
        <v>45995.6003356482</v>
      </c>
      <c r="F4156" s="0" t="n">
        <v>3.39</v>
      </c>
      <c r="G4156" s="0" t="n">
        <v>17230</v>
      </c>
      <c r="H4156" s="6" t="s">
        <v>263</v>
      </c>
      <c r="I4156" s="6" t="n">
        <f aca="false">D4156*F4156</f>
        <v>44.07</v>
      </c>
      <c r="J4156" s="6" t="n">
        <f aca="false">HOUR(E4156)</f>
        <v>14</v>
      </c>
      <c r="K4156" s="6" t="n">
        <f aca="false">IF(COUNTIF($A$2:$A4156,A4156)=1,1,0)</f>
        <v>0</v>
      </c>
    </row>
    <row r="4157" customFormat="false" ht="15" hidden="false" customHeight="false" outlineLevel="0" collapsed="false">
      <c r="A4157" s="0" t="s">
        <v>875</v>
      </c>
      <c r="B4157" s="0" t="s">
        <v>140</v>
      </c>
      <c r="C4157" s="0" t="s">
        <v>141</v>
      </c>
      <c r="D4157" s="0" t="n">
        <v>8</v>
      </c>
      <c r="E4157" s="5" t="n">
        <v>45995.6003356482</v>
      </c>
      <c r="F4157" s="0" t="n">
        <v>2.08</v>
      </c>
      <c r="G4157" s="0" t="n">
        <v>17230</v>
      </c>
      <c r="H4157" s="6" t="s">
        <v>263</v>
      </c>
      <c r="I4157" s="6" t="n">
        <f aca="false">D4157*F4157</f>
        <v>16.64</v>
      </c>
      <c r="J4157" s="6" t="n">
        <f aca="false">HOUR(E4157)</f>
        <v>14</v>
      </c>
      <c r="K4157" s="6" t="n">
        <f aca="false">IF(COUNTIF($A$2:$A4157,A4157)=1,1,0)</f>
        <v>0</v>
      </c>
    </row>
    <row r="4158" customFormat="false" ht="15" hidden="false" customHeight="false" outlineLevel="0" collapsed="false">
      <c r="A4158" s="0" t="s">
        <v>875</v>
      </c>
      <c r="B4158" s="0" t="s">
        <v>107</v>
      </c>
      <c r="C4158" s="0" t="s">
        <v>108</v>
      </c>
      <c r="D4158" s="0" t="n">
        <v>21</v>
      </c>
      <c r="E4158" s="5" t="n">
        <v>45995.6003356482</v>
      </c>
      <c r="F4158" s="0" t="n">
        <v>3.75</v>
      </c>
      <c r="G4158" s="0" t="n">
        <v>17230</v>
      </c>
      <c r="H4158" s="6" t="s">
        <v>263</v>
      </c>
      <c r="I4158" s="6" t="n">
        <f aca="false">D4158*F4158</f>
        <v>78.75</v>
      </c>
      <c r="J4158" s="6" t="n">
        <f aca="false">HOUR(E4158)</f>
        <v>14</v>
      </c>
      <c r="K4158" s="6" t="n">
        <f aca="false">IF(COUNTIF($A$2:$A4158,A4158)=1,1,0)</f>
        <v>0</v>
      </c>
    </row>
    <row r="4159" customFormat="false" ht="15" hidden="false" customHeight="false" outlineLevel="0" collapsed="false">
      <c r="A4159" s="0" t="s">
        <v>875</v>
      </c>
      <c r="B4159" s="0" t="s">
        <v>93</v>
      </c>
      <c r="C4159" s="0" t="s">
        <v>94</v>
      </c>
      <c r="D4159" s="0" t="n">
        <v>12</v>
      </c>
      <c r="E4159" s="5" t="n">
        <v>45995.6003356482</v>
      </c>
      <c r="F4159" s="0" t="n">
        <v>1.69</v>
      </c>
      <c r="G4159" s="0" t="n">
        <v>17230</v>
      </c>
      <c r="H4159" s="6" t="s">
        <v>263</v>
      </c>
      <c r="I4159" s="6" t="n">
        <f aca="false">D4159*F4159</f>
        <v>20.28</v>
      </c>
      <c r="J4159" s="6" t="n">
        <f aca="false">HOUR(E4159)</f>
        <v>14</v>
      </c>
      <c r="K4159" s="6" t="n">
        <f aca="false">IF(COUNTIF($A$2:$A4159,A4159)=1,1,0)</f>
        <v>0</v>
      </c>
    </row>
    <row r="4160" customFormat="false" ht="15" hidden="false" customHeight="false" outlineLevel="0" collapsed="false">
      <c r="A4160" s="0" t="s">
        <v>876</v>
      </c>
      <c r="B4160" s="0" t="s">
        <v>75</v>
      </c>
      <c r="C4160" s="0" t="s">
        <v>76</v>
      </c>
      <c r="D4160" s="0" t="n">
        <v>13</v>
      </c>
      <c r="E4160" s="5" t="n">
        <v>45995.6143634259</v>
      </c>
      <c r="F4160" s="0" t="n">
        <v>3.39</v>
      </c>
      <c r="G4160" s="0" t="n">
        <v>17091</v>
      </c>
      <c r="H4160" s="6" t="s">
        <v>208</v>
      </c>
      <c r="I4160" s="6" t="n">
        <f aca="false">D4160*F4160</f>
        <v>44.07</v>
      </c>
      <c r="J4160" s="6" t="n">
        <f aca="false">HOUR(E4160)</f>
        <v>14</v>
      </c>
      <c r="K4160" s="6" t="n">
        <f aca="false">IF(COUNTIF($A$2:$A4160,A4160)=1,1,0)</f>
        <v>1</v>
      </c>
    </row>
    <row r="4161" customFormat="false" ht="15" hidden="false" customHeight="false" outlineLevel="0" collapsed="false">
      <c r="A4161" s="0" t="s">
        <v>876</v>
      </c>
      <c r="B4161" s="0" t="s">
        <v>118</v>
      </c>
      <c r="C4161" s="0" t="s">
        <v>119</v>
      </c>
      <c r="D4161" s="0" t="n">
        <v>26</v>
      </c>
      <c r="E4161" s="5" t="n">
        <v>45995.6143634259</v>
      </c>
      <c r="F4161" s="0" t="n">
        <v>4.95</v>
      </c>
      <c r="G4161" s="0" t="n">
        <v>17091</v>
      </c>
      <c r="H4161" s="6" t="s">
        <v>208</v>
      </c>
      <c r="I4161" s="6" t="n">
        <f aca="false">D4161*F4161</f>
        <v>128.7</v>
      </c>
      <c r="J4161" s="6" t="n">
        <f aca="false">HOUR(E4161)</f>
        <v>14</v>
      </c>
      <c r="K4161" s="6" t="n">
        <f aca="false">IF(COUNTIF($A$2:$A4161,A4161)=1,1,0)</f>
        <v>0</v>
      </c>
    </row>
    <row r="4162" customFormat="false" ht="15" hidden="false" customHeight="false" outlineLevel="0" collapsed="false">
      <c r="A4162" s="0" t="s">
        <v>876</v>
      </c>
      <c r="B4162" s="0" t="s">
        <v>125</v>
      </c>
      <c r="C4162" s="0" t="s">
        <v>126</v>
      </c>
      <c r="D4162" s="0" t="n">
        <v>10</v>
      </c>
      <c r="E4162" s="5" t="n">
        <v>45995.6143634259</v>
      </c>
      <c r="F4162" s="0" t="n">
        <v>1.25</v>
      </c>
      <c r="G4162" s="0" t="n">
        <v>17091</v>
      </c>
      <c r="H4162" s="6" t="s">
        <v>208</v>
      </c>
      <c r="I4162" s="6" t="n">
        <f aca="false">D4162*F4162</f>
        <v>12.5</v>
      </c>
      <c r="J4162" s="6" t="n">
        <f aca="false">HOUR(E4162)</f>
        <v>14</v>
      </c>
      <c r="K4162" s="6" t="n">
        <f aca="false">IF(COUNTIF($A$2:$A4162,A4162)=1,1,0)</f>
        <v>0</v>
      </c>
    </row>
    <row r="4163" customFormat="false" ht="15" hidden="false" customHeight="false" outlineLevel="0" collapsed="false">
      <c r="A4163" s="0" t="s">
        <v>876</v>
      </c>
      <c r="B4163" s="0" t="s">
        <v>91</v>
      </c>
      <c r="C4163" s="0" t="s">
        <v>92</v>
      </c>
      <c r="D4163" s="0" t="n">
        <v>24</v>
      </c>
      <c r="E4163" s="5" t="n">
        <v>45995.6143634259</v>
      </c>
      <c r="F4163" s="0" t="n">
        <v>7.65</v>
      </c>
      <c r="G4163" s="0" t="n">
        <v>17091</v>
      </c>
      <c r="H4163" s="6" t="s">
        <v>208</v>
      </c>
      <c r="I4163" s="6" t="n">
        <f aca="false">D4163*F4163</f>
        <v>183.6</v>
      </c>
      <c r="J4163" s="6" t="n">
        <f aca="false">HOUR(E4163)</f>
        <v>14</v>
      </c>
      <c r="K4163" s="6" t="n">
        <f aca="false">IF(COUNTIF($A$2:$A4163,A4163)=1,1,0)</f>
        <v>0</v>
      </c>
    </row>
    <row r="4164" customFormat="false" ht="15" hidden="false" customHeight="false" outlineLevel="0" collapsed="false">
      <c r="A4164" s="0" t="s">
        <v>876</v>
      </c>
      <c r="B4164" s="0" t="s">
        <v>107</v>
      </c>
      <c r="C4164" s="0" t="s">
        <v>108</v>
      </c>
      <c r="D4164" s="0" t="n">
        <v>13</v>
      </c>
      <c r="E4164" s="5" t="n">
        <v>45995.6143634259</v>
      </c>
      <c r="F4164" s="0" t="n">
        <v>3.75</v>
      </c>
      <c r="G4164" s="0" t="n">
        <v>17091</v>
      </c>
      <c r="H4164" s="6" t="s">
        <v>208</v>
      </c>
      <c r="I4164" s="6" t="n">
        <f aca="false">D4164*F4164</f>
        <v>48.75</v>
      </c>
      <c r="J4164" s="6" t="n">
        <f aca="false">HOUR(E4164)</f>
        <v>14</v>
      </c>
      <c r="K4164" s="6" t="n">
        <f aca="false">IF(COUNTIF($A$2:$A4164,A4164)=1,1,0)</f>
        <v>0</v>
      </c>
    </row>
    <row r="4165" customFormat="false" ht="15" hidden="false" customHeight="false" outlineLevel="0" collapsed="false">
      <c r="A4165" s="0" t="s">
        <v>876</v>
      </c>
      <c r="B4165" s="0" t="s">
        <v>55</v>
      </c>
      <c r="C4165" s="0" t="s">
        <v>56</v>
      </c>
      <c r="D4165" s="0" t="n">
        <v>15</v>
      </c>
      <c r="E4165" s="5" t="n">
        <v>45995.6143634259</v>
      </c>
      <c r="F4165" s="0" t="n">
        <v>1.65</v>
      </c>
      <c r="G4165" s="0" t="n">
        <v>17091</v>
      </c>
      <c r="H4165" s="6" t="s">
        <v>208</v>
      </c>
      <c r="I4165" s="6" t="n">
        <f aca="false">D4165*F4165</f>
        <v>24.75</v>
      </c>
      <c r="J4165" s="6" t="n">
        <f aca="false">HOUR(E4165)</f>
        <v>14</v>
      </c>
      <c r="K4165" s="6" t="n">
        <f aca="false">IF(COUNTIF($A$2:$A4165,A4165)=1,1,0)</f>
        <v>0</v>
      </c>
    </row>
    <row r="4166" customFormat="false" ht="15" hidden="false" customHeight="false" outlineLevel="0" collapsed="false">
      <c r="A4166" s="0" t="s">
        <v>876</v>
      </c>
      <c r="B4166" s="0" t="s">
        <v>116</v>
      </c>
      <c r="C4166" s="0" t="s">
        <v>117</v>
      </c>
      <c r="D4166" s="0" t="n">
        <v>11</v>
      </c>
      <c r="E4166" s="5" t="n">
        <v>45995.6143634259</v>
      </c>
      <c r="F4166" s="0" t="n">
        <v>1.95</v>
      </c>
      <c r="G4166" s="0" t="n">
        <v>17091</v>
      </c>
      <c r="H4166" s="6" t="s">
        <v>208</v>
      </c>
      <c r="I4166" s="6" t="n">
        <f aca="false">D4166*F4166</f>
        <v>21.45</v>
      </c>
      <c r="J4166" s="6" t="n">
        <f aca="false">HOUR(E4166)</f>
        <v>14</v>
      </c>
      <c r="K4166" s="6" t="n">
        <f aca="false">IF(COUNTIF($A$2:$A4166,A4166)=1,1,0)</f>
        <v>0</v>
      </c>
    </row>
    <row r="4167" customFormat="false" ht="15" hidden="false" customHeight="false" outlineLevel="0" collapsed="false">
      <c r="A4167" s="0" t="s">
        <v>877</v>
      </c>
      <c r="B4167" s="0" t="s">
        <v>81</v>
      </c>
      <c r="C4167" s="0" t="s">
        <v>82</v>
      </c>
      <c r="D4167" s="0" t="n">
        <v>21</v>
      </c>
      <c r="E4167" s="5" t="n">
        <v>45995.6164814815</v>
      </c>
      <c r="F4167" s="0" t="n">
        <v>1.65</v>
      </c>
      <c r="G4167" s="0" t="n">
        <v>17014</v>
      </c>
      <c r="H4167" s="6" t="s">
        <v>98</v>
      </c>
      <c r="I4167" s="6" t="n">
        <f aca="false">D4167*F4167</f>
        <v>34.65</v>
      </c>
      <c r="J4167" s="6" t="n">
        <f aca="false">HOUR(E4167)</f>
        <v>14</v>
      </c>
      <c r="K4167" s="6" t="n">
        <f aca="false">IF(COUNTIF($A$2:$A4167,A4167)=1,1,0)</f>
        <v>1</v>
      </c>
    </row>
    <row r="4168" customFormat="false" ht="15" hidden="false" customHeight="false" outlineLevel="0" collapsed="false">
      <c r="A4168" s="0" t="s">
        <v>878</v>
      </c>
      <c r="B4168" s="0" t="s">
        <v>137</v>
      </c>
      <c r="C4168" s="0" t="s">
        <v>138</v>
      </c>
      <c r="D4168" s="0" t="n">
        <v>3</v>
      </c>
      <c r="E4168" s="5" t="n">
        <v>45995.7567824074</v>
      </c>
      <c r="F4168" s="0" t="n">
        <v>2.1</v>
      </c>
      <c r="G4168" s="0" t="n">
        <v>17141</v>
      </c>
      <c r="H4168" s="6" t="s">
        <v>74</v>
      </c>
      <c r="I4168" s="6" t="n">
        <f aca="false">D4168*F4168</f>
        <v>6.3</v>
      </c>
      <c r="J4168" s="6" t="n">
        <f aca="false">HOUR(E4168)</f>
        <v>18</v>
      </c>
      <c r="K4168" s="6" t="n">
        <f aca="false">IF(COUNTIF($A$2:$A4168,A4168)=1,1,0)</f>
        <v>1</v>
      </c>
    </row>
    <row r="4169" customFormat="false" ht="15" hidden="false" customHeight="false" outlineLevel="0" collapsed="false">
      <c r="A4169" s="0" t="s">
        <v>878</v>
      </c>
      <c r="B4169" s="0" t="s">
        <v>65</v>
      </c>
      <c r="C4169" s="0" t="s">
        <v>66</v>
      </c>
      <c r="D4169" s="0" t="n">
        <v>7</v>
      </c>
      <c r="E4169" s="5" t="n">
        <v>45995.7567824074</v>
      </c>
      <c r="F4169" s="0" t="n">
        <v>1.65</v>
      </c>
      <c r="G4169" s="0" t="n">
        <v>17141</v>
      </c>
      <c r="H4169" s="6" t="s">
        <v>74</v>
      </c>
      <c r="I4169" s="6" t="n">
        <f aca="false">D4169*F4169</f>
        <v>11.55</v>
      </c>
      <c r="J4169" s="6" t="n">
        <f aca="false">HOUR(E4169)</f>
        <v>18</v>
      </c>
      <c r="K4169" s="6" t="n">
        <f aca="false">IF(COUNTIF($A$2:$A4169,A4169)=1,1,0)</f>
        <v>0</v>
      </c>
    </row>
    <row r="4170" customFormat="false" ht="15" hidden="false" customHeight="false" outlineLevel="0" collapsed="false">
      <c r="A4170" s="0" t="s">
        <v>878</v>
      </c>
      <c r="B4170" s="0" t="s">
        <v>57</v>
      </c>
      <c r="C4170" s="0" t="s">
        <v>58</v>
      </c>
      <c r="D4170" s="0" t="n">
        <v>6</v>
      </c>
      <c r="E4170" s="5" t="n">
        <v>45995.7567824074</v>
      </c>
      <c r="F4170" s="0" t="n">
        <v>2.08</v>
      </c>
      <c r="G4170" s="0" t="n">
        <v>17141</v>
      </c>
      <c r="H4170" s="6" t="s">
        <v>74</v>
      </c>
      <c r="I4170" s="6" t="n">
        <f aca="false">D4170*F4170</f>
        <v>12.48</v>
      </c>
      <c r="J4170" s="6" t="n">
        <f aca="false">HOUR(E4170)</f>
        <v>18</v>
      </c>
      <c r="K4170" s="6" t="n">
        <f aca="false">IF(COUNTIF($A$2:$A4170,A4170)=1,1,0)</f>
        <v>0</v>
      </c>
    </row>
    <row r="4171" customFormat="false" ht="15" hidden="false" customHeight="false" outlineLevel="0" collapsed="false">
      <c r="A4171" s="0" t="s">
        <v>878</v>
      </c>
      <c r="B4171" s="0" t="s">
        <v>95</v>
      </c>
      <c r="C4171" s="0" t="s">
        <v>96</v>
      </c>
      <c r="D4171" s="0" t="n">
        <v>46</v>
      </c>
      <c r="E4171" s="5" t="n">
        <v>45995.7567824074</v>
      </c>
      <c r="F4171" s="0" t="n">
        <v>2.55</v>
      </c>
      <c r="G4171" s="0" t="n">
        <v>17141</v>
      </c>
      <c r="H4171" s="6" t="s">
        <v>74</v>
      </c>
      <c r="I4171" s="6" t="n">
        <f aca="false">D4171*F4171</f>
        <v>117.3</v>
      </c>
      <c r="J4171" s="6" t="n">
        <f aca="false">HOUR(E4171)</f>
        <v>18</v>
      </c>
      <c r="K4171" s="6" t="n">
        <f aca="false">IF(COUNTIF($A$2:$A4171,A4171)=1,1,0)</f>
        <v>0</v>
      </c>
    </row>
    <row r="4172" customFormat="false" ht="15" hidden="false" customHeight="false" outlineLevel="0" collapsed="false">
      <c r="A4172" s="0" t="s">
        <v>878</v>
      </c>
      <c r="B4172" s="0" t="s">
        <v>107</v>
      </c>
      <c r="C4172" s="0" t="s">
        <v>108</v>
      </c>
      <c r="D4172" s="0" t="n">
        <v>23</v>
      </c>
      <c r="E4172" s="5" t="n">
        <v>45995.7567824074</v>
      </c>
      <c r="F4172" s="0" t="n">
        <v>3.75</v>
      </c>
      <c r="G4172" s="0" t="n">
        <v>17141</v>
      </c>
      <c r="H4172" s="6" t="s">
        <v>74</v>
      </c>
      <c r="I4172" s="6" t="n">
        <f aca="false">D4172*F4172</f>
        <v>86.25</v>
      </c>
      <c r="J4172" s="6" t="n">
        <f aca="false">HOUR(E4172)</f>
        <v>18</v>
      </c>
      <c r="K4172" s="6" t="n">
        <f aca="false">IF(COUNTIF($A$2:$A4172,A4172)=1,1,0)</f>
        <v>0</v>
      </c>
    </row>
    <row r="4173" customFormat="false" ht="15" hidden="false" customHeight="false" outlineLevel="0" collapsed="false">
      <c r="A4173" s="0" t="s">
        <v>878</v>
      </c>
      <c r="B4173" s="0" t="s">
        <v>40</v>
      </c>
      <c r="C4173" s="0" t="s">
        <v>41</v>
      </c>
      <c r="D4173" s="0" t="n">
        <v>15</v>
      </c>
      <c r="E4173" s="5" t="n">
        <v>45995.7567824074</v>
      </c>
      <c r="F4173" s="0" t="n">
        <v>1.06</v>
      </c>
      <c r="G4173" s="0" t="n">
        <v>17141</v>
      </c>
      <c r="H4173" s="6" t="s">
        <v>74</v>
      </c>
      <c r="I4173" s="6" t="n">
        <f aca="false">D4173*F4173</f>
        <v>15.9</v>
      </c>
      <c r="J4173" s="6" t="n">
        <f aca="false">HOUR(E4173)</f>
        <v>18</v>
      </c>
      <c r="K4173" s="6" t="n">
        <f aca="false">IF(COUNTIF($A$2:$A4173,A4173)=1,1,0)</f>
        <v>0</v>
      </c>
    </row>
    <row r="4174" customFormat="false" ht="15" hidden="false" customHeight="false" outlineLevel="0" collapsed="false">
      <c r="A4174" s="0" t="s">
        <v>878</v>
      </c>
      <c r="B4174" s="0" t="s">
        <v>43</v>
      </c>
      <c r="C4174" s="0" t="s">
        <v>44</v>
      </c>
      <c r="D4174" s="0" t="n">
        <v>3</v>
      </c>
      <c r="E4174" s="5" t="n">
        <v>45995.7567824074</v>
      </c>
      <c r="F4174" s="0" t="n">
        <v>4.25</v>
      </c>
      <c r="G4174" s="0" t="n">
        <v>17141</v>
      </c>
      <c r="H4174" s="6" t="s">
        <v>74</v>
      </c>
      <c r="I4174" s="6" t="n">
        <f aca="false">D4174*F4174</f>
        <v>12.75</v>
      </c>
      <c r="J4174" s="6" t="n">
        <f aca="false">HOUR(E4174)</f>
        <v>18</v>
      </c>
      <c r="K4174" s="6" t="n">
        <f aca="false">IF(COUNTIF($A$2:$A4174,A4174)=1,1,0)</f>
        <v>0</v>
      </c>
    </row>
    <row r="4175" customFormat="false" ht="15" hidden="false" customHeight="false" outlineLevel="0" collapsed="false">
      <c r="A4175" s="0" t="s">
        <v>878</v>
      </c>
      <c r="B4175" s="0" t="s">
        <v>47</v>
      </c>
      <c r="C4175" s="0" t="s">
        <v>48</v>
      </c>
      <c r="D4175" s="0" t="n">
        <v>11</v>
      </c>
      <c r="E4175" s="5" t="n">
        <v>45995.7567824074</v>
      </c>
      <c r="F4175" s="0" t="n">
        <v>12.75</v>
      </c>
      <c r="G4175" s="0" t="n">
        <v>17141</v>
      </c>
      <c r="H4175" s="6" t="s">
        <v>74</v>
      </c>
      <c r="I4175" s="6" t="n">
        <f aca="false">D4175*F4175</f>
        <v>140.25</v>
      </c>
      <c r="J4175" s="6" t="n">
        <f aca="false">HOUR(E4175)</f>
        <v>18</v>
      </c>
      <c r="K4175" s="6" t="n">
        <f aca="false">IF(COUNTIF($A$2:$A4175,A4175)=1,1,0)</f>
        <v>0</v>
      </c>
    </row>
    <row r="4176" customFormat="false" ht="15" hidden="false" customHeight="false" outlineLevel="0" collapsed="false">
      <c r="A4176" s="0" t="s">
        <v>878</v>
      </c>
      <c r="B4176" s="0" t="s">
        <v>63</v>
      </c>
      <c r="C4176" s="0" t="s">
        <v>64</v>
      </c>
      <c r="D4176" s="0" t="n">
        <v>8</v>
      </c>
      <c r="E4176" s="5" t="n">
        <v>45995.7567824074</v>
      </c>
      <c r="F4176" s="0" t="n">
        <v>1.85</v>
      </c>
      <c r="G4176" s="0" t="n">
        <v>17141</v>
      </c>
      <c r="H4176" s="6" t="s">
        <v>74</v>
      </c>
      <c r="I4176" s="6" t="n">
        <f aca="false">D4176*F4176</f>
        <v>14.8</v>
      </c>
      <c r="J4176" s="6" t="n">
        <f aca="false">HOUR(E4176)</f>
        <v>18</v>
      </c>
      <c r="K4176" s="6" t="n">
        <f aca="false">IF(COUNTIF($A$2:$A4176,A4176)=1,1,0)</f>
        <v>0</v>
      </c>
    </row>
    <row r="4177" customFormat="false" ht="15" hidden="false" customHeight="false" outlineLevel="0" collapsed="false">
      <c r="A4177" s="0" t="s">
        <v>878</v>
      </c>
      <c r="B4177" s="0" t="s">
        <v>121</v>
      </c>
      <c r="C4177" s="0" t="s">
        <v>122</v>
      </c>
      <c r="D4177" s="0" t="n">
        <v>22</v>
      </c>
      <c r="E4177" s="5" t="n">
        <v>45995.7567824074</v>
      </c>
      <c r="F4177" s="0" t="n">
        <v>2.1</v>
      </c>
      <c r="G4177" s="0" t="n">
        <v>17141</v>
      </c>
      <c r="H4177" s="6" t="s">
        <v>74</v>
      </c>
      <c r="I4177" s="6" t="n">
        <f aca="false">D4177*F4177</f>
        <v>46.2</v>
      </c>
      <c r="J4177" s="6" t="n">
        <f aca="false">HOUR(E4177)</f>
        <v>18</v>
      </c>
      <c r="K4177" s="6" t="n">
        <f aca="false">IF(COUNTIF($A$2:$A4177,A4177)=1,1,0)</f>
        <v>0</v>
      </c>
    </row>
    <row r="4178" customFormat="false" ht="15" hidden="false" customHeight="false" outlineLevel="0" collapsed="false">
      <c r="A4178" s="0" t="s">
        <v>879</v>
      </c>
      <c r="B4178" s="0" t="s">
        <v>77</v>
      </c>
      <c r="C4178" s="0" t="s">
        <v>78</v>
      </c>
      <c r="D4178" s="0" t="n">
        <v>1</v>
      </c>
      <c r="E4178" s="5" t="n">
        <v>45995.7782060185</v>
      </c>
      <c r="F4178" s="0" t="n">
        <v>1.65</v>
      </c>
      <c r="G4178" s="0" t="n">
        <v>17036</v>
      </c>
      <c r="H4178" s="6" t="s">
        <v>98</v>
      </c>
      <c r="I4178" s="6" t="n">
        <f aca="false">D4178*F4178</f>
        <v>1.65</v>
      </c>
      <c r="J4178" s="6" t="n">
        <f aca="false">HOUR(E4178)</f>
        <v>18</v>
      </c>
      <c r="K4178" s="6" t="n">
        <f aca="false">IF(COUNTIF($A$2:$A4178,A4178)=1,1,0)</f>
        <v>1</v>
      </c>
    </row>
    <row r="4179" customFormat="false" ht="15" hidden="false" customHeight="false" outlineLevel="0" collapsed="false">
      <c r="A4179" s="0" t="s">
        <v>879</v>
      </c>
      <c r="B4179" s="0" t="s">
        <v>145</v>
      </c>
      <c r="C4179" s="0" t="s">
        <v>146</v>
      </c>
      <c r="D4179" s="0" t="n">
        <v>2</v>
      </c>
      <c r="E4179" s="5" t="n">
        <v>45995.7782060185</v>
      </c>
      <c r="F4179" s="0" t="n">
        <v>1.85</v>
      </c>
      <c r="G4179" s="0" t="n">
        <v>17036</v>
      </c>
      <c r="H4179" s="6" t="s">
        <v>98</v>
      </c>
      <c r="I4179" s="6" t="n">
        <f aca="false">D4179*F4179</f>
        <v>3.7</v>
      </c>
      <c r="J4179" s="6" t="n">
        <f aca="false">HOUR(E4179)</f>
        <v>18</v>
      </c>
      <c r="K4179" s="6" t="n">
        <f aca="false">IF(COUNTIF($A$2:$A4179,A4179)=1,1,0)</f>
        <v>0</v>
      </c>
    </row>
    <row r="4180" customFormat="false" ht="15" hidden="false" customHeight="false" outlineLevel="0" collapsed="false">
      <c r="A4180" s="0" t="s">
        <v>879</v>
      </c>
      <c r="B4180" s="0" t="s">
        <v>57</v>
      </c>
      <c r="C4180" s="0" t="s">
        <v>58</v>
      </c>
      <c r="D4180" s="0" t="n">
        <v>12</v>
      </c>
      <c r="E4180" s="5" t="n">
        <v>45995.7782060185</v>
      </c>
      <c r="F4180" s="0" t="n">
        <v>2.08</v>
      </c>
      <c r="G4180" s="0" t="n">
        <v>17036</v>
      </c>
      <c r="H4180" s="6" t="s">
        <v>98</v>
      </c>
      <c r="I4180" s="6" t="n">
        <f aca="false">D4180*F4180</f>
        <v>24.96</v>
      </c>
      <c r="J4180" s="6" t="n">
        <f aca="false">HOUR(E4180)</f>
        <v>18</v>
      </c>
      <c r="K4180" s="6" t="n">
        <f aca="false">IF(COUNTIF($A$2:$A4180,A4180)=1,1,0)</f>
        <v>0</v>
      </c>
    </row>
    <row r="4181" customFormat="false" ht="15" hidden="false" customHeight="false" outlineLevel="0" collapsed="false">
      <c r="A4181" s="0" t="s">
        <v>879</v>
      </c>
      <c r="B4181" s="0" t="s">
        <v>121</v>
      </c>
      <c r="C4181" s="0" t="s">
        <v>122</v>
      </c>
      <c r="D4181" s="0" t="n">
        <v>9</v>
      </c>
      <c r="E4181" s="5" t="n">
        <v>45995.7782060185</v>
      </c>
      <c r="F4181" s="0" t="n">
        <v>2.1</v>
      </c>
      <c r="G4181" s="0" t="n">
        <v>17036</v>
      </c>
      <c r="H4181" s="6" t="s">
        <v>98</v>
      </c>
      <c r="I4181" s="6" t="n">
        <f aca="false">D4181*F4181</f>
        <v>18.9</v>
      </c>
      <c r="J4181" s="6" t="n">
        <f aca="false">HOUR(E4181)</f>
        <v>18</v>
      </c>
      <c r="K4181" s="6" t="n">
        <f aca="false">IF(COUNTIF($A$2:$A4181,A4181)=1,1,0)</f>
        <v>0</v>
      </c>
    </row>
    <row r="4182" customFormat="false" ht="15" hidden="false" customHeight="false" outlineLevel="0" collapsed="false">
      <c r="A4182" s="0" t="s">
        <v>879</v>
      </c>
      <c r="B4182" s="0" t="s">
        <v>63</v>
      </c>
      <c r="C4182" s="0" t="s">
        <v>64</v>
      </c>
      <c r="D4182" s="0" t="n">
        <v>14</v>
      </c>
      <c r="E4182" s="5" t="n">
        <v>45995.7782060185</v>
      </c>
      <c r="F4182" s="0" t="n">
        <v>1.85</v>
      </c>
      <c r="G4182" s="0" t="n">
        <v>17036</v>
      </c>
      <c r="H4182" s="6" t="s">
        <v>98</v>
      </c>
      <c r="I4182" s="6" t="n">
        <f aca="false">D4182*F4182</f>
        <v>25.9</v>
      </c>
      <c r="J4182" s="6" t="n">
        <f aca="false">HOUR(E4182)</f>
        <v>18</v>
      </c>
      <c r="K4182" s="6" t="n">
        <f aca="false">IF(COUNTIF($A$2:$A4182,A4182)=1,1,0)</f>
        <v>0</v>
      </c>
    </row>
    <row r="4183" customFormat="false" ht="15" hidden="false" customHeight="false" outlineLevel="0" collapsed="false">
      <c r="A4183" s="0" t="s">
        <v>879</v>
      </c>
      <c r="B4183" s="0" t="s">
        <v>134</v>
      </c>
      <c r="C4183" s="0" t="s">
        <v>135</v>
      </c>
      <c r="D4183" s="0" t="n">
        <v>16</v>
      </c>
      <c r="E4183" s="5" t="n">
        <v>45995.7782060185</v>
      </c>
      <c r="F4183" s="0" t="n">
        <v>5.95</v>
      </c>
      <c r="G4183" s="0" t="n">
        <v>17036</v>
      </c>
      <c r="H4183" s="6" t="s">
        <v>98</v>
      </c>
      <c r="I4183" s="6" t="n">
        <f aca="false">D4183*F4183</f>
        <v>95.2</v>
      </c>
      <c r="J4183" s="6" t="n">
        <f aca="false">HOUR(E4183)</f>
        <v>18</v>
      </c>
      <c r="K4183" s="6" t="n">
        <f aca="false">IF(COUNTIF($A$2:$A4183,A4183)=1,1,0)</f>
        <v>0</v>
      </c>
    </row>
    <row r="4184" customFormat="false" ht="15" hidden="false" customHeight="false" outlineLevel="0" collapsed="false">
      <c r="A4184" s="0" t="s">
        <v>879</v>
      </c>
      <c r="B4184" s="0" t="s">
        <v>55</v>
      </c>
      <c r="C4184" s="0" t="s">
        <v>56</v>
      </c>
      <c r="D4184" s="0" t="n">
        <v>15</v>
      </c>
      <c r="E4184" s="5" t="n">
        <v>45995.7782060185</v>
      </c>
      <c r="F4184" s="0" t="n">
        <v>1.65</v>
      </c>
      <c r="G4184" s="0" t="n">
        <v>17036</v>
      </c>
      <c r="H4184" s="6" t="s">
        <v>98</v>
      </c>
      <c r="I4184" s="6" t="n">
        <f aca="false">D4184*F4184</f>
        <v>24.75</v>
      </c>
      <c r="J4184" s="6" t="n">
        <f aca="false">HOUR(E4184)</f>
        <v>18</v>
      </c>
      <c r="K4184" s="6" t="n">
        <f aca="false">IF(COUNTIF($A$2:$A4184,A4184)=1,1,0)</f>
        <v>0</v>
      </c>
    </row>
    <row r="4185" customFormat="false" ht="15" hidden="false" customHeight="false" outlineLevel="0" collapsed="false">
      <c r="A4185" s="0" t="s">
        <v>879</v>
      </c>
      <c r="B4185" s="0" t="s">
        <v>118</v>
      </c>
      <c r="C4185" s="0" t="s">
        <v>119</v>
      </c>
      <c r="D4185" s="0" t="n">
        <v>20</v>
      </c>
      <c r="E4185" s="5" t="n">
        <v>45995.7782060185</v>
      </c>
      <c r="F4185" s="0" t="n">
        <v>4.95</v>
      </c>
      <c r="G4185" s="0" t="n">
        <v>17036</v>
      </c>
      <c r="H4185" s="6" t="s">
        <v>98</v>
      </c>
      <c r="I4185" s="6" t="n">
        <f aca="false">D4185*F4185</f>
        <v>99</v>
      </c>
      <c r="J4185" s="6" t="n">
        <f aca="false">HOUR(E4185)</f>
        <v>18</v>
      </c>
      <c r="K4185" s="6" t="n">
        <f aca="false">IF(COUNTIF($A$2:$A4185,A4185)=1,1,0)</f>
        <v>0</v>
      </c>
    </row>
    <row r="4186" customFormat="false" ht="15" hidden="false" customHeight="false" outlineLevel="0" collapsed="false">
      <c r="A4186" s="0" t="s">
        <v>879</v>
      </c>
      <c r="B4186" s="0" t="s">
        <v>47</v>
      </c>
      <c r="C4186" s="0" t="s">
        <v>48</v>
      </c>
      <c r="D4186" s="0" t="n">
        <v>18</v>
      </c>
      <c r="E4186" s="5" t="n">
        <v>45995.7782060185</v>
      </c>
      <c r="F4186" s="0" t="n">
        <v>12.75</v>
      </c>
      <c r="G4186" s="0" t="n">
        <v>17036</v>
      </c>
      <c r="H4186" s="6" t="s">
        <v>98</v>
      </c>
      <c r="I4186" s="6" t="n">
        <f aca="false">D4186*F4186</f>
        <v>229.5</v>
      </c>
      <c r="J4186" s="6" t="n">
        <f aca="false">HOUR(E4186)</f>
        <v>18</v>
      </c>
      <c r="K4186" s="6" t="n">
        <f aca="false">IF(COUNTIF($A$2:$A4186,A4186)=1,1,0)</f>
        <v>0</v>
      </c>
    </row>
    <row r="4187" customFormat="false" ht="15" hidden="false" customHeight="false" outlineLevel="0" collapsed="false">
      <c r="A4187" s="0" t="s">
        <v>880</v>
      </c>
      <c r="B4187" s="0" t="s">
        <v>109</v>
      </c>
      <c r="D4187" s="0" t="n">
        <v>4</v>
      </c>
      <c r="E4187" s="5" t="n">
        <v>45995.8536458333</v>
      </c>
      <c r="F4187" s="0" t="n">
        <v>0.85</v>
      </c>
      <c r="H4187" s="6" t="s">
        <v>74</v>
      </c>
      <c r="I4187" s="6" t="n">
        <f aca="false">D4187*F4187</f>
        <v>3.4</v>
      </c>
      <c r="J4187" s="6" t="n">
        <f aca="false">HOUR(E4187)</f>
        <v>20</v>
      </c>
      <c r="K4187" s="6" t="n">
        <f aca="false">IF(COUNTIF($A$2:$A4187,A4187)=1,1,0)</f>
        <v>1</v>
      </c>
    </row>
    <row r="4188" customFormat="false" ht="15" hidden="false" customHeight="false" outlineLevel="0" collapsed="false">
      <c r="A4188" s="0" t="s">
        <v>880</v>
      </c>
      <c r="B4188" s="0" t="s">
        <v>114</v>
      </c>
      <c r="C4188" s="0" t="s">
        <v>115</v>
      </c>
      <c r="D4188" s="0" t="n">
        <v>9</v>
      </c>
      <c r="E4188" s="5" t="n">
        <v>45995.8536458333</v>
      </c>
      <c r="F4188" s="0" t="n">
        <v>2.08</v>
      </c>
      <c r="H4188" s="6" t="s">
        <v>74</v>
      </c>
      <c r="I4188" s="6" t="n">
        <f aca="false">D4188*F4188</f>
        <v>18.72</v>
      </c>
      <c r="J4188" s="6" t="n">
        <f aca="false">HOUR(E4188)</f>
        <v>20</v>
      </c>
      <c r="K4188" s="6" t="n">
        <f aca="false">IF(COUNTIF($A$2:$A4188,A4188)=1,1,0)</f>
        <v>0</v>
      </c>
    </row>
    <row r="4189" customFormat="false" ht="15" hidden="false" customHeight="false" outlineLevel="0" collapsed="false">
      <c r="A4189" s="0" t="s">
        <v>880</v>
      </c>
      <c r="B4189" s="0" t="s">
        <v>83</v>
      </c>
      <c r="C4189" s="0" t="s">
        <v>84</v>
      </c>
      <c r="D4189" s="0" t="n">
        <v>13</v>
      </c>
      <c r="E4189" s="5" t="n">
        <v>45995.8536458333</v>
      </c>
      <c r="F4189" s="0" t="n">
        <v>2.95</v>
      </c>
      <c r="H4189" s="6" t="s">
        <v>74</v>
      </c>
      <c r="I4189" s="6" t="n">
        <f aca="false">D4189*F4189</f>
        <v>38.35</v>
      </c>
      <c r="J4189" s="6" t="n">
        <f aca="false">HOUR(E4189)</f>
        <v>20</v>
      </c>
      <c r="K4189" s="6" t="n">
        <f aca="false">IF(COUNTIF($A$2:$A4189,A4189)=1,1,0)</f>
        <v>0</v>
      </c>
    </row>
    <row r="4190" customFormat="false" ht="15" hidden="false" customHeight="false" outlineLevel="0" collapsed="false">
      <c r="A4190" s="0" t="s">
        <v>880</v>
      </c>
      <c r="B4190" s="0" t="s">
        <v>61</v>
      </c>
      <c r="C4190" s="0" t="s">
        <v>62</v>
      </c>
      <c r="D4190" s="0" t="n">
        <v>13</v>
      </c>
      <c r="E4190" s="5" t="n">
        <v>45995.8536458333</v>
      </c>
      <c r="F4190" s="0" t="n">
        <v>1.65</v>
      </c>
      <c r="H4190" s="6" t="s">
        <v>74</v>
      </c>
      <c r="I4190" s="6" t="n">
        <f aca="false">D4190*F4190</f>
        <v>21.45</v>
      </c>
      <c r="J4190" s="6" t="n">
        <f aca="false">HOUR(E4190)</f>
        <v>20</v>
      </c>
      <c r="K4190" s="6" t="n">
        <f aca="false">IF(COUNTIF($A$2:$A4190,A4190)=1,1,0)</f>
        <v>0</v>
      </c>
    </row>
    <row r="4191" customFormat="false" ht="15" hidden="false" customHeight="false" outlineLevel="0" collapsed="false">
      <c r="A4191" s="0" t="s">
        <v>880</v>
      </c>
      <c r="B4191" s="0" t="s">
        <v>77</v>
      </c>
      <c r="C4191" s="0" t="s">
        <v>78</v>
      </c>
      <c r="D4191" s="0" t="n">
        <v>18</v>
      </c>
      <c r="E4191" s="5" t="n">
        <v>45995.8536458333</v>
      </c>
      <c r="F4191" s="0" t="n">
        <v>1.65</v>
      </c>
      <c r="H4191" s="6" t="s">
        <v>74</v>
      </c>
      <c r="I4191" s="6" t="n">
        <f aca="false">D4191*F4191</f>
        <v>29.7</v>
      </c>
      <c r="J4191" s="6" t="n">
        <f aca="false">HOUR(E4191)</f>
        <v>20</v>
      </c>
      <c r="K4191" s="6" t="n">
        <f aca="false">IF(COUNTIF($A$2:$A4191,A4191)=1,1,0)</f>
        <v>0</v>
      </c>
    </row>
    <row r="4192" customFormat="false" ht="15" hidden="false" customHeight="false" outlineLevel="0" collapsed="false">
      <c r="A4192" s="0" t="s">
        <v>881</v>
      </c>
      <c r="B4192" s="0" t="s">
        <v>91</v>
      </c>
      <c r="C4192" s="0" t="s">
        <v>92</v>
      </c>
      <c r="D4192" s="0" t="n">
        <v>24</v>
      </c>
      <c r="E4192" s="5" t="n">
        <v>45996.3353819445</v>
      </c>
      <c r="F4192" s="0" t="n">
        <v>7.65</v>
      </c>
      <c r="G4192" s="0" t="n">
        <v>17092</v>
      </c>
      <c r="H4192" s="6" t="s">
        <v>74</v>
      </c>
      <c r="I4192" s="6" t="n">
        <f aca="false">D4192*F4192</f>
        <v>183.6</v>
      </c>
      <c r="J4192" s="6" t="n">
        <f aca="false">HOUR(E4192)</f>
        <v>8</v>
      </c>
      <c r="K4192" s="6" t="n">
        <f aca="false">IF(COUNTIF($A$2:$A4192,A4192)=1,1,0)</f>
        <v>1</v>
      </c>
    </row>
    <row r="4193" customFormat="false" ht="15" hidden="false" customHeight="false" outlineLevel="0" collapsed="false">
      <c r="A4193" s="0" t="s">
        <v>881</v>
      </c>
      <c r="B4193" s="0" t="s">
        <v>125</v>
      </c>
      <c r="C4193" s="0" t="s">
        <v>126</v>
      </c>
      <c r="D4193" s="0" t="n">
        <v>19</v>
      </c>
      <c r="E4193" s="5" t="n">
        <v>45996.3353819445</v>
      </c>
      <c r="F4193" s="0" t="n">
        <v>1.25</v>
      </c>
      <c r="G4193" s="0" t="n">
        <v>17092</v>
      </c>
      <c r="H4193" s="6" t="s">
        <v>74</v>
      </c>
      <c r="I4193" s="6" t="n">
        <f aca="false">D4193*F4193</f>
        <v>23.75</v>
      </c>
      <c r="J4193" s="6" t="n">
        <f aca="false">HOUR(E4193)</f>
        <v>8</v>
      </c>
      <c r="K4193" s="6" t="n">
        <f aca="false">IF(COUNTIF($A$2:$A4193,A4193)=1,1,0)</f>
        <v>0</v>
      </c>
    </row>
    <row r="4194" customFormat="false" ht="15" hidden="false" customHeight="false" outlineLevel="0" collapsed="false">
      <c r="A4194" s="0" t="s">
        <v>881</v>
      </c>
      <c r="B4194" s="0" t="s">
        <v>114</v>
      </c>
      <c r="C4194" s="0" t="s">
        <v>115</v>
      </c>
      <c r="D4194" s="0" t="n">
        <v>20</v>
      </c>
      <c r="E4194" s="5" t="n">
        <v>45996.3353819445</v>
      </c>
      <c r="F4194" s="0" t="n">
        <v>2.08</v>
      </c>
      <c r="G4194" s="0" t="n">
        <v>17092</v>
      </c>
      <c r="H4194" s="6" t="s">
        <v>74</v>
      </c>
      <c r="I4194" s="6" t="n">
        <f aca="false">D4194*F4194</f>
        <v>41.6</v>
      </c>
      <c r="J4194" s="6" t="n">
        <f aca="false">HOUR(E4194)</f>
        <v>8</v>
      </c>
      <c r="K4194" s="6" t="n">
        <f aca="false">IF(COUNTIF($A$2:$A4194,A4194)=1,1,0)</f>
        <v>0</v>
      </c>
    </row>
    <row r="4195" customFormat="false" ht="15" hidden="false" customHeight="false" outlineLevel="0" collapsed="false">
      <c r="A4195" s="0" t="s">
        <v>881</v>
      </c>
      <c r="B4195" s="0" t="s">
        <v>118</v>
      </c>
      <c r="C4195" s="0" t="s">
        <v>119</v>
      </c>
      <c r="D4195" s="0" t="n">
        <v>20</v>
      </c>
      <c r="E4195" s="5" t="n">
        <v>45996.3353819445</v>
      </c>
      <c r="F4195" s="0" t="n">
        <v>4.95</v>
      </c>
      <c r="G4195" s="0" t="n">
        <v>17092</v>
      </c>
      <c r="H4195" s="6" t="s">
        <v>74</v>
      </c>
      <c r="I4195" s="6" t="n">
        <f aca="false">D4195*F4195</f>
        <v>99</v>
      </c>
      <c r="J4195" s="6" t="n">
        <f aca="false">HOUR(E4195)</f>
        <v>8</v>
      </c>
      <c r="K4195" s="6" t="n">
        <f aca="false">IF(COUNTIF($A$2:$A4195,A4195)=1,1,0)</f>
        <v>0</v>
      </c>
    </row>
    <row r="4196" customFormat="false" ht="15" hidden="false" customHeight="false" outlineLevel="0" collapsed="false">
      <c r="A4196" s="0" t="s">
        <v>881</v>
      </c>
      <c r="B4196" s="0" t="s">
        <v>83</v>
      </c>
      <c r="C4196" s="0" t="s">
        <v>84</v>
      </c>
      <c r="D4196" s="0" t="n">
        <v>13</v>
      </c>
      <c r="E4196" s="5" t="n">
        <v>45996.3353819445</v>
      </c>
      <c r="F4196" s="0" t="n">
        <v>2.95</v>
      </c>
      <c r="G4196" s="0" t="n">
        <v>17092</v>
      </c>
      <c r="H4196" s="6" t="s">
        <v>74</v>
      </c>
      <c r="I4196" s="6" t="n">
        <f aca="false">D4196*F4196</f>
        <v>38.35</v>
      </c>
      <c r="J4196" s="6" t="n">
        <f aca="false">HOUR(E4196)</f>
        <v>8</v>
      </c>
      <c r="K4196" s="6" t="n">
        <f aca="false">IF(COUNTIF($A$2:$A4196,A4196)=1,1,0)</f>
        <v>0</v>
      </c>
    </row>
    <row r="4197" customFormat="false" ht="15" hidden="false" customHeight="false" outlineLevel="0" collapsed="false">
      <c r="A4197" s="0" t="s">
        <v>881</v>
      </c>
      <c r="B4197" s="0" t="s">
        <v>134</v>
      </c>
      <c r="C4197" s="0" t="s">
        <v>135</v>
      </c>
      <c r="D4197" s="0" t="n">
        <v>3</v>
      </c>
      <c r="E4197" s="5" t="n">
        <v>45996.3353819445</v>
      </c>
      <c r="F4197" s="0" t="n">
        <v>5.95</v>
      </c>
      <c r="G4197" s="0" t="n">
        <v>17092</v>
      </c>
      <c r="H4197" s="6" t="s">
        <v>74</v>
      </c>
      <c r="I4197" s="6" t="n">
        <f aca="false">D4197*F4197</f>
        <v>17.85</v>
      </c>
      <c r="J4197" s="6" t="n">
        <f aca="false">HOUR(E4197)</f>
        <v>8</v>
      </c>
      <c r="K4197" s="6" t="n">
        <f aca="false">IF(COUNTIF($A$2:$A4197,A4197)=1,1,0)</f>
        <v>0</v>
      </c>
    </row>
    <row r="4198" customFormat="false" ht="15" hidden="false" customHeight="false" outlineLevel="0" collapsed="false">
      <c r="A4198" s="0" t="s">
        <v>881</v>
      </c>
      <c r="B4198" s="0" t="s">
        <v>45</v>
      </c>
      <c r="C4198" s="0" t="s">
        <v>46</v>
      </c>
      <c r="D4198" s="0" t="n">
        <v>15</v>
      </c>
      <c r="E4198" s="5" t="n">
        <v>45996.3353819445</v>
      </c>
      <c r="F4198" s="0" t="n">
        <v>2.1</v>
      </c>
      <c r="G4198" s="0" t="n">
        <v>17092</v>
      </c>
      <c r="H4198" s="6" t="s">
        <v>74</v>
      </c>
      <c r="I4198" s="6" t="n">
        <f aca="false">D4198*F4198</f>
        <v>31.5</v>
      </c>
      <c r="J4198" s="6" t="n">
        <f aca="false">HOUR(E4198)</f>
        <v>8</v>
      </c>
      <c r="K4198" s="6" t="n">
        <f aca="false">IF(COUNTIF($A$2:$A4198,A4198)=1,1,0)</f>
        <v>0</v>
      </c>
    </row>
    <row r="4199" customFormat="false" ht="15" hidden="false" customHeight="false" outlineLevel="0" collapsed="false">
      <c r="A4199" s="0" t="s">
        <v>881</v>
      </c>
      <c r="B4199" s="0" t="s">
        <v>79</v>
      </c>
      <c r="C4199" s="0" t="s">
        <v>80</v>
      </c>
      <c r="D4199" s="0" t="n">
        <v>6</v>
      </c>
      <c r="E4199" s="5" t="n">
        <v>45996.3353819445</v>
      </c>
      <c r="F4199" s="0" t="n">
        <v>3.39</v>
      </c>
      <c r="G4199" s="0" t="n">
        <v>17092</v>
      </c>
      <c r="H4199" s="6" t="s">
        <v>74</v>
      </c>
      <c r="I4199" s="6" t="n">
        <f aca="false">D4199*F4199</f>
        <v>20.34</v>
      </c>
      <c r="J4199" s="6" t="n">
        <f aca="false">HOUR(E4199)</f>
        <v>8</v>
      </c>
      <c r="K4199" s="6" t="n">
        <f aca="false">IF(COUNTIF($A$2:$A4199,A4199)=1,1,0)</f>
        <v>0</v>
      </c>
    </row>
    <row r="4200" customFormat="false" ht="15" hidden="false" customHeight="false" outlineLevel="0" collapsed="false">
      <c r="A4200" s="0" t="s">
        <v>881</v>
      </c>
      <c r="B4200" s="0" t="s">
        <v>61</v>
      </c>
      <c r="C4200" s="0" t="s">
        <v>62</v>
      </c>
      <c r="D4200" s="0" t="n">
        <v>17</v>
      </c>
      <c r="E4200" s="5" t="n">
        <v>45996.3353819445</v>
      </c>
      <c r="F4200" s="0" t="n">
        <v>1.65</v>
      </c>
      <c r="G4200" s="0" t="n">
        <v>17092</v>
      </c>
      <c r="H4200" s="6" t="s">
        <v>74</v>
      </c>
      <c r="I4200" s="6" t="n">
        <f aca="false">D4200*F4200</f>
        <v>28.05</v>
      </c>
      <c r="J4200" s="6" t="n">
        <f aca="false">HOUR(E4200)</f>
        <v>8</v>
      </c>
      <c r="K4200" s="6" t="n">
        <f aca="false">IF(COUNTIF($A$2:$A4200,A4200)=1,1,0)</f>
        <v>0</v>
      </c>
    </row>
    <row r="4201" customFormat="false" ht="15" hidden="false" customHeight="false" outlineLevel="0" collapsed="false">
      <c r="A4201" s="0" t="s">
        <v>882</v>
      </c>
      <c r="B4201" s="0" t="s">
        <v>104</v>
      </c>
      <c r="C4201" s="0" t="s">
        <v>105</v>
      </c>
      <c r="D4201" s="0" t="n">
        <v>9</v>
      </c>
      <c r="E4201" s="5" t="n">
        <v>45996.3374305556</v>
      </c>
      <c r="F4201" s="0" t="n">
        <v>1.65</v>
      </c>
      <c r="H4201" s="6" t="s">
        <v>151</v>
      </c>
      <c r="I4201" s="6" t="n">
        <f aca="false">D4201*F4201</f>
        <v>14.85</v>
      </c>
      <c r="J4201" s="6" t="n">
        <f aca="false">HOUR(E4201)</f>
        <v>8</v>
      </c>
      <c r="K4201" s="6" t="n">
        <f aca="false">IF(COUNTIF($A$2:$A4201,A4201)=1,1,0)</f>
        <v>1</v>
      </c>
    </row>
    <row r="4202" customFormat="false" ht="15" hidden="false" customHeight="false" outlineLevel="0" collapsed="false">
      <c r="A4202" s="0" t="s">
        <v>882</v>
      </c>
      <c r="B4202" s="0" t="s">
        <v>118</v>
      </c>
      <c r="C4202" s="0" t="s">
        <v>119</v>
      </c>
      <c r="D4202" s="0" t="n">
        <v>45</v>
      </c>
      <c r="E4202" s="5" t="n">
        <v>45996.3374305556</v>
      </c>
      <c r="F4202" s="0" t="n">
        <v>4.95</v>
      </c>
      <c r="H4202" s="6" t="s">
        <v>151</v>
      </c>
      <c r="I4202" s="6" t="n">
        <f aca="false">D4202*F4202</f>
        <v>222.75</v>
      </c>
      <c r="J4202" s="6" t="n">
        <f aca="false">HOUR(E4202)</f>
        <v>8</v>
      </c>
      <c r="K4202" s="6" t="n">
        <f aca="false">IF(COUNTIF($A$2:$A4202,A4202)=1,1,0)</f>
        <v>0</v>
      </c>
    </row>
    <row r="4203" customFormat="false" ht="15" hidden="false" customHeight="false" outlineLevel="0" collapsed="false">
      <c r="A4203" s="0" t="s">
        <v>882</v>
      </c>
      <c r="B4203" s="0" t="s">
        <v>63</v>
      </c>
      <c r="C4203" s="0" t="s">
        <v>64</v>
      </c>
      <c r="D4203" s="0" t="n">
        <v>22</v>
      </c>
      <c r="E4203" s="5" t="n">
        <v>45996.3374305556</v>
      </c>
      <c r="F4203" s="0" t="n">
        <v>1.85</v>
      </c>
      <c r="H4203" s="6" t="s">
        <v>151</v>
      </c>
      <c r="I4203" s="6" t="n">
        <f aca="false">D4203*F4203</f>
        <v>40.7</v>
      </c>
      <c r="J4203" s="6" t="n">
        <f aca="false">HOUR(E4203)</f>
        <v>8</v>
      </c>
      <c r="K4203" s="6" t="n">
        <f aca="false">IF(COUNTIF($A$2:$A4203,A4203)=1,1,0)</f>
        <v>0</v>
      </c>
    </row>
    <row r="4204" customFormat="false" ht="15" hidden="false" customHeight="false" outlineLevel="0" collapsed="false">
      <c r="A4204" s="0" t="s">
        <v>882</v>
      </c>
      <c r="B4204" s="0" t="s">
        <v>125</v>
      </c>
      <c r="C4204" s="0" t="s">
        <v>126</v>
      </c>
      <c r="D4204" s="0" t="n">
        <v>17</v>
      </c>
      <c r="E4204" s="5" t="n">
        <v>45996.3374305556</v>
      </c>
      <c r="F4204" s="0" t="n">
        <v>1.25</v>
      </c>
      <c r="H4204" s="6" t="s">
        <v>151</v>
      </c>
      <c r="I4204" s="6" t="n">
        <f aca="false">D4204*F4204</f>
        <v>21.25</v>
      </c>
      <c r="J4204" s="6" t="n">
        <f aca="false">HOUR(E4204)</f>
        <v>8</v>
      </c>
      <c r="K4204" s="6" t="n">
        <f aca="false">IF(COUNTIF($A$2:$A4204,A4204)=1,1,0)</f>
        <v>0</v>
      </c>
    </row>
    <row r="4205" customFormat="false" ht="15" hidden="false" customHeight="false" outlineLevel="0" collapsed="false">
      <c r="A4205" s="0" t="s">
        <v>883</v>
      </c>
      <c r="B4205" s="0" t="s">
        <v>107</v>
      </c>
      <c r="C4205" s="0" t="s">
        <v>108</v>
      </c>
      <c r="D4205" s="0" t="n">
        <v>20</v>
      </c>
      <c r="E4205" s="5" t="n">
        <v>45996.3986226852</v>
      </c>
      <c r="F4205" s="0" t="n">
        <v>3.75</v>
      </c>
      <c r="G4205" s="0" t="n">
        <v>17215</v>
      </c>
      <c r="H4205" s="6" t="s">
        <v>74</v>
      </c>
      <c r="I4205" s="6" t="n">
        <f aca="false">D4205*F4205</f>
        <v>75</v>
      </c>
      <c r="J4205" s="6" t="n">
        <f aca="false">HOUR(E4205)</f>
        <v>9</v>
      </c>
      <c r="K4205" s="6" t="n">
        <f aca="false">IF(COUNTIF($A$2:$A4205,A4205)=1,1,0)</f>
        <v>1</v>
      </c>
    </row>
    <row r="4206" customFormat="false" ht="15" hidden="false" customHeight="false" outlineLevel="0" collapsed="false">
      <c r="A4206" s="0" t="s">
        <v>883</v>
      </c>
      <c r="B4206" s="0" t="s">
        <v>75</v>
      </c>
      <c r="C4206" s="0" t="s">
        <v>76</v>
      </c>
      <c r="D4206" s="0" t="n">
        <v>21</v>
      </c>
      <c r="E4206" s="5" t="n">
        <v>45996.3986226852</v>
      </c>
      <c r="F4206" s="0" t="n">
        <v>3.39</v>
      </c>
      <c r="G4206" s="0" t="n">
        <v>17215</v>
      </c>
      <c r="H4206" s="6" t="s">
        <v>74</v>
      </c>
      <c r="I4206" s="6" t="n">
        <f aca="false">D4206*F4206</f>
        <v>71.19</v>
      </c>
      <c r="J4206" s="6" t="n">
        <f aca="false">HOUR(E4206)</f>
        <v>9</v>
      </c>
      <c r="K4206" s="6" t="n">
        <f aca="false">IF(COUNTIF($A$2:$A4206,A4206)=1,1,0)</f>
        <v>0</v>
      </c>
    </row>
    <row r="4207" customFormat="false" ht="15" hidden="false" customHeight="false" outlineLevel="0" collapsed="false">
      <c r="A4207" s="0" t="s">
        <v>884</v>
      </c>
      <c r="B4207" s="0" t="s">
        <v>95</v>
      </c>
      <c r="C4207" s="0" t="s">
        <v>96</v>
      </c>
      <c r="D4207" s="0" t="n">
        <v>28</v>
      </c>
      <c r="E4207" s="5" t="n">
        <v>45996.4217824074</v>
      </c>
      <c r="F4207" s="0" t="n">
        <v>2.55</v>
      </c>
      <c r="G4207" s="0" t="n">
        <v>17249</v>
      </c>
      <c r="H4207" s="6" t="s">
        <v>74</v>
      </c>
      <c r="I4207" s="6" t="n">
        <f aca="false">D4207*F4207</f>
        <v>71.4</v>
      </c>
      <c r="J4207" s="6" t="n">
        <f aca="false">HOUR(E4207)</f>
        <v>10</v>
      </c>
      <c r="K4207" s="6" t="n">
        <f aca="false">IF(COUNTIF($A$2:$A4207,A4207)=1,1,0)</f>
        <v>1</v>
      </c>
    </row>
    <row r="4208" customFormat="false" ht="15" hidden="false" customHeight="false" outlineLevel="0" collapsed="false">
      <c r="A4208" s="0" t="s">
        <v>884</v>
      </c>
      <c r="B4208" s="0" t="s">
        <v>131</v>
      </c>
      <c r="C4208" s="0" t="s">
        <v>132</v>
      </c>
      <c r="D4208" s="0" t="n">
        <v>8</v>
      </c>
      <c r="E4208" s="5" t="n">
        <v>45996.4217824074</v>
      </c>
      <c r="F4208" s="0" t="n">
        <v>3.39</v>
      </c>
      <c r="G4208" s="0" t="n">
        <v>17249</v>
      </c>
      <c r="H4208" s="6" t="s">
        <v>74</v>
      </c>
      <c r="I4208" s="6" t="n">
        <f aca="false">D4208*F4208</f>
        <v>27.12</v>
      </c>
      <c r="J4208" s="6" t="n">
        <f aca="false">HOUR(E4208)</f>
        <v>10</v>
      </c>
      <c r="K4208" s="6" t="n">
        <f aca="false">IF(COUNTIF($A$2:$A4208,A4208)=1,1,0)</f>
        <v>0</v>
      </c>
    </row>
    <row r="4209" customFormat="false" ht="15" hidden="false" customHeight="false" outlineLevel="0" collapsed="false">
      <c r="A4209" s="0" t="s">
        <v>884</v>
      </c>
      <c r="B4209" s="0" t="s">
        <v>57</v>
      </c>
      <c r="C4209" s="0" t="s">
        <v>58</v>
      </c>
      <c r="D4209" s="0" t="n">
        <v>9</v>
      </c>
      <c r="E4209" s="5" t="n">
        <v>45996.4217824074</v>
      </c>
      <c r="F4209" s="0" t="n">
        <v>2.08</v>
      </c>
      <c r="G4209" s="0" t="n">
        <v>17249</v>
      </c>
      <c r="H4209" s="6" t="s">
        <v>74</v>
      </c>
      <c r="I4209" s="6" t="n">
        <f aca="false">D4209*F4209</f>
        <v>18.72</v>
      </c>
      <c r="J4209" s="6" t="n">
        <f aca="false">HOUR(E4209)</f>
        <v>10</v>
      </c>
      <c r="K4209" s="6" t="n">
        <f aca="false">IF(COUNTIF($A$2:$A4209,A4209)=1,1,0)</f>
        <v>0</v>
      </c>
    </row>
    <row r="4210" customFormat="false" ht="15" hidden="false" customHeight="false" outlineLevel="0" collapsed="false">
      <c r="A4210" s="0" t="s">
        <v>884</v>
      </c>
      <c r="B4210" s="0" t="s">
        <v>53</v>
      </c>
      <c r="C4210" s="0" t="s">
        <v>54</v>
      </c>
      <c r="D4210" s="0" t="n">
        <v>3</v>
      </c>
      <c r="E4210" s="5" t="n">
        <v>45996.4217824074</v>
      </c>
      <c r="F4210" s="0" t="n">
        <v>2.95</v>
      </c>
      <c r="G4210" s="0" t="n">
        <v>17249</v>
      </c>
      <c r="H4210" s="6" t="s">
        <v>74</v>
      </c>
      <c r="I4210" s="6" t="n">
        <f aca="false">D4210*F4210</f>
        <v>8.85</v>
      </c>
      <c r="J4210" s="6" t="n">
        <f aca="false">HOUR(E4210)</f>
        <v>10</v>
      </c>
      <c r="K4210" s="6" t="n">
        <f aca="false">IF(COUNTIF($A$2:$A4210,A4210)=1,1,0)</f>
        <v>0</v>
      </c>
    </row>
    <row r="4211" customFormat="false" ht="15" hidden="false" customHeight="false" outlineLevel="0" collapsed="false">
      <c r="A4211" s="0" t="s">
        <v>884</v>
      </c>
      <c r="B4211" s="0" t="s">
        <v>116</v>
      </c>
      <c r="C4211" s="0" t="s">
        <v>117</v>
      </c>
      <c r="D4211" s="0" t="n">
        <v>1</v>
      </c>
      <c r="E4211" s="5" t="n">
        <v>45996.4217824074</v>
      </c>
      <c r="F4211" s="0" t="n">
        <v>1.95</v>
      </c>
      <c r="G4211" s="0" t="n">
        <v>17249</v>
      </c>
      <c r="H4211" s="6" t="s">
        <v>74</v>
      </c>
      <c r="I4211" s="6" t="n">
        <f aca="false">D4211*F4211</f>
        <v>1.95</v>
      </c>
      <c r="J4211" s="6" t="n">
        <f aca="false">HOUR(E4211)</f>
        <v>10</v>
      </c>
      <c r="K4211" s="6" t="n">
        <f aca="false">IF(COUNTIF($A$2:$A4211,A4211)=1,1,0)</f>
        <v>0</v>
      </c>
    </row>
    <row r="4212" customFormat="false" ht="15" hidden="false" customHeight="false" outlineLevel="0" collapsed="false">
      <c r="A4212" s="0" t="s">
        <v>884</v>
      </c>
      <c r="B4212" s="0" t="s">
        <v>118</v>
      </c>
      <c r="C4212" s="0" t="s">
        <v>119</v>
      </c>
      <c r="D4212" s="0" t="n">
        <v>30</v>
      </c>
      <c r="E4212" s="5" t="n">
        <v>45996.4217824074</v>
      </c>
      <c r="F4212" s="0" t="n">
        <v>4.95</v>
      </c>
      <c r="G4212" s="0" t="n">
        <v>17249</v>
      </c>
      <c r="H4212" s="6" t="s">
        <v>74</v>
      </c>
      <c r="I4212" s="6" t="n">
        <f aca="false">D4212*F4212</f>
        <v>148.5</v>
      </c>
      <c r="J4212" s="6" t="n">
        <f aca="false">HOUR(E4212)</f>
        <v>10</v>
      </c>
      <c r="K4212" s="6" t="n">
        <f aca="false">IF(COUNTIF($A$2:$A4212,A4212)=1,1,0)</f>
        <v>0</v>
      </c>
    </row>
    <row r="4213" customFormat="false" ht="15" hidden="false" customHeight="false" outlineLevel="0" collapsed="false">
      <c r="A4213" s="0" t="s">
        <v>884</v>
      </c>
      <c r="B4213" s="0" t="s">
        <v>59</v>
      </c>
      <c r="D4213" s="0" t="n">
        <v>24</v>
      </c>
      <c r="E4213" s="5" t="n">
        <v>45996.4217824074</v>
      </c>
      <c r="F4213" s="0" t="n">
        <v>0.42</v>
      </c>
      <c r="G4213" s="0" t="n">
        <v>17249</v>
      </c>
      <c r="H4213" s="6" t="s">
        <v>74</v>
      </c>
      <c r="I4213" s="6" t="n">
        <f aca="false">D4213*F4213</f>
        <v>10.08</v>
      </c>
      <c r="J4213" s="6" t="n">
        <f aca="false">HOUR(E4213)</f>
        <v>10</v>
      </c>
      <c r="K4213" s="6" t="n">
        <f aca="false">IF(COUNTIF($A$2:$A4213,A4213)=1,1,0)</f>
        <v>0</v>
      </c>
    </row>
    <row r="4214" customFormat="false" ht="15" hidden="false" customHeight="false" outlineLevel="0" collapsed="false">
      <c r="A4214" s="0" t="s">
        <v>884</v>
      </c>
      <c r="B4214" s="0" t="s">
        <v>88</v>
      </c>
      <c r="C4214" s="0" t="s">
        <v>89</v>
      </c>
      <c r="D4214" s="0" t="n">
        <v>4</v>
      </c>
      <c r="E4214" s="5" t="n">
        <v>45996.4217824074</v>
      </c>
      <c r="F4214" s="0" t="n">
        <v>2.75</v>
      </c>
      <c r="G4214" s="0" t="n">
        <v>17249</v>
      </c>
      <c r="H4214" s="6" t="s">
        <v>74</v>
      </c>
      <c r="I4214" s="6" t="n">
        <f aca="false">D4214*F4214</f>
        <v>11</v>
      </c>
      <c r="J4214" s="6" t="n">
        <f aca="false">HOUR(E4214)</f>
        <v>10</v>
      </c>
      <c r="K4214" s="6" t="n">
        <f aca="false">IF(COUNTIF($A$2:$A4214,A4214)=1,1,0)</f>
        <v>0</v>
      </c>
    </row>
    <row r="4215" customFormat="false" ht="15" hidden="false" customHeight="false" outlineLevel="0" collapsed="false">
      <c r="A4215" s="0" t="s">
        <v>884</v>
      </c>
      <c r="B4215" s="0" t="s">
        <v>45</v>
      </c>
      <c r="C4215" s="0" t="s">
        <v>46</v>
      </c>
      <c r="D4215" s="0" t="n">
        <v>24</v>
      </c>
      <c r="E4215" s="5" t="n">
        <v>45996.4217824074</v>
      </c>
      <c r="F4215" s="0" t="n">
        <v>2.1</v>
      </c>
      <c r="G4215" s="0" t="n">
        <v>17249</v>
      </c>
      <c r="H4215" s="6" t="s">
        <v>74</v>
      </c>
      <c r="I4215" s="6" t="n">
        <f aca="false">D4215*F4215</f>
        <v>50.4</v>
      </c>
      <c r="J4215" s="6" t="n">
        <f aca="false">HOUR(E4215)</f>
        <v>10</v>
      </c>
      <c r="K4215" s="6" t="n">
        <f aca="false">IF(COUNTIF($A$2:$A4215,A4215)=1,1,0)</f>
        <v>0</v>
      </c>
    </row>
    <row r="4216" customFormat="false" ht="15" hidden="false" customHeight="false" outlineLevel="0" collapsed="false">
      <c r="A4216" s="0" t="s">
        <v>885</v>
      </c>
      <c r="B4216" s="0" t="s">
        <v>53</v>
      </c>
      <c r="C4216" s="0" t="s">
        <v>54</v>
      </c>
      <c r="D4216" s="0" t="n">
        <v>7</v>
      </c>
      <c r="E4216" s="5" t="n">
        <v>45996.4403819444</v>
      </c>
      <c r="F4216" s="0" t="n">
        <v>2.95</v>
      </c>
      <c r="G4216" s="0" t="n">
        <v>17255</v>
      </c>
      <c r="H4216" s="6" t="s">
        <v>52</v>
      </c>
      <c r="I4216" s="6" t="n">
        <f aca="false">D4216*F4216</f>
        <v>20.65</v>
      </c>
      <c r="J4216" s="6" t="n">
        <f aca="false">HOUR(E4216)</f>
        <v>10</v>
      </c>
      <c r="K4216" s="6" t="n">
        <f aca="false">IF(COUNTIF($A$2:$A4216,A4216)=1,1,0)</f>
        <v>1</v>
      </c>
    </row>
    <row r="4217" customFormat="false" ht="15" hidden="false" customHeight="false" outlineLevel="0" collapsed="false">
      <c r="A4217" s="0" t="s">
        <v>885</v>
      </c>
      <c r="B4217" s="0" t="s">
        <v>65</v>
      </c>
      <c r="C4217" s="0" t="s">
        <v>66</v>
      </c>
      <c r="D4217" s="0" t="n">
        <v>13</v>
      </c>
      <c r="E4217" s="5" t="n">
        <v>45996.4403819444</v>
      </c>
      <c r="F4217" s="0" t="n">
        <v>1.65</v>
      </c>
      <c r="G4217" s="0" t="n">
        <v>17255</v>
      </c>
      <c r="H4217" s="6" t="s">
        <v>52</v>
      </c>
      <c r="I4217" s="6" t="n">
        <f aca="false">D4217*F4217</f>
        <v>21.45</v>
      </c>
      <c r="J4217" s="6" t="n">
        <f aca="false">HOUR(E4217)</f>
        <v>10</v>
      </c>
      <c r="K4217" s="6" t="n">
        <f aca="false">IF(COUNTIF($A$2:$A4217,A4217)=1,1,0)</f>
        <v>0</v>
      </c>
    </row>
    <row r="4218" customFormat="false" ht="15" hidden="false" customHeight="false" outlineLevel="0" collapsed="false">
      <c r="A4218" s="0" t="s">
        <v>885</v>
      </c>
      <c r="B4218" s="0" t="s">
        <v>118</v>
      </c>
      <c r="C4218" s="0" t="s">
        <v>119</v>
      </c>
      <c r="D4218" s="0" t="n">
        <v>45</v>
      </c>
      <c r="E4218" s="5" t="n">
        <v>45996.4403819444</v>
      </c>
      <c r="F4218" s="0" t="n">
        <v>4.95</v>
      </c>
      <c r="G4218" s="0" t="n">
        <v>17255</v>
      </c>
      <c r="H4218" s="6" t="s">
        <v>52</v>
      </c>
      <c r="I4218" s="6" t="n">
        <f aca="false">D4218*F4218</f>
        <v>222.75</v>
      </c>
      <c r="J4218" s="6" t="n">
        <f aca="false">HOUR(E4218)</f>
        <v>10</v>
      </c>
      <c r="K4218" s="6" t="n">
        <f aca="false">IF(COUNTIF($A$2:$A4218,A4218)=1,1,0)</f>
        <v>0</v>
      </c>
    </row>
    <row r="4219" customFormat="false" ht="15" hidden="false" customHeight="false" outlineLevel="0" collapsed="false">
      <c r="A4219" s="0" t="s">
        <v>885</v>
      </c>
      <c r="B4219" s="0" t="s">
        <v>72</v>
      </c>
      <c r="C4219" s="0" t="s">
        <v>73</v>
      </c>
      <c r="D4219" s="0" t="n">
        <v>33</v>
      </c>
      <c r="E4219" s="5" t="n">
        <v>45996.4403819444</v>
      </c>
      <c r="F4219" s="0" t="n">
        <v>4.95</v>
      </c>
      <c r="G4219" s="0" t="n">
        <v>17255</v>
      </c>
      <c r="H4219" s="6" t="s">
        <v>52</v>
      </c>
      <c r="I4219" s="6" t="n">
        <f aca="false">D4219*F4219</f>
        <v>163.35</v>
      </c>
      <c r="J4219" s="6" t="n">
        <f aca="false">HOUR(E4219)</f>
        <v>10</v>
      </c>
      <c r="K4219" s="6" t="n">
        <f aca="false">IF(COUNTIF($A$2:$A4219,A4219)=1,1,0)</f>
        <v>0</v>
      </c>
    </row>
    <row r="4220" customFormat="false" ht="15" hidden="false" customHeight="false" outlineLevel="0" collapsed="false">
      <c r="A4220" s="0" t="s">
        <v>886</v>
      </c>
      <c r="B4220" s="0" t="s">
        <v>83</v>
      </c>
      <c r="C4220" s="0" t="s">
        <v>84</v>
      </c>
      <c r="D4220" s="0" t="n">
        <v>15</v>
      </c>
      <c r="E4220" s="5" t="n">
        <v>45996.4510763889</v>
      </c>
      <c r="F4220" s="0" t="n">
        <v>2.95</v>
      </c>
      <c r="G4220" s="0" t="n">
        <v>17234</v>
      </c>
      <c r="H4220" s="6" t="s">
        <v>208</v>
      </c>
      <c r="I4220" s="6" t="n">
        <f aca="false">D4220*F4220</f>
        <v>44.25</v>
      </c>
      <c r="J4220" s="6" t="n">
        <f aca="false">HOUR(E4220)</f>
        <v>10</v>
      </c>
      <c r="K4220" s="6" t="n">
        <f aca="false">IF(COUNTIF($A$2:$A4220,A4220)=1,1,0)</f>
        <v>1</v>
      </c>
    </row>
    <row r="4221" customFormat="false" ht="15" hidden="false" customHeight="false" outlineLevel="0" collapsed="false">
      <c r="A4221" s="0" t="s">
        <v>886</v>
      </c>
      <c r="B4221" s="0" t="s">
        <v>145</v>
      </c>
      <c r="C4221" s="0" t="s">
        <v>146</v>
      </c>
      <c r="D4221" s="0" t="n">
        <v>15</v>
      </c>
      <c r="E4221" s="5" t="n">
        <v>45996.4510763889</v>
      </c>
      <c r="F4221" s="0" t="n">
        <v>1.85</v>
      </c>
      <c r="G4221" s="0" t="n">
        <v>17234</v>
      </c>
      <c r="H4221" s="6" t="s">
        <v>208</v>
      </c>
      <c r="I4221" s="6" t="n">
        <f aca="false">D4221*F4221</f>
        <v>27.75</v>
      </c>
      <c r="J4221" s="6" t="n">
        <f aca="false">HOUR(E4221)</f>
        <v>10</v>
      </c>
      <c r="K4221" s="6" t="n">
        <f aca="false">IF(COUNTIF($A$2:$A4221,A4221)=1,1,0)</f>
        <v>0</v>
      </c>
    </row>
    <row r="4222" customFormat="false" ht="15" hidden="false" customHeight="false" outlineLevel="0" collapsed="false">
      <c r="A4222" s="0" t="s">
        <v>886</v>
      </c>
      <c r="B4222" s="0" t="s">
        <v>47</v>
      </c>
      <c r="C4222" s="0" t="s">
        <v>48</v>
      </c>
      <c r="D4222" s="0" t="n">
        <v>18</v>
      </c>
      <c r="E4222" s="5" t="n">
        <v>45996.4510763889</v>
      </c>
      <c r="F4222" s="0" t="n">
        <v>12.75</v>
      </c>
      <c r="G4222" s="0" t="n">
        <v>17234</v>
      </c>
      <c r="H4222" s="6" t="s">
        <v>208</v>
      </c>
      <c r="I4222" s="6" t="n">
        <f aca="false">D4222*F4222</f>
        <v>229.5</v>
      </c>
      <c r="J4222" s="6" t="n">
        <f aca="false">HOUR(E4222)</f>
        <v>10</v>
      </c>
      <c r="K4222" s="6" t="n">
        <f aca="false">IF(COUNTIF($A$2:$A4222,A4222)=1,1,0)</f>
        <v>0</v>
      </c>
    </row>
    <row r="4223" customFormat="false" ht="15" hidden="false" customHeight="false" outlineLevel="0" collapsed="false">
      <c r="A4223" s="0" t="s">
        <v>886</v>
      </c>
      <c r="B4223" s="0" t="s">
        <v>99</v>
      </c>
      <c r="C4223" s="0" t="s">
        <v>100</v>
      </c>
      <c r="D4223" s="0" t="n">
        <v>5</v>
      </c>
      <c r="E4223" s="5" t="n">
        <v>45996.4510763889</v>
      </c>
      <c r="F4223" s="0" t="n">
        <v>2.08</v>
      </c>
      <c r="G4223" s="0" t="n">
        <v>17234</v>
      </c>
      <c r="H4223" s="6" t="s">
        <v>208</v>
      </c>
      <c r="I4223" s="6" t="n">
        <f aca="false">D4223*F4223</f>
        <v>10.4</v>
      </c>
      <c r="J4223" s="6" t="n">
        <f aca="false">HOUR(E4223)</f>
        <v>10</v>
      </c>
      <c r="K4223" s="6" t="n">
        <f aca="false">IF(COUNTIF($A$2:$A4223,A4223)=1,1,0)</f>
        <v>0</v>
      </c>
    </row>
    <row r="4224" customFormat="false" ht="15" hidden="false" customHeight="false" outlineLevel="0" collapsed="false">
      <c r="A4224" s="0" t="s">
        <v>886</v>
      </c>
      <c r="B4224" s="0" t="s">
        <v>109</v>
      </c>
      <c r="C4224" s="0" t="s">
        <v>110</v>
      </c>
      <c r="D4224" s="0" t="n">
        <v>21</v>
      </c>
      <c r="E4224" s="5" t="n">
        <v>45996.4510763889</v>
      </c>
      <c r="F4224" s="0" t="n">
        <v>0.85</v>
      </c>
      <c r="G4224" s="0" t="n">
        <v>17234</v>
      </c>
      <c r="H4224" s="6" t="s">
        <v>208</v>
      </c>
      <c r="I4224" s="6" t="n">
        <f aca="false">D4224*F4224</f>
        <v>17.85</v>
      </c>
      <c r="J4224" s="6" t="n">
        <f aca="false">HOUR(E4224)</f>
        <v>10</v>
      </c>
      <c r="K4224" s="6" t="n">
        <f aca="false">IF(COUNTIF($A$2:$A4224,A4224)=1,1,0)</f>
        <v>0</v>
      </c>
    </row>
    <row r="4225" customFormat="false" ht="15" hidden="false" customHeight="false" outlineLevel="0" collapsed="false">
      <c r="A4225" s="0" t="s">
        <v>886</v>
      </c>
      <c r="B4225" s="0" t="s">
        <v>116</v>
      </c>
      <c r="C4225" s="0" t="s">
        <v>117</v>
      </c>
      <c r="D4225" s="0" t="n">
        <v>22</v>
      </c>
      <c r="E4225" s="5" t="n">
        <v>45996.4510763889</v>
      </c>
      <c r="F4225" s="0" t="n">
        <v>1.95</v>
      </c>
      <c r="G4225" s="0" t="n">
        <v>17234</v>
      </c>
      <c r="H4225" s="6" t="s">
        <v>208</v>
      </c>
      <c r="I4225" s="6" t="n">
        <f aca="false">D4225*F4225</f>
        <v>42.9</v>
      </c>
      <c r="J4225" s="6" t="n">
        <f aca="false">HOUR(E4225)</f>
        <v>10</v>
      </c>
      <c r="K4225" s="6" t="n">
        <f aca="false">IF(COUNTIF($A$2:$A4225,A4225)=1,1,0)</f>
        <v>0</v>
      </c>
    </row>
    <row r="4226" customFormat="false" ht="15" hidden="false" customHeight="false" outlineLevel="0" collapsed="false">
      <c r="A4226" s="0" t="s">
        <v>886</v>
      </c>
      <c r="B4226" s="0" t="s">
        <v>81</v>
      </c>
      <c r="C4226" s="0" t="s">
        <v>82</v>
      </c>
      <c r="D4226" s="0" t="n">
        <v>24</v>
      </c>
      <c r="E4226" s="5" t="n">
        <v>45996.4510763889</v>
      </c>
      <c r="F4226" s="0" t="n">
        <v>1.65</v>
      </c>
      <c r="G4226" s="0" t="n">
        <v>17234</v>
      </c>
      <c r="H4226" s="6" t="s">
        <v>208</v>
      </c>
      <c r="I4226" s="6" t="n">
        <f aca="false">D4226*F4226</f>
        <v>39.6</v>
      </c>
      <c r="J4226" s="6" t="n">
        <f aca="false">HOUR(E4226)</f>
        <v>10</v>
      </c>
      <c r="K4226" s="6" t="n">
        <f aca="false">IF(COUNTIF($A$2:$A4226,A4226)=1,1,0)</f>
        <v>0</v>
      </c>
    </row>
    <row r="4227" customFormat="false" ht="15" hidden="false" customHeight="false" outlineLevel="0" collapsed="false">
      <c r="A4227" s="0" t="s">
        <v>886</v>
      </c>
      <c r="B4227" s="0" t="s">
        <v>134</v>
      </c>
      <c r="C4227" s="0" t="s">
        <v>135</v>
      </c>
      <c r="D4227" s="0" t="n">
        <v>5</v>
      </c>
      <c r="E4227" s="5" t="n">
        <v>45996.4510763889</v>
      </c>
      <c r="F4227" s="0" t="n">
        <v>5.95</v>
      </c>
      <c r="G4227" s="0" t="n">
        <v>17234</v>
      </c>
      <c r="H4227" s="6" t="s">
        <v>208</v>
      </c>
      <c r="I4227" s="6" t="n">
        <f aca="false">D4227*F4227</f>
        <v>29.75</v>
      </c>
      <c r="J4227" s="6" t="n">
        <f aca="false">HOUR(E4227)</f>
        <v>10</v>
      </c>
      <c r="K4227" s="6" t="n">
        <f aca="false">IF(COUNTIF($A$2:$A4227,A4227)=1,1,0)</f>
        <v>0</v>
      </c>
    </row>
    <row r="4228" customFormat="false" ht="15" hidden="false" customHeight="false" outlineLevel="0" collapsed="false">
      <c r="A4228" s="0" t="s">
        <v>886</v>
      </c>
      <c r="B4228" s="0" t="s">
        <v>121</v>
      </c>
      <c r="C4228" s="0" t="s">
        <v>122</v>
      </c>
      <c r="D4228" s="0" t="n">
        <v>24</v>
      </c>
      <c r="E4228" s="5" t="n">
        <v>45996.4510763889</v>
      </c>
      <c r="F4228" s="0" t="n">
        <v>2.1</v>
      </c>
      <c r="G4228" s="0" t="n">
        <v>17234</v>
      </c>
      <c r="H4228" s="6" t="s">
        <v>208</v>
      </c>
      <c r="I4228" s="6" t="n">
        <f aca="false">D4228*F4228</f>
        <v>50.4</v>
      </c>
      <c r="J4228" s="6" t="n">
        <f aca="false">HOUR(E4228)</f>
        <v>10</v>
      </c>
      <c r="K4228" s="6" t="n">
        <f aca="false">IF(COUNTIF($A$2:$A4228,A4228)=1,1,0)</f>
        <v>0</v>
      </c>
    </row>
    <row r="4229" customFormat="false" ht="15" hidden="false" customHeight="false" outlineLevel="0" collapsed="false">
      <c r="A4229" s="0" t="s">
        <v>886</v>
      </c>
      <c r="B4229" s="0" t="s">
        <v>72</v>
      </c>
      <c r="C4229" s="0" t="s">
        <v>73</v>
      </c>
      <c r="D4229" s="0" t="n">
        <v>43</v>
      </c>
      <c r="E4229" s="5" t="n">
        <v>45996.4510763889</v>
      </c>
      <c r="F4229" s="0" t="n">
        <v>4.95</v>
      </c>
      <c r="G4229" s="0" t="n">
        <v>17234</v>
      </c>
      <c r="H4229" s="6" t="s">
        <v>208</v>
      </c>
      <c r="I4229" s="6" t="n">
        <f aca="false">D4229*F4229</f>
        <v>212.85</v>
      </c>
      <c r="J4229" s="6" t="n">
        <f aca="false">HOUR(E4229)</f>
        <v>10</v>
      </c>
      <c r="K4229" s="6" t="n">
        <f aca="false">IF(COUNTIF($A$2:$A4229,A4229)=1,1,0)</f>
        <v>0</v>
      </c>
    </row>
    <row r="4230" customFormat="false" ht="15" hidden="false" customHeight="false" outlineLevel="0" collapsed="false">
      <c r="A4230" s="0" t="s">
        <v>887</v>
      </c>
      <c r="B4230" s="0" t="s">
        <v>137</v>
      </c>
      <c r="C4230" s="0" t="s">
        <v>138</v>
      </c>
      <c r="D4230" s="0" t="n">
        <v>20</v>
      </c>
      <c r="E4230" s="5" t="n">
        <v>45996.4761921296</v>
      </c>
      <c r="F4230" s="0" t="n">
        <v>2.1</v>
      </c>
      <c r="G4230" s="0" t="n">
        <v>17014</v>
      </c>
      <c r="H4230" s="6" t="s">
        <v>42</v>
      </c>
      <c r="I4230" s="6" t="n">
        <f aca="false">D4230*F4230</f>
        <v>42</v>
      </c>
      <c r="J4230" s="6" t="n">
        <f aca="false">HOUR(E4230)</f>
        <v>11</v>
      </c>
      <c r="K4230" s="6" t="n">
        <f aca="false">IF(COUNTIF($A$2:$A4230,A4230)=1,1,0)</f>
        <v>1</v>
      </c>
    </row>
    <row r="4231" customFormat="false" ht="15" hidden="false" customHeight="false" outlineLevel="0" collapsed="false">
      <c r="A4231" s="0" t="s">
        <v>887</v>
      </c>
      <c r="B4231" s="0" t="s">
        <v>55</v>
      </c>
      <c r="C4231" s="0" t="s">
        <v>56</v>
      </c>
      <c r="D4231" s="0" t="n">
        <v>9</v>
      </c>
      <c r="E4231" s="5" t="n">
        <v>45996.4761921296</v>
      </c>
      <c r="F4231" s="0" t="n">
        <v>1.65</v>
      </c>
      <c r="G4231" s="0" t="n">
        <v>17014</v>
      </c>
      <c r="H4231" s="6" t="s">
        <v>42</v>
      </c>
      <c r="I4231" s="6" t="n">
        <f aca="false">D4231*F4231</f>
        <v>14.85</v>
      </c>
      <c r="J4231" s="6" t="n">
        <f aca="false">HOUR(E4231)</f>
        <v>11</v>
      </c>
      <c r="K4231" s="6" t="n">
        <f aca="false">IF(COUNTIF($A$2:$A4231,A4231)=1,1,0)</f>
        <v>0</v>
      </c>
    </row>
    <row r="4232" customFormat="false" ht="15" hidden="false" customHeight="false" outlineLevel="0" collapsed="false">
      <c r="A4232" s="0" t="s">
        <v>888</v>
      </c>
      <c r="B4232" s="0" t="s">
        <v>121</v>
      </c>
      <c r="C4232" s="0" t="s">
        <v>122</v>
      </c>
      <c r="D4232" s="0" t="n">
        <v>15</v>
      </c>
      <c r="E4232" s="5" t="n">
        <v>45996.6607060185</v>
      </c>
      <c r="F4232" s="0" t="n">
        <v>2.1</v>
      </c>
      <c r="G4232" s="0" t="n">
        <v>17060</v>
      </c>
      <c r="H4232" s="6" t="s">
        <v>74</v>
      </c>
      <c r="I4232" s="6" t="n">
        <f aca="false">D4232*F4232</f>
        <v>31.5</v>
      </c>
      <c r="J4232" s="6" t="n">
        <f aca="false">HOUR(E4232)</f>
        <v>15</v>
      </c>
      <c r="K4232" s="6" t="n">
        <f aca="false">IF(COUNTIF($A$2:$A4232,A4232)=1,1,0)</f>
        <v>1</v>
      </c>
    </row>
    <row r="4233" customFormat="false" ht="15" hidden="false" customHeight="false" outlineLevel="0" collapsed="false">
      <c r="A4233" s="0" t="s">
        <v>889</v>
      </c>
      <c r="B4233" s="0" t="s">
        <v>86</v>
      </c>
      <c r="C4233" s="0" t="s">
        <v>87</v>
      </c>
      <c r="D4233" s="0" t="n">
        <v>2</v>
      </c>
      <c r="E4233" s="5" t="n">
        <v>45996.8366435185</v>
      </c>
      <c r="F4233" s="0" t="n">
        <v>4.25</v>
      </c>
      <c r="G4233" s="0" t="n">
        <v>17233</v>
      </c>
      <c r="H4233" s="6" t="s">
        <v>74</v>
      </c>
      <c r="I4233" s="6" t="n">
        <f aca="false">D4233*F4233</f>
        <v>8.5</v>
      </c>
      <c r="J4233" s="6" t="n">
        <f aca="false">HOUR(E4233)</f>
        <v>20</v>
      </c>
      <c r="K4233" s="6" t="n">
        <f aca="false">IF(COUNTIF($A$2:$A4233,A4233)=1,1,0)</f>
        <v>1</v>
      </c>
    </row>
    <row r="4234" customFormat="false" ht="15" hidden="false" customHeight="false" outlineLevel="0" collapsed="false">
      <c r="A4234" s="0" t="s">
        <v>889</v>
      </c>
      <c r="B4234" s="0" t="s">
        <v>55</v>
      </c>
      <c r="C4234" s="0" t="s">
        <v>56</v>
      </c>
      <c r="D4234" s="0" t="n">
        <v>10</v>
      </c>
      <c r="E4234" s="5" t="n">
        <v>45996.8366435185</v>
      </c>
      <c r="F4234" s="0" t="n">
        <v>1.65</v>
      </c>
      <c r="G4234" s="0" t="n">
        <v>17233</v>
      </c>
      <c r="H4234" s="6" t="s">
        <v>74</v>
      </c>
      <c r="I4234" s="6" t="n">
        <f aca="false">D4234*F4234</f>
        <v>16.5</v>
      </c>
      <c r="J4234" s="6" t="n">
        <f aca="false">HOUR(E4234)</f>
        <v>20</v>
      </c>
      <c r="K4234" s="6" t="n">
        <f aca="false">IF(COUNTIF($A$2:$A4234,A4234)=1,1,0)</f>
        <v>0</v>
      </c>
    </row>
    <row r="4235" customFormat="false" ht="15" hidden="false" customHeight="false" outlineLevel="0" collapsed="false">
      <c r="A4235" s="0" t="s">
        <v>889</v>
      </c>
      <c r="B4235" s="0" t="s">
        <v>50</v>
      </c>
      <c r="C4235" s="0" t="s">
        <v>51</v>
      </c>
      <c r="D4235" s="0" t="n">
        <v>22</v>
      </c>
      <c r="E4235" s="5" t="n">
        <v>45996.8366435185</v>
      </c>
      <c r="F4235" s="0" t="n">
        <v>5.95</v>
      </c>
      <c r="G4235" s="0" t="n">
        <v>17233</v>
      </c>
      <c r="H4235" s="6" t="s">
        <v>74</v>
      </c>
      <c r="I4235" s="6" t="n">
        <f aca="false">D4235*F4235</f>
        <v>130.9</v>
      </c>
      <c r="J4235" s="6" t="n">
        <f aca="false">HOUR(E4235)</f>
        <v>20</v>
      </c>
      <c r="K4235" s="6" t="n">
        <f aca="false">IF(COUNTIF($A$2:$A4235,A4235)=1,1,0)</f>
        <v>0</v>
      </c>
    </row>
    <row r="4236" customFormat="false" ht="15" hidden="false" customHeight="false" outlineLevel="0" collapsed="false">
      <c r="A4236" s="0" t="s">
        <v>889</v>
      </c>
      <c r="B4236" s="0" t="s">
        <v>131</v>
      </c>
      <c r="C4236" s="0" t="s">
        <v>132</v>
      </c>
      <c r="D4236" s="0" t="n">
        <v>24</v>
      </c>
      <c r="E4236" s="5" t="n">
        <v>45996.8366435185</v>
      </c>
      <c r="F4236" s="0" t="n">
        <v>3.39</v>
      </c>
      <c r="G4236" s="0" t="n">
        <v>17233</v>
      </c>
      <c r="H4236" s="6" t="s">
        <v>74</v>
      </c>
      <c r="I4236" s="6" t="n">
        <f aca="false">D4236*F4236</f>
        <v>81.36</v>
      </c>
      <c r="J4236" s="6" t="n">
        <f aca="false">HOUR(E4236)</f>
        <v>20</v>
      </c>
      <c r="K4236" s="6" t="n">
        <f aca="false">IF(COUNTIF($A$2:$A4236,A4236)=1,1,0)</f>
        <v>0</v>
      </c>
    </row>
    <row r="4237" customFormat="false" ht="15" hidden="false" customHeight="false" outlineLevel="0" collapsed="false">
      <c r="A4237" s="0" t="s">
        <v>889</v>
      </c>
      <c r="B4237" s="0" t="s">
        <v>137</v>
      </c>
      <c r="D4237" s="0" t="n">
        <v>5</v>
      </c>
      <c r="E4237" s="5" t="n">
        <v>45996.8366435185</v>
      </c>
      <c r="F4237" s="0" t="n">
        <v>2.1</v>
      </c>
      <c r="G4237" s="0" t="n">
        <v>17233</v>
      </c>
      <c r="H4237" s="6" t="s">
        <v>74</v>
      </c>
      <c r="I4237" s="6" t="n">
        <f aca="false">D4237*F4237</f>
        <v>10.5</v>
      </c>
      <c r="J4237" s="6" t="n">
        <f aca="false">HOUR(E4237)</f>
        <v>20</v>
      </c>
      <c r="K4237" s="6" t="n">
        <f aca="false">IF(COUNTIF($A$2:$A4237,A4237)=1,1,0)</f>
        <v>0</v>
      </c>
    </row>
    <row r="4238" customFormat="false" ht="15" hidden="false" customHeight="false" outlineLevel="0" collapsed="false">
      <c r="A4238" s="0" t="s">
        <v>890</v>
      </c>
      <c r="B4238" s="0" t="s">
        <v>40</v>
      </c>
      <c r="C4238" s="0" t="s">
        <v>41</v>
      </c>
      <c r="D4238" s="0" t="n">
        <v>20</v>
      </c>
      <c r="E4238" s="5" t="n">
        <v>45997.2670023148</v>
      </c>
      <c r="F4238" s="0" t="n">
        <v>1.06</v>
      </c>
      <c r="H4238" s="6" t="s">
        <v>74</v>
      </c>
      <c r="I4238" s="6" t="n">
        <f aca="false">D4238*F4238</f>
        <v>21.2</v>
      </c>
      <c r="J4238" s="6" t="n">
        <f aca="false">HOUR(E4238)</f>
        <v>6</v>
      </c>
      <c r="K4238" s="6" t="n">
        <f aca="false">IF(COUNTIF($A$2:$A4238,A4238)=1,1,0)</f>
        <v>1</v>
      </c>
    </row>
    <row r="4239" customFormat="false" ht="15" hidden="false" customHeight="false" outlineLevel="0" collapsed="false">
      <c r="A4239" s="0" t="s">
        <v>891</v>
      </c>
      <c r="B4239" s="0" t="s">
        <v>95</v>
      </c>
      <c r="C4239" s="0" t="s">
        <v>96</v>
      </c>
      <c r="D4239" s="0" t="n">
        <v>10</v>
      </c>
      <c r="E4239" s="5" t="n">
        <v>45997.3633449074</v>
      </c>
      <c r="F4239" s="0" t="n">
        <v>2.55</v>
      </c>
      <c r="G4239" s="0" t="n">
        <v>17128</v>
      </c>
      <c r="H4239" s="6" t="s">
        <v>52</v>
      </c>
      <c r="I4239" s="6" t="n">
        <f aca="false">D4239*F4239</f>
        <v>25.5</v>
      </c>
      <c r="J4239" s="6" t="n">
        <f aca="false">HOUR(E4239)</f>
        <v>8</v>
      </c>
      <c r="K4239" s="6" t="n">
        <f aca="false">IF(COUNTIF($A$2:$A4239,A4239)=1,1,0)</f>
        <v>1</v>
      </c>
    </row>
    <row r="4240" customFormat="false" ht="15" hidden="false" customHeight="false" outlineLevel="0" collapsed="false">
      <c r="A4240" s="0" t="s">
        <v>891</v>
      </c>
      <c r="B4240" s="0" t="s">
        <v>50</v>
      </c>
      <c r="C4240" s="0" t="s">
        <v>51</v>
      </c>
      <c r="D4240" s="0" t="n">
        <v>6</v>
      </c>
      <c r="E4240" s="5" t="n">
        <v>45997.3633449074</v>
      </c>
      <c r="F4240" s="0" t="n">
        <v>5.95</v>
      </c>
      <c r="G4240" s="0" t="n">
        <v>17128</v>
      </c>
      <c r="H4240" s="6" t="s">
        <v>52</v>
      </c>
      <c r="I4240" s="6" t="n">
        <f aca="false">D4240*F4240</f>
        <v>35.7</v>
      </c>
      <c r="J4240" s="6" t="n">
        <f aca="false">HOUR(E4240)</f>
        <v>8</v>
      </c>
      <c r="K4240" s="6" t="n">
        <f aca="false">IF(COUNTIF($A$2:$A4240,A4240)=1,1,0)</f>
        <v>0</v>
      </c>
    </row>
    <row r="4241" customFormat="false" ht="15" hidden="false" customHeight="false" outlineLevel="0" collapsed="false">
      <c r="A4241" s="0" t="s">
        <v>891</v>
      </c>
      <c r="B4241" s="0" t="s">
        <v>53</v>
      </c>
      <c r="C4241" s="0" t="s">
        <v>54</v>
      </c>
      <c r="D4241" s="0" t="n">
        <v>11</v>
      </c>
      <c r="E4241" s="5" t="n">
        <v>45997.3633449074</v>
      </c>
      <c r="F4241" s="0" t="n">
        <v>2.95</v>
      </c>
      <c r="G4241" s="0" t="n">
        <v>17128</v>
      </c>
      <c r="H4241" s="6" t="s">
        <v>52</v>
      </c>
      <c r="I4241" s="6" t="n">
        <f aca="false">D4241*F4241</f>
        <v>32.45</v>
      </c>
      <c r="J4241" s="6" t="n">
        <f aca="false">HOUR(E4241)</f>
        <v>8</v>
      </c>
      <c r="K4241" s="6" t="n">
        <f aca="false">IF(COUNTIF($A$2:$A4241,A4241)=1,1,0)</f>
        <v>0</v>
      </c>
    </row>
    <row r="4242" customFormat="false" ht="15" hidden="false" customHeight="false" outlineLevel="0" collapsed="false">
      <c r="A4242" s="0" t="s">
        <v>891</v>
      </c>
      <c r="B4242" s="0" t="s">
        <v>145</v>
      </c>
      <c r="C4242" s="0" t="s">
        <v>146</v>
      </c>
      <c r="D4242" s="0" t="n">
        <v>7</v>
      </c>
      <c r="E4242" s="5" t="n">
        <v>45997.3633449074</v>
      </c>
      <c r="F4242" s="0" t="n">
        <v>1.85</v>
      </c>
      <c r="G4242" s="0" t="n">
        <v>17128</v>
      </c>
      <c r="H4242" s="6" t="s">
        <v>52</v>
      </c>
      <c r="I4242" s="6" t="n">
        <f aca="false">D4242*F4242</f>
        <v>12.95</v>
      </c>
      <c r="J4242" s="6" t="n">
        <f aca="false">HOUR(E4242)</f>
        <v>8</v>
      </c>
      <c r="K4242" s="6" t="n">
        <f aca="false">IF(COUNTIF($A$2:$A4242,A4242)=1,1,0)</f>
        <v>0</v>
      </c>
    </row>
    <row r="4243" customFormat="false" ht="15" hidden="false" customHeight="false" outlineLevel="0" collapsed="false">
      <c r="A4243" s="0" t="s">
        <v>891</v>
      </c>
      <c r="B4243" s="0" t="s">
        <v>99</v>
      </c>
      <c r="C4243" s="0" t="s">
        <v>100</v>
      </c>
      <c r="D4243" s="0" t="n">
        <v>1</v>
      </c>
      <c r="E4243" s="5" t="n">
        <v>45997.3633449074</v>
      </c>
      <c r="F4243" s="0" t="n">
        <v>2.08</v>
      </c>
      <c r="G4243" s="0" t="n">
        <v>17128</v>
      </c>
      <c r="H4243" s="6" t="s">
        <v>52</v>
      </c>
      <c r="I4243" s="6" t="n">
        <f aca="false">D4243*F4243</f>
        <v>2.08</v>
      </c>
      <c r="J4243" s="6" t="n">
        <f aca="false">HOUR(E4243)</f>
        <v>8</v>
      </c>
      <c r="K4243" s="6" t="n">
        <f aca="false">IF(COUNTIF($A$2:$A4243,A4243)=1,1,0)</f>
        <v>0</v>
      </c>
    </row>
    <row r="4244" customFormat="false" ht="15" hidden="false" customHeight="false" outlineLevel="0" collapsed="false">
      <c r="A4244" s="0" t="s">
        <v>891</v>
      </c>
      <c r="B4244" s="0" t="s">
        <v>121</v>
      </c>
      <c r="C4244" s="0" t="s">
        <v>122</v>
      </c>
      <c r="D4244" s="0" t="n">
        <v>4</v>
      </c>
      <c r="E4244" s="5" t="n">
        <v>45997.3633449074</v>
      </c>
      <c r="F4244" s="0" t="n">
        <v>2.1</v>
      </c>
      <c r="G4244" s="0" t="n">
        <v>17128</v>
      </c>
      <c r="H4244" s="6" t="s">
        <v>52</v>
      </c>
      <c r="I4244" s="6" t="n">
        <f aca="false">D4244*F4244</f>
        <v>8.4</v>
      </c>
      <c r="J4244" s="6" t="n">
        <f aca="false">HOUR(E4244)</f>
        <v>8</v>
      </c>
      <c r="K4244" s="6" t="n">
        <f aca="false">IF(COUNTIF($A$2:$A4244,A4244)=1,1,0)</f>
        <v>0</v>
      </c>
    </row>
    <row r="4245" customFormat="false" ht="15" hidden="false" customHeight="false" outlineLevel="0" collapsed="false">
      <c r="A4245" s="0" t="s">
        <v>891</v>
      </c>
      <c r="B4245" s="0" t="s">
        <v>83</v>
      </c>
      <c r="C4245" s="0" t="s">
        <v>84</v>
      </c>
      <c r="D4245" s="0" t="n">
        <v>20</v>
      </c>
      <c r="E4245" s="5" t="n">
        <v>45997.3633449074</v>
      </c>
      <c r="F4245" s="0" t="n">
        <v>2.95</v>
      </c>
      <c r="G4245" s="0" t="n">
        <v>17128</v>
      </c>
      <c r="H4245" s="6" t="s">
        <v>52</v>
      </c>
      <c r="I4245" s="6" t="n">
        <f aca="false">D4245*F4245</f>
        <v>59</v>
      </c>
      <c r="J4245" s="6" t="n">
        <f aca="false">HOUR(E4245)</f>
        <v>8</v>
      </c>
      <c r="K4245" s="6" t="n">
        <f aca="false">IF(COUNTIF($A$2:$A4245,A4245)=1,1,0)</f>
        <v>0</v>
      </c>
    </row>
    <row r="4246" customFormat="false" ht="15" hidden="false" customHeight="false" outlineLevel="0" collapsed="false">
      <c r="A4246" s="0" t="s">
        <v>891</v>
      </c>
      <c r="B4246" s="0" t="s">
        <v>45</v>
      </c>
      <c r="C4246" s="0" t="s">
        <v>46</v>
      </c>
      <c r="D4246" s="0" t="n">
        <v>3</v>
      </c>
      <c r="E4246" s="5" t="n">
        <v>45997.3633449074</v>
      </c>
      <c r="F4246" s="0" t="n">
        <v>2.1</v>
      </c>
      <c r="G4246" s="0" t="n">
        <v>17128</v>
      </c>
      <c r="H4246" s="6" t="s">
        <v>52</v>
      </c>
      <c r="I4246" s="6" t="n">
        <f aca="false">D4246*F4246</f>
        <v>6.3</v>
      </c>
      <c r="J4246" s="6" t="n">
        <f aca="false">HOUR(E4246)</f>
        <v>8</v>
      </c>
      <c r="K4246" s="6" t="n">
        <f aca="false">IF(COUNTIF($A$2:$A4246,A4246)=1,1,0)</f>
        <v>0</v>
      </c>
    </row>
    <row r="4247" customFormat="false" ht="15" hidden="false" customHeight="false" outlineLevel="0" collapsed="false">
      <c r="A4247" s="0" t="s">
        <v>892</v>
      </c>
      <c r="B4247" s="0" t="s">
        <v>145</v>
      </c>
      <c r="C4247" s="0" t="s">
        <v>146</v>
      </c>
      <c r="D4247" s="0" t="n">
        <v>2</v>
      </c>
      <c r="E4247" s="5" t="n">
        <v>45997.4018287037</v>
      </c>
      <c r="F4247" s="0" t="n">
        <v>1.85</v>
      </c>
      <c r="G4247" s="0" t="n">
        <v>17242</v>
      </c>
      <c r="H4247" s="6" t="s">
        <v>74</v>
      </c>
      <c r="I4247" s="6" t="n">
        <f aca="false">D4247*F4247</f>
        <v>3.7</v>
      </c>
      <c r="J4247" s="6" t="n">
        <f aca="false">HOUR(E4247)</f>
        <v>9</v>
      </c>
      <c r="K4247" s="6" t="n">
        <f aca="false">IF(COUNTIF($A$2:$A4247,A4247)=1,1,0)</f>
        <v>1</v>
      </c>
    </row>
    <row r="4248" customFormat="false" ht="15" hidden="false" customHeight="false" outlineLevel="0" collapsed="false">
      <c r="A4248" s="0" t="s">
        <v>892</v>
      </c>
      <c r="B4248" s="0" t="s">
        <v>59</v>
      </c>
      <c r="C4248" s="0" t="s">
        <v>60</v>
      </c>
      <c r="D4248" s="0" t="n">
        <v>16</v>
      </c>
      <c r="E4248" s="5" t="n">
        <v>45997.4018287037</v>
      </c>
      <c r="F4248" s="0" t="n">
        <v>0.42</v>
      </c>
      <c r="G4248" s="0" t="n">
        <v>17242</v>
      </c>
      <c r="H4248" s="6" t="s">
        <v>74</v>
      </c>
      <c r="I4248" s="6" t="n">
        <f aca="false">D4248*F4248</f>
        <v>6.72</v>
      </c>
      <c r="J4248" s="6" t="n">
        <f aca="false">HOUR(E4248)</f>
        <v>9</v>
      </c>
      <c r="K4248" s="6" t="n">
        <f aca="false">IF(COUNTIF($A$2:$A4248,A4248)=1,1,0)</f>
        <v>0</v>
      </c>
    </row>
    <row r="4249" customFormat="false" ht="15" hidden="false" customHeight="false" outlineLevel="0" collapsed="false">
      <c r="A4249" s="0" t="s">
        <v>892</v>
      </c>
      <c r="B4249" s="0" t="s">
        <v>47</v>
      </c>
      <c r="C4249" s="0" t="s">
        <v>48</v>
      </c>
      <c r="D4249" s="0" t="n">
        <v>28</v>
      </c>
      <c r="E4249" s="5" t="n">
        <v>45997.4018287037</v>
      </c>
      <c r="F4249" s="0" t="n">
        <v>12.75</v>
      </c>
      <c r="G4249" s="0" t="n">
        <v>17242</v>
      </c>
      <c r="H4249" s="6" t="s">
        <v>74</v>
      </c>
      <c r="I4249" s="6" t="n">
        <f aca="false">D4249*F4249</f>
        <v>357</v>
      </c>
      <c r="J4249" s="6" t="n">
        <f aca="false">HOUR(E4249)</f>
        <v>9</v>
      </c>
      <c r="K4249" s="6" t="n">
        <f aca="false">IF(COUNTIF($A$2:$A4249,A4249)=1,1,0)</f>
        <v>0</v>
      </c>
    </row>
    <row r="4250" customFormat="false" ht="15" hidden="false" customHeight="false" outlineLevel="0" collapsed="false">
      <c r="A4250" s="0" t="s">
        <v>892</v>
      </c>
      <c r="B4250" s="0" t="s">
        <v>127</v>
      </c>
      <c r="C4250" s="0" t="s">
        <v>128</v>
      </c>
      <c r="D4250" s="0" t="n">
        <v>15</v>
      </c>
      <c r="E4250" s="5" t="n">
        <v>45997.4018287037</v>
      </c>
      <c r="F4250" s="0" t="n">
        <v>1.45</v>
      </c>
      <c r="G4250" s="0" t="n">
        <v>17242</v>
      </c>
      <c r="H4250" s="6" t="s">
        <v>74</v>
      </c>
      <c r="I4250" s="6" t="n">
        <f aca="false">D4250*F4250</f>
        <v>21.75</v>
      </c>
      <c r="J4250" s="6" t="n">
        <f aca="false">HOUR(E4250)</f>
        <v>9</v>
      </c>
      <c r="K4250" s="6" t="n">
        <f aca="false">IF(COUNTIF($A$2:$A4250,A4250)=1,1,0)</f>
        <v>0</v>
      </c>
    </row>
    <row r="4251" customFormat="false" ht="15" hidden="false" customHeight="false" outlineLevel="0" collapsed="false">
      <c r="A4251" s="0" t="s">
        <v>893</v>
      </c>
      <c r="B4251" s="0" t="s">
        <v>50</v>
      </c>
      <c r="C4251" s="0" t="s">
        <v>51</v>
      </c>
      <c r="D4251" s="0" t="n">
        <v>9</v>
      </c>
      <c r="E4251" s="5" t="n">
        <v>45997.5105902778</v>
      </c>
      <c r="F4251" s="0" t="n">
        <v>5.95</v>
      </c>
      <c r="G4251" s="0" t="n">
        <v>17125</v>
      </c>
      <c r="H4251" s="6" t="s">
        <v>263</v>
      </c>
      <c r="I4251" s="6" t="n">
        <f aca="false">D4251*F4251</f>
        <v>53.55</v>
      </c>
      <c r="J4251" s="6" t="n">
        <f aca="false">HOUR(E4251)</f>
        <v>12</v>
      </c>
      <c r="K4251" s="6" t="n">
        <f aca="false">IF(COUNTIF($A$2:$A4251,A4251)=1,1,0)</f>
        <v>1</v>
      </c>
    </row>
    <row r="4252" customFormat="false" ht="15" hidden="false" customHeight="false" outlineLevel="0" collapsed="false">
      <c r="A4252" s="0" t="s">
        <v>893</v>
      </c>
      <c r="B4252" s="0" t="s">
        <v>137</v>
      </c>
      <c r="C4252" s="0" t="s">
        <v>138</v>
      </c>
      <c r="D4252" s="0" t="n">
        <v>7</v>
      </c>
      <c r="E4252" s="5" t="n">
        <v>45997.5105902778</v>
      </c>
      <c r="F4252" s="0" t="n">
        <v>2.1</v>
      </c>
      <c r="G4252" s="0" t="n">
        <v>17125</v>
      </c>
      <c r="H4252" s="6" t="s">
        <v>263</v>
      </c>
      <c r="I4252" s="6" t="n">
        <f aca="false">D4252*F4252</f>
        <v>14.7</v>
      </c>
      <c r="J4252" s="6" t="n">
        <f aca="false">HOUR(E4252)</f>
        <v>12</v>
      </c>
      <c r="K4252" s="6" t="n">
        <f aca="false">IF(COUNTIF($A$2:$A4252,A4252)=1,1,0)</f>
        <v>0</v>
      </c>
    </row>
    <row r="4253" customFormat="false" ht="15" hidden="false" customHeight="false" outlineLevel="0" collapsed="false">
      <c r="A4253" s="0" t="s">
        <v>893</v>
      </c>
      <c r="B4253" s="0" t="s">
        <v>88</v>
      </c>
      <c r="C4253" s="0" t="s">
        <v>89</v>
      </c>
      <c r="D4253" s="0" t="n">
        <v>3</v>
      </c>
      <c r="E4253" s="5" t="n">
        <v>45997.5105902778</v>
      </c>
      <c r="F4253" s="0" t="n">
        <v>2.75</v>
      </c>
      <c r="G4253" s="0" t="n">
        <v>17125</v>
      </c>
      <c r="H4253" s="6" t="s">
        <v>263</v>
      </c>
      <c r="I4253" s="6" t="n">
        <f aca="false">D4253*F4253</f>
        <v>8.25</v>
      </c>
      <c r="J4253" s="6" t="n">
        <f aca="false">HOUR(E4253)</f>
        <v>12</v>
      </c>
      <c r="K4253" s="6" t="n">
        <f aca="false">IF(COUNTIF($A$2:$A4253,A4253)=1,1,0)</f>
        <v>0</v>
      </c>
    </row>
    <row r="4254" customFormat="false" ht="15" hidden="false" customHeight="false" outlineLevel="0" collapsed="false">
      <c r="A4254" s="0" t="s">
        <v>893</v>
      </c>
      <c r="B4254" s="0" t="s">
        <v>114</v>
      </c>
      <c r="C4254" s="0" t="s">
        <v>115</v>
      </c>
      <c r="D4254" s="0" t="n">
        <v>5</v>
      </c>
      <c r="E4254" s="5" t="n">
        <v>45997.5105902778</v>
      </c>
      <c r="F4254" s="0" t="n">
        <v>2.08</v>
      </c>
      <c r="G4254" s="0" t="n">
        <v>17125</v>
      </c>
      <c r="H4254" s="6" t="s">
        <v>263</v>
      </c>
      <c r="I4254" s="6" t="n">
        <f aca="false">D4254*F4254</f>
        <v>10.4</v>
      </c>
      <c r="J4254" s="6" t="n">
        <f aca="false">HOUR(E4254)</f>
        <v>12</v>
      </c>
      <c r="K4254" s="6" t="n">
        <f aca="false">IF(COUNTIF($A$2:$A4254,A4254)=1,1,0)</f>
        <v>0</v>
      </c>
    </row>
    <row r="4255" customFormat="false" ht="15" hidden="false" customHeight="false" outlineLevel="0" collapsed="false">
      <c r="A4255" s="0" t="s">
        <v>894</v>
      </c>
      <c r="B4255" s="0" t="s">
        <v>63</v>
      </c>
      <c r="C4255" s="0" t="s">
        <v>64</v>
      </c>
      <c r="D4255" s="0" t="n">
        <v>6</v>
      </c>
      <c r="E4255" s="5" t="n">
        <v>45997.5227083333</v>
      </c>
      <c r="F4255" s="0" t="n">
        <v>1.85</v>
      </c>
      <c r="G4255" s="0" t="n">
        <v>17094</v>
      </c>
      <c r="H4255" s="6" t="s">
        <v>74</v>
      </c>
      <c r="I4255" s="6" t="n">
        <f aca="false">D4255*F4255</f>
        <v>11.1</v>
      </c>
      <c r="J4255" s="6" t="n">
        <f aca="false">HOUR(E4255)</f>
        <v>12</v>
      </c>
      <c r="K4255" s="6" t="n">
        <f aca="false">IF(COUNTIF($A$2:$A4255,A4255)=1,1,0)</f>
        <v>1</v>
      </c>
    </row>
    <row r="4256" customFormat="false" ht="15" hidden="false" customHeight="false" outlineLevel="0" collapsed="false">
      <c r="A4256" s="0" t="s">
        <v>894</v>
      </c>
      <c r="B4256" s="0" t="s">
        <v>91</v>
      </c>
      <c r="C4256" s="0" t="s">
        <v>92</v>
      </c>
      <c r="D4256" s="0" t="n">
        <v>6</v>
      </c>
      <c r="E4256" s="5" t="n">
        <v>45997.5227083333</v>
      </c>
      <c r="F4256" s="0" t="n">
        <v>7.65</v>
      </c>
      <c r="G4256" s="0" t="n">
        <v>17094</v>
      </c>
      <c r="H4256" s="6" t="s">
        <v>74</v>
      </c>
      <c r="I4256" s="6" t="n">
        <f aca="false">D4256*F4256</f>
        <v>45.9</v>
      </c>
      <c r="J4256" s="6" t="n">
        <f aca="false">HOUR(E4256)</f>
        <v>12</v>
      </c>
      <c r="K4256" s="6" t="n">
        <f aca="false">IF(COUNTIF($A$2:$A4256,A4256)=1,1,0)</f>
        <v>0</v>
      </c>
    </row>
    <row r="4257" customFormat="false" ht="15" hidden="false" customHeight="false" outlineLevel="0" collapsed="false">
      <c r="A4257" s="0" t="s">
        <v>894</v>
      </c>
      <c r="B4257" s="0" t="s">
        <v>65</v>
      </c>
      <c r="C4257" s="0" t="s">
        <v>66</v>
      </c>
      <c r="D4257" s="0" t="n">
        <v>13</v>
      </c>
      <c r="E4257" s="5" t="n">
        <v>45997.5227083333</v>
      </c>
      <c r="F4257" s="0" t="n">
        <v>1.65</v>
      </c>
      <c r="G4257" s="0" t="n">
        <v>17094</v>
      </c>
      <c r="H4257" s="6" t="s">
        <v>74</v>
      </c>
      <c r="I4257" s="6" t="n">
        <f aca="false">D4257*F4257</f>
        <v>21.45</v>
      </c>
      <c r="J4257" s="6" t="n">
        <f aca="false">HOUR(E4257)</f>
        <v>12</v>
      </c>
      <c r="K4257" s="6" t="n">
        <f aca="false">IF(COUNTIF($A$2:$A4257,A4257)=1,1,0)</f>
        <v>0</v>
      </c>
    </row>
    <row r="4258" customFormat="false" ht="15" hidden="false" customHeight="false" outlineLevel="0" collapsed="false">
      <c r="A4258" s="0" t="s">
        <v>894</v>
      </c>
      <c r="B4258" s="0" t="s">
        <v>127</v>
      </c>
      <c r="C4258" s="0" t="s">
        <v>128</v>
      </c>
      <c r="D4258" s="0" t="n">
        <v>15</v>
      </c>
      <c r="E4258" s="5" t="n">
        <v>45997.5227083333</v>
      </c>
      <c r="F4258" s="0" t="n">
        <v>1.45</v>
      </c>
      <c r="G4258" s="0" t="n">
        <v>17094</v>
      </c>
      <c r="H4258" s="6" t="s">
        <v>74</v>
      </c>
      <c r="I4258" s="6" t="n">
        <f aca="false">D4258*F4258</f>
        <v>21.75</v>
      </c>
      <c r="J4258" s="6" t="n">
        <f aca="false">HOUR(E4258)</f>
        <v>12</v>
      </c>
      <c r="K4258" s="6" t="n">
        <f aca="false">IF(COUNTIF($A$2:$A4258,A4258)=1,1,0)</f>
        <v>0</v>
      </c>
    </row>
    <row r="4259" customFormat="false" ht="15" hidden="false" customHeight="false" outlineLevel="0" collapsed="false">
      <c r="A4259" s="0" t="s">
        <v>894</v>
      </c>
      <c r="B4259" s="0" t="s">
        <v>95</v>
      </c>
      <c r="C4259" s="0" t="s">
        <v>96</v>
      </c>
      <c r="D4259" s="0" t="n">
        <v>21</v>
      </c>
      <c r="E4259" s="5" t="n">
        <v>45997.5227083333</v>
      </c>
      <c r="F4259" s="0" t="n">
        <v>2.55</v>
      </c>
      <c r="G4259" s="0" t="n">
        <v>17094</v>
      </c>
      <c r="H4259" s="6" t="s">
        <v>74</v>
      </c>
      <c r="I4259" s="6" t="n">
        <f aca="false">D4259*F4259</f>
        <v>53.55</v>
      </c>
      <c r="J4259" s="6" t="n">
        <f aca="false">HOUR(E4259)</f>
        <v>12</v>
      </c>
      <c r="K4259" s="6" t="n">
        <f aca="false">IF(COUNTIF($A$2:$A4259,A4259)=1,1,0)</f>
        <v>0</v>
      </c>
    </row>
    <row r="4260" customFormat="false" ht="15" hidden="false" customHeight="false" outlineLevel="0" collapsed="false">
      <c r="A4260" s="0" t="s">
        <v>894</v>
      </c>
      <c r="B4260" s="0" t="s">
        <v>75</v>
      </c>
      <c r="C4260" s="0" t="s">
        <v>76</v>
      </c>
      <c r="D4260" s="0" t="n">
        <v>13</v>
      </c>
      <c r="E4260" s="5" t="n">
        <v>45997.5227083333</v>
      </c>
      <c r="F4260" s="0" t="n">
        <v>3.39</v>
      </c>
      <c r="G4260" s="0" t="n">
        <v>17094</v>
      </c>
      <c r="H4260" s="6" t="s">
        <v>74</v>
      </c>
      <c r="I4260" s="6" t="n">
        <f aca="false">D4260*F4260</f>
        <v>44.07</v>
      </c>
      <c r="J4260" s="6" t="n">
        <f aca="false">HOUR(E4260)</f>
        <v>12</v>
      </c>
      <c r="K4260" s="6" t="n">
        <f aca="false">IF(COUNTIF($A$2:$A4260,A4260)=1,1,0)</f>
        <v>0</v>
      </c>
    </row>
    <row r="4261" customFormat="false" ht="15" hidden="false" customHeight="false" outlineLevel="0" collapsed="false">
      <c r="A4261" s="0" t="s">
        <v>894</v>
      </c>
      <c r="B4261" s="0" t="s">
        <v>77</v>
      </c>
      <c r="C4261" s="0" t="s">
        <v>78</v>
      </c>
      <c r="D4261" s="0" t="n">
        <v>17</v>
      </c>
      <c r="E4261" s="5" t="n">
        <v>45997.5227083333</v>
      </c>
      <c r="F4261" s="0" t="n">
        <v>1.65</v>
      </c>
      <c r="G4261" s="0" t="n">
        <v>17094</v>
      </c>
      <c r="H4261" s="6" t="s">
        <v>74</v>
      </c>
      <c r="I4261" s="6" t="n">
        <f aca="false">D4261*F4261</f>
        <v>28.05</v>
      </c>
      <c r="J4261" s="6" t="n">
        <f aca="false">HOUR(E4261)</f>
        <v>12</v>
      </c>
      <c r="K4261" s="6" t="n">
        <f aca="false">IF(COUNTIF($A$2:$A4261,A4261)=1,1,0)</f>
        <v>0</v>
      </c>
    </row>
    <row r="4262" customFormat="false" ht="15" hidden="false" customHeight="false" outlineLevel="0" collapsed="false">
      <c r="A4262" s="0" t="s">
        <v>894</v>
      </c>
      <c r="B4262" s="0" t="s">
        <v>43</v>
      </c>
      <c r="C4262" s="0" t="s">
        <v>44</v>
      </c>
      <c r="D4262" s="0" t="n">
        <v>1</v>
      </c>
      <c r="E4262" s="5" t="n">
        <v>45997.5227083333</v>
      </c>
      <c r="F4262" s="0" t="n">
        <v>4.25</v>
      </c>
      <c r="G4262" s="0" t="n">
        <v>17094</v>
      </c>
      <c r="H4262" s="6" t="s">
        <v>74</v>
      </c>
      <c r="I4262" s="6" t="n">
        <f aca="false">D4262*F4262</f>
        <v>4.25</v>
      </c>
      <c r="J4262" s="6" t="n">
        <f aca="false">HOUR(E4262)</f>
        <v>12</v>
      </c>
      <c r="K4262" s="6" t="n">
        <f aca="false">IF(COUNTIF($A$2:$A4262,A4262)=1,1,0)</f>
        <v>0</v>
      </c>
    </row>
    <row r="4263" customFormat="false" ht="15" hidden="false" customHeight="false" outlineLevel="0" collapsed="false">
      <c r="A4263" s="0" t="s">
        <v>895</v>
      </c>
      <c r="B4263" s="0" t="s">
        <v>59</v>
      </c>
      <c r="C4263" s="0" t="s">
        <v>60</v>
      </c>
      <c r="D4263" s="0" t="n">
        <v>10</v>
      </c>
      <c r="E4263" s="5" t="n">
        <v>45997.5500578704</v>
      </c>
      <c r="F4263" s="0" t="n">
        <v>0.42</v>
      </c>
      <c r="G4263" s="0" t="n">
        <v>17123</v>
      </c>
      <c r="H4263" s="6" t="s">
        <v>74</v>
      </c>
      <c r="I4263" s="6" t="n">
        <f aca="false">D4263*F4263</f>
        <v>4.2</v>
      </c>
      <c r="J4263" s="6" t="n">
        <f aca="false">HOUR(E4263)</f>
        <v>13</v>
      </c>
      <c r="K4263" s="6" t="n">
        <f aca="false">IF(COUNTIF($A$2:$A4263,A4263)=1,1,0)</f>
        <v>1</v>
      </c>
    </row>
    <row r="4264" customFormat="false" ht="15" hidden="false" customHeight="false" outlineLevel="0" collapsed="false">
      <c r="A4264" s="0" t="s">
        <v>895</v>
      </c>
      <c r="B4264" s="0" t="s">
        <v>109</v>
      </c>
      <c r="C4264" s="0" t="s">
        <v>110</v>
      </c>
      <c r="D4264" s="0" t="n">
        <v>19</v>
      </c>
      <c r="E4264" s="5" t="n">
        <v>45997.5500578704</v>
      </c>
      <c r="F4264" s="0" t="n">
        <v>0.85</v>
      </c>
      <c r="G4264" s="0" t="n">
        <v>17123</v>
      </c>
      <c r="H4264" s="6" t="s">
        <v>74</v>
      </c>
      <c r="I4264" s="6" t="n">
        <f aca="false">D4264*F4264</f>
        <v>16.15</v>
      </c>
      <c r="J4264" s="6" t="n">
        <f aca="false">HOUR(E4264)</f>
        <v>13</v>
      </c>
      <c r="K4264" s="6" t="n">
        <f aca="false">IF(COUNTIF($A$2:$A4264,A4264)=1,1,0)</f>
        <v>0</v>
      </c>
    </row>
    <row r="4265" customFormat="false" ht="15" hidden="false" customHeight="false" outlineLevel="0" collapsed="false">
      <c r="A4265" s="0" t="s">
        <v>895</v>
      </c>
      <c r="B4265" s="0" t="s">
        <v>61</v>
      </c>
      <c r="C4265" s="0" t="s">
        <v>62</v>
      </c>
      <c r="D4265" s="0" t="n">
        <v>23</v>
      </c>
      <c r="E4265" s="5" t="n">
        <v>45997.5500578704</v>
      </c>
      <c r="F4265" s="0" t="n">
        <v>1.65</v>
      </c>
      <c r="G4265" s="0" t="n">
        <v>17123</v>
      </c>
      <c r="H4265" s="6" t="s">
        <v>74</v>
      </c>
      <c r="I4265" s="6" t="n">
        <f aca="false">D4265*F4265</f>
        <v>37.95</v>
      </c>
      <c r="J4265" s="6" t="n">
        <f aca="false">HOUR(E4265)</f>
        <v>13</v>
      </c>
      <c r="K4265" s="6" t="n">
        <f aca="false">IF(COUNTIF($A$2:$A4265,A4265)=1,1,0)</f>
        <v>0</v>
      </c>
    </row>
    <row r="4266" customFormat="false" ht="15" hidden="false" customHeight="false" outlineLevel="0" collapsed="false">
      <c r="A4266" s="0" t="s">
        <v>895</v>
      </c>
      <c r="B4266" s="0" t="s">
        <v>79</v>
      </c>
      <c r="C4266" s="0" t="s">
        <v>80</v>
      </c>
      <c r="D4266" s="0" t="n">
        <v>14</v>
      </c>
      <c r="E4266" s="5" t="n">
        <v>45997.5500578704</v>
      </c>
      <c r="F4266" s="0" t="n">
        <v>3.39</v>
      </c>
      <c r="G4266" s="0" t="n">
        <v>17123</v>
      </c>
      <c r="H4266" s="6" t="s">
        <v>74</v>
      </c>
      <c r="I4266" s="6" t="n">
        <f aca="false">D4266*F4266</f>
        <v>47.46</v>
      </c>
      <c r="J4266" s="6" t="n">
        <f aca="false">HOUR(E4266)</f>
        <v>13</v>
      </c>
      <c r="K4266" s="6" t="n">
        <f aca="false">IF(COUNTIF($A$2:$A4266,A4266)=1,1,0)</f>
        <v>0</v>
      </c>
    </row>
    <row r="4267" customFormat="false" ht="15" hidden="false" customHeight="false" outlineLevel="0" collapsed="false">
      <c r="A4267" s="0" t="s">
        <v>895</v>
      </c>
      <c r="B4267" s="0" t="s">
        <v>104</v>
      </c>
      <c r="C4267" s="0" t="s">
        <v>105</v>
      </c>
      <c r="D4267" s="0" t="n">
        <v>24</v>
      </c>
      <c r="E4267" s="5" t="n">
        <v>45997.5500578704</v>
      </c>
      <c r="F4267" s="0" t="n">
        <v>1.65</v>
      </c>
      <c r="G4267" s="0" t="n">
        <v>17123</v>
      </c>
      <c r="H4267" s="6" t="s">
        <v>74</v>
      </c>
      <c r="I4267" s="6" t="n">
        <f aca="false">D4267*F4267</f>
        <v>39.6</v>
      </c>
      <c r="J4267" s="6" t="n">
        <f aca="false">HOUR(E4267)</f>
        <v>13</v>
      </c>
      <c r="K4267" s="6" t="n">
        <f aca="false">IF(COUNTIF($A$2:$A4267,A4267)=1,1,0)</f>
        <v>0</v>
      </c>
    </row>
    <row r="4268" customFormat="false" ht="15" hidden="false" customHeight="false" outlineLevel="0" collapsed="false">
      <c r="A4268" s="0" t="s">
        <v>895</v>
      </c>
      <c r="B4268" s="0" t="s">
        <v>118</v>
      </c>
      <c r="C4268" s="0" t="s">
        <v>119</v>
      </c>
      <c r="D4268" s="0" t="n">
        <v>18</v>
      </c>
      <c r="E4268" s="5" t="n">
        <v>45997.5500578704</v>
      </c>
      <c r="F4268" s="0" t="n">
        <v>4.95</v>
      </c>
      <c r="G4268" s="0" t="n">
        <v>17123</v>
      </c>
      <c r="H4268" s="6" t="s">
        <v>74</v>
      </c>
      <c r="I4268" s="6" t="n">
        <f aca="false">D4268*F4268</f>
        <v>89.1</v>
      </c>
      <c r="J4268" s="6" t="n">
        <f aca="false">HOUR(E4268)</f>
        <v>13</v>
      </c>
      <c r="K4268" s="6" t="n">
        <f aca="false">IF(COUNTIF($A$2:$A4268,A4268)=1,1,0)</f>
        <v>0</v>
      </c>
    </row>
    <row r="4269" customFormat="false" ht="15" hidden="false" customHeight="false" outlineLevel="0" collapsed="false">
      <c r="A4269" s="0" t="s">
        <v>895</v>
      </c>
      <c r="B4269" s="0" t="s">
        <v>91</v>
      </c>
      <c r="C4269" s="0" t="s">
        <v>92</v>
      </c>
      <c r="D4269" s="0" t="n">
        <v>18</v>
      </c>
      <c r="E4269" s="5" t="n">
        <v>45997.5500578704</v>
      </c>
      <c r="F4269" s="0" t="n">
        <v>7.65</v>
      </c>
      <c r="G4269" s="0" t="n">
        <v>17123</v>
      </c>
      <c r="H4269" s="6" t="s">
        <v>74</v>
      </c>
      <c r="I4269" s="6" t="n">
        <f aca="false">D4269*F4269</f>
        <v>137.7</v>
      </c>
      <c r="J4269" s="6" t="n">
        <f aca="false">HOUR(E4269)</f>
        <v>13</v>
      </c>
      <c r="K4269" s="6" t="n">
        <f aca="false">IF(COUNTIF($A$2:$A4269,A4269)=1,1,0)</f>
        <v>0</v>
      </c>
    </row>
    <row r="4270" customFormat="false" ht="15" hidden="false" customHeight="false" outlineLevel="0" collapsed="false">
      <c r="A4270" s="0" t="s">
        <v>895</v>
      </c>
      <c r="B4270" s="0" t="s">
        <v>134</v>
      </c>
      <c r="C4270" s="0" t="s">
        <v>135</v>
      </c>
      <c r="D4270" s="0" t="n">
        <v>18</v>
      </c>
      <c r="E4270" s="5" t="n">
        <v>45997.5500578704</v>
      </c>
      <c r="F4270" s="0" t="n">
        <v>5.95</v>
      </c>
      <c r="G4270" s="0" t="n">
        <v>17123</v>
      </c>
      <c r="H4270" s="6" t="s">
        <v>74</v>
      </c>
      <c r="I4270" s="6" t="n">
        <f aca="false">D4270*F4270</f>
        <v>107.1</v>
      </c>
      <c r="J4270" s="6" t="n">
        <f aca="false">HOUR(E4270)</f>
        <v>13</v>
      </c>
      <c r="K4270" s="6" t="n">
        <f aca="false">IF(COUNTIF($A$2:$A4270,A4270)=1,1,0)</f>
        <v>0</v>
      </c>
    </row>
    <row r="4271" customFormat="false" ht="15" hidden="false" customHeight="false" outlineLevel="0" collapsed="false">
      <c r="A4271" s="0" t="s">
        <v>896</v>
      </c>
      <c r="B4271" s="0" t="s">
        <v>131</v>
      </c>
      <c r="C4271" s="0" t="s">
        <v>132</v>
      </c>
      <c r="D4271" s="0" t="n">
        <v>22</v>
      </c>
      <c r="E4271" s="5" t="n">
        <v>45997.6695023148</v>
      </c>
      <c r="F4271" s="0" t="n">
        <v>3.39</v>
      </c>
      <c r="G4271" s="0" t="n">
        <v>17084</v>
      </c>
      <c r="H4271" s="6" t="s">
        <v>74</v>
      </c>
      <c r="I4271" s="6" t="n">
        <f aca="false">D4271*F4271</f>
        <v>74.58</v>
      </c>
      <c r="J4271" s="6" t="n">
        <f aca="false">HOUR(E4271)</f>
        <v>16</v>
      </c>
      <c r="K4271" s="6" t="n">
        <f aca="false">IF(COUNTIF($A$2:$A4271,A4271)=1,1,0)</f>
        <v>1</v>
      </c>
    </row>
    <row r="4272" customFormat="false" ht="15" hidden="false" customHeight="false" outlineLevel="0" collapsed="false">
      <c r="A4272" s="0" t="s">
        <v>896</v>
      </c>
      <c r="B4272" s="0" t="s">
        <v>88</v>
      </c>
      <c r="C4272" s="0" t="s">
        <v>89</v>
      </c>
      <c r="D4272" s="0" t="n">
        <v>1</v>
      </c>
      <c r="E4272" s="5" t="n">
        <v>45997.6695023148</v>
      </c>
      <c r="F4272" s="0" t="n">
        <v>2.75</v>
      </c>
      <c r="G4272" s="0" t="n">
        <v>17084</v>
      </c>
      <c r="H4272" s="6" t="s">
        <v>74</v>
      </c>
      <c r="I4272" s="6" t="n">
        <f aca="false">D4272*F4272</f>
        <v>2.75</v>
      </c>
      <c r="J4272" s="6" t="n">
        <f aca="false">HOUR(E4272)</f>
        <v>16</v>
      </c>
      <c r="K4272" s="6" t="n">
        <f aca="false">IF(COUNTIF($A$2:$A4272,A4272)=1,1,0)</f>
        <v>0</v>
      </c>
    </row>
    <row r="4273" customFormat="false" ht="15" hidden="false" customHeight="false" outlineLevel="0" collapsed="false">
      <c r="A4273" s="0" t="s">
        <v>896</v>
      </c>
      <c r="B4273" s="0" t="s">
        <v>93</v>
      </c>
      <c r="C4273" s="0" t="s">
        <v>94</v>
      </c>
      <c r="D4273" s="0" t="n">
        <v>17</v>
      </c>
      <c r="E4273" s="5" t="n">
        <v>45997.6695023148</v>
      </c>
      <c r="F4273" s="0" t="n">
        <v>1.69</v>
      </c>
      <c r="G4273" s="0" t="n">
        <v>17084</v>
      </c>
      <c r="H4273" s="6" t="s">
        <v>74</v>
      </c>
      <c r="I4273" s="6" t="n">
        <f aca="false">D4273*F4273</f>
        <v>28.73</v>
      </c>
      <c r="J4273" s="6" t="n">
        <f aca="false">HOUR(E4273)</f>
        <v>16</v>
      </c>
      <c r="K4273" s="6" t="n">
        <f aca="false">IF(COUNTIF($A$2:$A4273,A4273)=1,1,0)</f>
        <v>0</v>
      </c>
    </row>
    <row r="4274" customFormat="false" ht="15" hidden="false" customHeight="false" outlineLevel="0" collapsed="false">
      <c r="A4274" s="0" t="s">
        <v>896</v>
      </c>
      <c r="B4274" s="0" t="s">
        <v>116</v>
      </c>
      <c r="C4274" s="0" t="s">
        <v>117</v>
      </c>
      <c r="D4274" s="0" t="n">
        <v>5</v>
      </c>
      <c r="E4274" s="5" t="n">
        <v>45997.6695023148</v>
      </c>
      <c r="F4274" s="0" t="n">
        <v>1.95</v>
      </c>
      <c r="G4274" s="0" t="n">
        <v>17084</v>
      </c>
      <c r="H4274" s="6" t="s">
        <v>74</v>
      </c>
      <c r="I4274" s="6" t="n">
        <f aca="false">D4274*F4274</f>
        <v>9.75</v>
      </c>
      <c r="J4274" s="6" t="n">
        <f aca="false">HOUR(E4274)</f>
        <v>16</v>
      </c>
      <c r="K4274" s="6" t="n">
        <f aca="false">IF(COUNTIF($A$2:$A4274,A4274)=1,1,0)</f>
        <v>0</v>
      </c>
    </row>
    <row r="4275" customFormat="false" ht="15" hidden="false" customHeight="false" outlineLevel="0" collapsed="false">
      <c r="A4275" s="0" t="s">
        <v>896</v>
      </c>
      <c r="B4275" s="0" t="s">
        <v>53</v>
      </c>
      <c r="C4275" s="0" t="s">
        <v>54</v>
      </c>
      <c r="D4275" s="0" t="n">
        <v>15</v>
      </c>
      <c r="E4275" s="5" t="n">
        <v>45997.6695023148</v>
      </c>
      <c r="F4275" s="0" t="n">
        <v>2.95</v>
      </c>
      <c r="G4275" s="0" t="n">
        <v>17084</v>
      </c>
      <c r="H4275" s="6" t="s">
        <v>74</v>
      </c>
      <c r="I4275" s="6" t="n">
        <f aca="false">D4275*F4275</f>
        <v>44.25</v>
      </c>
      <c r="J4275" s="6" t="n">
        <f aca="false">HOUR(E4275)</f>
        <v>16</v>
      </c>
      <c r="K4275" s="6" t="n">
        <f aca="false">IF(COUNTIF($A$2:$A4275,A4275)=1,1,0)</f>
        <v>0</v>
      </c>
    </row>
    <row r="4276" customFormat="false" ht="15" hidden="false" customHeight="false" outlineLevel="0" collapsed="false">
      <c r="A4276" s="0" t="s">
        <v>896</v>
      </c>
      <c r="B4276" s="0" t="s">
        <v>61</v>
      </c>
      <c r="C4276" s="0" t="s">
        <v>62</v>
      </c>
      <c r="D4276" s="0" t="n">
        <v>18</v>
      </c>
      <c r="E4276" s="5" t="n">
        <v>45997.6695023148</v>
      </c>
      <c r="F4276" s="0" t="n">
        <v>1.65</v>
      </c>
      <c r="G4276" s="0" t="n">
        <v>17084</v>
      </c>
      <c r="H4276" s="6" t="s">
        <v>74</v>
      </c>
      <c r="I4276" s="6" t="n">
        <f aca="false">D4276*F4276</f>
        <v>29.7</v>
      </c>
      <c r="J4276" s="6" t="n">
        <f aca="false">HOUR(E4276)</f>
        <v>16</v>
      </c>
      <c r="K4276" s="6" t="n">
        <f aca="false">IF(COUNTIF($A$2:$A4276,A4276)=1,1,0)</f>
        <v>0</v>
      </c>
    </row>
    <row r="4277" customFormat="false" ht="15" hidden="false" customHeight="false" outlineLevel="0" collapsed="false">
      <c r="A4277" s="0" t="s">
        <v>896</v>
      </c>
      <c r="B4277" s="0" t="s">
        <v>118</v>
      </c>
      <c r="C4277" s="0" t="s">
        <v>119</v>
      </c>
      <c r="D4277" s="0" t="n">
        <v>26</v>
      </c>
      <c r="E4277" s="5" t="n">
        <v>45997.6695023148</v>
      </c>
      <c r="F4277" s="0" t="n">
        <v>4.95</v>
      </c>
      <c r="G4277" s="0" t="n">
        <v>17084</v>
      </c>
      <c r="H4277" s="6" t="s">
        <v>74</v>
      </c>
      <c r="I4277" s="6" t="n">
        <f aca="false">D4277*F4277</f>
        <v>128.7</v>
      </c>
      <c r="J4277" s="6" t="n">
        <f aca="false">HOUR(E4277)</f>
        <v>16</v>
      </c>
      <c r="K4277" s="6" t="n">
        <f aca="false">IF(COUNTIF($A$2:$A4277,A4277)=1,1,0)</f>
        <v>0</v>
      </c>
    </row>
    <row r="4278" customFormat="false" ht="15" hidden="false" customHeight="false" outlineLevel="0" collapsed="false">
      <c r="A4278" s="0" t="s">
        <v>897</v>
      </c>
      <c r="B4278" s="0" t="s">
        <v>59</v>
      </c>
      <c r="C4278" s="0" t="s">
        <v>60</v>
      </c>
      <c r="D4278" s="0" t="n">
        <v>6</v>
      </c>
      <c r="E4278" s="5" t="n">
        <v>45998.3489814815</v>
      </c>
      <c r="F4278" s="0" t="n">
        <v>0.42</v>
      </c>
      <c r="G4278" s="0" t="n">
        <v>17166</v>
      </c>
      <c r="H4278" s="6" t="s">
        <v>42</v>
      </c>
      <c r="I4278" s="6" t="n">
        <f aca="false">D4278*F4278</f>
        <v>2.52</v>
      </c>
      <c r="J4278" s="6" t="n">
        <f aca="false">HOUR(E4278)</f>
        <v>8</v>
      </c>
      <c r="K4278" s="6" t="n">
        <f aca="false">IF(COUNTIF($A$2:$A4278,A4278)=1,1,0)</f>
        <v>1</v>
      </c>
    </row>
    <row r="4279" customFormat="false" ht="15" hidden="false" customHeight="false" outlineLevel="0" collapsed="false">
      <c r="A4279" s="0" t="s">
        <v>897</v>
      </c>
      <c r="B4279" s="0" t="s">
        <v>50</v>
      </c>
      <c r="C4279" s="0" t="s">
        <v>51</v>
      </c>
      <c r="D4279" s="0" t="n">
        <v>7</v>
      </c>
      <c r="E4279" s="5" t="n">
        <v>45998.3489814815</v>
      </c>
      <c r="F4279" s="0" t="n">
        <v>5.95</v>
      </c>
      <c r="G4279" s="0" t="n">
        <v>17166</v>
      </c>
      <c r="H4279" s="6" t="s">
        <v>42</v>
      </c>
      <c r="I4279" s="6" t="n">
        <f aca="false">D4279*F4279</f>
        <v>41.65</v>
      </c>
      <c r="J4279" s="6" t="n">
        <f aca="false">HOUR(E4279)</f>
        <v>8</v>
      </c>
      <c r="K4279" s="6" t="n">
        <f aca="false">IF(COUNTIF($A$2:$A4279,A4279)=1,1,0)</f>
        <v>0</v>
      </c>
    </row>
    <row r="4280" customFormat="false" ht="15" hidden="false" customHeight="false" outlineLevel="0" collapsed="false">
      <c r="A4280" s="0" t="s">
        <v>897</v>
      </c>
      <c r="B4280" s="0" t="s">
        <v>47</v>
      </c>
      <c r="C4280" s="0" t="s">
        <v>48</v>
      </c>
      <c r="D4280" s="0" t="n">
        <v>28</v>
      </c>
      <c r="E4280" s="5" t="n">
        <v>45998.3489814815</v>
      </c>
      <c r="F4280" s="0" t="n">
        <v>12.75</v>
      </c>
      <c r="G4280" s="0" t="n">
        <v>17166</v>
      </c>
      <c r="H4280" s="6" t="s">
        <v>42</v>
      </c>
      <c r="I4280" s="6" t="n">
        <f aca="false">D4280*F4280</f>
        <v>357</v>
      </c>
      <c r="J4280" s="6" t="n">
        <f aca="false">HOUR(E4280)</f>
        <v>8</v>
      </c>
      <c r="K4280" s="6" t="n">
        <f aca="false">IF(COUNTIF($A$2:$A4280,A4280)=1,1,0)</f>
        <v>0</v>
      </c>
    </row>
    <row r="4281" customFormat="false" ht="15" hidden="false" customHeight="false" outlineLevel="0" collapsed="false">
      <c r="A4281" s="0" t="s">
        <v>898</v>
      </c>
      <c r="B4281" s="0" t="s">
        <v>104</v>
      </c>
      <c r="C4281" s="0" t="s">
        <v>105</v>
      </c>
      <c r="D4281" s="0" t="n">
        <v>9</v>
      </c>
      <c r="E4281" s="5" t="n">
        <v>45998.4343634259</v>
      </c>
      <c r="F4281" s="0" t="n">
        <v>1.65</v>
      </c>
      <c r="G4281" s="0" t="n">
        <v>17150</v>
      </c>
      <c r="H4281" s="6" t="s">
        <v>74</v>
      </c>
      <c r="I4281" s="6" t="n">
        <f aca="false">D4281*F4281</f>
        <v>14.85</v>
      </c>
      <c r="J4281" s="6" t="n">
        <f aca="false">HOUR(E4281)</f>
        <v>10</v>
      </c>
      <c r="K4281" s="6" t="n">
        <f aca="false">IF(COUNTIF($A$2:$A4281,A4281)=1,1,0)</f>
        <v>1</v>
      </c>
    </row>
    <row r="4282" customFormat="false" ht="15" hidden="false" customHeight="false" outlineLevel="0" collapsed="false">
      <c r="A4282" s="0" t="s">
        <v>898</v>
      </c>
      <c r="B4282" s="0" t="s">
        <v>145</v>
      </c>
      <c r="C4282" s="0" t="s">
        <v>146</v>
      </c>
      <c r="D4282" s="0" t="n">
        <v>8</v>
      </c>
      <c r="E4282" s="5" t="n">
        <v>45998.4343634259</v>
      </c>
      <c r="F4282" s="0" t="n">
        <v>1.85</v>
      </c>
      <c r="G4282" s="0" t="n">
        <v>17150</v>
      </c>
      <c r="H4282" s="6" t="s">
        <v>74</v>
      </c>
      <c r="I4282" s="6" t="n">
        <f aca="false">D4282*F4282</f>
        <v>14.8</v>
      </c>
      <c r="J4282" s="6" t="n">
        <f aca="false">HOUR(E4282)</f>
        <v>10</v>
      </c>
      <c r="K4282" s="6" t="n">
        <f aca="false">IF(COUNTIF($A$2:$A4282,A4282)=1,1,0)</f>
        <v>0</v>
      </c>
    </row>
    <row r="4283" customFormat="false" ht="15" hidden="false" customHeight="false" outlineLevel="0" collapsed="false">
      <c r="A4283" s="0" t="s">
        <v>898</v>
      </c>
      <c r="B4283" s="0" t="s">
        <v>77</v>
      </c>
      <c r="C4283" s="0" t="s">
        <v>78</v>
      </c>
      <c r="D4283" s="0" t="n">
        <v>7</v>
      </c>
      <c r="E4283" s="5" t="n">
        <v>45998.4343634259</v>
      </c>
      <c r="F4283" s="0" t="n">
        <v>1.65</v>
      </c>
      <c r="G4283" s="0" t="n">
        <v>17150</v>
      </c>
      <c r="H4283" s="6" t="s">
        <v>74</v>
      </c>
      <c r="I4283" s="6" t="n">
        <f aca="false">D4283*F4283</f>
        <v>11.55</v>
      </c>
      <c r="J4283" s="6" t="n">
        <f aca="false">HOUR(E4283)</f>
        <v>10</v>
      </c>
      <c r="K4283" s="6" t="n">
        <f aca="false">IF(COUNTIF($A$2:$A4283,A4283)=1,1,0)</f>
        <v>0</v>
      </c>
    </row>
    <row r="4284" customFormat="false" ht="15" hidden="false" customHeight="false" outlineLevel="0" collapsed="false">
      <c r="A4284" s="0" t="s">
        <v>899</v>
      </c>
      <c r="B4284" s="0" t="s">
        <v>57</v>
      </c>
      <c r="C4284" s="0" t="s">
        <v>58</v>
      </c>
      <c r="D4284" s="0" t="n">
        <v>18</v>
      </c>
      <c r="E4284" s="5" t="n">
        <v>45998.4420023148</v>
      </c>
      <c r="F4284" s="0" t="n">
        <v>2.08</v>
      </c>
      <c r="G4284" s="0" t="n">
        <v>17075</v>
      </c>
      <c r="H4284" s="6" t="s">
        <v>74</v>
      </c>
      <c r="I4284" s="6" t="n">
        <f aca="false">D4284*F4284</f>
        <v>37.44</v>
      </c>
      <c r="J4284" s="6" t="n">
        <f aca="false">HOUR(E4284)</f>
        <v>10</v>
      </c>
      <c r="K4284" s="6" t="n">
        <f aca="false">IF(COUNTIF($A$2:$A4284,A4284)=1,1,0)</f>
        <v>1</v>
      </c>
    </row>
    <row r="4285" customFormat="false" ht="15" hidden="false" customHeight="false" outlineLevel="0" collapsed="false">
      <c r="A4285" s="0" t="s">
        <v>899</v>
      </c>
      <c r="B4285" s="0" t="s">
        <v>118</v>
      </c>
      <c r="C4285" s="0" t="s">
        <v>119</v>
      </c>
      <c r="D4285" s="0" t="n">
        <v>29</v>
      </c>
      <c r="E4285" s="5" t="n">
        <v>45998.4420023148</v>
      </c>
      <c r="F4285" s="0" t="n">
        <v>4.95</v>
      </c>
      <c r="G4285" s="0" t="n">
        <v>17075</v>
      </c>
      <c r="H4285" s="6" t="s">
        <v>74</v>
      </c>
      <c r="I4285" s="6" t="n">
        <f aca="false">D4285*F4285</f>
        <v>143.55</v>
      </c>
      <c r="J4285" s="6" t="n">
        <f aca="false">HOUR(E4285)</f>
        <v>10</v>
      </c>
      <c r="K4285" s="6" t="n">
        <f aca="false">IF(COUNTIF($A$2:$A4285,A4285)=1,1,0)</f>
        <v>0</v>
      </c>
    </row>
    <row r="4286" customFormat="false" ht="15" hidden="false" customHeight="false" outlineLevel="0" collapsed="false">
      <c r="A4286" s="0" t="s">
        <v>899</v>
      </c>
      <c r="B4286" s="0" t="s">
        <v>127</v>
      </c>
      <c r="C4286" s="0" t="s">
        <v>128</v>
      </c>
      <c r="D4286" s="0" t="n">
        <v>8</v>
      </c>
      <c r="E4286" s="5" t="n">
        <v>45998.4420023148</v>
      </c>
      <c r="F4286" s="0" t="n">
        <v>1.45</v>
      </c>
      <c r="G4286" s="0" t="n">
        <v>17075</v>
      </c>
      <c r="H4286" s="6" t="s">
        <v>74</v>
      </c>
      <c r="I4286" s="6" t="n">
        <f aca="false">D4286*F4286</f>
        <v>11.6</v>
      </c>
      <c r="J4286" s="6" t="n">
        <f aca="false">HOUR(E4286)</f>
        <v>10</v>
      </c>
      <c r="K4286" s="6" t="n">
        <f aca="false">IF(COUNTIF($A$2:$A4286,A4286)=1,1,0)</f>
        <v>0</v>
      </c>
    </row>
    <row r="4287" customFormat="false" ht="15" hidden="false" customHeight="false" outlineLevel="0" collapsed="false">
      <c r="A4287" s="0" t="s">
        <v>899</v>
      </c>
      <c r="B4287" s="0" t="s">
        <v>79</v>
      </c>
      <c r="C4287" s="0" t="s">
        <v>80</v>
      </c>
      <c r="D4287" s="0" t="n">
        <v>7</v>
      </c>
      <c r="E4287" s="5" t="n">
        <v>45998.4420023148</v>
      </c>
      <c r="F4287" s="0" t="n">
        <v>3.39</v>
      </c>
      <c r="G4287" s="0" t="n">
        <v>17075</v>
      </c>
      <c r="H4287" s="6" t="s">
        <v>74</v>
      </c>
      <c r="I4287" s="6" t="n">
        <f aca="false">D4287*F4287</f>
        <v>23.73</v>
      </c>
      <c r="J4287" s="6" t="n">
        <f aca="false">HOUR(E4287)</f>
        <v>10</v>
      </c>
      <c r="K4287" s="6" t="n">
        <f aca="false">IF(COUNTIF($A$2:$A4287,A4287)=1,1,0)</f>
        <v>0</v>
      </c>
    </row>
    <row r="4288" customFormat="false" ht="15" hidden="false" customHeight="false" outlineLevel="0" collapsed="false">
      <c r="A4288" s="0" t="s">
        <v>899</v>
      </c>
      <c r="B4288" s="0" t="s">
        <v>99</v>
      </c>
      <c r="C4288" s="0" t="s">
        <v>100</v>
      </c>
      <c r="D4288" s="0" t="n">
        <v>10</v>
      </c>
      <c r="E4288" s="5" t="n">
        <v>45998.4420023148</v>
      </c>
      <c r="F4288" s="0" t="n">
        <v>2.08</v>
      </c>
      <c r="G4288" s="0" t="n">
        <v>17075</v>
      </c>
      <c r="H4288" s="6" t="s">
        <v>74</v>
      </c>
      <c r="I4288" s="6" t="n">
        <f aca="false">D4288*F4288</f>
        <v>20.8</v>
      </c>
      <c r="J4288" s="6" t="n">
        <f aca="false">HOUR(E4288)</f>
        <v>10</v>
      </c>
      <c r="K4288" s="6" t="n">
        <f aca="false">IF(COUNTIF($A$2:$A4288,A4288)=1,1,0)</f>
        <v>0</v>
      </c>
    </row>
    <row r="4289" customFormat="false" ht="15" hidden="false" customHeight="false" outlineLevel="0" collapsed="false">
      <c r="A4289" s="0" t="s">
        <v>899</v>
      </c>
      <c r="B4289" s="0" t="s">
        <v>91</v>
      </c>
      <c r="C4289" s="0" t="s">
        <v>92</v>
      </c>
      <c r="D4289" s="0" t="n">
        <v>7</v>
      </c>
      <c r="E4289" s="5" t="n">
        <v>45998.4420023148</v>
      </c>
      <c r="F4289" s="0" t="n">
        <v>7.65</v>
      </c>
      <c r="G4289" s="0" t="n">
        <v>17075</v>
      </c>
      <c r="H4289" s="6" t="s">
        <v>74</v>
      </c>
      <c r="I4289" s="6" t="n">
        <f aca="false">D4289*F4289</f>
        <v>53.55</v>
      </c>
      <c r="J4289" s="6" t="n">
        <f aca="false">HOUR(E4289)</f>
        <v>10</v>
      </c>
      <c r="K4289" s="6" t="n">
        <f aca="false">IF(COUNTIF($A$2:$A4289,A4289)=1,1,0)</f>
        <v>0</v>
      </c>
    </row>
    <row r="4290" customFormat="false" ht="15" hidden="false" customHeight="false" outlineLevel="0" collapsed="false">
      <c r="A4290" s="0" t="s">
        <v>899</v>
      </c>
      <c r="B4290" s="0" t="s">
        <v>69</v>
      </c>
      <c r="C4290" s="0" t="s">
        <v>70</v>
      </c>
      <c r="D4290" s="0" t="n">
        <v>11</v>
      </c>
      <c r="E4290" s="5" t="n">
        <v>45998.4420023148</v>
      </c>
      <c r="F4290" s="0" t="n">
        <v>2.08</v>
      </c>
      <c r="G4290" s="0" t="n">
        <v>17075</v>
      </c>
      <c r="H4290" s="6" t="s">
        <v>74</v>
      </c>
      <c r="I4290" s="6" t="n">
        <f aca="false">D4290*F4290</f>
        <v>22.88</v>
      </c>
      <c r="J4290" s="6" t="n">
        <f aca="false">HOUR(E4290)</f>
        <v>10</v>
      </c>
      <c r="K4290" s="6" t="n">
        <f aca="false">IF(COUNTIF($A$2:$A4290,A4290)=1,1,0)</f>
        <v>0</v>
      </c>
    </row>
    <row r="4291" customFormat="false" ht="15" hidden="false" customHeight="false" outlineLevel="0" collapsed="false">
      <c r="A4291" s="0" t="s">
        <v>899</v>
      </c>
      <c r="B4291" s="0" t="s">
        <v>86</v>
      </c>
      <c r="C4291" s="0" t="s">
        <v>87</v>
      </c>
      <c r="D4291" s="0" t="n">
        <v>9</v>
      </c>
      <c r="E4291" s="5" t="n">
        <v>45998.4420023148</v>
      </c>
      <c r="F4291" s="0" t="n">
        <v>4.25</v>
      </c>
      <c r="G4291" s="0" t="n">
        <v>17075</v>
      </c>
      <c r="H4291" s="6" t="s">
        <v>74</v>
      </c>
      <c r="I4291" s="6" t="n">
        <f aca="false">D4291*F4291</f>
        <v>38.25</v>
      </c>
      <c r="J4291" s="6" t="n">
        <f aca="false">HOUR(E4291)</f>
        <v>10</v>
      </c>
      <c r="K4291" s="6" t="n">
        <f aca="false">IF(COUNTIF($A$2:$A4291,A4291)=1,1,0)</f>
        <v>0</v>
      </c>
    </row>
    <row r="4292" customFormat="false" ht="15" hidden="false" customHeight="false" outlineLevel="0" collapsed="false">
      <c r="A4292" s="0" t="s">
        <v>899</v>
      </c>
      <c r="B4292" s="0" t="s">
        <v>125</v>
      </c>
      <c r="C4292" s="0" t="s">
        <v>126</v>
      </c>
      <c r="D4292" s="0" t="n">
        <v>14</v>
      </c>
      <c r="E4292" s="5" t="n">
        <v>45998.4420023148</v>
      </c>
      <c r="F4292" s="0" t="n">
        <v>1.25</v>
      </c>
      <c r="G4292" s="0" t="n">
        <v>17075</v>
      </c>
      <c r="H4292" s="6" t="s">
        <v>74</v>
      </c>
      <c r="I4292" s="6" t="n">
        <f aca="false">D4292*F4292</f>
        <v>17.5</v>
      </c>
      <c r="J4292" s="6" t="n">
        <f aca="false">HOUR(E4292)</f>
        <v>10</v>
      </c>
      <c r="K4292" s="6" t="n">
        <f aca="false">IF(COUNTIF($A$2:$A4292,A4292)=1,1,0)</f>
        <v>0</v>
      </c>
    </row>
    <row r="4293" customFormat="false" ht="15" hidden="false" customHeight="false" outlineLevel="0" collapsed="false">
      <c r="A4293" s="0" t="s">
        <v>899</v>
      </c>
      <c r="B4293" s="0" t="s">
        <v>40</v>
      </c>
      <c r="C4293" s="0" t="s">
        <v>41</v>
      </c>
      <c r="D4293" s="0" t="n">
        <v>14</v>
      </c>
      <c r="E4293" s="5" t="n">
        <v>45998.4420023148</v>
      </c>
      <c r="F4293" s="0" t="n">
        <v>1.06</v>
      </c>
      <c r="G4293" s="0" t="n">
        <v>17075</v>
      </c>
      <c r="H4293" s="6" t="s">
        <v>74</v>
      </c>
      <c r="I4293" s="6" t="n">
        <f aca="false">D4293*F4293</f>
        <v>14.84</v>
      </c>
      <c r="J4293" s="6" t="n">
        <f aca="false">HOUR(E4293)</f>
        <v>10</v>
      </c>
      <c r="K4293" s="6" t="n">
        <f aca="false">IF(COUNTIF($A$2:$A4293,A4293)=1,1,0)</f>
        <v>0</v>
      </c>
    </row>
    <row r="4294" customFormat="false" ht="15" hidden="false" customHeight="false" outlineLevel="0" collapsed="false">
      <c r="A4294" s="0" t="s">
        <v>900</v>
      </c>
      <c r="B4294" s="0" t="s">
        <v>125</v>
      </c>
      <c r="C4294" s="0" t="s">
        <v>126</v>
      </c>
      <c r="D4294" s="0" t="n">
        <v>8</v>
      </c>
      <c r="E4294" s="5" t="n">
        <v>45998.4564236111</v>
      </c>
      <c r="F4294" s="0" t="n">
        <v>1.25</v>
      </c>
      <c r="G4294" s="0" t="n">
        <v>17082</v>
      </c>
      <c r="H4294" s="6" t="s">
        <v>74</v>
      </c>
      <c r="I4294" s="6" t="n">
        <f aca="false">D4294*F4294</f>
        <v>10</v>
      </c>
      <c r="J4294" s="6" t="n">
        <f aca="false">HOUR(E4294)</f>
        <v>10</v>
      </c>
      <c r="K4294" s="6" t="n">
        <f aca="false">IF(COUNTIF($A$2:$A4294,A4294)=1,1,0)</f>
        <v>1</v>
      </c>
    </row>
    <row r="4295" customFormat="false" ht="15" hidden="false" customHeight="false" outlineLevel="0" collapsed="false">
      <c r="A4295" s="0" t="s">
        <v>900</v>
      </c>
      <c r="B4295" s="0" t="s">
        <v>121</v>
      </c>
      <c r="C4295" s="0" t="s">
        <v>122</v>
      </c>
      <c r="D4295" s="0" t="n">
        <v>15</v>
      </c>
      <c r="E4295" s="5" t="n">
        <v>45998.4564236111</v>
      </c>
      <c r="F4295" s="0" t="n">
        <v>2.1</v>
      </c>
      <c r="G4295" s="0" t="n">
        <v>17082</v>
      </c>
      <c r="H4295" s="6" t="s">
        <v>74</v>
      </c>
      <c r="I4295" s="6" t="n">
        <f aca="false">D4295*F4295</f>
        <v>31.5</v>
      </c>
      <c r="J4295" s="6" t="n">
        <f aca="false">HOUR(E4295)</f>
        <v>10</v>
      </c>
      <c r="K4295" s="6" t="n">
        <f aca="false">IF(COUNTIF($A$2:$A4295,A4295)=1,1,0)</f>
        <v>0</v>
      </c>
    </row>
    <row r="4296" customFormat="false" ht="15" hidden="false" customHeight="false" outlineLevel="0" collapsed="false">
      <c r="A4296" s="0" t="s">
        <v>900</v>
      </c>
      <c r="B4296" s="0" t="s">
        <v>116</v>
      </c>
      <c r="C4296" s="0" t="s">
        <v>117</v>
      </c>
      <c r="D4296" s="0" t="n">
        <v>14</v>
      </c>
      <c r="E4296" s="5" t="n">
        <v>45998.4564236111</v>
      </c>
      <c r="F4296" s="0" t="n">
        <v>1.95</v>
      </c>
      <c r="G4296" s="0" t="n">
        <v>17082</v>
      </c>
      <c r="H4296" s="6" t="s">
        <v>74</v>
      </c>
      <c r="I4296" s="6" t="n">
        <f aca="false">D4296*F4296</f>
        <v>27.3</v>
      </c>
      <c r="J4296" s="6" t="n">
        <f aca="false">HOUR(E4296)</f>
        <v>10</v>
      </c>
      <c r="K4296" s="6" t="n">
        <f aca="false">IF(COUNTIF($A$2:$A4296,A4296)=1,1,0)</f>
        <v>0</v>
      </c>
    </row>
    <row r="4297" customFormat="false" ht="15" hidden="false" customHeight="false" outlineLevel="0" collapsed="false">
      <c r="A4297" s="0" t="s">
        <v>900</v>
      </c>
      <c r="B4297" s="0" t="s">
        <v>131</v>
      </c>
      <c r="C4297" s="0" t="s">
        <v>132</v>
      </c>
      <c r="D4297" s="0" t="n">
        <v>6</v>
      </c>
      <c r="E4297" s="5" t="n">
        <v>45998.4564236111</v>
      </c>
      <c r="F4297" s="0" t="n">
        <v>3.39</v>
      </c>
      <c r="G4297" s="0" t="n">
        <v>17082</v>
      </c>
      <c r="H4297" s="6" t="s">
        <v>74</v>
      </c>
      <c r="I4297" s="6" t="n">
        <f aca="false">D4297*F4297</f>
        <v>20.34</v>
      </c>
      <c r="J4297" s="6" t="n">
        <f aca="false">HOUR(E4297)</f>
        <v>10</v>
      </c>
      <c r="K4297" s="6" t="n">
        <f aca="false">IF(COUNTIF($A$2:$A4297,A4297)=1,1,0)</f>
        <v>0</v>
      </c>
    </row>
    <row r="4298" customFormat="false" ht="15" hidden="false" customHeight="false" outlineLevel="0" collapsed="false">
      <c r="A4298" s="0" t="s">
        <v>900</v>
      </c>
      <c r="B4298" s="0" t="s">
        <v>118</v>
      </c>
      <c r="C4298" s="0" t="s">
        <v>119</v>
      </c>
      <c r="D4298" s="0" t="n">
        <v>19</v>
      </c>
      <c r="E4298" s="5" t="n">
        <v>45998.4564236111</v>
      </c>
      <c r="F4298" s="0" t="n">
        <v>4.95</v>
      </c>
      <c r="G4298" s="0" t="n">
        <v>17082</v>
      </c>
      <c r="H4298" s="6" t="s">
        <v>74</v>
      </c>
      <c r="I4298" s="6" t="n">
        <f aca="false">D4298*F4298</f>
        <v>94.05</v>
      </c>
      <c r="J4298" s="6" t="n">
        <f aca="false">HOUR(E4298)</f>
        <v>10</v>
      </c>
      <c r="K4298" s="6" t="n">
        <f aca="false">IF(COUNTIF($A$2:$A4298,A4298)=1,1,0)</f>
        <v>0</v>
      </c>
    </row>
    <row r="4299" customFormat="false" ht="15" hidden="false" customHeight="false" outlineLevel="0" collapsed="false">
      <c r="A4299" s="0" t="s">
        <v>900</v>
      </c>
      <c r="B4299" s="0" t="s">
        <v>134</v>
      </c>
      <c r="C4299" s="0" t="s">
        <v>135</v>
      </c>
      <c r="D4299" s="0" t="n">
        <v>13</v>
      </c>
      <c r="E4299" s="5" t="n">
        <v>45998.4564236111</v>
      </c>
      <c r="F4299" s="0" t="n">
        <v>5.95</v>
      </c>
      <c r="G4299" s="0" t="n">
        <v>17082</v>
      </c>
      <c r="H4299" s="6" t="s">
        <v>74</v>
      </c>
      <c r="I4299" s="6" t="n">
        <f aca="false">D4299*F4299</f>
        <v>77.35</v>
      </c>
      <c r="J4299" s="6" t="n">
        <f aca="false">HOUR(E4299)</f>
        <v>10</v>
      </c>
      <c r="K4299" s="6" t="n">
        <f aca="false">IF(COUNTIF($A$2:$A4299,A4299)=1,1,0)</f>
        <v>0</v>
      </c>
    </row>
    <row r="4300" customFormat="false" ht="15" hidden="false" customHeight="false" outlineLevel="0" collapsed="false">
      <c r="A4300" s="0" t="s">
        <v>900</v>
      </c>
      <c r="B4300" s="0" t="s">
        <v>102</v>
      </c>
      <c r="C4300" s="0" t="s">
        <v>103</v>
      </c>
      <c r="D4300" s="0" t="n">
        <v>38</v>
      </c>
      <c r="E4300" s="5" t="n">
        <v>45998.4564236111</v>
      </c>
      <c r="F4300" s="0" t="n">
        <v>8.5</v>
      </c>
      <c r="G4300" s="0" t="n">
        <v>17082</v>
      </c>
      <c r="H4300" s="6" t="s">
        <v>74</v>
      </c>
      <c r="I4300" s="6" t="n">
        <f aca="false">D4300*F4300</f>
        <v>323</v>
      </c>
      <c r="J4300" s="6" t="n">
        <f aca="false">HOUR(E4300)</f>
        <v>10</v>
      </c>
      <c r="K4300" s="6" t="n">
        <f aca="false">IF(COUNTIF($A$2:$A4300,A4300)=1,1,0)</f>
        <v>0</v>
      </c>
    </row>
    <row r="4301" customFormat="false" ht="15" hidden="false" customHeight="false" outlineLevel="0" collapsed="false">
      <c r="A4301" s="0" t="s">
        <v>901</v>
      </c>
      <c r="B4301" s="0" t="s">
        <v>65</v>
      </c>
      <c r="C4301" s="0" t="s">
        <v>66</v>
      </c>
      <c r="D4301" s="0" t="n">
        <v>23</v>
      </c>
      <c r="E4301" s="5" t="n">
        <v>45998.5400925926</v>
      </c>
      <c r="F4301" s="0" t="n">
        <v>1.65</v>
      </c>
      <c r="G4301" s="0" t="n">
        <v>17242</v>
      </c>
      <c r="H4301" s="6" t="s">
        <v>42</v>
      </c>
      <c r="I4301" s="6" t="n">
        <f aca="false">D4301*F4301</f>
        <v>37.95</v>
      </c>
      <c r="J4301" s="6" t="n">
        <f aca="false">HOUR(E4301)</f>
        <v>12</v>
      </c>
      <c r="K4301" s="6" t="n">
        <f aca="false">IF(COUNTIF($A$2:$A4301,A4301)=1,1,0)</f>
        <v>1</v>
      </c>
    </row>
    <row r="4302" customFormat="false" ht="15" hidden="false" customHeight="false" outlineLevel="0" collapsed="false">
      <c r="A4302" s="0" t="s">
        <v>902</v>
      </c>
      <c r="B4302" s="0" t="s">
        <v>61</v>
      </c>
      <c r="C4302" s="0" t="s">
        <v>62</v>
      </c>
      <c r="D4302" s="0" t="n">
        <v>10</v>
      </c>
      <c r="E4302" s="5" t="n">
        <v>45998.6110416667</v>
      </c>
      <c r="F4302" s="0" t="n">
        <v>1.65</v>
      </c>
      <c r="G4302" s="0" t="n">
        <v>17201</v>
      </c>
      <c r="H4302" s="6" t="s">
        <v>68</v>
      </c>
      <c r="I4302" s="6" t="n">
        <f aca="false">D4302*F4302</f>
        <v>16.5</v>
      </c>
      <c r="J4302" s="6" t="n">
        <f aca="false">HOUR(E4302)</f>
        <v>14</v>
      </c>
      <c r="K4302" s="6" t="n">
        <f aca="false">IF(COUNTIF($A$2:$A4302,A4302)=1,1,0)</f>
        <v>1</v>
      </c>
    </row>
    <row r="4303" customFormat="false" ht="15" hidden="false" customHeight="false" outlineLevel="0" collapsed="false">
      <c r="A4303" s="0" t="s">
        <v>902</v>
      </c>
      <c r="B4303" s="0" t="s">
        <v>43</v>
      </c>
      <c r="C4303" s="0" t="s">
        <v>44</v>
      </c>
      <c r="D4303" s="0" t="n">
        <v>10</v>
      </c>
      <c r="E4303" s="5" t="n">
        <v>45998.6110416667</v>
      </c>
      <c r="F4303" s="0" t="n">
        <v>4.25</v>
      </c>
      <c r="G4303" s="0" t="n">
        <v>17201</v>
      </c>
      <c r="H4303" s="6" t="s">
        <v>68</v>
      </c>
      <c r="I4303" s="6" t="n">
        <f aca="false">D4303*F4303</f>
        <v>42.5</v>
      </c>
      <c r="J4303" s="6" t="n">
        <f aca="false">HOUR(E4303)</f>
        <v>14</v>
      </c>
      <c r="K4303" s="6" t="n">
        <f aca="false">IF(COUNTIF($A$2:$A4303,A4303)=1,1,0)</f>
        <v>0</v>
      </c>
    </row>
    <row r="4304" customFormat="false" ht="15" hidden="false" customHeight="false" outlineLevel="0" collapsed="false">
      <c r="A4304" s="0" t="s">
        <v>902</v>
      </c>
      <c r="B4304" s="0" t="s">
        <v>127</v>
      </c>
      <c r="C4304" s="0" t="s">
        <v>128</v>
      </c>
      <c r="D4304" s="0" t="n">
        <v>3</v>
      </c>
      <c r="E4304" s="5" t="n">
        <v>45998.6110416667</v>
      </c>
      <c r="F4304" s="0" t="n">
        <v>1.45</v>
      </c>
      <c r="G4304" s="0" t="n">
        <v>17201</v>
      </c>
      <c r="H4304" s="6" t="s">
        <v>68</v>
      </c>
      <c r="I4304" s="6" t="n">
        <f aca="false">D4304*F4304</f>
        <v>4.35</v>
      </c>
      <c r="J4304" s="6" t="n">
        <f aca="false">HOUR(E4304)</f>
        <v>14</v>
      </c>
      <c r="K4304" s="6" t="n">
        <f aca="false">IF(COUNTIF($A$2:$A4304,A4304)=1,1,0)</f>
        <v>0</v>
      </c>
    </row>
    <row r="4305" customFormat="false" ht="15" hidden="false" customHeight="false" outlineLevel="0" collapsed="false">
      <c r="A4305" s="0" t="s">
        <v>902</v>
      </c>
      <c r="B4305" s="0" t="s">
        <v>104</v>
      </c>
      <c r="C4305" s="0" t="s">
        <v>105</v>
      </c>
      <c r="D4305" s="0" t="n">
        <v>10</v>
      </c>
      <c r="E4305" s="5" t="n">
        <v>45998.6110416667</v>
      </c>
      <c r="F4305" s="0" t="n">
        <v>1.65</v>
      </c>
      <c r="G4305" s="0" t="n">
        <v>17201</v>
      </c>
      <c r="H4305" s="6" t="s">
        <v>68</v>
      </c>
      <c r="I4305" s="6" t="n">
        <f aca="false">D4305*F4305</f>
        <v>16.5</v>
      </c>
      <c r="J4305" s="6" t="n">
        <f aca="false">HOUR(E4305)</f>
        <v>14</v>
      </c>
      <c r="K4305" s="6" t="n">
        <f aca="false">IF(COUNTIF($A$2:$A4305,A4305)=1,1,0)</f>
        <v>0</v>
      </c>
    </row>
    <row r="4306" customFormat="false" ht="15" hidden="false" customHeight="false" outlineLevel="0" collapsed="false">
      <c r="A4306" s="0" t="s">
        <v>902</v>
      </c>
      <c r="B4306" s="0" t="s">
        <v>57</v>
      </c>
      <c r="C4306" s="0" t="s">
        <v>58</v>
      </c>
      <c r="D4306" s="0" t="n">
        <v>13</v>
      </c>
      <c r="E4306" s="5" t="n">
        <v>45998.6110416667</v>
      </c>
      <c r="F4306" s="0" t="n">
        <v>2.08</v>
      </c>
      <c r="G4306" s="0" t="n">
        <v>17201</v>
      </c>
      <c r="H4306" s="6" t="s">
        <v>68</v>
      </c>
      <c r="I4306" s="6" t="n">
        <f aca="false">D4306*F4306</f>
        <v>27.04</v>
      </c>
      <c r="J4306" s="6" t="n">
        <f aca="false">HOUR(E4306)</f>
        <v>14</v>
      </c>
      <c r="K4306" s="6" t="n">
        <f aca="false">IF(COUNTIF($A$2:$A4306,A4306)=1,1,0)</f>
        <v>0</v>
      </c>
    </row>
    <row r="4307" customFormat="false" ht="15" hidden="false" customHeight="false" outlineLevel="0" collapsed="false">
      <c r="A4307" s="0" t="s">
        <v>902</v>
      </c>
      <c r="B4307" s="0" t="s">
        <v>99</v>
      </c>
      <c r="C4307" s="0" t="s">
        <v>100</v>
      </c>
      <c r="D4307" s="0" t="n">
        <v>20</v>
      </c>
      <c r="E4307" s="5" t="n">
        <v>45998.6110416667</v>
      </c>
      <c r="F4307" s="0" t="n">
        <v>2.08</v>
      </c>
      <c r="G4307" s="0" t="n">
        <v>17201</v>
      </c>
      <c r="H4307" s="6" t="s">
        <v>68</v>
      </c>
      <c r="I4307" s="6" t="n">
        <f aca="false">D4307*F4307</f>
        <v>41.6</v>
      </c>
      <c r="J4307" s="6" t="n">
        <f aca="false">HOUR(E4307)</f>
        <v>14</v>
      </c>
      <c r="K4307" s="6" t="n">
        <f aca="false">IF(COUNTIF($A$2:$A4307,A4307)=1,1,0)</f>
        <v>0</v>
      </c>
    </row>
    <row r="4308" customFormat="false" ht="15" hidden="false" customHeight="false" outlineLevel="0" collapsed="false">
      <c r="A4308" s="0" t="s">
        <v>903</v>
      </c>
      <c r="B4308" s="0" t="s">
        <v>63</v>
      </c>
      <c r="C4308" s="0" t="s">
        <v>64</v>
      </c>
      <c r="D4308" s="0" t="n">
        <v>11</v>
      </c>
      <c r="E4308" s="5" t="n">
        <v>45998.7299074074</v>
      </c>
      <c r="F4308" s="0" t="n">
        <v>1.85</v>
      </c>
      <c r="G4308" s="0" t="n">
        <v>17063</v>
      </c>
      <c r="H4308" s="6" t="s">
        <v>68</v>
      </c>
      <c r="I4308" s="6" t="n">
        <f aca="false">D4308*F4308</f>
        <v>20.35</v>
      </c>
      <c r="J4308" s="6" t="n">
        <f aca="false">HOUR(E4308)</f>
        <v>17</v>
      </c>
      <c r="K4308" s="6" t="n">
        <f aca="false">IF(COUNTIF($A$2:$A4308,A4308)=1,1,0)</f>
        <v>1</v>
      </c>
    </row>
    <row r="4309" customFormat="false" ht="15" hidden="false" customHeight="false" outlineLevel="0" collapsed="false">
      <c r="A4309" s="0" t="s">
        <v>903</v>
      </c>
      <c r="B4309" s="0" t="s">
        <v>95</v>
      </c>
      <c r="C4309" s="0" t="s">
        <v>96</v>
      </c>
      <c r="D4309" s="0" t="n">
        <v>22</v>
      </c>
      <c r="E4309" s="5" t="n">
        <v>45998.7299074074</v>
      </c>
      <c r="F4309" s="0" t="n">
        <v>2.55</v>
      </c>
      <c r="G4309" s="0" t="n">
        <v>17063</v>
      </c>
      <c r="H4309" s="6" t="s">
        <v>68</v>
      </c>
      <c r="I4309" s="6" t="n">
        <f aca="false">D4309*F4309</f>
        <v>56.1</v>
      </c>
      <c r="J4309" s="6" t="n">
        <f aca="false">HOUR(E4309)</f>
        <v>17</v>
      </c>
      <c r="K4309" s="6" t="n">
        <f aca="false">IF(COUNTIF($A$2:$A4309,A4309)=1,1,0)</f>
        <v>0</v>
      </c>
    </row>
    <row r="4310" customFormat="false" ht="15" hidden="false" customHeight="false" outlineLevel="0" collapsed="false">
      <c r="A4310" s="0" t="s">
        <v>903</v>
      </c>
      <c r="B4310" s="0" t="s">
        <v>114</v>
      </c>
      <c r="C4310" s="0" t="s">
        <v>115</v>
      </c>
      <c r="D4310" s="0" t="n">
        <v>21</v>
      </c>
      <c r="E4310" s="5" t="n">
        <v>45998.7299074074</v>
      </c>
      <c r="F4310" s="0" t="n">
        <v>2.08</v>
      </c>
      <c r="G4310" s="0" t="n">
        <v>17063</v>
      </c>
      <c r="H4310" s="6" t="s">
        <v>68</v>
      </c>
      <c r="I4310" s="6" t="n">
        <f aca="false">D4310*F4310</f>
        <v>43.68</v>
      </c>
      <c r="J4310" s="6" t="n">
        <f aca="false">HOUR(E4310)</f>
        <v>17</v>
      </c>
      <c r="K4310" s="6" t="n">
        <f aca="false">IF(COUNTIF($A$2:$A4310,A4310)=1,1,0)</f>
        <v>0</v>
      </c>
    </row>
    <row r="4311" customFormat="false" ht="15" hidden="false" customHeight="false" outlineLevel="0" collapsed="false">
      <c r="A4311" s="0" t="s">
        <v>903</v>
      </c>
      <c r="B4311" s="0" t="s">
        <v>137</v>
      </c>
      <c r="C4311" s="0" t="s">
        <v>138</v>
      </c>
      <c r="D4311" s="0" t="n">
        <v>5</v>
      </c>
      <c r="E4311" s="5" t="n">
        <v>45998.7299074074</v>
      </c>
      <c r="F4311" s="0" t="n">
        <v>2.1</v>
      </c>
      <c r="G4311" s="0" t="n">
        <v>17063</v>
      </c>
      <c r="H4311" s="6" t="s">
        <v>68</v>
      </c>
      <c r="I4311" s="6" t="n">
        <f aca="false">D4311*F4311</f>
        <v>10.5</v>
      </c>
      <c r="J4311" s="6" t="n">
        <f aca="false">HOUR(E4311)</f>
        <v>17</v>
      </c>
      <c r="K4311" s="6" t="n">
        <f aca="false">IF(COUNTIF($A$2:$A4311,A4311)=1,1,0)</f>
        <v>0</v>
      </c>
    </row>
    <row r="4312" customFormat="false" ht="15" hidden="false" customHeight="false" outlineLevel="0" collapsed="false">
      <c r="A4312" s="0" t="s">
        <v>904</v>
      </c>
      <c r="B4312" s="0" t="s">
        <v>65</v>
      </c>
      <c r="C4312" s="0" t="s">
        <v>66</v>
      </c>
      <c r="D4312" s="0" t="n">
        <v>7</v>
      </c>
      <c r="E4312" s="5" t="n">
        <v>45998.7718171296</v>
      </c>
      <c r="F4312" s="0" t="n">
        <v>1.65</v>
      </c>
      <c r="G4312" s="0" t="n">
        <v>17239</v>
      </c>
      <c r="H4312" s="6" t="s">
        <v>263</v>
      </c>
      <c r="I4312" s="6" t="n">
        <f aca="false">D4312*F4312</f>
        <v>11.55</v>
      </c>
      <c r="J4312" s="6" t="n">
        <f aca="false">HOUR(E4312)</f>
        <v>18</v>
      </c>
      <c r="K4312" s="6" t="n">
        <f aca="false">IF(COUNTIF($A$2:$A4312,A4312)=1,1,0)</f>
        <v>1</v>
      </c>
    </row>
    <row r="4313" customFormat="false" ht="15" hidden="false" customHeight="false" outlineLevel="0" collapsed="false">
      <c r="A4313" s="0" t="s">
        <v>904</v>
      </c>
      <c r="B4313" s="0" t="s">
        <v>109</v>
      </c>
      <c r="C4313" s="0" t="s">
        <v>110</v>
      </c>
      <c r="D4313" s="0" t="n">
        <v>8</v>
      </c>
      <c r="E4313" s="5" t="n">
        <v>45998.7718171296</v>
      </c>
      <c r="F4313" s="0" t="n">
        <v>0.85</v>
      </c>
      <c r="G4313" s="0" t="n">
        <v>17239</v>
      </c>
      <c r="H4313" s="6" t="s">
        <v>263</v>
      </c>
      <c r="I4313" s="6" t="n">
        <f aca="false">D4313*F4313</f>
        <v>6.8</v>
      </c>
      <c r="J4313" s="6" t="n">
        <f aca="false">HOUR(E4313)</f>
        <v>18</v>
      </c>
      <c r="K4313" s="6" t="n">
        <f aca="false">IF(COUNTIF($A$2:$A4313,A4313)=1,1,0)</f>
        <v>0</v>
      </c>
    </row>
    <row r="4314" customFormat="false" ht="15" hidden="false" customHeight="false" outlineLevel="0" collapsed="false">
      <c r="A4314" s="0" t="s">
        <v>904</v>
      </c>
      <c r="B4314" s="0" t="s">
        <v>99</v>
      </c>
      <c r="C4314" s="0" t="s">
        <v>100</v>
      </c>
      <c r="D4314" s="0" t="n">
        <v>19</v>
      </c>
      <c r="E4314" s="5" t="n">
        <v>45998.7718171296</v>
      </c>
      <c r="F4314" s="0" t="n">
        <v>2.08</v>
      </c>
      <c r="G4314" s="0" t="n">
        <v>17239</v>
      </c>
      <c r="H4314" s="6" t="s">
        <v>263</v>
      </c>
      <c r="I4314" s="6" t="n">
        <f aca="false">D4314*F4314</f>
        <v>39.52</v>
      </c>
      <c r="J4314" s="6" t="n">
        <f aca="false">HOUR(E4314)</f>
        <v>18</v>
      </c>
      <c r="K4314" s="6" t="n">
        <f aca="false">IF(COUNTIF($A$2:$A4314,A4314)=1,1,0)</f>
        <v>0</v>
      </c>
    </row>
    <row r="4315" customFormat="false" ht="15" hidden="false" customHeight="false" outlineLevel="0" collapsed="false">
      <c r="A4315" s="0" t="s">
        <v>904</v>
      </c>
      <c r="B4315" s="0" t="s">
        <v>50</v>
      </c>
      <c r="C4315" s="0" t="s">
        <v>51</v>
      </c>
      <c r="D4315" s="0" t="n">
        <v>9</v>
      </c>
      <c r="E4315" s="5" t="n">
        <v>45998.7718171296</v>
      </c>
      <c r="F4315" s="0" t="n">
        <v>5.95</v>
      </c>
      <c r="G4315" s="0" t="n">
        <v>17239</v>
      </c>
      <c r="H4315" s="6" t="s">
        <v>263</v>
      </c>
      <c r="I4315" s="6" t="n">
        <f aca="false">D4315*F4315</f>
        <v>53.55</v>
      </c>
      <c r="J4315" s="6" t="n">
        <f aca="false">HOUR(E4315)</f>
        <v>18</v>
      </c>
      <c r="K4315" s="6" t="n">
        <f aca="false">IF(COUNTIF($A$2:$A4315,A4315)=1,1,0)</f>
        <v>0</v>
      </c>
    </row>
    <row r="4316" customFormat="false" ht="15" hidden="false" customHeight="false" outlineLevel="0" collapsed="false">
      <c r="A4316" s="0" t="s">
        <v>904</v>
      </c>
      <c r="B4316" s="0" t="s">
        <v>118</v>
      </c>
      <c r="C4316" s="0" t="s">
        <v>119</v>
      </c>
      <c r="D4316" s="0" t="n">
        <v>44</v>
      </c>
      <c r="E4316" s="5" t="n">
        <v>45998.7718171296</v>
      </c>
      <c r="F4316" s="0" t="n">
        <v>4.95</v>
      </c>
      <c r="G4316" s="0" t="n">
        <v>17239</v>
      </c>
      <c r="H4316" s="6" t="s">
        <v>263</v>
      </c>
      <c r="I4316" s="6" t="n">
        <f aca="false">D4316*F4316</f>
        <v>217.8</v>
      </c>
      <c r="J4316" s="6" t="n">
        <f aca="false">HOUR(E4316)</f>
        <v>18</v>
      </c>
      <c r="K4316" s="6" t="n">
        <f aca="false">IF(COUNTIF($A$2:$A4316,A4316)=1,1,0)</f>
        <v>0</v>
      </c>
    </row>
    <row r="4317" customFormat="false" ht="15" hidden="false" customHeight="false" outlineLevel="0" collapsed="false">
      <c r="A4317" s="0" t="s">
        <v>904</v>
      </c>
      <c r="B4317" s="0" t="s">
        <v>114</v>
      </c>
      <c r="C4317" s="0" t="s">
        <v>115</v>
      </c>
      <c r="D4317" s="0" t="n">
        <v>13</v>
      </c>
      <c r="E4317" s="5" t="n">
        <v>45998.7718171296</v>
      </c>
      <c r="F4317" s="0" t="n">
        <v>2.08</v>
      </c>
      <c r="G4317" s="0" t="n">
        <v>17239</v>
      </c>
      <c r="H4317" s="6" t="s">
        <v>263</v>
      </c>
      <c r="I4317" s="6" t="n">
        <f aca="false">D4317*F4317</f>
        <v>27.04</v>
      </c>
      <c r="J4317" s="6" t="n">
        <f aca="false">HOUR(E4317)</f>
        <v>18</v>
      </c>
      <c r="K4317" s="6" t="n">
        <f aca="false">IF(COUNTIF($A$2:$A4317,A4317)=1,1,0)</f>
        <v>0</v>
      </c>
    </row>
    <row r="4318" customFormat="false" ht="15" hidden="false" customHeight="false" outlineLevel="0" collapsed="false">
      <c r="A4318" s="0" t="s">
        <v>904</v>
      </c>
      <c r="B4318" s="0" t="s">
        <v>125</v>
      </c>
      <c r="C4318" s="0" t="s">
        <v>126</v>
      </c>
      <c r="D4318" s="0" t="n">
        <v>21</v>
      </c>
      <c r="E4318" s="5" t="n">
        <v>45998.7718171296</v>
      </c>
      <c r="F4318" s="0" t="n">
        <v>1.25</v>
      </c>
      <c r="G4318" s="0" t="n">
        <v>17239</v>
      </c>
      <c r="H4318" s="6" t="s">
        <v>263</v>
      </c>
      <c r="I4318" s="6" t="n">
        <f aca="false">D4318*F4318</f>
        <v>26.25</v>
      </c>
      <c r="J4318" s="6" t="n">
        <f aca="false">HOUR(E4318)</f>
        <v>18</v>
      </c>
      <c r="K4318" s="6" t="n">
        <f aca="false">IF(COUNTIF($A$2:$A4318,A4318)=1,1,0)</f>
        <v>0</v>
      </c>
    </row>
    <row r="4319" customFormat="false" ht="15" hidden="false" customHeight="false" outlineLevel="0" collapsed="false">
      <c r="A4319" s="0" t="s">
        <v>905</v>
      </c>
      <c r="B4319" s="0" t="s">
        <v>57</v>
      </c>
      <c r="C4319" s="0" t="s">
        <v>58</v>
      </c>
      <c r="D4319" s="0" t="n">
        <v>15</v>
      </c>
      <c r="E4319" s="5" t="n">
        <v>45998.8004166667</v>
      </c>
      <c r="F4319" s="0" t="n">
        <v>2.08</v>
      </c>
      <c r="G4319" s="0" t="n">
        <v>17027</v>
      </c>
      <c r="H4319" s="6" t="s">
        <v>74</v>
      </c>
      <c r="I4319" s="6" t="n">
        <f aca="false">D4319*F4319</f>
        <v>31.2</v>
      </c>
      <c r="J4319" s="6" t="n">
        <f aca="false">HOUR(E4319)</f>
        <v>19</v>
      </c>
      <c r="K4319" s="6" t="n">
        <f aca="false">IF(COUNTIF($A$2:$A4319,A4319)=1,1,0)</f>
        <v>1</v>
      </c>
    </row>
    <row r="4320" customFormat="false" ht="15" hidden="false" customHeight="false" outlineLevel="0" collapsed="false">
      <c r="A4320" s="0" t="s">
        <v>905</v>
      </c>
      <c r="B4320" s="0" t="s">
        <v>93</v>
      </c>
      <c r="C4320" s="0" t="s">
        <v>94</v>
      </c>
      <c r="D4320" s="0" t="n">
        <v>15</v>
      </c>
      <c r="E4320" s="5" t="n">
        <v>45998.8004166667</v>
      </c>
      <c r="F4320" s="0" t="n">
        <v>1.69</v>
      </c>
      <c r="G4320" s="0" t="n">
        <v>17027</v>
      </c>
      <c r="H4320" s="6" t="s">
        <v>74</v>
      </c>
      <c r="I4320" s="6" t="n">
        <f aca="false">D4320*F4320</f>
        <v>25.35</v>
      </c>
      <c r="J4320" s="6" t="n">
        <f aca="false">HOUR(E4320)</f>
        <v>19</v>
      </c>
      <c r="K4320" s="6" t="n">
        <f aca="false">IF(COUNTIF($A$2:$A4320,A4320)=1,1,0)</f>
        <v>0</v>
      </c>
    </row>
    <row r="4321" customFormat="false" ht="15" hidden="false" customHeight="false" outlineLevel="0" collapsed="false">
      <c r="A4321" s="0" t="s">
        <v>906</v>
      </c>
      <c r="B4321" s="0" t="s">
        <v>127</v>
      </c>
      <c r="C4321" s="0" t="s">
        <v>128</v>
      </c>
      <c r="D4321" s="0" t="n">
        <v>22</v>
      </c>
      <c r="E4321" s="5" t="n">
        <v>45999.3538425926</v>
      </c>
      <c r="F4321" s="0" t="n">
        <v>1.45</v>
      </c>
      <c r="G4321" s="0" t="n">
        <v>17197</v>
      </c>
      <c r="H4321" s="6" t="s">
        <v>74</v>
      </c>
      <c r="I4321" s="6" t="n">
        <f aca="false">D4321*F4321</f>
        <v>31.9</v>
      </c>
      <c r="J4321" s="6" t="n">
        <f aca="false">HOUR(E4321)</f>
        <v>8</v>
      </c>
      <c r="K4321" s="6" t="n">
        <f aca="false">IF(COUNTIF($A$2:$A4321,A4321)=1,1,0)</f>
        <v>1</v>
      </c>
    </row>
    <row r="4322" customFormat="false" ht="15" hidden="false" customHeight="false" outlineLevel="0" collapsed="false">
      <c r="A4322" s="0" t="s">
        <v>906</v>
      </c>
      <c r="B4322" s="0" t="s">
        <v>102</v>
      </c>
      <c r="C4322" s="0" t="s">
        <v>103</v>
      </c>
      <c r="D4322" s="0" t="n">
        <v>23</v>
      </c>
      <c r="E4322" s="5" t="n">
        <v>45999.3538425926</v>
      </c>
      <c r="F4322" s="0" t="n">
        <v>8.5</v>
      </c>
      <c r="G4322" s="0" t="n">
        <v>17197</v>
      </c>
      <c r="H4322" s="6" t="s">
        <v>74</v>
      </c>
      <c r="I4322" s="6" t="n">
        <f aca="false">D4322*F4322</f>
        <v>195.5</v>
      </c>
      <c r="J4322" s="6" t="n">
        <f aca="false">HOUR(E4322)</f>
        <v>8</v>
      </c>
      <c r="K4322" s="6" t="n">
        <f aca="false">IF(COUNTIF($A$2:$A4322,A4322)=1,1,0)</f>
        <v>0</v>
      </c>
    </row>
    <row r="4323" customFormat="false" ht="15" hidden="false" customHeight="false" outlineLevel="0" collapsed="false">
      <c r="A4323" s="0" t="s">
        <v>906</v>
      </c>
      <c r="B4323" s="0" t="s">
        <v>53</v>
      </c>
      <c r="C4323" s="0" t="s">
        <v>54</v>
      </c>
      <c r="D4323" s="0" t="n">
        <v>13</v>
      </c>
      <c r="E4323" s="5" t="n">
        <v>45999.3538425926</v>
      </c>
      <c r="F4323" s="0" t="n">
        <v>2.95</v>
      </c>
      <c r="G4323" s="0" t="n">
        <v>17197</v>
      </c>
      <c r="H4323" s="6" t="s">
        <v>74</v>
      </c>
      <c r="I4323" s="6" t="n">
        <f aca="false">D4323*F4323</f>
        <v>38.35</v>
      </c>
      <c r="J4323" s="6" t="n">
        <f aca="false">HOUR(E4323)</f>
        <v>8</v>
      </c>
      <c r="K4323" s="6" t="n">
        <f aca="false">IF(COUNTIF($A$2:$A4323,A4323)=1,1,0)</f>
        <v>0</v>
      </c>
    </row>
    <row r="4324" customFormat="false" ht="15" hidden="false" customHeight="false" outlineLevel="0" collapsed="false">
      <c r="A4324" s="0" t="s">
        <v>906</v>
      </c>
      <c r="B4324" s="0" t="s">
        <v>57</v>
      </c>
      <c r="C4324" s="0" t="s">
        <v>58</v>
      </c>
      <c r="D4324" s="0" t="n">
        <v>6</v>
      </c>
      <c r="E4324" s="5" t="n">
        <v>45999.3538425926</v>
      </c>
      <c r="F4324" s="0" t="n">
        <v>2.08</v>
      </c>
      <c r="G4324" s="0" t="n">
        <v>17197</v>
      </c>
      <c r="H4324" s="6" t="s">
        <v>74</v>
      </c>
      <c r="I4324" s="6" t="n">
        <f aca="false">D4324*F4324</f>
        <v>12.48</v>
      </c>
      <c r="J4324" s="6" t="n">
        <f aca="false">HOUR(E4324)</f>
        <v>8</v>
      </c>
      <c r="K4324" s="6" t="n">
        <f aca="false">IF(COUNTIF($A$2:$A4324,A4324)=1,1,0)</f>
        <v>0</v>
      </c>
    </row>
    <row r="4325" customFormat="false" ht="15" hidden="false" customHeight="false" outlineLevel="0" collapsed="false">
      <c r="A4325" s="0" t="s">
        <v>906</v>
      </c>
      <c r="B4325" s="0" t="s">
        <v>131</v>
      </c>
      <c r="C4325" s="0" t="s">
        <v>132</v>
      </c>
      <c r="D4325" s="0" t="n">
        <v>13</v>
      </c>
      <c r="E4325" s="5" t="n">
        <v>45999.3538425926</v>
      </c>
      <c r="F4325" s="0" t="n">
        <v>3.39</v>
      </c>
      <c r="G4325" s="0" t="n">
        <v>17197</v>
      </c>
      <c r="H4325" s="6" t="s">
        <v>74</v>
      </c>
      <c r="I4325" s="6" t="n">
        <f aca="false">D4325*F4325</f>
        <v>44.07</v>
      </c>
      <c r="J4325" s="6" t="n">
        <f aca="false">HOUR(E4325)</f>
        <v>8</v>
      </c>
      <c r="K4325" s="6" t="n">
        <f aca="false">IF(COUNTIF($A$2:$A4325,A4325)=1,1,0)</f>
        <v>0</v>
      </c>
    </row>
    <row r="4326" customFormat="false" ht="15" hidden="false" customHeight="false" outlineLevel="0" collapsed="false">
      <c r="A4326" s="0" t="s">
        <v>906</v>
      </c>
      <c r="B4326" s="0" t="s">
        <v>104</v>
      </c>
      <c r="C4326" s="0" t="s">
        <v>105</v>
      </c>
      <c r="D4326" s="0" t="n">
        <v>21</v>
      </c>
      <c r="E4326" s="5" t="n">
        <v>45999.3538425926</v>
      </c>
      <c r="F4326" s="0" t="n">
        <v>1.65</v>
      </c>
      <c r="G4326" s="0" t="n">
        <v>17197</v>
      </c>
      <c r="H4326" s="6" t="s">
        <v>74</v>
      </c>
      <c r="I4326" s="6" t="n">
        <f aca="false">D4326*F4326</f>
        <v>34.65</v>
      </c>
      <c r="J4326" s="6" t="n">
        <f aca="false">HOUR(E4326)</f>
        <v>8</v>
      </c>
      <c r="K4326" s="6" t="n">
        <f aca="false">IF(COUNTIF($A$2:$A4326,A4326)=1,1,0)</f>
        <v>0</v>
      </c>
    </row>
    <row r="4327" customFormat="false" ht="15" hidden="false" customHeight="false" outlineLevel="0" collapsed="false">
      <c r="A4327" s="0" t="s">
        <v>906</v>
      </c>
      <c r="B4327" s="0" t="s">
        <v>125</v>
      </c>
      <c r="C4327" s="0" t="s">
        <v>126</v>
      </c>
      <c r="D4327" s="0" t="n">
        <v>5</v>
      </c>
      <c r="E4327" s="5" t="n">
        <v>45999.3538425926</v>
      </c>
      <c r="F4327" s="0" t="n">
        <v>1.25</v>
      </c>
      <c r="G4327" s="0" t="n">
        <v>17197</v>
      </c>
      <c r="H4327" s="6" t="s">
        <v>74</v>
      </c>
      <c r="I4327" s="6" t="n">
        <f aca="false">D4327*F4327</f>
        <v>6.25</v>
      </c>
      <c r="J4327" s="6" t="n">
        <f aca="false">HOUR(E4327)</f>
        <v>8</v>
      </c>
      <c r="K4327" s="6" t="n">
        <f aca="false">IF(COUNTIF($A$2:$A4327,A4327)=1,1,0)</f>
        <v>0</v>
      </c>
    </row>
    <row r="4328" customFormat="false" ht="15" hidden="false" customHeight="false" outlineLevel="0" collapsed="false">
      <c r="A4328" s="0" t="s">
        <v>906</v>
      </c>
      <c r="B4328" s="0" t="s">
        <v>140</v>
      </c>
      <c r="C4328" s="0" t="s">
        <v>141</v>
      </c>
      <c r="D4328" s="0" t="n">
        <v>7</v>
      </c>
      <c r="E4328" s="5" t="n">
        <v>45999.3538425926</v>
      </c>
      <c r="F4328" s="0" t="n">
        <v>2.08</v>
      </c>
      <c r="G4328" s="0" t="n">
        <v>17197</v>
      </c>
      <c r="H4328" s="6" t="s">
        <v>74</v>
      </c>
      <c r="I4328" s="6" t="n">
        <f aca="false">D4328*F4328</f>
        <v>14.56</v>
      </c>
      <c r="J4328" s="6" t="n">
        <f aca="false">HOUR(E4328)</f>
        <v>8</v>
      </c>
      <c r="K4328" s="6" t="n">
        <f aca="false">IF(COUNTIF($A$2:$A4328,A4328)=1,1,0)</f>
        <v>0</v>
      </c>
    </row>
    <row r="4329" customFormat="false" ht="15" hidden="false" customHeight="false" outlineLevel="0" collapsed="false">
      <c r="A4329" s="0" t="s">
        <v>906</v>
      </c>
      <c r="B4329" s="0" t="s">
        <v>40</v>
      </c>
      <c r="C4329" s="0" t="s">
        <v>41</v>
      </c>
      <c r="D4329" s="0" t="n">
        <v>3</v>
      </c>
      <c r="E4329" s="5" t="n">
        <v>45999.3538425926</v>
      </c>
      <c r="F4329" s="0" t="n">
        <v>1.06</v>
      </c>
      <c r="G4329" s="0" t="n">
        <v>17197</v>
      </c>
      <c r="H4329" s="6" t="s">
        <v>74</v>
      </c>
      <c r="I4329" s="6" t="n">
        <f aca="false">D4329*F4329</f>
        <v>3.18</v>
      </c>
      <c r="J4329" s="6" t="n">
        <f aca="false">HOUR(E4329)</f>
        <v>8</v>
      </c>
      <c r="K4329" s="6" t="n">
        <f aca="false">IF(COUNTIF($A$2:$A4329,A4329)=1,1,0)</f>
        <v>0</v>
      </c>
    </row>
    <row r="4330" customFormat="false" ht="15" hidden="false" customHeight="false" outlineLevel="0" collapsed="false">
      <c r="A4330" s="0" t="s">
        <v>906</v>
      </c>
      <c r="B4330" s="0" t="s">
        <v>93</v>
      </c>
      <c r="C4330" s="0" t="s">
        <v>94</v>
      </c>
      <c r="D4330" s="0" t="n">
        <v>20</v>
      </c>
      <c r="E4330" s="5" t="n">
        <v>45999.3538425926</v>
      </c>
      <c r="F4330" s="0" t="n">
        <v>1.69</v>
      </c>
      <c r="G4330" s="0" t="n">
        <v>17197</v>
      </c>
      <c r="H4330" s="6" t="s">
        <v>74</v>
      </c>
      <c r="I4330" s="6" t="n">
        <f aca="false">D4330*F4330</f>
        <v>33.8</v>
      </c>
      <c r="J4330" s="6" t="n">
        <f aca="false">HOUR(E4330)</f>
        <v>8</v>
      </c>
      <c r="K4330" s="6" t="n">
        <f aca="false">IF(COUNTIF($A$2:$A4330,A4330)=1,1,0)</f>
        <v>0</v>
      </c>
    </row>
    <row r="4331" customFormat="false" ht="15" hidden="false" customHeight="false" outlineLevel="0" collapsed="false">
      <c r="A4331" s="0" t="s">
        <v>907</v>
      </c>
      <c r="B4331" s="0" t="s">
        <v>99</v>
      </c>
      <c r="C4331" s="0" t="s">
        <v>100</v>
      </c>
      <c r="D4331" s="0" t="n">
        <v>14</v>
      </c>
      <c r="E4331" s="5" t="n">
        <v>45999.5276736111</v>
      </c>
      <c r="F4331" s="0" t="n">
        <v>2.08</v>
      </c>
      <c r="G4331" s="0" t="n">
        <v>17202</v>
      </c>
      <c r="H4331" s="6" t="s">
        <v>52</v>
      </c>
      <c r="I4331" s="6" t="n">
        <f aca="false">D4331*F4331</f>
        <v>29.12</v>
      </c>
      <c r="J4331" s="6" t="n">
        <f aca="false">HOUR(E4331)</f>
        <v>12</v>
      </c>
      <c r="K4331" s="6" t="n">
        <f aca="false">IF(COUNTIF($A$2:$A4331,A4331)=1,1,0)</f>
        <v>1</v>
      </c>
    </row>
    <row r="4332" customFormat="false" ht="15" hidden="false" customHeight="false" outlineLevel="0" collapsed="false">
      <c r="A4332" s="0" t="s">
        <v>907</v>
      </c>
      <c r="B4332" s="0" t="s">
        <v>91</v>
      </c>
      <c r="C4332" s="0" t="s">
        <v>92</v>
      </c>
      <c r="D4332" s="0" t="n">
        <v>2</v>
      </c>
      <c r="E4332" s="5" t="n">
        <v>45999.5276736111</v>
      </c>
      <c r="F4332" s="0" t="n">
        <v>7.65</v>
      </c>
      <c r="G4332" s="0" t="n">
        <v>17202</v>
      </c>
      <c r="H4332" s="6" t="s">
        <v>52</v>
      </c>
      <c r="I4332" s="6" t="n">
        <f aca="false">D4332*F4332</f>
        <v>15.3</v>
      </c>
      <c r="J4332" s="6" t="n">
        <f aca="false">HOUR(E4332)</f>
        <v>12</v>
      </c>
      <c r="K4332" s="6" t="n">
        <f aca="false">IF(COUNTIF($A$2:$A4332,A4332)=1,1,0)</f>
        <v>0</v>
      </c>
    </row>
    <row r="4333" customFormat="false" ht="15" hidden="false" customHeight="false" outlineLevel="0" collapsed="false">
      <c r="A4333" s="0" t="s">
        <v>907</v>
      </c>
      <c r="B4333" s="0" t="s">
        <v>102</v>
      </c>
      <c r="C4333" s="0" t="s">
        <v>103</v>
      </c>
      <c r="D4333" s="0" t="n">
        <v>30</v>
      </c>
      <c r="E4333" s="5" t="n">
        <v>45999.5276736111</v>
      </c>
      <c r="F4333" s="0" t="n">
        <v>8.5</v>
      </c>
      <c r="G4333" s="0" t="n">
        <v>17202</v>
      </c>
      <c r="H4333" s="6" t="s">
        <v>52</v>
      </c>
      <c r="I4333" s="6" t="n">
        <f aca="false">D4333*F4333</f>
        <v>255</v>
      </c>
      <c r="J4333" s="6" t="n">
        <f aca="false">HOUR(E4333)</f>
        <v>12</v>
      </c>
      <c r="K4333" s="6" t="n">
        <f aca="false">IF(COUNTIF($A$2:$A4333,A4333)=1,1,0)</f>
        <v>0</v>
      </c>
    </row>
    <row r="4334" customFormat="false" ht="15" hidden="false" customHeight="false" outlineLevel="0" collapsed="false">
      <c r="A4334" s="0" t="s">
        <v>907</v>
      </c>
      <c r="B4334" s="0" t="s">
        <v>69</v>
      </c>
      <c r="C4334" s="0" t="s">
        <v>70</v>
      </c>
      <c r="D4334" s="0" t="n">
        <v>36</v>
      </c>
      <c r="E4334" s="5" t="n">
        <v>45999.5276736111</v>
      </c>
      <c r="F4334" s="0" t="n">
        <v>2.08</v>
      </c>
      <c r="G4334" s="0" t="n">
        <v>17202</v>
      </c>
      <c r="H4334" s="6" t="s">
        <v>52</v>
      </c>
      <c r="I4334" s="6" t="n">
        <f aca="false">D4334*F4334</f>
        <v>74.88</v>
      </c>
      <c r="J4334" s="6" t="n">
        <f aca="false">HOUR(E4334)</f>
        <v>12</v>
      </c>
      <c r="K4334" s="6" t="n">
        <f aca="false">IF(COUNTIF($A$2:$A4334,A4334)=1,1,0)</f>
        <v>0</v>
      </c>
    </row>
    <row r="4335" customFormat="false" ht="15" hidden="false" customHeight="false" outlineLevel="0" collapsed="false">
      <c r="A4335" s="0" t="s">
        <v>907</v>
      </c>
      <c r="B4335" s="0" t="s">
        <v>40</v>
      </c>
      <c r="C4335" s="0" t="s">
        <v>41</v>
      </c>
      <c r="D4335" s="0" t="n">
        <v>20</v>
      </c>
      <c r="E4335" s="5" t="n">
        <v>45999.5276736111</v>
      </c>
      <c r="F4335" s="0" t="n">
        <v>1.06</v>
      </c>
      <c r="G4335" s="0" t="n">
        <v>17202</v>
      </c>
      <c r="H4335" s="6" t="s">
        <v>52</v>
      </c>
      <c r="I4335" s="6" t="n">
        <f aca="false">D4335*F4335</f>
        <v>21.2</v>
      </c>
      <c r="J4335" s="6" t="n">
        <f aca="false">HOUR(E4335)</f>
        <v>12</v>
      </c>
      <c r="K4335" s="6" t="n">
        <f aca="false">IF(COUNTIF($A$2:$A4335,A4335)=1,1,0)</f>
        <v>0</v>
      </c>
    </row>
    <row r="4336" customFormat="false" ht="15" hidden="false" customHeight="false" outlineLevel="0" collapsed="false">
      <c r="A4336" s="0" t="s">
        <v>907</v>
      </c>
      <c r="B4336" s="0" t="s">
        <v>57</v>
      </c>
      <c r="C4336" s="0" t="s">
        <v>58</v>
      </c>
      <c r="D4336" s="0" t="n">
        <v>20</v>
      </c>
      <c r="E4336" s="5" t="n">
        <v>45999.5276736111</v>
      </c>
      <c r="F4336" s="0" t="n">
        <v>2.08</v>
      </c>
      <c r="G4336" s="0" t="n">
        <v>17202</v>
      </c>
      <c r="H4336" s="6" t="s">
        <v>52</v>
      </c>
      <c r="I4336" s="6" t="n">
        <f aca="false">D4336*F4336</f>
        <v>41.6</v>
      </c>
      <c r="J4336" s="6" t="n">
        <f aca="false">HOUR(E4336)</f>
        <v>12</v>
      </c>
      <c r="K4336" s="6" t="n">
        <f aca="false">IF(COUNTIF($A$2:$A4336,A4336)=1,1,0)</f>
        <v>0</v>
      </c>
    </row>
    <row r="4337" customFormat="false" ht="15" hidden="false" customHeight="false" outlineLevel="0" collapsed="false">
      <c r="A4337" s="0" t="s">
        <v>907</v>
      </c>
      <c r="B4337" s="0" t="s">
        <v>81</v>
      </c>
      <c r="C4337" s="0" t="s">
        <v>82</v>
      </c>
      <c r="D4337" s="0" t="n">
        <v>11</v>
      </c>
      <c r="E4337" s="5" t="n">
        <v>45999.5276736111</v>
      </c>
      <c r="F4337" s="0" t="n">
        <v>1.65</v>
      </c>
      <c r="G4337" s="0" t="n">
        <v>17202</v>
      </c>
      <c r="H4337" s="6" t="s">
        <v>52</v>
      </c>
      <c r="I4337" s="6" t="n">
        <f aca="false">D4337*F4337</f>
        <v>18.15</v>
      </c>
      <c r="J4337" s="6" t="n">
        <f aca="false">HOUR(E4337)</f>
        <v>12</v>
      </c>
      <c r="K4337" s="6" t="n">
        <f aca="false">IF(COUNTIF($A$2:$A4337,A4337)=1,1,0)</f>
        <v>0</v>
      </c>
    </row>
    <row r="4338" customFormat="false" ht="15" hidden="false" customHeight="false" outlineLevel="0" collapsed="false">
      <c r="A4338" s="0" t="s">
        <v>907</v>
      </c>
      <c r="B4338" s="0" t="s">
        <v>61</v>
      </c>
      <c r="C4338" s="0" t="s">
        <v>62</v>
      </c>
      <c r="D4338" s="0" t="n">
        <v>2</v>
      </c>
      <c r="E4338" s="5" t="n">
        <v>45999.5276736111</v>
      </c>
      <c r="F4338" s="0" t="n">
        <v>1.65</v>
      </c>
      <c r="G4338" s="0" t="n">
        <v>17202</v>
      </c>
      <c r="H4338" s="6" t="s">
        <v>52</v>
      </c>
      <c r="I4338" s="6" t="n">
        <f aca="false">D4338*F4338</f>
        <v>3.3</v>
      </c>
      <c r="J4338" s="6" t="n">
        <f aca="false">HOUR(E4338)</f>
        <v>12</v>
      </c>
      <c r="K4338" s="6" t="n">
        <f aca="false">IF(COUNTIF($A$2:$A4338,A4338)=1,1,0)</f>
        <v>0</v>
      </c>
    </row>
    <row r="4339" customFormat="false" ht="15" hidden="false" customHeight="false" outlineLevel="0" collapsed="false">
      <c r="A4339" s="0" t="s">
        <v>907</v>
      </c>
      <c r="B4339" s="0" t="s">
        <v>140</v>
      </c>
      <c r="C4339" s="0" t="s">
        <v>141</v>
      </c>
      <c r="D4339" s="0" t="n">
        <v>3</v>
      </c>
      <c r="E4339" s="5" t="n">
        <v>45999.5276736111</v>
      </c>
      <c r="F4339" s="0" t="n">
        <v>2.08</v>
      </c>
      <c r="G4339" s="0" t="n">
        <v>17202</v>
      </c>
      <c r="H4339" s="6" t="s">
        <v>52</v>
      </c>
      <c r="I4339" s="6" t="n">
        <f aca="false">D4339*F4339</f>
        <v>6.24</v>
      </c>
      <c r="J4339" s="6" t="n">
        <f aca="false">HOUR(E4339)</f>
        <v>12</v>
      </c>
      <c r="K4339" s="6" t="n">
        <f aca="false">IF(COUNTIF($A$2:$A4339,A4339)=1,1,0)</f>
        <v>0</v>
      </c>
    </row>
    <row r="4340" customFormat="false" ht="15" hidden="false" customHeight="false" outlineLevel="0" collapsed="false">
      <c r="A4340" s="0" t="s">
        <v>907</v>
      </c>
      <c r="B4340" s="0" t="s">
        <v>134</v>
      </c>
      <c r="C4340" s="0" t="s">
        <v>135</v>
      </c>
      <c r="D4340" s="0" t="n">
        <v>2</v>
      </c>
      <c r="E4340" s="5" t="n">
        <v>45999.5276736111</v>
      </c>
      <c r="F4340" s="0" t="n">
        <v>5.95</v>
      </c>
      <c r="G4340" s="0" t="n">
        <v>17202</v>
      </c>
      <c r="H4340" s="6" t="s">
        <v>52</v>
      </c>
      <c r="I4340" s="6" t="n">
        <f aca="false">D4340*F4340</f>
        <v>11.9</v>
      </c>
      <c r="J4340" s="6" t="n">
        <f aca="false">HOUR(E4340)</f>
        <v>12</v>
      </c>
      <c r="K4340" s="6" t="n">
        <f aca="false">IF(COUNTIF($A$2:$A4340,A4340)=1,1,0)</f>
        <v>0</v>
      </c>
    </row>
    <row r="4341" customFormat="false" ht="15" hidden="false" customHeight="false" outlineLevel="0" collapsed="false">
      <c r="A4341" s="0" t="s">
        <v>908</v>
      </c>
      <c r="B4341" s="0" t="s">
        <v>145</v>
      </c>
      <c r="C4341" s="0" t="s">
        <v>146</v>
      </c>
      <c r="D4341" s="0" t="n">
        <v>12</v>
      </c>
      <c r="E4341" s="5" t="n">
        <v>45999.5312268519</v>
      </c>
      <c r="F4341" s="0" t="n">
        <v>1.85</v>
      </c>
      <c r="G4341" s="0" t="n">
        <v>17250</v>
      </c>
      <c r="H4341" s="6" t="s">
        <v>74</v>
      </c>
      <c r="I4341" s="6" t="n">
        <f aca="false">D4341*F4341</f>
        <v>22.2</v>
      </c>
      <c r="J4341" s="6" t="n">
        <f aca="false">HOUR(E4341)</f>
        <v>12</v>
      </c>
      <c r="K4341" s="6" t="n">
        <f aca="false">IF(COUNTIF($A$2:$A4341,A4341)=1,1,0)</f>
        <v>1</v>
      </c>
    </row>
    <row r="4342" customFormat="false" ht="15" hidden="false" customHeight="false" outlineLevel="0" collapsed="false">
      <c r="A4342" s="0" t="s">
        <v>908</v>
      </c>
      <c r="B4342" s="0" t="s">
        <v>137</v>
      </c>
      <c r="C4342" s="0" t="s">
        <v>138</v>
      </c>
      <c r="D4342" s="0" t="n">
        <v>16</v>
      </c>
      <c r="E4342" s="5" t="n">
        <v>45999.5312268519</v>
      </c>
      <c r="F4342" s="0" t="n">
        <v>2.1</v>
      </c>
      <c r="G4342" s="0" t="n">
        <v>17250</v>
      </c>
      <c r="H4342" s="6" t="s">
        <v>74</v>
      </c>
      <c r="I4342" s="6" t="n">
        <f aca="false">D4342*F4342</f>
        <v>33.6</v>
      </c>
      <c r="J4342" s="6" t="n">
        <f aca="false">HOUR(E4342)</f>
        <v>12</v>
      </c>
      <c r="K4342" s="6" t="n">
        <f aca="false">IF(COUNTIF($A$2:$A4342,A4342)=1,1,0)</f>
        <v>0</v>
      </c>
    </row>
    <row r="4343" customFormat="false" ht="15" hidden="false" customHeight="false" outlineLevel="0" collapsed="false">
      <c r="A4343" s="0" t="s">
        <v>908</v>
      </c>
      <c r="B4343" s="0" t="s">
        <v>140</v>
      </c>
      <c r="C4343" s="0" t="s">
        <v>141</v>
      </c>
      <c r="D4343" s="0" t="n">
        <v>13</v>
      </c>
      <c r="E4343" s="5" t="n">
        <v>45999.5312268519</v>
      </c>
      <c r="F4343" s="0" t="n">
        <v>2.08</v>
      </c>
      <c r="G4343" s="0" t="n">
        <v>17250</v>
      </c>
      <c r="H4343" s="6" t="s">
        <v>74</v>
      </c>
      <c r="I4343" s="6" t="n">
        <f aca="false">D4343*F4343</f>
        <v>27.04</v>
      </c>
      <c r="J4343" s="6" t="n">
        <f aca="false">HOUR(E4343)</f>
        <v>12</v>
      </c>
      <c r="K4343" s="6" t="n">
        <f aca="false">IF(COUNTIF($A$2:$A4343,A4343)=1,1,0)</f>
        <v>0</v>
      </c>
    </row>
    <row r="4344" customFormat="false" ht="15" hidden="false" customHeight="false" outlineLevel="0" collapsed="false">
      <c r="A4344" s="0" t="s">
        <v>908</v>
      </c>
      <c r="B4344" s="0" t="s">
        <v>134</v>
      </c>
      <c r="C4344" s="0" t="s">
        <v>135</v>
      </c>
      <c r="D4344" s="0" t="n">
        <v>17</v>
      </c>
      <c r="E4344" s="5" t="n">
        <v>45999.5312268519</v>
      </c>
      <c r="F4344" s="0" t="n">
        <v>5.95</v>
      </c>
      <c r="G4344" s="0" t="n">
        <v>17250</v>
      </c>
      <c r="H4344" s="6" t="s">
        <v>74</v>
      </c>
      <c r="I4344" s="6" t="n">
        <f aca="false">D4344*F4344</f>
        <v>101.15</v>
      </c>
      <c r="J4344" s="6" t="n">
        <f aca="false">HOUR(E4344)</f>
        <v>12</v>
      </c>
      <c r="K4344" s="6" t="n">
        <f aca="false">IF(COUNTIF($A$2:$A4344,A4344)=1,1,0)</f>
        <v>0</v>
      </c>
    </row>
    <row r="4345" customFormat="false" ht="15" hidden="false" customHeight="false" outlineLevel="0" collapsed="false">
      <c r="A4345" s="0" t="s">
        <v>908</v>
      </c>
      <c r="B4345" s="0" t="s">
        <v>116</v>
      </c>
      <c r="C4345" s="0" t="s">
        <v>117</v>
      </c>
      <c r="D4345" s="0" t="n">
        <v>14</v>
      </c>
      <c r="E4345" s="5" t="n">
        <v>45999.5312268519</v>
      </c>
      <c r="F4345" s="0" t="n">
        <v>1.95</v>
      </c>
      <c r="G4345" s="0" t="n">
        <v>17250</v>
      </c>
      <c r="H4345" s="6" t="s">
        <v>74</v>
      </c>
      <c r="I4345" s="6" t="n">
        <f aca="false">D4345*F4345</f>
        <v>27.3</v>
      </c>
      <c r="J4345" s="6" t="n">
        <f aca="false">HOUR(E4345)</f>
        <v>12</v>
      </c>
      <c r="K4345" s="6" t="n">
        <f aca="false">IF(COUNTIF($A$2:$A4345,A4345)=1,1,0)</f>
        <v>0</v>
      </c>
    </row>
    <row r="4346" customFormat="false" ht="15" hidden="false" customHeight="false" outlineLevel="0" collapsed="false">
      <c r="A4346" s="0" t="s">
        <v>909</v>
      </c>
      <c r="B4346" s="0" t="s">
        <v>121</v>
      </c>
      <c r="C4346" s="0" t="s">
        <v>122</v>
      </c>
      <c r="D4346" s="0" t="n">
        <v>23</v>
      </c>
      <c r="E4346" s="5" t="n">
        <v>45999.5580324074</v>
      </c>
      <c r="F4346" s="0" t="n">
        <v>2.1</v>
      </c>
      <c r="G4346" s="0" t="n">
        <v>17081</v>
      </c>
      <c r="H4346" s="6" t="s">
        <v>42</v>
      </c>
      <c r="I4346" s="6" t="n">
        <f aca="false">D4346*F4346</f>
        <v>48.3</v>
      </c>
      <c r="J4346" s="6" t="n">
        <f aca="false">HOUR(E4346)</f>
        <v>13</v>
      </c>
      <c r="K4346" s="6" t="n">
        <f aca="false">IF(COUNTIF($A$2:$A4346,A4346)=1,1,0)</f>
        <v>1</v>
      </c>
    </row>
    <row r="4347" customFormat="false" ht="15" hidden="false" customHeight="false" outlineLevel="0" collapsed="false">
      <c r="A4347" s="0" t="s">
        <v>909</v>
      </c>
      <c r="B4347" s="0" t="s">
        <v>116</v>
      </c>
      <c r="C4347" s="0" t="s">
        <v>117</v>
      </c>
      <c r="D4347" s="0" t="n">
        <v>20</v>
      </c>
      <c r="E4347" s="5" t="n">
        <v>45999.5580324074</v>
      </c>
      <c r="F4347" s="0" t="n">
        <v>1.95</v>
      </c>
      <c r="G4347" s="0" t="n">
        <v>17081</v>
      </c>
      <c r="H4347" s="6" t="s">
        <v>42</v>
      </c>
      <c r="I4347" s="6" t="n">
        <f aca="false">D4347*F4347</f>
        <v>39</v>
      </c>
      <c r="J4347" s="6" t="n">
        <f aca="false">HOUR(E4347)</f>
        <v>13</v>
      </c>
      <c r="K4347" s="6" t="n">
        <f aca="false">IF(COUNTIF($A$2:$A4347,A4347)=1,1,0)</f>
        <v>0</v>
      </c>
    </row>
    <row r="4348" customFormat="false" ht="15" hidden="false" customHeight="false" outlineLevel="0" collapsed="false">
      <c r="A4348" s="0" t="s">
        <v>910</v>
      </c>
      <c r="B4348" s="0" t="s">
        <v>107</v>
      </c>
      <c r="C4348" s="0" t="s">
        <v>108</v>
      </c>
      <c r="D4348" s="0" t="n">
        <v>13</v>
      </c>
      <c r="E4348" s="5" t="n">
        <v>45999.5648726852</v>
      </c>
      <c r="F4348" s="0" t="n">
        <v>3.75</v>
      </c>
      <c r="G4348" s="0" t="n">
        <v>17164</v>
      </c>
      <c r="H4348" s="6" t="s">
        <v>98</v>
      </c>
      <c r="I4348" s="6" t="n">
        <f aca="false">D4348*F4348</f>
        <v>48.75</v>
      </c>
      <c r="J4348" s="6" t="n">
        <f aca="false">HOUR(E4348)</f>
        <v>13</v>
      </c>
      <c r="K4348" s="6" t="n">
        <f aca="false">IF(COUNTIF($A$2:$A4348,A4348)=1,1,0)</f>
        <v>1</v>
      </c>
    </row>
    <row r="4349" customFormat="false" ht="15" hidden="false" customHeight="false" outlineLevel="0" collapsed="false">
      <c r="A4349" s="0" t="s">
        <v>910</v>
      </c>
      <c r="B4349" s="0" t="s">
        <v>61</v>
      </c>
      <c r="C4349" s="0" t="s">
        <v>62</v>
      </c>
      <c r="D4349" s="0" t="n">
        <v>1</v>
      </c>
      <c r="E4349" s="5" t="n">
        <v>45999.5648726852</v>
      </c>
      <c r="F4349" s="0" t="n">
        <v>1.65</v>
      </c>
      <c r="G4349" s="0" t="n">
        <v>17164</v>
      </c>
      <c r="H4349" s="6" t="s">
        <v>98</v>
      </c>
      <c r="I4349" s="6" t="n">
        <f aca="false">D4349*F4349</f>
        <v>1.65</v>
      </c>
      <c r="J4349" s="6" t="n">
        <f aca="false">HOUR(E4349)</f>
        <v>13</v>
      </c>
      <c r="K4349" s="6" t="n">
        <f aca="false">IF(COUNTIF($A$2:$A4349,A4349)=1,1,0)</f>
        <v>0</v>
      </c>
    </row>
    <row r="4350" customFormat="false" ht="15" hidden="false" customHeight="false" outlineLevel="0" collapsed="false">
      <c r="A4350" s="0" t="s">
        <v>910</v>
      </c>
      <c r="B4350" s="0" t="s">
        <v>134</v>
      </c>
      <c r="C4350" s="0" t="s">
        <v>135</v>
      </c>
      <c r="D4350" s="0" t="n">
        <v>14</v>
      </c>
      <c r="E4350" s="5" t="n">
        <v>45999.5648726852</v>
      </c>
      <c r="F4350" s="0" t="n">
        <v>5.95</v>
      </c>
      <c r="G4350" s="0" t="n">
        <v>17164</v>
      </c>
      <c r="H4350" s="6" t="s">
        <v>98</v>
      </c>
      <c r="I4350" s="6" t="n">
        <f aca="false">D4350*F4350</f>
        <v>83.3</v>
      </c>
      <c r="J4350" s="6" t="n">
        <f aca="false">HOUR(E4350)</f>
        <v>13</v>
      </c>
      <c r="K4350" s="6" t="n">
        <f aca="false">IF(COUNTIF($A$2:$A4350,A4350)=1,1,0)</f>
        <v>0</v>
      </c>
    </row>
    <row r="4351" customFormat="false" ht="15" hidden="false" customHeight="false" outlineLevel="0" collapsed="false">
      <c r="A4351" s="0" t="s">
        <v>911</v>
      </c>
      <c r="B4351" s="0" t="s">
        <v>114</v>
      </c>
      <c r="C4351" s="0" t="s">
        <v>115</v>
      </c>
      <c r="D4351" s="0" t="n">
        <v>12</v>
      </c>
      <c r="E4351" s="5" t="n">
        <v>45999.6389583333</v>
      </c>
      <c r="F4351" s="0" t="n">
        <v>2.08</v>
      </c>
      <c r="G4351" s="0" t="n">
        <v>17178</v>
      </c>
      <c r="H4351" s="6" t="s">
        <v>151</v>
      </c>
      <c r="I4351" s="6" t="n">
        <f aca="false">D4351*F4351</f>
        <v>24.96</v>
      </c>
      <c r="J4351" s="6" t="n">
        <f aca="false">HOUR(E4351)</f>
        <v>15</v>
      </c>
      <c r="K4351" s="6" t="n">
        <f aca="false">IF(COUNTIF($A$2:$A4351,A4351)=1,1,0)</f>
        <v>1</v>
      </c>
    </row>
    <row r="4352" customFormat="false" ht="15" hidden="false" customHeight="false" outlineLevel="0" collapsed="false">
      <c r="A4352" s="0" t="s">
        <v>911</v>
      </c>
      <c r="B4352" s="0" t="s">
        <v>131</v>
      </c>
      <c r="C4352" s="0" t="s">
        <v>132</v>
      </c>
      <c r="D4352" s="0" t="n">
        <v>5</v>
      </c>
      <c r="E4352" s="5" t="n">
        <v>45999.6389583333</v>
      </c>
      <c r="F4352" s="0" t="n">
        <v>3.39</v>
      </c>
      <c r="G4352" s="0" t="n">
        <v>17178</v>
      </c>
      <c r="H4352" s="6" t="s">
        <v>151</v>
      </c>
      <c r="I4352" s="6" t="n">
        <f aca="false">D4352*F4352</f>
        <v>16.95</v>
      </c>
      <c r="J4352" s="6" t="n">
        <f aca="false">HOUR(E4352)</f>
        <v>15</v>
      </c>
      <c r="K4352" s="6" t="n">
        <f aca="false">IF(COUNTIF($A$2:$A4352,A4352)=1,1,0)</f>
        <v>0</v>
      </c>
    </row>
    <row r="4353" customFormat="false" ht="15" hidden="false" customHeight="false" outlineLevel="0" collapsed="false">
      <c r="A4353" s="0" t="s">
        <v>911</v>
      </c>
      <c r="B4353" s="0" t="s">
        <v>109</v>
      </c>
      <c r="C4353" s="0" t="s">
        <v>110</v>
      </c>
      <c r="D4353" s="0" t="n">
        <v>9</v>
      </c>
      <c r="E4353" s="5" t="n">
        <v>45999.6389583333</v>
      </c>
      <c r="F4353" s="0" t="n">
        <v>0.85</v>
      </c>
      <c r="G4353" s="0" t="n">
        <v>17178</v>
      </c>
      <c r="H4353" s="6" t="s">
        <v>151</v>
      </c>
      <c r="I4353" s="6" t="n">
        <f aca="false">D4353*F4353</f>
        <v>7.65</v>
      </c>
      <c r="J4353" s="6" t="n">
        <f aca="false">HOUR(E4353)</f>
        <v>15</v>
      </c>
      <c r="K4353" s="6" t="n">
        <f aca="false">IF(COUNTIF($A$2:$A4353,A4353)=1,1,0)</f>
        <v>0</v>
      </c>
    </row>
    <row r="4354" customFormat="false" ht="15" hidden="false" customHeight="false" outlineLevel="0" collapsed="false">
      <c r="A4354" s="0" t="s">
        <v>911</v>
      </c>
      <c r="B4354" s="0" t="s">
        <v>127</v>
      </c>
      <c r="C4354" s="0" t="s">
        <v>128</v>
      </c>
      <c r="D4354" s="0" t="n">
        <v>24</v>
      </c>
      <c r="E4354" s="5" t="n">
        <v>45999.6389583333</v>
      </c>
      <c r="F4354" s="0" t="n">
        <v>1.45</v>
      </c>
      <c r="G4354" s="0" t="n">
        <v>17178</v>
      </c>
      <c r="H4354" s="6" t="s">
        <v>151</v>
      </c>
      <c r="I4354" s="6" t="n">
        <f aca="false">D4354*F4354</f>
        <v>34.8</v>
      </c>
      <c r="J4354" s="6" t="n">
        <f aca="false">HOUR(E4354)</f>
        <v>15</v>
      </c>
      <c r="K4354" s="6" t="n">
        <f aca="false">IF(COUNTIF($A$2:$A4354,A4354)=1,1,0)</f>
        <v>0</v>
      </c>
    </row>
    <row r="4355" customFormat="false" ht="15" hidden="false" customHeight="false" outlineLevel="0" collapsed="false">
      <c r="A4355" s="0" t="s">
        <v>911</v>
      </c>
      <c r="B4355" s="0" t="s">
        <v>125</v>
      </c>
      <c r="C4355" s="0" t="s">
        <v>126</v>
      </c>
      <c r="D4355" s="0" t="n">
        <v>16</v>
      </c>
      <c r="E4355" s="5" t="n">
        <v>45999.6389583333</v>
      </c>
      <c r="F4355" s="0" t="n">
        <v>1.25</v>
      </c>
      <c r="G4355" s="0" t="n">
        <v>17178</v>
      </c>
      <c r="H4355" s="6" t="s">
        <v>151</v>
      </c>
      <c r="I4355" s="6" t="n">
        <f aca="false">D4355*F4355</f>
        <v>20</v>
      </c>
      <c r="J4355" s="6" t="n">
        <f aca="false">HOUR(E4355)</f>
        <v>15</v>
      </c>
      <c r="K4355" s="6" t="n">
        <f aca="false">IF(COUNTIF($A$2:$A4355,A4355)=1,1,0)</f>
        <v>0</v>
      </c>
    </row>
    <row r="4356" customFormat="false" ht="15" hidden="false" customHeight="false" outlineLevel="0" collapsed="false">
      <c r="A4356" s="0" t="s">
        <v>911</v>
      </c>
      <c r="B4356" s="0" t="s">
        <v>65</v>
      </c>
      <c r="C4356" s="0" t="s">
        <v>66</v>
      </c>
      <c r="D4356" s="0" t="n">
        <v>2</v>
      </c>
      <c r="E4356" s="5" t="n">
        <v>45999.6389583333</v>
      </c>
      <c r="F4356" s="0" t="n">
        <v>1.65</v>
      </c>
      <c r="G4356" s="0" t="n">
        <v>17178</v>
      </c>
      <c r="H4356" s="6" t="s">
        <v>151</v>
      </c>
      <c r="I4356" s="6" t="n">
        <f aca="false">D4356*F4356</f>
        <v>3.3</v>
      </c>
      <c r="J4356" s="6" t="n">
        <f aca="false">HOUR(E4356)</f>
        <v>15</v>
      </c>
      <c r="K4356" s="6" t="n">
        <f aca="false">IF(COUNTIF($A$2:$A4356,A4356)=1,1,0)</f>
        <v>0</v>
      </c>
    </row>
    <row r="4357" customFormat="false" ht="15" hidden="false" customHeight="false" outlineLevel="0" collapsed="false">
      <c r="A4357" s="0" t="s">
        <v>911</v>
      </c>
      <c r="B4357" s="0" t="s">
        <v>50</v>
      </c>
      <c r="C4357" s="0" t="s">
        <v>51</v>
      </c>
      <c r="D4357" s="0" t="n">
        <v>15</v>
      </c>
      <c r="E4357" s="5" t="n">
        <v>45999.6389583333</v>
      </c>
      <c r="F4357" s="0" t="n">
        <v>5.95</v>
      </c>
      <c r="G4357" s="0" t="n">
        <v>17178</v>
      </c>
      <c r="H4357" s="6" t="s">
        <v>151</v>
      </c>
      <c r="I4357" s="6" t="n">
        <f aca="false">D4357*F4357</f>
        <v>89.25</v>
      </c>
      <c r="J4357" s="6" t="n">
        <f aca="false">HOUR(E4357)</f>
        <v>15</v>
      </c>
      <c r="K4357" s="6" t="n">
        <f aca="false">IF(COUNTIF($A$2:$A4357,A4357)=1,1,0)</f>
        <v>0</v>
      </c>
    </row>
    <row r="4358" customFormat="false" ht="15" hidden="false" customHeight="false" outlineLevel="0" collapsed="false">
      <c r="A4358" s="0" t="s">
        <v>911</v>
      </c>
      <c r="B4358" s="0" t="s">
        <v>134</v>
      </c>
      <c r="C4358" s="0" t="s">
        <v>135</v>
      </c>
      <c r="D4358" s="0" t="n">
        <v>24</v>
      </c>
      <c r="E4358" s="5" t="n">
        <v>45999.6389583333</v>
      </c>
      <c r="F4358" s="0" t="n">
        <v>5.95</v>
      </c>
      <c r="G4358" s="0" t="n">
        <v>17178</v>
      </c>
      <c r="H4358" s="6" t="s">
        <v>151</v>
      </c>
      <c r="I4358" s="6" t="n">
        <f aca="false">D4358*F4358</f>
        <v>142.8</v>
      </c>
      <c r="J4358" s="6" t="n">
        <f aca="false">HOUR(E4358)</f>
        <v>15</v>
      </c>
      <c r="K4358" s="6" t="n">
        <f aca="false">IF(COUNTIF($A$2:$A4358,A4358)=1,1,0)</f>
        <v>0</v>
      </c>
    </row>
    <row r="4359" customFormat="false" ht="15" hidden="false" customHeight="false" outlineLevel="0" collapsed="false">
      <c r="A4359" s="0" t="s">
        <v>911</v>
      </c>
      <c r="B4359" s="0" t="s">
        <v>59</v>
      </c>
      <c r="C4359" s="0" t="s">
        <v>60</v>
      </c>
      <c r="D4359" s="0" t="n">
        <v>6</v>
      </c>
      <c r="E4359" s="5" t="n">
        <v>45999.6389583333</v>
      </c>
      <c r="F4359" s="0" t="n">
        <v>0.42</v>
      </c>
      <c r="G4359" s="0" t="n">
        <v>17178</v>
      </c>
      <c r="H4359" s="6" t="s">
        <v>151</v>
      </c>
      <c r="I4359" s="6" t="n">
        <f aca="false">D4359*F4359</f>
        <v>2.52</v>
      </c>
      <c r="J4359" s="6" t="n">
        <f aca="false">HOUR(E4359)</f>
        <v>15</v>
      </c>
      <c r="K4359" s="6" t="n">
        <f aca="false">IF(COUNTIF($A$2:$A4359,A4359)=1,1,0)</f>
        <v>0</v>
      </c>
    </row>
    <row r="4360" customFormat="false" ht="15" hidden="false" customHeight="false" outlineLevel="0" collapsed="false">
      <c r="A4360" s="0" t="s">
        <v>912</v>
      </c>
      <c r="B4360" s="0" t="s">
        <v>77</v>
      </c>
      <c r="C4360" s="0" t="s">
        <v>78</v>
      </c>
      <c r="D4360" s="0" t="n">
        <v>21</v>
      </c>
      <c r="E4360" s="5" t="n">
        <v>45999.6871759259</v>
      </c>
      <c r="F4360" s="0" t="n">
        <v>1.65</v>
      </c>
      <c r="G4360" s="0" t="n">
        <v>17042</v>
      </c>
      <c r="H4360" s="6" t="s">
        <v>188</v>
      </c>
      <c r="I4360" s="6" t="n">
        <f aca="false">D4360*F4360</f>
        <v>34.65</v>
      </c>
      <c r="J4360" s="6" t="n">
        <f aca="false">HOUR(E4360)</f>
        <v>16</v>
      </c>
      <c r="K4360" s="6" t="n">
        <f aca="false">IF(COUNTIF($A$2:$A4360,A4360)=1,1,0)</f>
        <v>1</v>
      </c>
    </row>
    <row r="4361" customFormat="false" ht="15" hidden="false" customHeight="false" outlineLevel="0" collapsed="false">
      <c r="A4361" s="0" t="s">
        <v>912</v>
      </c>
      <c r="B4361" s="0" t="s">
        <v>107</v>
      </c>
      <c r="C4361" s="0" t="s">
        <v>108</v>
      </c>
      <c r="D4361" s="0" t="n">
        <v>18</v>
      </c>
      <c r="E4361" s="5" t="n">
        <v>45999.6871759259</v>
      </c>
      <c r="F4361" s="0" t="n">
        <v>3.75</v>
      </c>
      <c r="G4361" s="0" t="n">
        <v>17042</v>
      </c>
      <c r="H4361" s="6" t="s">
        <v>188</v>
      </c>
      <c r="I4361" s="6" t="n">
        <f aca="false">D4361*F4361</f>
        <v>67.5</v>
      </c>
      <c r="J4361" s="6" t="n">
        <f aca="false">HOUR(E4361)</f>
        <v>16</v>
      </c>
      <c r="K4361" s="6" t="n">
        <f aca="false">IF(COUNTIF($A$2:$A4361,A4361)=1,1,0)</f>
        <v>0</v>
      </c>
    </row>
    <row r="4362" customFormat="false" ht="15" hidden="false" customHeight="false" outlineLevel="0" collapsed="false">
      <c r="A4362" s="0" t="s">
        <v>912</v>
      </c>
      <c r="B4362" s="0" t="s">
        <v>69</v>
      </c>
      <c r="C4362" s="0" t="s">
        <v>70</v>
      </c>
      <c r="D4362" s="0" t="n">
        <v>39</v>
      </c>
      <c r="E4362" s="5" t="n">
        <v>45999.6871759259</v>
      </c>
      <c r="F4362" s="0" t="n">
        <v>2.08</v>
      </c>
      <c r="G4362" s="0" t="n">
        <v>17042</v>
      </c>
      <c r="H4362" s="6" t="s">
        <v>188</v>
      </c>
      <c r="I4362" s="6" t="n">
        <f aca="false">D4362*F4362</f>
        <v>81.12</v>
      </c>
      <c r="J4362" s="6" t="n">
        <f aca="false">HOUR(E4362)</f>
        <v>16</v>
      </c>
      <c r="K4362" s="6" t="n">
        <f aca="false">IF(COUNTIF($A$2:$A4362,A4362)=1,1,0)</f>
        <v>0</v>
      </c>
    </row>
    <row r="4363" customFormat="false" ht="15" hidden="false" customHeight="false" outlineLevel="0" collapsed="false">
      <c r="A4363" s="0" t="s">
        <v>912</v>
      </c>
      <c r="B4363" s="0" t="s">
        <v>47</v>
      </c>
      <c r="D4363" s="0" t="n">
        <v>11</v>
      </c>
      <c r="E4363" s="5" t="n">
        <v>45999.6871759259</v>
      </c>
      <c r="F4363" s="0" t="n">
        <v>12.75</v>
      </c>
      <c r="G4363" s="0" t="n">
        <v>17042</v>
      </c>
      <c r="H4363" s="6" t="s">
        <v>188</v>
      </c>
      <c r="I4363" s="6" t="n">
        <f aca="false">D4363*F4363</f>
        <v>140.25</v>
      </c>
      <c r="J4363" s="6" t="n">
        <f aca="false">HOUR(E4363)</f>
        <v>16</v>
      </c>
      <c r="K4363" s="6" t="n">
        <f aca="false">IF(COUNTIF($A$2:$A4363,A4363)=1,1,0)</f>
        <v>0</v>
      </c>
    </row>
    <row r="4364" customFormat="false" ht="15" hidden="false" customHeight="false" outlineLevel="0" collapsed="false">
      <c r="A4364" s="0" t="s">
        <v>912</v>
      </c>
      <c r="B4364" s="0" t="s">
        <v>137</v>
      </c>
      <c r="C4364" s="0" t="s">
        <v>138</v>
      </c>
      <c r="D4364" s="0" t="n">
        <v>6</v>
      </c>
      <c r="E4364" s="5" t="n">
        <v>45999.6871759259</v>
      </c>
      <c r="F4364" s="0" t="n">
        <v>2.1</v>
      </c>
      <c r="G4364" s="0" t="n">
        <v>17042</v>
      </c>
      <c r="H4364" s="6" t="s">
        <v>188</v>
      </c>
      <c r="I4364" s="6" t="n">
        <f aca="false">D4364*F4364</f>
        <v>12.6</v>
      </c>
      <c r="J4364" s="6" t="n">
        <f aca="false">HOUR(E4364)</f>
        <v>16</v>
      </c>
      <c r="K4364" s="6" t="n">
        <f aca="false">IF(COUNTIF($A$2:$A4364,A4364)=1,1,0)</f>
        <v>0</v>
      </c>
    </row>
    <row r="4365" customFormat="false" ht="15" hidden="false" customHeight="false" outlineLevel="0" collapsed="false">
      <c r="A4365" s="0" t="s">
        <v>912</v>
      </c>
      <c r="B4365" s="0" t="s">
        <v>91</v>
      </c>
      <c r="C4365" s="0" t="s">
        <v>92</v>
      </c>
      <c r="D4365" s="0" t="n">
        <v>24</v>
      </c>
      <c r="E4365" s="5" t="n">
        <v>45999.6871759259</v>
      </c>
      <c r="F4365" s="0" t="n">
        <v>7.65</v>
      </c>
      <c r="G4365" s="0" t="n">
        <v>17042</v>
      </c>
      <c r="H4365" s="6" t="s">
        <v>188</v>
      </c>
      <c r="I4365" s="6" t="n">
        <f aca="false">D4365*F4365</f>
        <v>183.6</v>
      </c>
      <c r="J4365" s="6" t="n">
        <f aca="false">HOUR(E4365)</f>
        <v>16</v>
      </c>
      <c r="K4365" s="6" t="n">
        <f aca="false">IF(COUNTIF($A$2:$A4365,A4365)=1,1,0)</f>
        <v>0</v>
      </c>
    </row>
    <row r="4366" customFormat="false" ht="15" hidden="false" customHeight="false" outlineLevel="0" collapsed="false">
      <c r="A4366" s="0" t="s">
        <v>913</v>
      </c>
      <c r="B4366" s="0" t="s">
        <v>121</v>
      </c>
      <c r="C4366" s="0" t="s">
        <v>122</v>
      </c>
      <c r="D4366" s="0" t="n">
        <v>17</v>
      </c>
      <c r="E4366" s="5" t="n">
        <v>45999.7277546296</v>
      </c>
      <c r="F4366" s="0" t="n">
        <v>2.1</v>
      </c>
      <c r="H4366" s="6" t="s">
        <v>74</v>
      </c>
      <c r="I4366" s="6" t="n">
        <f aca="false">D4366*F4366</f>
        <v>35.7</v>
      </c>
      <c r="J4366" s="6" t="n">
        <f aca="false">HOUR(E4366)</f>
        <v>17</v>
      </c>
      <c r="K4366" s="6" t="n">
        <f aca="false">IF(COUNTIF($A$2:$A4366,A4366)=1,1,0)</f>
        <v>1</v>
      </c>
    </row>
    <row r="4367" customFormat="false" ht="15" hidden="false" customHeight="false" outlineLevel="0" collapsed="false">
      <c r="A4367" s="0" t="s">
        <v>913</v>
      </c>
      <c r="B4367" s="0" t="s">
        <v>116</v>
      </c>
      <c r="C4367" s="0" t="s">
        <v>117</v>
      </c>
      <c r="D4367" s="0" t="n">
        <v>13</v>
      </c>
      <c r="E4367" s="5" t="n">
        <v>45999.7277546296</v>
      </c>
      <c r="F4367" s="0" t="n">
        <v>1.95</v>
      </c>
      <c r="H4367" s="6" t="s">
        <v>74</v>
      </c>
      <c r="I4367" s="6" t="n">
        <f aca="false">D4367*F4367</f>
        <v>25.35</v>
      </c>
      <c r="J4367" s="6" t="n">
        <f aca="false">HOUR(E4367)</f>
        <v>17</v>
      </c>
      <c r="K4367" s="6" t="n">
        <f aca="false">IF(COUNTIF($A$2:$A4367,A4367)=1,1,0)</f>
        <v>0</v>
      </c>
    </row>
    <row r="4368" customFormat="false" ht="15" hidden="false" customHeight="false" outlineLevel="0" collapsed="false">
      <c r="A4368" s="0" t="s">
        <v>913</v>
      </c>
      <c r="B4368" s="0" t="s">
        <v>95</v>
      </c>
      <c r="C4368" s="0" t="s">
        <v>96</v>
      </c>
      <c r="D4368" s="0" t="n">
        <v>40</v>
      </c>
      <c r="E4368" s="5" t="n">
        <v>45999.7277546296</v>
      </c>
      <c r="F4368" s="0" t="n">
        <v>2.55</v>
      </c>
      <c r="H4368" s="6" t="s">
        <v>74</v>
      </c>
      <c r="I4368" s="6" t="n">
        <f aca="false">D4368*F4368</f>
        <v>102</v>
      </c>
      <c r="J4368" s="6" t="n">
        <f aca="false">HOUR(E4368)</f>
        <v>17</v>
      </c>
      <c r="K4368" s="6" t="n">
        <f aca="false">IF(COUNTIF($A$2:$A4368,A4368)=1,1,0)</f>
        <v>0</v>
      </c>
    </row>
    <row r="4369" customFormat="false" ht="15" hidden="false" customHeight="false" outlineLevel="0" collapsed="false">
      <c r="A4369" s="0" t="s">
        <v>913</v>
      </c>
      <c r="B4369" s="0" t="s">
        <v>55</v>
      </c>
      <c r="C4369" s="0" t="s">
        <v>56</v>
      </c>
      <c r="D4369" s="0" t="n">
        <v>9</v>
      </c>
      <c r="E4369" s="5" t="n">
        <v>45999.7277546296</v>
      </c>
      <c r="F4369" s="0" t="n">
        <v>1.65</v>
      </c>
      <c r="H4369" s="6" t="s">
        <v>74</v>
      </c>
      <c r="I4369" s="6" t="n">
        <f aca="false">D4369*F4369</f>
        <v>14.85</v>
      </c>
      <c r="J4369" s="6" t="n">
        <f aca="false">HOUR(E4369)</f>
        <v>17</v>
      </c>
      <c r="K4369" s="6" t="n">
        <f aca="false">IF(COUNTIF($A$2:$A4369,A4369)=1,1,0)</f>
        <v>0</v>
      </c>
    </row>
    <row r="4370" customFormat="false" ht="15" hidden="false" customHeight="false" outlineLevel="0" collapsed="false">
      <c r="A4370" s="0" t="s">
        <v>913</v>
      </c>
      <c r="B4370" s="0" t="s">
        <v>61</v>
      </c>
      <c r="C4370" s="0" t="s">
        <v>62</v>
      </c>
      <c r="D4370" s="0" t="n">
        <v>21</v>
      </c>
      <c r="E4370" s="5" t="n">
        <v>45999.7277546296</v>
      </c>
      <c r="F4370" s="0" t="n">
        <v>1.65</v>
      </c>
      <c r="H4370" s="6" t="s">
        <v>74</v>
      </c>
      <c r="I4370" s="6" t="n">
        <f aca="false">D4370*F4370</f>
        <v>34.65</v>
      </c>
      <c r="J4370" s="6" t="n">
        <f aca="false">HOUR(E4370)</f>
        <v>17</v>
      </c>
      <c r="K4370" s="6" t="n">
        <f aca="false">IF(COUNTIF($A$2:$A4370,A4370)=1,1,0)</f>
        <v>0</v>
      </c>
    </row>
    <row r="4371" customFormat="false" ht="15" hidden="false" customHeight="false" outlineLevel="0" collapsed="false">
      <c r="A4371" s="0" t="s">
        <v>913</v>
      </c>
      <c r="B4371" s="0" t="s">
        <v>65</v>
      </c>
      <c r="C4371" s="0" t="s">
        <v>66</v>
      </c>
      <c r="D4371" s="0" t="n">
        <v>5</v>
      </c>
      <c r="E4371" s="5" t="n">
        <v>45999.7277546296</v>
      </c>
      <c r="F4371" s="0" t="n">
        <v>1.65</v>
      </c>
      <c r="H4371" s="6" t="s">
        <v>74</v>
      </c>
      <c r="I4371" s="6" t="n">
        <f aca="false">D4371*F4371</f>
        <v>8.25</v>
      </c>
      <c r="J4371" s="6" t="n">
        <f aca="false">HOUR(E4371)</f>
        <v>17</v>
      </c>
      <c r="K4371" s="6" t="n">
        <f aca="false">IF(COUNTIF($A$2:$A4371,A4371)=1,1,0)</f>
        <v>0</v>
      </c>
    </row>
    <row r="4372" customFormat="false" ht="15" hidden="false" customHeight="false" outlineLevel="0" collapsed="false">
      <c r="A4372" s="0" t="s">
        <v>913</v>
      </c>
      <c r="B4372" s="0" t="s">
        <v>83</v>
      </c>
      <c r="C4372" s="0" t="s">
        <v>84</v>
      </c>
      <c r="D4372" s="0" t="n">
        <v>23</v>
      </c>
      <c r="E4372" s="5" t="n">
        <v>45999.7277546296</v>
      </c>
      <c r="F4372" s="0" t="n">
        <v>2.95</v>
      </c>
      <c r="H4372" s="6" t="s">
        <v>74</v>
      </c>
      <c r="I4372" s="6" t="n">
        <f aca="false">D4372*F4372</f>
        <v>67.85</v>
      </c>
      <c r="J4372" s="6" t="n">
        <f aca="false">HOUR(E4372)</f>
        <v>17</v>
      </c>
      <c r="K4372" s="6" t="n">
        <f aca="false">IF(COUNTIF($A$2:$A4372,A4372)=1,1,0)</f>
        <v>0</v>
      </c>
    </row>
    <row r="4373" customFormat="false" ht="15" hidden="false" customHeight="false" outlineLevel="0" collapsed="false">
      <c r="A4373" s="0" t="s">
        <v>913</v>
      </c>
      <c r="B4373" s="0" t="s">
        <v>131</v>
      </c>
      <c r="C4373" s="0" t="s">
        <v>132</v>
      </c>
      <c r="D4373" s="0" t="n">
        <v>10</v>
      </c>
      <c r="E4373" s="5" t="n">
        <v>45999.7277546296</v>
      </c>
      <c r="F4373" s="0" t="n">
        <v>3.39</v>
      </c>
      <c r="H4373" s="6" t="s">
        <v>74</v>
      </c>
      <c r="I4373" s="6" t="n">
        <f aca="false">D4373*F4373</f>
        <v>33.9</v>
      </c>
      <c r="J4373" s="6" t="n">
        <f aca="false">HOUR(E4373)</f>
        <v>17</v>
      </c>
      <c r="K4373" s="6" t="n">
        <f aca="false">IF(COUNTIF($A$2:$A4373,A4373)=1,1,0)</f>
        <v>0</v>
      </c>
    </row>
    <row r="4374" customFormat="false" ht="15" hidden="false" customHeight="false" outlineLevel="0" collapsed="false">
      <c r="A4374" s="0" t="s">
        <v>914</v>
      </c>
      <c r="B4374" s="0" t="s">
        <v>75</v>
      </c>
      <c r="C4374" s="0" t="s">
        <v>76</v>
      </c>
      <c r="D4374" s="0" t="n">
        <v>1</v>
      </c>
      <c r="E4374" s="5" t="n">
        <v>45999.7668981482</v>
      </c>
      <c r="F4374" s="0" t="n">
        <v>3.39</v>
      </c>
      <c r="G4374" s="0" t="n">
        <v>17018</v>
      </c>
      <c r="H4374" s="6" t="s">
        <v>208</v>
      </c>
      <c r="I4374" s="6" t="n">
        <f aca="false">D4374*F4374</f>
        <v>3.39</v>
      </c>
      <c r="J4374" s="6" t="n">
        <f aca="false">HOUR(E4374)</f>
        <v>18</v>
      </c>
      <c r="K4374" s="6" t="n">
        <f aca="false">IF(COUNTIF($A$2:$A4374,A4374)=1,1,0)</f>
        <v>1</v>
      </c>
    </row>
    <row r="4375" customFormat="false" ht="15" hidden="false" customHeight="false" outlineLevel="0" collapsed="false">
      <c r="A4375" s="0" t="s">
        <v>914</v>
      </c>
      <c r="B4375" s="0" t="s">
        <v>104</v>
      </c>
      <c r="C4375" s="0" t="s">
        <v>105</v>
      </c>
      <c r="D4375" s="0" t="n">
        <v>2</v>
      </c>
      <c r="E4375" s="5" t="n">
        <v>45999.7668981482</v>
      </c>
      <c r="F4375" s="0" t="n">
        <v>1.65</v>
      </c>
      <c r="G4375" s="0" t="n">
        <v>17018</v>
      </c>
      <c r="H4375" s="6" t="s">
        <v>208</v>
      </c>
      <c r="I4375" s="6" t="n">
        <f aca="false">D4375*F4375</f>
        <v>3.3</v>
      </c>
      <c r="J4375" s="6" t="n">
        <f aca="false">HOUR(E4375)</f>
        <v>18</v>
      </c>
      <c r="K4375" s="6" t="n">
        <f aca="false">IF(COUNTIF($A$2:$A4375,A4375)=1,1,0)</f>
        <v>0</v>
      </c>
    </row>
    <row r="4376" customFormat="false" ht="15" hidden="false" customHeight="false" outlineLevel="0" collapsed="false">
      <c r="A4376" s="0" t="s">
        <v>914</v>
      </c>
      <c r="B4376" s="0" t="s">
        <v>59</v>
      </c>
      <c r="C4376" s="0" t="s">
        <v>60</v>
      </c>
      <c r="D4376" s="0" t="n">
        <v>8</v>
      </c>
      <c r="E4376" s="5" t="n">
        <v>45999.7668981482</v>
      </c>
      <c r="F4376" s="0" t="n">
        <v>0.42</v>
      </c>
      <c r="G4376" s="0" t="n">
        <v>17018</v>
      </c>
      <c r="H4376" s="6" t="s">
        <v>208</v>
      </c>
      <c r="I4376" s="6" t="n">
        <f aca="false">D4376*F4376</f>
        <v>3.36</v>
      </c>
      <c r="J4376" s="6" t="n">
        <f aca="false">HOUR(E4376)</f>
        <v>18</v>
      </c>
      <c r="K4376" s="6" t="n">
        <f aca="false">IF(COUNTIF($A$2:$A4376,A4376)=1,1,0)</f>
        <v>0</v>
      </c>
    </row>
    <row r="4377" customFormat="false" ht="15" hidden="false" customHeight="false" outlineLevel="0" collapsed="false">
      <c r="A4377" s="0" t="s">
        <v>914</v>
      </c>
      <c r="B4377" s="0" t="s">
        <v>91</v>
      </c>
      <c r="C4377" s="0" t="s">
        <v>92</v>
      </c>
      <c r="D4377" s="0" t="n">
        <v>19</v>
      </c>
      <c r="E4377" s="5" t="n">
        <v>45999.7668981482</v>
      </c>
      <c r="F4377" s="0" t="n">
        <v>7.65</v>
      </c>
      <c r="G4377" s="0" t="n">
        <v>17018</v>
      </c>
      <c r="H4377" s="6" t="s">
        <v>208</v>
      </c>
      <c r="I4377" s="6" t="n">
        <f aca="false">D4377*F4377</f>
        <v>145.35</v>
      </c>
      <c r="J4377" s="6" t="n">
        <f aca="false">HOUR(E4377)</f>
        <v>18</v>
      </c>
      <c r="K4377" s="6" t="n">
        <f aca="false">IF(COUNTIF($A$2:$A4377,A4377)=1,1,0)</f>
        <v>0</v>
      </c>
    </row>
    <row r="4378" customFormat="false" ht="15" hidden="false" customHeight="false" outlineLevel="0" collapsed="false">
      <c r="A4378" s="0" t="s">
        <v>914</v>
      </c>
      <c r="B4378" s="0" t="s">
        <v>127</v>
      </c>
      <c r="C4378" s="0" t="s">
        <v>128</v>
      </c>
      <c r="D4378" s="0" t="n">
        <v>6</v>
      </c>
      <c r="E4378" s="5" t="n">
        <v>45999.7668981482</v>
      </c>
      <c r="F4378" s="0" t="n">
        <v>1.45</v>
      </c>
      <c r="G4378" s="0" t="n">
        <v>17018</v>
      </c>
      <c r="H4378" s="6" t="s">
        <v>208</v>
      </c>
      <c r="I4378" s="6" t="n">
        <f aca="false">D4378*F4378</f>
        <v>8.7</v>
      </c>
      <c r="J4378" s="6" t="n">
        <f aca="false">HOUR(E4378)</f>
        <v>18</v>
      </c>
      <c r="K4378" s="6" t="n">
        <f aca="false">IF(COUNTIF($A$2:$A4378,A4378)=1,1,0)</f>
        <v>0</v>
      </c>
    </row>
    <row r="4379" customFormat="false" ht="15" hidden="false" customHeight="false" outlineLevel="0" collapsed="false">
      <c r="A4379" s="0" t="s">
        <v>914</v>
      </c>
      <c r="B4379" s="0" t="s">
        <v>86</v>
      </c>
      <c r="C4379" s="0" t="s">
        <v>87</v>
      </c>
      <c r="D4379" s="0" t="n">
        <v>3</v>
      </c>
      <c r="E4379" s="5" t="n">
        <v>45999.7668981482</v>
      </c>
      <c r="F4379" s="0" t="n">
        <v>4.25</v>
      </c>
      <c r="G4379" s="0" t="n">
        <v>17018</v>
      </c>
      <c r="H4379" s="6" t="s">
        <v>208</v>
      </c>
      <c r="I4379" s="6" t="n">
        <f aca="false">D4379*F4379</f>
        <v>12.75</v>
      </c>
      <c r="J4379" s="6" t="n">
        <f aca="false">HOUR(E4379)</f>
        <v>18</v>
      </c>
      <c r="K4379" s="6" t="n">
        <f aca="false">IF(COUNTIF($A$2:$A4379,A4379)=1,1,0)</f>
        <v>0</v>
      </c>
    </row>
    <row r="4380" customFormat="false" ht="15" hidden="false" customHeight="false" outlineLevel="0" collapsed="false">
      <c r="A4380" s="0" t="s">
        <v>914</v>
      </c>
      <c r="B4380" s="0" t="s">
        <v>53</v>
      </c>
      <c r="C4380" s="0" t="s">
        <v>54</v>
      </c>
      <c r="D4380" s="0" t="n">
        <v>13</v>
      </c>
      <c r="E4380" s="5" t="n">
        <v>45999.7668981482</v>
      </c>
      <c r="F4380" s="0" t="n">
        <v>2.95</v>
      </c>
      <c r="G4380" s="0" t="n">
        <v>17018</v>
      </c>
      <c r="H4380" s="6" t="s">
        <v>208</v>
      </c>
      <c r="I4380" s="6" t="n">
        <f aca="false">D4380*F4380</f>
        <v>38.35</v>
      </c>
      <c r="J4380" s="6" t="n">
        <f aca="false">HOUR(E4380)</f>
        <v>18</v>
      </c>
      <c r="K4380" s="6" t="n">
        <f aca="false">IF(COUNTIF($A$2:$A4380,A4380)=1,1,0)</f>
        <v>0</v>
      </c>
    </row>
    <row r="4381" customFormat="false" ht="15" hidden="false" customHeight="false" outlineLevel="0" collapsed="false">
      <c r="A4381" s="0" t="s">
        <v>914</v>
      </c>
      <c r="B4381" s="0" t="s">
        <v>61</v>
      </c>
      <c r="C4381" s="0" t="s">
        <v>62</v>
      </c>
      <c r="D4381" s="0" t="n">
        <v>12</v>
      </c>
      <c r="E4381" s="5" t="n">
        <v>45999.7668981482</v>
      </c>
      <c r="F4381" s="0" t="n">
        <v>1.65</v>
      </c>
      <c r="G4381" s="0" t="n">
        <v>17018</v>
      </c>
      <c r="H4381" s="6" t="s">
        <v>208</v>
      </c>
      <c r="I4381" s="6" t="n">
        <f aca="false">D4381*F4381</f>
        <v>19.8</v>
      </c>
      <c r="J4381" s="6" t="n">
        <f aca="false">HOUR(E4381)</f>
        <v>18</v>
      </c>
      <c r="K4381" s="6" t="n">
        <f aca="false">IF(COUNTIF($A$2:$A4381,A4381)=1,1,0)</f>
        <v>0</v>
      </c>
    </row>
    <row r="4382" customFormat="false" ht="15" hidden="false" customHeight="false" outlineLevel="0" collapsed="false">
      <c r="A4382" s="0" t="s">
        <v>914</v>
      </c>
      <c r="B4382" s="0" t="s">
        <v>81</v>
      </c>
      <c r="C4382" s="0" t="s">
        <v>82</v>
      </c>
      <c r="D4382" s="0" t="n">
        <v>19</v>
      </c>
      <c r="E4382" s="5" t="n">
        <v>45999.7668981482</v>
      </c>
      <c r="F4382" s="0" t="n">
        <v>1.65</v>
      </c>
      <c r="G4382" s="0" t="n">
        <v>17018</v>
      </c>
      <c r="H4382" s="6" t="s">
        <v>208</v>
      </c>
      <c r="I4382" s="6" t="n">
        <f aca="false">D4382*F4382</f>
        <v>31.35</v>
      </c>
      <c r="J4382" s="6" t="n">
        <f aca="false">HOUR(E4382)</f>
        <v>18</v>
      </c>
      <c r="K4382" s="6" t="n">
        <f aca="false">IF(COUNTIF($A$2:$A4382,A4382)=1,1,0)</f>
        <v>0</v>
      </c>
    </row>
    <row r="4383" customFormat="false" ht="15" hidden="false" customHeight="false" outlineLevel="0" collapsed="false">
      <c r="A4383" s="0" t="s">
        <v>914</v>
      </c>
      <c r="B4383" s="0" t="s">
        <v>134</v>
      </c>
      <c r="C4383" s="0" t="s">
        <v>135</v>
      </c>
      <c r="D4383" s="0" t="n">
        <v>8</v>
      </c>
      <c r="E4383" s="5" t="n">
        <v>45999.7668981482</v>
      </c>
      <c r="F4383" s="0" t="n">
        <v>5.95</v>
      </c>
      <c r="G4383" s="0" t="n">
        <v>17018</v>
      </c>
      <c r="H4383" s="6" t="s">
        <v>208</v>
      </c>
      <c r="I4383" s="6" t="n">
        <f aca="false">D4383*F4383</f>
        <v>47.6</v>
      </c>
      <c r="J4383" s="6" t="n">
        <f aca="false">HOUR(E4383)</f>
        <v>18</v>
      </c>
      <c r="K4383" s="6" t="n">
        <f aca="false">IF(COUNTIF($A$2:$A4383,A4383)=1,1,0)</f>
        <v>0</v>
      </c>
    </row>
    <row r="4384" customFormat="false" ht="15" hidden="false" customHeight="false" outlineLevel="0" collapsed="false">
      <c r="A4384" s="0" t="s">
        <v>915</v>
      </c>
      <c r="B4384" s="0" t="s">
        <v>102</v>
      </c>
      <c r="C4384" s="0" t="s">
        <v>103</v>
      </c>
      <c r="D4384" s="0" t="n">
        <v>9</v>
      </c>
      <c r="E4384" s="5" t="n">
        <v>45999.7720486111</v>
      </c>
      <c r="F4384" s="0" t="n">
        <v>8.5</v>
      </c>
      <c r="G4384" s="0" t="n">
        <v>17188</v>
      </c>
      <c r="H4384" s="6" t="s">
        <v>113</v>
      </c>
      <c r="I4384" s="6" t="n">
        <f aca="false">D4384*F4384</f>
        <v>76.5</v>
      </c>
      <c r="J4384" s="6" t="n">
        <f aca="false">HOUR(E4384)</f>
        <v>18</v>
      </c>
      <c r="K4384" s="6" t="n">
        <f aca="false">IF(COUNTIF($A$2:$A4384,A4384)=1,1,0)</f>
        <v>1</v>
      </c>
    </row>
    <row r="4385" customFormat="false" ht="15" hidden="false" customHeight="false" outlineLevel="0" collapsed="false">
      <c r="A4385" s="0" t="s">
        <v>915</v>
      </c>
      <c r="B4385" s="0" t="s">
        <v>57</v>
      </c>
      <c r="C4385" s="0" t="s">
        <v>58</v>
      </c>
      <c r="D4385" s="0" t="n">
        <v>6</v>
      </c>
      <c r="E4385" s="5" t="n">
        <v>45999.7720486111</v>
      </c>
      <c r="F4385" s="0" t="n">
        <v>2.08</v>
      </c>
      <c r="G4385" s="0" t="n">
        <v>17188</v>
      </c>
      <c r="H4385" s="6" t="s">
        <v>113</v>
      </c>
      <c r="I4385" s="6" t="n">
        <f aca="false">D4385*F4385</f>
        <v>12.48</v>
      </c>
      <c r="J4385" s="6" t="n">
        <f aca="false">HOUR(E4385)</f>
        <v>18</v>
      </c>
      <c r="K4385" s="6" t="n">
        <f aca="false">IF(COUNTIF($A$2:$A4385,A4385)=1,1,0)</f>
        <v>0</v>
      </c>
    </row>
    <row r="4386" customFormat="false" ht="15" hidden="false" customHeight="false" outlineLevel="0" collapsed="false">
      <c r="A4386" s="0" t="s">
        <v>915</v>
      </c>
      <c r="B4386" s="0" t="s">
        <v>79</v>
      </c>
      <c r="C4386" s="0" t="s">
        <v>80</v>
      </c>
      <c r="D4386" s="0" t="n">
        <v>24</v>
      </c>
      <c r="E4386" s="5" t="n">
        <v>45999.7720486111</v>
      </c>
      <c r="F4386" s="0" t="n">
        <v>3.39</v>
      </c>
      <c r="G4386" s="0" t="n">
        <v>17188</v>
      </c>
      <c r="H4386" s="6" t="s">
        <v>113</v>
      </c>
      <c r="I4386" s="6" t="n">
        <f aca="false">D4386*F4386</f>
        <v>81.36</v>
      </c>
      <c r="J4386" s="6" t="n">
        <f aca="false">HOUR(E4386)</f>
        <v>18</v>
      </c>
      <c r="K4386" s="6" t="n">
        <f aca="false">IF(COUNTIF($A$2:$A4386,A4386)=1,1,0)</f>
        <v>0</v>
      </c>
    </row>
    <row r="4387" customFormat="false" ht="15" hidden="false" customHeight="false" outlineLevel="0" collapsed="false">
      <c r="A4387" s="0" t="s">
        <v>915</v>
      </c>
      <c r="B4387" s="0" t="s">
        <v>63</v>
      </c>
      <c r="C4387" s="0" t="s">
        <v>64</v>
      </c>
      <c r="D4387" s="0" t="n">
        <v>21</v>
      </c>
      <c r="E4387" s="5" t="n">
        <v>45999.7720486111</v>
      </c>
      <c r="F4387" s="0" t="n">
        <v>1.85</v>
      </c>
      <c r="G4387" s="0" t="n">
        <v>17188</v>
      </c>
      <c r="H4387" s="6" t="s">
        <v>113</v>
      </c>
      <c r="I4387" s="6" t="n">
        <f aca="false">D4387*F4387</f>
        <v>38.85</v>
      </c>
      <c r="J4387" s="6" t="n">
        <f aca="false">HOUR(E4387)</f>
        <v>18</v>
      </c>
      <c r="K4387" s="6" t="n">
        <f aca="false">IF(COUNTIF($A$2:$A4387,A4387)=1,1,0)</f>
        <v>0</v>
      </c>
    </row>
    <row r="4388" customFormat="false" ht="15" hidden="false" customHeight="false" outlineLevel="0" collapsed="false">
      <c r="A4388" s="0" t="s">
        <v>915</v>
      </c>
      <c r="B4388" s="0" t="s">
        <v>83</v>
      </c>
      <c r="C4388" s="0" t="s">
        <v>84</v>
      </c>
      <c r="D4388" s="0" t="n">
        <v>13</v>
      </c>
      <c r="E4388" s="5" t="n">
        <v>45999.7720486111</v>
      </c>
      <c r="F4388" s="0" t="n">
        <v>2.95</v>
      </c>
      <c r="G4388" s="0" t="n">
        <v>17188</v>
      </c>
      <c r="H4388" s="6" t="s">
        <v>113</v>
      </c>
      <c r="I4388" s="6" t="n">
        <f aca="false">D4388*F4388</f>
        <v>38.35</v>
      </c>
      <c r="J4388" s="6" t="n">
        <f aca="false">HOUR(E4388)</f>
        <v>18</v>
      </c>
      <c r="K4388" s="6" t="n">
        <f aca="false">IF(COUNTIF($A$2:$A4388,A4388)=1,1,0)</f>
        <v>0</v>
      </c>
    </row>
    <row r="4389" customFormat="false" ht="15" hidden="false" customHeight="false" outlineLevel="0" collapsed="false">
      <c r="A4389" s="0" t="s">
        <v>915</v>
      </c>
      <c r="B4389" s="0" t="s">
        <v>43</v>
      </c>
      <c r="C4389" s="0" t="s">
        <v>44</v>
      </c>
      <c r="D4389" s="0" t="n">
        <v>19</v>
      </c>
      <c r="E4389" s="5" t="n">
        <v>45999.7720486111</v>
      </c>
      <c r="F4389" s="0" t="n">
        <v>4.25</v>
      </c>
      <c r="G4389" s="0" t="n">
        <v>17188</v>
      </c>
      <c r="H4389" s="6" t="s">
        <v>113</v>
      </c>
      <c r="I4389" s="6" t="n">
        <f aca="false">D4389*F4389</f>
        <v>80.75</v>
      </c>
      <c r="J4389" s="6" t="n">
        <f aca="false">HOUR(E4389)</f>
        <v>18</v>
      </c>
      <c r="K4389" s="6" t="n">
        <f aca="false">IF(COUNTIF($A$2:$A4389,A4389)=1,1,0)</f>
        <v>0</v>
      </c>
    </row>
    <row r="4390" customFormat="false" ht="15" hidden="false" customHeight="false" outlineLevel="0" collapsed="false">
      <c r="A4390" s="0" t="s">
        <v>916</v>
      </c>
      <c r="B4390" s="0" t="s">
        <v>79</v>
      </c>
      <c r="C4390" s="0" t="s">
        <v>80</v>
      </c>
      <c r="D4390" s="0" t="n">
        <v>14</v>
      </c>
      <c r="E4390" s="5" t="n">
        <v>45999.8986111111</v>
      </c>
      <c r="F4390" s="0" t="n">
        <v>3.39</v>
      </c>
      <c r="G4390" s="0" t="n">
        <v>17109</v>
      </c>
      <c r="H4390" s="6" t="s">
        <v>74</v>
      </c>
      <c r="I4390" s="6" t="n">
        <f aca="false">D4390*F4390</f>
        <v>47.46</v>
      </c>
      <c r="J4390" s="6" t="n">
        <f aca="false">HOUR(E4390)</f>
        <v>21</v>
      </c>
      <c r="K4390" s="6" t="n">
        <f aca="false">IF(COUNTIF($A$2:$A4390,A4390)=1,1,0)</f>
        <v>1</v>
      </c>
    </row>
    <row r="4391" customFormat="false" ht="15" hidden="false" customHeight="false" outlineLevel="0" collapsed="false">
      <c r="A4391" s="0" t="s">
        <v>916</v>
      </c>
      <c r="B4391" s="0" t="s">
        <v>127</v>
      </c>
      <c r="C4391" s="0" t="s">
        <v>128</v>
      </c>
      <c r="D4391" s="0" t="n">
        <v>19</v>
      </c>
      <c r="E4391" s="5" t="n">
        <v>45999.8986111111</v>
      </c>
      <c r="F4391" s="0" t="n">
        <v>1.45</v>
      </c>
      <c r="G4391" s="0" t="n">
        <v>17109</v>
      </c>
      <c r="H4391" s="6" t="s">
        <v>74</v>
      </c>
      <c r="I4391" s="6" t="n">
        <f aca="false">D4391*F4391</f>
        <v>27.55</v>
      </c>
      <c r="J4391" s="6" t="n">
        <f aca="false">HOUR(E4391)</f>
        <v>21</v>
      </c>
      <c r="K4391" s="6" t="n">
        <f aca="false">IF(COUNTIF($A$2:$A4391,A4391)=1,1,0)</f>
        <v>0</v>
      </c>
    </row>
    <row r="4392" customFormat="false" ht="15" hidden="false" customHeight="false" outlineLevel="0" collapsed="false">
      <c r="A4392" s="0" t="s">
        <v>916</v>
      </c>
      <c r="B4392" s="0" t="s">
        <v>75</v>
      </c>
      <c r="C4392" s="0" t="s">
        <v>76</v>
      </c>
      <c r="D4392" s="0" t="n">
        <v>9</v>
      </c>
      <c r="E4392" s="5" t="n">
        <v>45999.8986111111</v>
      </c>
      <c r="F4392" s="0" t="n">
        <v>3.39</v>
      </c>
      <c r="G4392" s="0" t="n">
        <v>17109</v>
      </c>
      <c r="H4392" s="6" t="s">
        <v>74</v>
      </c>
      <c r="I4392" s="6" t="n">
        <f aca="false">D4392*F4392</f>
        <v>30.51</v>
      </c>
      <c r="J4392" s="6" t="n">
        <f aca="false">HOUR(E4392)</f>
        <v>21</v>
      </c>
      <c r="K4392" s="6" t="n">
        <f aca="false">IF(COUNTIF($A$2:$A4392,A4392)=1,1,0)</f>
        <v>0</v>
      </c>
    </row>
    <row r="4393" customFormat="false" ht="15" hidden="false" customHeight="false" outlineLevel="0" collapsed="false">
      <c r="A4393" s="0" t="s">
        <v>916</v>
      </c>
      <c r="B4393" s="0" t="s">
        <v>77</v>
      </c>
      <c r="C4393" s="0" t="s">
        <v>78</v>
      </c>
      <c r="D4393" s="0" t="n">
        <v>9</v>
      </c>
      <c r="E4393" s="5" t="n">
        <v>45999.8986111111</v>
      </c>
      <c r="F4393" s="0" t="n">
        <v>1.65</v>
      </c>
      <c r="G4393" s="0" t="n">
        <v>17109</v>
      </c>
      <c r="H4393" s="6" t="s">
        <v>74</v>
      </c>
      <c r="I4393" s="6" t="n">
        <f aca="false">D4393*F4393</f>
        <v>14.85</v>
      </c>
      <c r="J4393" s="6" t="n">
        <f aca="false">HOUR(E4393)</f>
        <v>21</v>
      </c>
      <c r="K4393" s="6" t="n">
        <f aca="false">IF(COUNTIF($A$2:$A4393,A4393)=1,1,0)</f>
        <v>0</v>
      </c>
    </row>
    <row r="4394" customFormat="false" ht="15" hidden="false" customHeight="false" outlineLevel="0" collapsed="false">
      <c r="A4394" s="0" t="s">
        <v>916</v>
      </c>
      <c r="B4394" s="0" t="s">
        <v>86</v>
      </c>
      <c r="C4394" s="0" t="s">
        <v>87</v>
      </c>
      <c r="D4394" s="0" t="n">
        <v>11</v>
      </c>
      <c r="E4394" s="5" t="n">
        <v>45999.8986111111</v>
      </c>
      <c r="F4394" s="0" t="n">
        <v>4.25</v>
      </c>
      <c r="G4394" s="0" t="n">
        <v>17109</v>
      </c>
      <c r="H4394" s="6" t="s">
        <v>74</v>
      </c>
      <c r="I4394" s="6" t="n">
        <f aca="false">D4394*F4394</f>
        <v>46.75</v>
      </c>
      <c r="J4394" s="6" t="n">
        <f aca="false">HOUR(E4394)</f>
        <v>21</v>
      </c>
      <c r="K4394" s="6" t="n">
        <f aca="false">IF(COUNTIF($A$2:$A4394,A4394)=1,1,0)</f>
        <v>0</v>
      </c>
    </row>
    <row r="4395" customFormat="false" ht="15" hidden="false" customHeight="false" outlineLevel="0" collapsed="false">
      <c r="A4395" s="0" t="s">
        <v>916</v>
      </c>
      <c r="B4395" s="0" t="s">
        <v>45</v>
      </c>
      <c r="C4395" s="0" t="s">
        <v>46</v>
      </c>
      <c r="D4395" s="0" t="n">
        <v>3</v>
      </c>
      <c r="E4395" s="5" t="n">
        <v>45999.8986111111</v>
      </c>
      <c r="F4395" s="0" t="n">
        <v>2.1</v>
      </c>
      <c r="G4395" s="0" t="n">
        <v>17109</v>
      </c>
      <c r="H4395" s="6" t="s">
        <v>74</v>
      </c>
      <c r="I4395" s="6" t="n">
        <f aca="false">D4395*F4395</f>
        <v>6.3</v>
      </c>
      <c r="J4395" s="6" t="n">
        <f aca="false">HOUR(E4395)</f>
        <v>21</v>
      </c>
      <c r="K4395" s="6" t="n">
        <f aca="false">IF(COUNTIF($A$2:$A4395,A4395)=1,1,0)</f>
        <v>0</v>
      </c>
    </row>
    <row r="4396" customFormat="false" ht="15" hidden="false" customHeight="false" outlineLevel="0" collapsed="false">
      <c r="A4396" s="0" t="s">
        <v>916</v>
      </c>
      <c r="B4396" s="0" t="s">
        <v>93</v>
      </c>
      <c r="C4396" s="0" t="s">
        <v>94</v>
      </c>
      <c r="D4396" s="0" t="n">
        <v>15</v>
      </c>
      <c r="E4396" s="5" t="n">
        <v>45999.8986111111</v>
      </c>
      <c r="F4396" s="0" t="n">
        <v>1.69</v>
      </c>
      <c r="G4396" s="0" t="n">
        <v>17109</v>
      </c>
      <c r="H4396" s="6" t="s">
        <v>74</v>
      </c>
      <c r="I4396" s="6" t="n">
        <f aca="false">D4396*F4396</f>
        <v>25.35</v>
      </c>
      <c r="J4396" s="6" t="n">
        <f aca="false">HOUR(E4396)</f>
        <v>21</v>
      </c>
      <c r="K4396" s="6" t="n">
        <f aca="false">IF(COUNTIF($A$2:$A4396,A4396)=1,1,0)</f>
        <v>0</v>
      </c>
    </row>
    <row r="4397" customFormat="false" ht="15" hidden="false" customHeight="false" outlineLevel="0" collapsed="false">
      <c r="A4397" s="0" t="s">
        <v>917</v>
      </c>
      <c r="B4397" s="0" t="s">
        <v>57</v>
      </c>
      <c r="C4397" s="0" t="s">
        <v>58</v>
      </c>
      <c r="D4397" s="0" t="n">
        <v>5</v>
      </c>
      <c r="E4397" s="5" t="n">
        <v>46000.0990740741</v>
      </c>
      <c r="F4397" s="0" t="n">
        <v>2.08</v>
      </c>
      <c r="G4397" s="0" t="n">
        <v>17000</v>
      </c>
      <c r="H4397" s="6" t="s">
        <v>74</v>
      </c>
      <c r="I4397" s="6" t="n">
        <f aca="false">D4397*F4397</f>
        <v>10.4</v>
      </c>
      <c r="J4397" s="6" t="n">
        <f aca="false">HOUR(E4397)</f>
        <v>2</v>
      </c>
      <c r="K4397" s="6" t="n">
        <f aca="false">IF(COUNTIF($A$2:$A4397,A4397)=1,1,0)</f>
        <v>1</v>
      </c>
    </row>
    <row r="4398" customFormat="false" ht="15" hidden="false" customHeight="false" outlineLevel="0" collapsed="false">
      <c r="A4398" s="0" t="s">
        <v>917</v>
      </c>
      <c r="B4398" s="0" t="s">
        <v>86</v>
      </c>
      <c r="C4398" s="0" t="s">
        <v>87</v>
      </c>
      <c r="D4398" s="0" t="n">
        <v>3</v>
      </c>
      <c r="E4398" s="5" t="n">
        <v>46000.0990740741</v>
      </c>
      <c r="F4398" s="0" t="n">
        <v>4.25</v>
      </c>
      <c r="G4398" s="0" t="n">
        <v>17000</v>
      </c>
      <c r="H4398" s="6" t="s">
        <v>74</v>
      </c>
      <c r="I4398" s="6" t="n">
        <f aca="false">D4398*F4398</f>
        <v>12.75</v>
      </c>
      <c r="J4398" s="6" t="n">
        <f aca="false">HOUR(E4398)</f>
        <v>2</v>
      </c>
      <c r="K4398" s="6" t="n">
        <f aca="false">IF(COUNTIF($A$2:$A4398,A4398)=1,1,0)</f>
        <v>0</v>
      </c>
    </row>
    <row r="4399" customFormat="false" ht="15" hidden="false" customHeight="false" outlineLevel="0" collapsed="false">
      <c r="A4399" s="0" t="s">
        <v>917</v>
      </c>
      <c r="B4399" s="0" t="s">
        <v>109</v>
      </c>
      <c r="C4399" s="0" t="s">
        <v>110</v>
      </c>
      <c r="D4399" s="0" t="n">
        <v>4</v>
      </c>
      <c r="E4399" s="5" t="n">
        <v>46000.0990740741</v>
      </c>
      <c r="F4399" s="0" t="n">
        <v>0.85</v>
      </c>
      <c r="G4399" s="0" t="n">
        <v>17000</v>
      </c>
      <c r="H4399" s="6" t="s">
        <v>74</v>
      </c>
      <c r="I4399" s="6" t="n">
        <f aca="false">D4399*F4399</f>
        <v>3.4</v>
      </c>
      <c r="J4399" s="6" t="n">
        <f aca="false">HOUR(E4399)</f>
        <v>2</v>
      </c>
      <c r="K4399" s="6" t="n">
        <f aca="false">IF(COUNTIF($A$2:$A4399,A4399)=1,1,0)</f>
        <v>0</v>
      </c>
    </row>
    <row r="4400" customFormat="false" ht="15" hidden="false" customHeight="false" outlineLevel="0" collapsed="false">
      <c r="A4400" s="0" t="s">
        <v>917</v>
      </c>
      <c r="B4400" s="0" t="s">
        <v>45</v>
      </c>
      <c r="C4400" s="0" t="s">
        <v>46</v>
      </c>
      <c r="D4400" s="0" t="n">
        <v>8</v>
      </c>
      <c r="E4400" s="5" t="n">
        <v>46000.0990740741</v>
      </c>
      <c r="F4400" s="0" t="n">
        <v>2.1</v>
      </c>
      <c r="G4400" s="0" t="n">
        <v>17000</v>
      </c>
      <c r="H4400" s="6" t="s">
        <v>74</v>
      </c>
      <c r="I4400" s="6" t="n">
        <f aca="false">D4400*F4400</f>
        <v>16.8</v>
      </c>
      <c r="J4400" s="6" t="n">
        <f aca="false">HOUR(E4400)</f>
        <v>2</v>
      </c>
      <c r="K4400" s="6" t="n">
        <f aca="false">IF(COUNTIF($A$2:$A4400,A4400)=1,1,0)</f>
        <v>0</v>
      </c>
    </row>
    <row r="4401" customFormat="false" ht="15" hidden="false" customHeight="false" outlineLevel="0" collapsed="false">
      <c r="A4401" s="0" t="s">
        <v>917</v>
      </c>
      <c r="B4401" s="0" t="s">
        <v>43</v>
      </c>
      <c r="C4401" s="0" t="s">
        <v>44</v>
      </c>
      <c r="D4401" s="0" t="n">
        <v>24</v>
      </c>
      <c r="E4401" s="5" t="n">
        <v>46000.0990740741</v>
      </c>
      <c r="F4401" s="0" t="n">
        <v>4.25</v>
      </c>
      <c r="G4401" s="0" t="n">
        <v>17000</v>
      </c>
      <c r="H4401" s="6" t="s">
        <v>74</v>
      </c>
      <c r="I4401" s="6" t="n">
        <f aca="false">D4401*F4401</f>
        <v>102</v>
      </c>
      <c r="J4401" s="6" t="n">
        <f aca="false">HOUR(E4401)</f>
        <v>2</v>
      </c>
      <c r="K4401" s="6" t="n">
        <f aca="false">IF(COUNTIF($A$2:$A4401,A4401)=1,1,0)</f>
        <v>0</v>
      </c>
    </row>
    <row r="4402" customFormat="false" ht="15" hidden="false" customHeight="false" outlineLevel="0" collapsed="false">
      <c r="A4402" s="0" t="s">
        <v>917</v>
      </c>
      <c r="B4402" s="0" t="s">
        <v>104</v>
      </c>
      <c r="C4402" s="0" t="s">
        <v>105</v>
      </c>
      <c r="D4402" s="0" t="n">
        <v>12</v>
      </c>
      <c r="E4402" s="5" t="n">
        <v>46000.0990740741</v>
      </c>
      <c r="F4402" s="0" t="n">
        <v>1.65</v>
      </c>
      <c r="G4402" s="0" t="n">
        <v>17000</v>
      </c>
      <c r="H4402" s="6" t="s">
        <v>74</v>
      </c>
      <c r="I4402" s="6" t="n">
        <f aca="false">D4402*F4402</f>
        <v>19.8</v>
      </c>
      <c r="J4402" s="6" t="n">
        <f aca="false">HOUR(E4402)</f>
        <v>2</v>
      </c>
      <c r="K4402" s="6" t="n">
        <f aca="false">IF(COUNTIF($A$2:$A4402,A4402)=1,1,0)</f>
        <v>0</v>
      </c>
    </row>
    <row r="4403" customFormat="false" ht="15" hidden="false" customHeight="false" outlineLevel="0" collapsed="false">
      <c r="A4403" s="0" t="s">
        <v>917</v>
      </c>
      <c r="B4403" s="0" t="s">
        <v>53</v>
      </c>
      <c r="C4403" s="0" t="s">
        <v>54</v>
      </c>
      <c r="D4403" s="0" t="n">
        <v>17</v>
      </c>
      <c r="E4403" s="5" t="n">
        <v>46000.0990740741</v>
      </c>
      <c r="F4403" s="0" t="n">
        <v>2.95</v>
      </c>
      <c r="G4403" s="0" t="n">
        <v>17000</v>
      </c>
      <c r="H4403" s="6" t="s">
        <v>74</v>
      </c>
      <c r="I4403" s="6" t="n">
        <f aca="false">D4403*F4403</f>
        <v>50.15</v>
      </c>
      <c r="J4403" s="6" t="n">
        <f aca="false">HOUR(E4403)</f>
        <v>2</v>
      </c>
      <c r="K4403" s="6" t="n">
        <f aca="false">IF(COUNTIF($A$2:$A4403,A4403)=1,1,0)</f>
        <v>0</v>
      </c>
    </row>
    <row r="4404" customFormat="false" ht="15" hidden="false" customHeight="false" outlineLevel="0" collapsed="false">
      <c r="A4404" s="0" t="s">
        <v>918</v>
      </c>
      <c r="B4404" s="0" t="s">
        <v>125</v>
      </c>
      <c r="C4404" s="0" t="s">
        <v>126</v>
      </c>
      <c r="D4404" s="0" t="n">
        <v>19</v>
      </c>
      <c r="E4404" s="5" t="n">
        <v>46000.1917708333</v>
      </c>
      <c r="F4404" s="0" t="n">
        <v>1.25</v>
      </c>
      <c r="G4404" s="0" t="n">
        <v>17025</v>
      </c>
      <c r="H4404" s="6" t="s">
        <v>52</v>
      </c>
      <c r="I4404" s="6" t="n">
        <f aca="false">D4404*F4404</f>
        <v>23.75</v>
      </c>
      <c r="J4404" s="6" t="n">
        <f aca="false">HOUR(E4404)</f>
        <v>4</v>
      </c>
      <c r="K4404" s="6" t="n">
        <f aca="false">IF(COUNTIF($A$2:$A4404,A4404)=1,1,0)</f>
        <v>1</v>
      </c>
    </row>
    <row r="4405" customFormat="false" ht="15" hidden="false" customHeight="false" outlineLevel="0" collapsed="false">
      <c r="A4405" s="0" t="s">
        <v>918</v>
      </c>
      <c r="B4405" s="0" t="s">
        <v>40</v>
      </c>
      <c r="C4405" s="0" t="s">
        <v>41</v>
      </c>
      <c r="D4405" s="0" t="n">
        <v>18</v>
      </c>
      <c r="E4405" s="5" t="n">
        <v>46000.1917708333</v>
      </c>
      <c r="F4405" s="0" t="n">
        <v>1.06</v>
      </c>
      <c r="G4405" s="0" t="n">
        <v>17025</v>
      </c>
      <c r="H4405" s="6" t="s">
        <v>52</v>
      </c>
      <c r="I4405" s="6" t="n">
        <f aca="false">D4405*F4405</f>
        <v>19.08</v>
      </c>
      <c r="J4405" s="6" t="n">
        <f aca="false">HOUR(E4405)</f>
        <v>4</v>
      </c>
      <c r="K4405" s="6" t="n">
        <f aca="false">IF(COUNTIF($A$2:$A4405,A4405)=1,1,0)</f>
        <v>0</v>
      </c>
    </row>
    <row r="4406" customFormat="false" ht="15" hidden="false" customHeight="false" outlineLevel="0" collapsed="false">
      <c r="A4406" s="0" t="s">
        <v>918</v>
      </c>
      <c r="B4406" s="0" t="s">
        <v>127</v>
      </c>
      <c r="C4406" s="0" t="s">
        <v>128</v>
      </c>
      <c r="D4406" s="0" t="n">
        <v>5</v>
      </c>
      <c r="E4406" s="5" t="n">
        <v>46000.1917708333</v>
      </c>
      <c r="F4406" s="0" t="n">
        <v>1.45</v>
      </c>
      <c r="G4406" s="0" t="n">
        <v>17025</v>
      </c>
      <c r="H4406" s="6" t="s">
        <v>52</v>
      </c>
      <c r="I4406" s="6" t="n">
        <f aca="false">D4406*F4406</f>
        <v>7.25</v>
      </c>
      <c r="J4406" s="6" t="n">
        <f aca="false">HOUR(E4406)</f>
        <v>4</v>
      </c>
      <c r="K4406" s="6" t="n">
        <f aca="false">IF(COUNTIF($A$2:$A4406,A4406)=1,1,0)</f>
        <v>0</v>
      </c>
    </row>
    <row r="4407" customFormat="false" ht="15" hidden="false" customHeight="false" outlineLevel="0" collapsed="false">
      <c r="A4407" s="0" t="s">
        <v>918</v>
      </c>
      <c r="B4407" s="0" t="s">
        <v>59</v>
      </c>
      <c r="C4407" s="0" t="s">
        <v>60</v>
      </c>
      <c r="D4407" s="0" t="n">
        <v>14</v>
      </c>
      <c r="E4407" s="5" t="n">
        <v>46000.1917708333</v>
      </c>
      <c r="F4407" s="0" t="n">
        <v>0.42</v>
      </c>
      <c r="G4407" s="0" t="n">
        <v>17025</v>
      </c>
      <c r="H4407" s="6" t="s">
        <v>52</v>
      </c>
      <c r="I4407" s="6" t="n">
        <f aca="false">D4407*F4407</f>
        <v>5.88</v>
      </c>
      <c r="J4407" s="6" t="n">
        <f aca="false">HOUR(E4407)</f>
        <v>4</v>
      </c>
      <c r="K4407" s="6" t="n">
        <f aca="false">IF(COUNTIF($A$2:$A4407,A4407)=1,1,0)</f>
        <v>0</v>
      </c>
    </row>
    <row r="4408" customFormat="false" ht="15" hidden="false" customHeight="false" outlineLevel="0" collapsed="false">
      <c r="A4408" s="0" t="s">
        <v>918</v>
      </c>
      <c r="B4408" s="0" t="s">
        <v>91</v>
      </c>
      <c r="C4408" s="0" t="s">
        <v>92</v>
      </c>
      <c r="D4408" s="0" t="n">
        <v>3</v>
      </c>
      <c r="E4408" s="5" t="n">
        <v>46000.1917708333</v>
      </c>
      <c r="F4408" s="0" t="n">
        <v>7.65</v>
      </c>
      <c r="G4408" s="0" t="n">
        <v>17025</v>
      </c>
      <c r="H4408" s="6" t="s">
        <v>52</v>
      </c>
      <c r="I4408" s="6" t="n">
        <f aca="false">D4408*F4408</f>
        <v>22.95</v>
      </c>
      <c r="J4408" s="6" t="n">
        <f aca="false">HOUR(E4408)</f>
        <v>4</v>
      </c>
      <c r="K4408" s="6" t="n">
        <f aca="false">IF(COUNTIF($A$2:$A4408,A4408)=1,1,0)</f>
        <v>0</v>
      </c>
    </row>
    <row r="4409" customFormat="false" ht="15" hidden="false" customHeight="false" outlineLevel="0" collapsed="false">
      <c r="A4409" s="0" t="s">
        <v>918</v>
      </c>
      <c r="B4409" s="0" t="s">
        <v>114</v>
      </c>
      <c r="C4409" s="0" t="s">
        <v>115</v>
      </c>
      <c r="D4409" s="0" t="n">
        <v>11</v>
      </c>
      <c r="E4409" s="5" t="n">
        <v>46000.1917708333</v>
      </c>
      <c r="F4409" s="0" t="n">
        <v>2.08</v>
      </c>
      <c r="G4409" s="0" t="n">
        <v>17025</v>
      </c>
      <c r="H4409" s="6" t="s">
        <v>52</v>
      </c>
      <c r="I4409" s="6" t="n">
        <f aca="false">D4409*F4409</f>
        <v>22.88</v>
      </c>
      <c r="J4409" s="6" t="n">
        <f aca="false">HOUR(E4409)</f>
        <v>4</v>
      </c>
      <c r="K4409" s="6" t="n">
        <f aca="false">IF(COUNTIF($A$2:$A4409,A4409)=1,1,0)</f>
        <v>0</v>
      </c>
    </row>
    <row r="4410" customFormat="false" ht="15" hidden="false" customHeight="false" outlineLevel="0" collapsed="false">
      <c r="A4410" s="0" t="s">
        <v>918</v>
      </c>
      <c r="B4410" s="0" t="s">
        <v>134</v>
      </c>
      <c r="C4410" s="0" t="s">
        <v>135</v>
      </c>
      <c r="D4410" s="0" t="n">
        <v>13</v>
      </c>
      <c r="E4410" s="5" t="n">
        <v>46000.1917708333</v>
      </c>
      <c r="F4410" s="0" t="n">
        <v>5.95</v>
      </c>
      <c r="G4410" s="0" t="n">
        <v>17025</v>
      </c>
      <c r="H4410" s="6" t="s">
        <v>52</v>
      </c>
      <c r="I4410" s="6" t="n">
        <f aca="false">D4410*F4410</f>
        <v>77.35</v>
      </c>
      <c r="J4410" s="6" t="n">
        <f aca="false">HOUR(E4410)</f>
        <v>4</v>
      </c>
      <c r="K4410" s="6" t="n">
        <f aca="false">IF(COUNTIF($A$2:$A4410,A4410)=1,1,0)</f>
        <v>0</v>
      </c>
    </row>
    <row r="4411" customFormat="false" ht="15" hidden="false" customHeight="false" outlineLevel="0" collapsed="false">
      <c r="A4411" s="0" t="s">
        <v>919</v>
      </c>
      <c r="B4411" s="0" t="s">
        <v>53</v>
      </c>
      <c r="C4411" s="0" t="s">
        <v>54</v>
      </c>
      <c r="D4411" s="0" t="n">
        <v>9</v>
      </c>
      <c r="E4411" s="5" t="n">
        <v>46000.4417939815</v>
      </c>
      <c r="F4411" s="0" t="n">
        <v>2.95</v>
      </c>
      <c r="G4411" s="0" t="n">
        <v>17039</v>
      </c>
      <c r="H4411" s="6" t="s">
        <v>74</v>
      </c>
      <c r="I4411" s="6" t="n">
        <f aca="false">D4411*F4411</f>
        <v>26.55</v>
      </c>
      <c r="J4411" s="6" t="n">
        <f aca="false">HOUR(E4411)</f>
        <v>10</v>
      </c>
      <c r="K4411" s="6" t="n">
        <f aca="false">IF(COUNTIF($A$2:$A4411,A4411)=1,1,0)</f>
        <v>1</v>
      </c>
    </row>
    <row r="4412" customFormat="false" ht="15" hidden="false" customHeight="false" outlineLevel="0" collapsed="false">
      <c r="A4412" s="0" t="s">
        <v>919</v>
      </c>
      <c r="B4412" s="0" t="s">
        <v>47</v>
      </c>
      <c r="C4412" s="0" t="s">
        <v>48</v>
      </c>
      <c r="D4412" s="0" t="n">
        <v>13</v>
      </c>
      <c r="E4412" s="5" t="n">
        <v>46000.4417939815</v>
      </c>
      <c r="F4412" s="0" t="n">
        <v>12.75</v>
      </c>
      <c r="G4412" s="0" t="n">
        <v>17039</v>
      </c>
      <c r="H4412" s="6" t="s">
        <v>74</v>
      </c>
      <c r="I4412" s="6" t="n">
        <f aca="false">D4412*F4412</f>
        <v>165.75</v>
      </c>
      <c r="J4412" s="6" t="n">
        <f aca="false">HOUR(E4412)</f>
        <v>10</v>
      </c>
      <c r="K4412" s="6" t="n">
        <f aca="false">IF(COUNTIF($A$2:$A4412,A4412)=1,1,0)</f>
        <v>0</v>
      </c>
    </row>
    <row r="4413" customFormat="false" ht="15" hidden="false" customHeight="false" outlineLevel="0" collapsed="false">
      <c r="A4413" s="0" t="s">
        <v>919</v>
      </c>
      <c r="B4413" s="0" t="s">
        <v>77</v>
      </c>
      <c r="C4413" s="0" t="s">
        <v>78</v>
      </c>
      <c r="D4413" s="0" t="n">
        <v>14</v>
      </c>
      <c r="E4413" s="5" t="n">
        <v>46000.4417939815</v>
      </c>
      <c r="F4413" s="0" t="n">
        <v>1.65</v>
      </c>
      <c r="G4413" s="0" t="n">
        <v>17039</v>
      </c>
      <c r="H4413" s="6" t="s">
        <v>74</v>
      </c>
      <c r="I4413" s="6" t="n">
        <f aca="false">D4413*F4413</f>
        <v>23.1</v>
      </c>
      <c r="J4413" s="6" t="n">
        <f aca="false">HOUR(E4413)</f>
        <v>10</v>
      </c>
      <c r="K4413" s="6" t="n">
        <f aca="false">IF(COUNTIF($A$2:$A4413,A4413)=1,1,0)</f>
        <v>0</v>
      </c>
    </row>
    <row r="4414" customFormat="false" ht="15" hidden="false" customHeight="false" outlineLevel="0" collapsed="false">
      <c r="A4414" s="0" t="s">
        <v>919</v>
      </c>
      <c r="B4414" s="0" t="s">
        <v>109</v>
      </c>
      <c r="C4414" s="0" t="s">
        <v>110</v>
      </c>
      <c r="D4414" s="0" t="n">
        <v>24</v>
      </c>
      <c r="E4414" s="5" t="n">
        <v>46000.4417939815</v>
      </c>
      <c r="F4414" s="0" t="n">
        <v>0.85</v>
      </c>
      <c r="G4414" s="0" t="n">
        <v>17039</v>
      </c>
      <c r="H4414" s="6" t="s">
        <v>74</v>
      </c>
      <c r="I4414" s="6" t="n">
        <f aca="false">D4414*F4414</f>
        <v>20.4</v>
      </c>
      <c r="J4414" s="6" t="n">
        <f aca="false">HOUR(E4414)</f>
        <v>10</v>
      </c>
      <c r="K4414" s="6" t="n">
        <f aca="false">IF(COUNTIF($A$2:$A4414,A4414)=1,1,0)</f>
        <v>0</v>
      </c>
    </row>
    <row r="4415" customFormat="false" ht="15" hidden="false" customHeight="false" outlineLevel="0" collapsed="false">
      <c r="A4415" s="0" t="s">
        <v>919</v>
      </c>
      <c r="B4415" s="0" t="s">
        <v>83</v>
      </c>
      <c r="C4415" s="0" t="s">
        <v>84</v>
      </c>
      <c r="D4415" s="0" t="n">
        <v>22</v>
      </c>
      <c r="E4415" s="5" t="n">
        <v>46000.4417939815</v>
      </c>
      <c r="F4415" s="0" t="n">
        <v>2.95</v>
      </c>
      <c r="G4415" s="0" t="n">
        <v>17039</v>
      </c>
      <c r="H4415" s="6" t="s">
        <v>74</v>
      </c>
      <c r="I4415" s="6" t="n">
        <f aca="false">D4415*F4415</f>
        <v>64.9</v>
      </c>
      <c r="J4415" s="6" t="n">
        <f aca="false">HOUR(E4415)</f>
        <v>10</v>
      </c>
      <c r="K4415" s="6" t="n">
        <f aca="false">IF(COUNTIF($A$2:$A4415,A4415)=1,1,0)</f>
        <v>0</v>
      </c>
    </row>
    <row r="4416" customFormat="false" ht="15" hidden="false" customHeight="false" outlineLevel="0" collapsed="false">
      <c r="A4416" s="0" t="s">
        <v>919</v>
      </c>
      <c r="B4416" s="0" t="s">
        <v>118</v>
      </c>
      <c r="C4416" s="0" t="s">
        <v>119</v>
      </c>
      <c r="D4416" s="0" t="n">
        <v>16</v>
      </c>
      <c r="E4416" s="5" t="n">
        <v>46000.4417939815</v>
      </c>
      <c r="F4416" s="0" t="n">
        <v>4.95</v>
      </c>
      <c r="G4416" s="0" t="n">
        <v>17039</v>
      </c>
      <c r="H4416" s="6" t="s">
        <v>74</v>
      </c>
      <c r="I4416" s="6" t="n">
        <f aca="false">D4416*F4416</f>
        <v>79.2</v>
      </c>
      <c r="J4416" s="6" t="n">
        <f aca="false">HOUR(E4416)</f>
        <v>10</v>
      </c>
      <c r="K4416" s="6" t="n">
        <f aca="false">IF(COUNTIF($A$2:$A4416,A4416)=1,1,0)</f>
        <v>0</v>
      </c>
    </row>
    <row r="4417" customFormat="false" ht="15" hidden="false" customHeight="false" outlineLevel="0" collapsed="false">
      <c r="A4417" s="0" t="s">
        <v>919</v>
      </c>
      <c r="B4417" s="0" t="s">
        <v>59</v>
      </c>
      <c r="C4417" s="0" t="s">
        <v>60</v>
      </c>
      <c r="D4417" s="0" t="n">
        <v>3</v>
      </c>
      <c r="E4417" s="5" t="n">
        <v>46000.4417939815</v>
      </c>
      <c r="F4417" s="0" t="n">
        <v>0.42</v>
      </c>
      <c r="G4417" s="0" t="n">
        <v>17039</v>
      </c>
      <c r="H4417" s="6" t="s">
        <v>74</v>
      </c>
      <c r="I4417" s="6" t="n">
        <f aca="false">D4417*F4417</f>
        <v>1.26</v>
      </c>
      <c r="J4417" s="6" t="n">
        <f aca="false">HOUR(E4417)</f>
        <v>10</v>
      </c>
      <c r="K4417" s="6" t="n">
        <f aca="false">IF(COUNTIF($A$2:$A4417,A4417)=1,1,0)</f>
        <v>0</v>
      </c>
    </row>
    <row r="4418" customFormat="false" ht="15" hidden="false" customHeight="false" outlineLevel="0" collapsed="false">
      <c r="A4418" s="0" t="s">
        <v>919</v>
      </c>
      <c r="B4418" s="0" t="s">
        <v>69</v>
      </c>
      <c r="C4418" s="0" t="s">
        <v>70</v>
      </c>
      <c r="D4418" s="0" t="n">
        <v>34</v>
      </c>
      <c r="E4418" s="5" t="n">
        <v>46000.4417939815</v>
      </c>
      <c r="F4418" s="0" t="n">
        <v>2.08</v>
      </c>
      <c r="G4418" s="0" t="n">
        <v>17039</v>
      </c>
      <c r="H4418" s="6" t="s">
        <v>74</v>
      </c>
      <c r="I4418" s="6" t="n">
        <f aca="false">D4418*F4418</f>
        <v>70.72</v>
      </c>
      <c r="J4418" s="6" t="n">
        <f aca="false">HOUR(E4418)</f>
        <v>10</v>
      </c>
      <c r="K4418" s="6" t="n">
        <f aca="false">IF(COUNTIF($A$2:$A4418,A4418)=1,1,0)</f>
        <v>0</v>
      </c>
    </row>
    <row r="4419" customFormat="false" ht="15" hidden="false" customHeight="false" outlineLevel="0" collapsed="false">
      <c r="A4419" s="0" t="s">
        <v>919</v>
      </c>
      <c r="B4419" s="0" t="s">
        <v>55</v>
      </c>
      <c r="C4419" s="0" t="s">
        <v>56</v>
      </c>
      <c r="D4419" s="0" t="n">
        <v>1</v>
      </c>
      <c r="E4419" s="5" t="n">
        <v>46000.4417939815</v>
      </c>
      <c r="F4419" s="0" t="n">
        <v>1.65</v>
      </c>
      <c r="G4419" s="0" t="n">
        <v>17039</v>
      </c>
      <c r="H4419" s="6" t="s">
        <v>74</v>
      </c>
      <c r="I4419" s="6" t="n">
        <f aca="false">D4419*F4419</f>
        <v>1.65</v>
      </c>
      <c r="J4419" s="6" t="n">
        <f aca="false">HOUR(E4419)</f>
        <v>10</v>
      </c>
      <c r="K4419" s="6" t="n">
        <f aca="false">IF(COUNTIF($A$2:$A4419,A4419)=1,1,0)</f>
        <v>0</v>
      </c>
    </row>
    <row r="4420" customFormat="false" ht="15" hidden="false" customHeight="false" outlineLevel="0" collapsed="false">
      <c r="A4420" s="0" t="s">
        <v>920</v>
      </c>
      <c r="B4420" s="0" t="s">
        <v>91</v>
      </c>
      <c r="C4420" s="0" t="s">
        <v>92</v>
      </c>
      <c r="D4420" s="0" t="n">
        <v>15</v>
      </c>
      <c r="E4420" s="5" t="n">
        <v>46000.6023611111</v>
      </c>
      <c r="F4420" s="0" t="n">
        <v>7.65</v>
      </c>
      <c r="G4420" s="0" t="n">
        <v>17223</v>
      </c>
      <c r="H4420" s="6" t="s">
        <v>98</v>
      </c>
      <c r="I4420" s="6" t="n">
        <f aca="false">D4420*F4420</f>
        <v>114.75</v>
      </c>
      <c r="J4420" s="6" t="n">
        <f aca="false">HOUR(E4420)</f>
        <v>14</v>
      </c>
      <c r="K4420" s="6" t="n">
        <f aca="false">IF(COUNTIF($A$2:$A4420,A4420)=1,1,0)</f>
        <v>1</v>
      </c>
    </row>
    <row r="4421" customFormat="false" ht="15" hidden="false" customHeight="false" outlineLevel="0" collapsed="false">
      <c r="A4421" s="0" t="s">
        <v>920</v>
      </c>
      <c r="B4421" s="0" t="s">
        <v>116</v>
      </c>
      <c r="C4421" s="0" t="s">
        <v>117</v>
      </c>
      <c r="D4421" s="0" t="n">
        <v>24</v>
      </c>
      <c r="E4421" s="5" t="n">
        <v>46000.6023611111</v>
      </c>
      <c r="F4421" s="0" t="n">
        <v>1.95</v>
      </c>
      <c r="G4421" s="0" t="n">
        <v>17223</v>
      </c>
      <c r="H4421" s="6" t="s">
        <v>98</v>
      </c>
      <c r="I4421" s="6" t="n">
        <f aca="false">D4421*F4421</f>
        <v>46.8</v>
      </c>
      <c r="J4421" s="6" t="n">
        <f aca="false">HOUR(E4421)</f>
        <v>14</v>
      </c>
      <c r="K4421" s="6" t="n">
        <f aca="false">IF(COUNTIF($A$2:$A4421,A4421)=1,1,0)</f>
        <v>0</v>
      </c>
    </row>
    <row r="4422" customFormat="false" ht="15" hidden="false" customHeight="false" outlineLevel="0" collapsed="false">
      <c r="A4422" s="0" t="s">
        <v>920</v>
      </c>
      <c r="B4422" s="0" t="s">
        <v>43</v>
      </c>
      <c r="C4422" s="0" t="s">
        <v>44</v>
      </c>
      <c r="D4422" s="0" t="n">
        <v>14</v>
      </c>
      <c r="E4422" s="5" t="n">
        <v>46000.6023611111</v>
      </c>
      <c r="F4422" s="0" t="n">
        <v>4.25</v>
      </c>
      <c r="G4422" s="0" t="n">
        <v>17223</v>
      </c>
      <c r="H4422" s="6" t="s">
        <v>98</v>
      </c>
      <c r="I4422" s="6" t="n">
        <f aca="false">D4422*F4422</f>
        <v>59.5</v>
      </c>
      <c r="J4422" s="6" t="n">
        <f aca="false">HOUR(E4422)</f>
        <v>14</v>
      </c>
      <c r="K4422" s="6" t="n">
        <f aca="false">IF(COUNTIF($A$2:$A4422,A4422)=1,1,0)</f>
        <v>0</v>
      </c>
    </row>
    <row r="4423" customFormat="false" ht="15" hidden="false" customHeight="false" outlineLevel="0" collapsed="false">
      <c r="A4423" s="0" t="s">
        <v>920</v>
      </c>
      <c r="B4423" s="0" t="s">
        <v>79</v>
      </c>
      <c r="C4423" s="0" t="s">
        <v>80</v>
      </c>
      <c r="D4423" s="0" t="n">
        <v>2</v>
      </c>
      <c r="E4423" s="5" t="n">
        <v>46000.6023611111</v>
      </c>
      <c r="F4423" s="0" t="n">
        <v>3.39</v>
      </c>
      <c r="G4423" s="0" t="n">
        <v>17223</v>
      </c>
      <c r="H4423" s="6" t="s">
        <v>98</v>
      </c>
      <c r="I4423" s="6" t="n">
        <f aca="false">D4423*F4423</f>
        <v>6.78</v>
      </c>
      <c r="J4423" s="6" t="n">
        <f aca="false">HOUR(E4423)</f>
        <v>14</v>
      </c>
      <c r="K4423" s="6" t="n">
        <f aca="false">IF(COUNTIF($A$2:$A4423,A4423)=1,1,0)</f>
        <v>0</v>
      </c>
    </row>
    <row r="4424" customFormat="false" ht="15" hidden="false" customHeight="false" outlineLevel="0" collapsed="false">
      <c r="A4424" s="0" t="s">
        <v>920</v>
      </c>
      <c r="B4424" s="0" t="s">
        <v>86</v>
      </c>
      <c r="C4424" s="0" t="s">
        <v>87</v>
      </c>
      <c r="D4424" s="0" t="n">
        <v>18</v>
      </c>
      <c r="E4424" s="5" t="n">
        <v>46000.6023611111</v>
      </c>
      <c r="F4424" s="0" t="n">
        <v>4.25</v>
      </c>
      <c r="G4424" s="0" t="n">
        <v>17223</v>
      </c>
      <c r="H4424" s="6" t="s">
        <v>98</v>
      </c>
      <c r="I4424" s="6" t="n">
        <f aca="false">D4424*F4424</f>
        <v>76.5</v>
      </c>
      <c r="J4424" s="6" t="n">
        <f aca="false">HOUR(E4424)</f>
        <v>14</v>
      </c>
      <c r="K4424" s="6" t="n">
        <f aca="false">IF(COUNTIF($A$2:$A4424,A4424)=1,1,0)</f>
        <v>0</v>
      </c>
    </row>
    <row r="4425" customFormat="false" ht="15" hidden="false" customHeight="false" outlineLevel="0" collapsed="false">
      <c r="A4425" s="0" t="s">
        <v>921</v>
      </c>
      <c r="B4425" s="0" t="s">
        <v>47</v>
      </c>
      <c r="C4425" s="0" t="s">
        <v>48</v>
      </c>
      <c r="D4425" s="0" t="n">
        <v>34</v>
      </c>
      <c r="E4425" s="5" t="n">
        <v>46000.6398611111</v>
      </c>
      <c r="F4425" s="0" t="n">
        <v>12.75</v>
      </c>
      <c r="G4425" s="0" t="n">
        <v>17040</v>
      </c>
      <c r="H4425" s="6" t="s">
        <v>74</v>
      </c>
      <c r="I4425" s="6" t="n">
        <f aca="false">D4425*F4425</f>
        <v>433.5</v>
      </c>
      <c r="J4425" s="6" t="n">
        <f aca="false">HOUR(E4425)</f>
        <v>15</v>
      </c>
      <c r="K4425" s="6" t="n">
        <f aca="false">IF(COUNTIF($A$2:$A4425,A4425)=1,1,0)</f>
        <v>1</v>
      </c>
    </row>
    <row r="4426" customFormat="false" ht="15" hidden="false" customHeight="false" outlineLevel="0" collapsed="false">
      <c r="A4426" s="0" t="s">
        <v>921</v>
      </c>
      <c r="B4426" s="0" t="s">
        <v>131</v>
      </c>
      <c r="C4426" s="0" t="s">
        <v>132</v>
      </c>
      <c r="D4426" s="0" t="n">
        <v>12</v>
      </c>
      <c r="E4426" s="5" t="n">
        <v>46000.6398611111</v>
      </c>
      <c r="F4426" s="0" t="n">
        <v>3.39</v>
      </c>
      <c r="G4426" s="0" t="n">
        <v>17040</v>
      </c>
      <c r="H4426" s="6" t="s">
        <v>74</v>
      </c>
      <c r="I4426" s="6" t="n">
        <f aca="false">D4426*F4426</f>
        <v>40.68</v>
      </c>
      <c r="J4426" s="6" t="n">
        <f aca="false">HOUR(E4426)</f>
        <v>15</v>
      </c>
      <c r="K4426" s="6" t="n">
        <f aca="false">IF(COUNTIF($A$2:$A4426,A4426)=1,1,0)</f>
        <v>0</v>
      </c>
    </row>
    <row r="4427" customFormat="false" ht="15" hidden="false" customHeight="false" outlineLevel="0" collapsed="false">
      <c r="A4427" s="0" t="s">
        <v>921</v>
      </c>
      <c r="B4427" s="0" t="s">
        <v>86</v>
      </c>
      <c r="C4427" s="0" t="s">
        <v>87</v>
      </c>
      <c r="D4427" s="0" t="n">
        <v>13</v>
      </c>
      <c r="E4427" s="5" t="n">
        <v>46000.6398611111</v>
      </c>
      <c r="F4427" s="0" t="n">
        <v>4.25</v>
      </c>
      <c r="G4427" s="0" t="n">
        <v>17040</v>
      </c>
      <c r="H4427" s="6" t="s">
        <v>74</v>
      </c>
      <c r="I4427" s="6" t="n">
        <f aca="false">D4427*F4427</f>
        <v>55.25</v>
      </c>
      <c r="J4427" s="6" t="n">
        <f aca="false">HOUR(E4427)</f>
        <v>15</v>
      </c>
      <c r="K4427" s="6" t="n">
        <f aca="false">IF(COUNTIF($A$2:$A4427,A4427)=1,1,0)</f>
        <v>0</v>
      </c>
    </row>
    <row r="4428" customFormat="false" ht="15" hidden="false" customHeight="false" outlineLevel="0" collapsed="false">
      <c r="A4428" s="0" t="s">
        <v>921</v>
      </c>
      <c r="B4428" s="0" t="s">
        <v>127</v>
      </c>
      <c r="C4428" s="0" t="s">
        <v>128</v>
      </c>
      <c r="D4428" s="0" t="n">
        <v>22</v>
      </c>
      <c r="E4428" s="5" t="n">
        <v>46000.6398611111</v>
      </c>
      <c r="F4428" s="0" t="n">
        <v>1.45</v>
      </c>
      <c r="G4428" s="0" t="n">
        <v>17040</v>
      </c>
      <c r="H4428" s="6" t="s">
        <v>74</v>
      </c>
      <c r="I4428" s="6" t="n">
        <f aca="false">D4428*F4428</f>
        <v>31.9</v>
      </c>
      <c r="J4428" s="6" t="n">
        <f aca="false">HOUR(E4428)</f>
        <v>15</v>
      </c>
      <c r="K4428" s="6" t="n">
        <f aca="false">IF(COUNTIF($A$2:$A4428,A4428)=1,1,0)</f>
        <v>0</v>
      </c>
    </row>
    <row r="4429" customFormat="false" ht="15" hidden="false" customHeight="false" outlineLevel="0" collapsed="false">
      <c r="A4429" s="0" t="s">
        <v>921</v>
      </c>
      <c r="B4429" s="0" t="s">
        <v>59</v>
      </c>
      <c r="C4429" s="0" t="s">
        <v>60</v>
      </c>
      <c r="D4429" s="0" t="n">
        <v>13</v>
      </c>
      <c r="E4429" s="5" t="n">
        <v>46000.6398611111</v>
      </c>
      <c r="F4429" s="0" t="n">
        <v>0.42</v>
      </c>
      <c r="G4429" s="0" t="n">
        <v>17040</v>
      </c>
      <c r="H4429" s="6" t="s">
        <v>74</v>
      </c>
      <c r="I4429" s="6" t="n">
        <f aca="false">D4429*F4429</f>
        <v>5.46</v>
      </c>
      <c r="J4429" s="6" t="n">
        <f aca="false">HOUR(E4429)</f>
        <v>15</v>
      </c>
      <c r="K4429" s="6" t="n">
        <f aca="false">IF(COUNTIF($A$2:$A4429,A4429)=1,1,0)</f>
        <v>0</v>
      </c>
    </row>
    <row r="4430" customFormat="false" ht="15" hidden="false" customHeight="false" outlineLevel="0" collapsed="false">
      <c r="A4430" s="0" t="s">
        <v>921</v>
      </c>
      <c r="B4430" s="0" t="s">
        <v>75</v>
      </c>
      <c r="C4430" s="0" t="s">
        <v>76</v>
      </c>
      <c r="D4430" s="0" t="n">
        <v>20</v>
      </c>
      <c r="E4430" s="5" t="n">
        <v>46000.6398611111</v>
      </c>
      <c r="F4430" s="0" t="n">
        <v>3.39</v>
      </c>
      <c r="G4430" s="0" t="n">
        <v>17040</v>
      </c>
      <c r="H4430" s="6" t="s">
        <v>74</v>
      </c>
      <c r="I4430" s="6" t="n">
        <f aca="false">D4430*F4430</f>
        <v>67.8</v>
      </c>
      <c r="J4430" s="6" t="n">
        <f aca="false">HOUR(E4430)</f>
        <v>15</v>
      </c>
      <c r="K4430" s="6" t="n">
        <f aca="false">IF(COUNTIF($A$2:$A4430,A4430)=1,1,0)</f>
        <v>0</v>
      </c>
    </row>
    <row r="4431" customFormat="false" ht="15" hidden="false" customHeight="false" outlineLevel="0" collapsed="false">
      <c r="A4431" s="0" t="s">
        <v>921</v>
      </c>
      <c r="B4431" s="0" t="s">
        <v>99</v>
      </c>
      <c r="C4431" s="0" t="s">
        <v>100</v>
      </c>
      <c r="D4431" s="0" t="n">
        <v>8</v>
      </c>
      <c r="E4431" s="5" t="n">
        <v>46000.6398611111</v>
      </c>
      <c r="F4431" s="0" t="n">
        <v>2.08</v>
      </c>
      <c r="G4431" s="0" t="n">
        <v>17040</v>
      </c>
      <c r="H4431" s="6" t="s">
        <v>74</v>
      </c>
      <c r="I4431" s="6" t="n">
        <f aca="false">D4431*F4431</f>
        <v>16.64</v>
      </c>
      <c r="J4431" s="6" t="n">
        <f aca="false">HOUR(E4431)</f>
        <v>15</v>
      </c>
      <c r="K4431" s="6" t="n">
        <f aca="false">IF(COUNTIF($A$2:$A4431,A4431)=1,1,0)</f>
        <v>0</v>
      </c>
    </row>
    <row r="4432" customFormat="false" ht="15" hidden="false" customHeight="false" outlineLevel="0" collapsed="false">
      <c r="A4432" s="0" t="s">
        <v>921</v>
      </c>
      <c r="B4432" s="0" t="s">
        <v>140</v>
      </c>
      <c r="C4432" s="0" t="s">
        <v>141</v>
      </c>
      <c r="D4432" s="0" t="n">
        <v>23</v>
      </c>
      <c r="E4432" s="5" t="n">
        <v>46000.6398611111</v>
      </c>
      <c r="F4432" s="0" t="n">
        <v>2.08</v>
      </c>
      <c r="G4432" s="0" t="n">
        <v>17040</v>
      </c>
      <c r="H4432" s="6" t="s">
        <v>74</v>
      </c>
      <c r="I4432" s="6" t="n">
        <f aca="false">D4432*F4432</f>
        <v>47.84</v>
      </c>
      <c r="J4432" s="6" t="n">
        <f aca="false">HOUR(E4432)</f>
        <v>15</v>
      </c>
      <c r="K4432" s="6" t="n">
        <f aca="false">IF(COUNTIF($A$2:$A4432,A4432)=1,1,0)</f>
        <v>0</v>
      </c>
    </row>
    <row r="4433" customFormat="false" ht="15" hidden="false" customHeight="false" outlineLevel="0" collapsed="false">
      <c r="A4433" s="0" t="s">
        <v>921</v>
      </c>
      <c r="B4433" s="0" t="s">
        <v>118</v>
      </c>
      <c r="C4433" s="0" t="s">
        <v>119</v>
      </c>
      <c r="D4433" s="0" t="n">
        <v>23</v>
      </c>
      <c r="E4433" s="5" t="n">
        <v>46000.6398611111</v>
      </c>
      <c r="F4433" s="0" t="n">
        <v>4.95</v>
      </c>
      <c r="G4433" s="0" t="n">
        <v>17040</v>
      </c>
      <c r="H4433" s="6" t="s">
        <v>74</v>
      </c>
      <c r="I4433" s="6" t="n">
        <f aca="false">D4433*F4433</f>
        <v>113.85</v>
      </c>
      <c r="J4433" s="6" t="n">
        <f aca="false">HOUR(E4433)</f>
        <v>15</v>
      </c>
      <c r="K4433" s="6" t="n">
        <f aca="false">IF(COUNTIF($A$2:$A4433,A4433)=1,1,0)</f>
        <v>0</v>
      </c>
    </row>
    <row r="4434" customFormat="false" ht="15" hidden="false" customHeight="false" outlineLevel="0" collapsed="false">
      <c r="A4434" s="0" t="s">
        <v>922</v>
      </c>
      <c r="B4434" s="0" t="s">
        <v>109</v>
      </c>
      <c r="C4434" s="0" t="s">
        <v>110</v>
      </c>
      <c r="D4434" s="0" t="n">
        <v>5</v>
      </c>
      <c r="E4434" s="5" t="n">
        <v>46000.6454398148</v>
      </c>
      <c r="F4434" s="0" t="n">
        <v>0.85</v>
      </c>
      <c r="G4434" s="0" t="n">
        <v>17255</v>
      </c>
      <c r="H4434" s="6" t="s">
        <v>42</v>
      </c>
      <c r="I4434" s="6" t="n">
        <f aca="false">D4434*F4434</f>
        <v>4.25</v>
      </c>
      <c r="J4434" s="6" t="n">
        <f aca="false">HOUR(E4434)</f>
        <v>15</v>
      </c>
      <c r="K4434" s="6" t="n">
        <f aca="false">IF(COUNTIF($A$2:$A4434,A4434)=1,1,0)</f>
        <v>1</v>
      </c>
    </row>
    <row r="4435" customFormat="false" ht="15" hidden="false" customHeight="false" outlineLevel="0" collapsed="false">
      <c r="A4435" s="0" t="s">
        <v>922</v>
      </c>
      <c r="B4435" s="0" t="s">
        <v>134</v>
      </c>
      <c r="C4435" s="0" t="s">
        <v>135</v>
      </c>
      <c r="D4435" s="0" t="n">
        <v>4</v>
      </c>
      <c r="E4435" s="5" t="n">
        <v>46000.6454398148</v>
      </c>
      <c r="F4435" s="0" t="n">
        <v>5.95</v>
      </c>
      <c r="G4435" s="0" t="n">
        <v>17255</v>
      </c>
      <c r="H4435" s="6" t="s">
        <v>42</v>
      </c>
      <c r="I4435" s="6" t="n">
        <f aca="false">D4435*F4435</f>
        <v>23.8</v>
      </c>
      <c r="J4435" s="6" t="n">
        <f aca="false">HOUR(E4435)</f>
        <v>15</v>
      </c>
      <c r="K4435" s="6" t="n">
        <f aca="false">IF(COUNTIF($A$2:$A4435,A4435)=1,1,0)</f>
        <v>0</v>
      </c>
    </row>
    <row r="4436" customFormat="false" ht="15" hidden="false" customHeight="false" outlineLevel="0" collapsed="false">
      <c r="A4436" s="0" t="s">
        <v>922</v>
      </c>
      <c r="B4436" s="0" t="s">
        <v>61</v>
      </c>
      <c r="C4436" s="0" t="s">
        <v>62</v>
      </c>
      <c r="D4436" s="0" t="n">
        <v>4</v>
      </c>
      <c r="E4436" s="5" t="n">
        <v>46000.6454398148</v>
      </c>
      <c r="F4436" s="0" t="n">
        <v>1.65</v>
      </c>
      <c r="G4436" s="0" t="n">
        <v>17255</v>
      </c>
      <c r="H4436" s="6" t="s">
        <v>42</v>
      </c>
      <c r="I4436" s="6" t="n">
        <f aca="false">D4436*F4436</f>
        <v>6.6</v>
      </c>
      <c r="J4436" s="6" t="n">
        <f aca="false">HOUR(E4436)</f>
        <v>15</v>
      </c>
      <c r="K4436" s="6" t="n">
        <f aca="false">IF(COUNTIF($A$2:$A4436,A4436)=1,1,0)</f>
        <v>0</v>
      </c>
    </row>
    <row r="4437" customFormat="false" ht="15" hidden="false" customHeight="false" outlineLevel="0" collapsed="false">
      <c r="A4437" s="0" t="s">
        <v>922</v>
      </c>
      <c r="B4437" s="0" t="s">
        <v>45</v>
      </c>
      <c r="C4437" s="0" t="s">
        <v>46</v>
      </c>
      <c r="D4437" s="0" t="n">
        <v>8</v>
      </c>
      <c r="E4437" s="5" t="n">
        <v>46000.6454398148</v>
      </c>
      <c r="F4437" s="0" t="n">
        <v>2.1</v>
      </c>
      <c r="G4437" s="0" t="n">
        <v>17255</v>
      </c>
      <c r="H4437" s="6" t="s">
        <v>42</v>
      </c>
      <c r="I4437" s="6" t="n">
        <f aca="false">D4437*F4437</f>
        <v>16.8</v>
      </c>
      <c r="J4437" s="6" t="n">
        <f aca="false">HOUR(E4437)</f>
        <v>15</v>
      </c>
      <c r="K4437" s="6" t="n">
        <f aca="false">IF(COUNTIF($A$2:$A4437,A4437)=1,1,0)</f>
        <v>0</v>
      </c>
    </row>
    <row r="4438" customFormat="false" ht="15" hidden="false" customHeight="false" outlineLevel="0" collapsed="false">
      <c r="A4438" s="0" t="s">
        <v>922</v>
      </c>
      <c r="B4438" s="0" t="s">
        <v>145</v>
      </c>
      <c r="C4438" s="0" t="s">
        <v>146</v>
      </c>
      <c r="D4438" s="0" t="n">
        <v>8</v>
      </c>
      <c r="E4438" s="5" t="n">
        <v>46000.6454398148</v>
      </c>
      <c r="F4438" s="0" t="n">
        <v>1.85</v>
      </c>
      <c r="G4438" s="0" t="n">
        <v>17255</v>
      </c>
      <c r="H4438" s="6" t="s">
        <v>42</v>
      </c>
      <c r="I4438" s="6" t="n">
        <f aca="false">D4438*F4438</f>
        <v>14.8</v>
      </c>
      <c r="J4438" s="6" t="n">
        <f aca="false">HOUR(E4438)</f>
        <v>15</v>
      </c>
      <c r="K4438" s="6" t="n">
        <f aca="false">IF(COUNTIF($A$2:$A4438,A4438)=1,1,0)</f>
        <v>0</v>
      </c>
    </row>
    <row r="4439" customFormat="false" ht="15" hidden="false" customHeight="false" outlineLevel="0" collapsed="false">
      <c r="A4439" s="0" t="s">
        <v>922</v>
      </c>
      <c r="B4439" s="0" t="s">
        <v>131</v>
      </c>
      <c r="C4439" s="0" t="s">
        <v>132</v>
      </c>
      <c r="D4439" s="0" t="n">
        <v>21</v>
      </c>
      <c r="E4439" s="5" t="n">
        <v>46000.6454398148</v>
      </c>
      <c r="F4439" s="0" t="n">
        <v>3.39</v>
      </c>
      <c r="G4439" s="0" t="n">
        <v>17255</v>
      </c>
      <c r="H4439" s="6" t="s">
        <v>42</v>
      </c>
      <c r="I4439" s="6" t="n">
        <f aca="false">D4439*F4439</f>
        <v>71.19</v>
      </c>
      <c r="J4439" s="6" t="n">
        <f aca="false">HOUR(E4439)</f>
        <v>15</v>
      </c>
      <c r="K4439" s="6" t="n">
        <f aca="false">IF(COUNTIF($A$2:$A4439,A4439)=1,1,0)</f>
        <v>0</v>
      </c>
    </row>
    <row r="4440" customFormat="false" ht="15" hidden="false" customHeight="false" outlineLevel="0" collapsed="false">
      <c r="A4440" s="0" t="s">
        <v>922</v>
      </c>
      <c r="B4440" s="0" t="s">
        <v>81</v>
      </c>
      <c r="C4440" s="0" t="s">
        <v>82</v>
      </c>
      <c r="D4440" s="0" t="n">
        <v>18</v>
      </c>
      <c r="E4440" s="5" t="n">
        <v>46000.6454398148</v>
      </c>
      <c r="F4440" s="0" t="n">
        <v>1.65</v>
      </c>
      <c r="G4440" s="0" t="n">
        <v>17255</v>
      </c>
      <c r="H4440" s="6" t="s">
        <v>42</v>
      </c>
      <c r="I4440" s="6" t="n">
        <f aca="false">D4440*F4440</f>
        <v>29.7</v>
      </c>
      <c r="J4440" s="6" t="n">
        <f aca="false">HOUR(E4440)</f>
        <v>15</v>
      </c>
      <c r="K4440" s="6" t="n">
        <f aca="false">IF(COUNTIF($A$2:$A4440,A4440)=1,1,0)</f>
        <v>0</v>
      </c>
    </row>
    <row r="4441" customFormat="false" ht="15" hidden="false" customHeight="false" outlineLevel="0" collapsed="false">
      <c r="A4441" s="0" t="s">
        <v>922</v>
      </c>
      <c r="B4441" s="0" t="s">
        <v>65</v>
      </c>
      <c r="C4441" s="0" t="s">
        <v>66</v>
      </c>
      <c r="D4441" s="0" t="n">
        <v>10</v>
      </c>
      <c r="E4441" s="5" t="n">
        <v>46000.6454398148</v>
      </c>
      <c r="F4441" s="0" t="n">
        <v>1.65</v>
      </c>
      <c r="G4441" s="0" t="n">
        <v>17255</v>
      </c>
      <c r="H4441" s="6" t="s">
        <v>42</v>
      </c>
      <c r="I4441" s="6" t="n">
        <f aca="false">D4441*F4441</f>
        <v>16.5</v>
      </c>
      <c r="J4441" s="6" t="n">
        <f aca="false">HOUR(E4441)</f>
        <v>15</v>
      </c>
      <c r="K4441" s="6" t="n">
        <f aca="false">IF(COUNTIF($A$2:$A4441,A4441)=1,1,0)</f>
        <v>0</v>
      </c>
    </row>
    <row r="4442" customFormat="false" ht="15" hidden="false" customHeight="false" outlineLevel="0" collapsed="false">
      <c r="A4442" s="0" t="s">
        <v>923</v>
      </c>
      <c r="B4442" s="0" t="s">
        <v>140</v>
      </c>
      <c r="C4442" s="0" t="s">
        <v>141</v>
      </c>
      <c r="D4442" s="0" t="n">
        <v>9</v>
      </c>
      <c r="E4442" s="5" t="n">
        <v>46000.6937268519</v>
      </c>
      <c r="F4442" s="0" t="n">
        <v>2.08</v>
      </c>
      <c r="G4442" s="0" t="n">
        <v>17200</v>
      </c>
      <c r="H4442" s="6" t="s">
        <v>263</v>
      </c>
      <c r="I4442" s="6" t="n">
        <f aca="false">D4442*F4442</f>
        <v>18.72</v>
      </c>
      <c r="J4442" s="6" t="n">
        <f aca="false">HOUR(E4442)</f>
        <v>16</v>
      </c>
      <c r="K4442" s="6" t="n">
        <f aca="false">IF(COUNTIF($A$2:$A4442,A4442)=1,1,0)</f>
        <v>1</v>
      </c>
    </row>
    <row r="4443" customFormat="false" ht="15" hidden="false" customHeight="false" outlineLevel="0" collapsed="false">
      <c r="A4443" s="0" t="s">
        <v>923</v>
      </c>
      <c r="B4443" s="0" t="s">
        <v>127</v>
      </c>
      <c r="C4443" s="0" t="s">
        <v>128</v>
      </c>
      <c r="D4443" s="0" t="n">
        <v>19</v>
      </c>
      <c r="E4443" s="5" t="n">
        <v>46000.6937268519</v>
      </c>
      <c r="F4443" s="0" t="n">
        <v>1.45</v>
      </c>
      <c r="G4443" s="0" t="n">
        <v>17200</v>
      </c>
      <c r="H4443" s="6" t="s">
        <v>263</v>
      </c>
      <c r="I4443" s="6" t="n">
        <f aca="false">D4443*F4443</f>
        <v>27.55</v>
      </c>
      <c r="J4443" s="6" t="n">
        <f aca="false">HOUR(E4443)</f>
        <v>16</v>
      </c>
      <c r="K4443" s="6" t="n">
        <f aca="false">IF(COUNTIF($A$2:$A4443,A4443)=1,1,0)</f>
        <v>0</v>
      </c>
    </row>
    <row r="4444" customFormat="false" ht="15" hidden="false" customHeight="false" outlineLevel="0" collapsed="false">
      <c r="A4444" s="0" t="s">
        <v>923</v>
      </c>
      <c r="B4444" s="0" t="s">
        <v>57</v>
      </c>
      <c r="C4444" s="0" t="s">
        <v>58</v>
      </c>
      <c r="D4444" s="0" t="n">
        <v>15</v>
      </c>
      <c r="E4444" s="5" t="n">
        <v>46000.6937268519</v>
      </c>
      <c r="F4444" s="0" t="n">
        <v>2.08</v>
      </c>
      <c r="G4444" s="0" t="n">
        <v>17200</v>
      </c>
      <c r="H4444" s="6" t="s">
        <v>263</v>
      </c>
      <c r="I4444" s="6" t="n">
        <f aca="false">D4444*F4444</f>
        <v>31.2</v>
      </c>
      <c r="J4444" s="6" t="n">
        <f aca="false">HOUR(E4444)</f>
        <v>16</v>
      </c>
      <c r="K4444" s="6" t="n">
        <f aca="false">IF(COUNTIF($A$2:$A4444,A4444)=1,1,0)</f>
        <v>0</v>
      </c>
    </row>
    <row r="4445" customFormat="false" ht="15" hidden="false" customHeight="false" outlineLevel="0" collapsed="false">
      <c r="A4445" s="0" t="s">
        <v>923</v>
      </c>
      <c r="B4445" s="0" t="s">
        <v>114</v>
      </c>
      <c r="C4445" s="0" t="s">
        <v>115</v>
      </c>
      <c r="D4445" s="0" t="n">
        <v>1</v>
      </c>
      <c r="E4445" s="5" t="n">
        <v>46000.6937268519</v>
      </c>
      <c r="F4445" s="0" t="n">
        <v>2.08</v>
      </c>
      <c r="G4445" s="0" t="n">
        <v>17200</v>
      </c>
      <c r="H4445" s="6" t="s">
        <v>263</v>
      </c>
      <c r="I4445" s="6" t="n">
        <f aca="false">D4445*F4445</f>
        <v>2.08</v>
      </c>
      <c r="J4445" s="6" t="n">
        <f aca="false">HOUR(E4445)</f>
        <v>16</v>
      </c>
      <c r="K4445" s="6" t="n">
        <f aca="false">IF(COUNTIF($A$2:$A4445,A4445)=1,1,0)</f>
        <v>0</v>
      </c>
    </row>
    <row r="4446" customFormat="false" ht="15" hidden="false" customHeight="false" outlineLevel="0" collapsed="false">
      <c r="A4446" s="0" t="s">
        <v>924</v>
      </c>
      <c r="B4446" s="0" t="s">
        <v>57</v>
      </c>
      <c r="C4446" s="0" t="s">
        <v>58</v>
      </c>
      <c r="D4446" s="0" t="n">
        <v>2</v>
      </c>
      <c r="E4446" s="5" t="n">
        <v>46000.7936689815</v>
      </c>
      <c r="F4446" s="0" t="n">
        <v>2.08</v>
      </c>
      <c r="G4446" s="0" t="n">
        <v>17065</v>
      </c>
      <c r="H4446" s="6" t="s">
        <v>42</v>
      </c>
      <c r="I4446" s="6" t="n">
        <f aca="false">D4446*F4446</f>
        <v>4.16</v>
      </c>
      <c r="J4446" s="6" t="n">
        <f aca="false">HOUR(E4446)</f>
        <v>19</v>
      </c>
      <c r="K4446" s="6" t="n">
        <f aca="false">IF(COUNTIF($A$2:$A4446,A4446)=1,1,0)</f>
        <v>1</v>
      </c>
    </row>
    <row r="4447" customFormat="false" ht="15" hidden="false" customHeight="false" outlineLevel="0" collapsed="false">
      <c r="A4447" s="0" t="s">
        <v>925</v>
      </c>
      <c r="B4447" s="0" t="s">
        <v>57</v>
      </c>
      <c r="C4447" s="0" t="s">
        <v>58</v>
      </c>
      <c r="D4447" s="0" t="n">
        <v>14</v>
      </c>
      <c r="E4447" s="5" t="n">
        <v>46000.8471990741</v>
      </c>
      <c r="F4447" s="0" t="n">
        <v>2.08</v>
      </c>
      <c r="G4447" s="0" t="n">
        <v>17206</v>
      </c>
      <c r="H4447" s="6" t="s">
        <v>74</v>
      </c>
      <c r="I4447" s="6" t="n">
        <f aca="false">D4447*F4447</f>
        <v>29.12</v>
      </c>
      <c r="J4447" s="6" t="n">
        <f aca="false">HOUR(E4447)</f>
        <v>20</v>
      </c>
      <c r="K4447" s="6" t="n">
        <f aca="false">IF(COUNTIF($A$2:$A4447,A4447)=1,1,0)</f>
        <v>1</v>
      </c>
    </row>
    <row r="4448" customFormat="false" ht="15" hidden="false" customHeight="false" outlineLevel="0" collapsed="false">
      <c r="A4448" s="0" t="s">
        <v>926</v>
      </c>
      <c r="B4448" s="0" t="s">
        <v>53</v>
      </c>
      <c r="C4448" s="0" t="s">
        <v>54</v>
      </c>
      <c r="D4448" s="0" t="n">
        <v>8</v>
      </c>
      <c r="E4448" s="5" t="n">
        <v>46000.9088657407</v>
      </c>
      <c r="F4448" s="0" t="n">
        <v>2.95</v>
      </c>
      <c r="G4448" s="0" t="n">
        <v>17191</v>
      </c>
      <c r="H4448" s="6" t="s">
        <v>52</v>
      </c>
      <c r="I4448" s="6" t="n">
        <f aca="false">D4448*F4448</f>
        <v>23.6</v>
      </c>
      <c r="J4448" s="6" t="n">
        <f aca="false">HOUR(E4448)</f>
        <v>21</v>
      </c>
      <c r="K4448" s="6" t="n">
        <f aca="false">IF(COUNTIF($A$2:$A4448,A4448)=1,1,0)</f>
        <v>1</v>
      </c>
    </row>
    <row r="4449" customFormat="false" ht="15" hidden="false" customHeight="false" outlineLevel="0" collapsed="false">
      <c r="A4449" s="0" t="s">
        <v>926</v>
      </c>
      <c r="B4449" s="0" t="s">
        <v>99</v>
      </c>
      <c r="C4449" s="0" t="s">
        <v>100</v>
      </c>
      <c r="D4449" s="0" t="n">
        <v>16</v>
      </c>
      <c r="E4449" s="5" t="n">
        <v>46000.9088657407</v>
      </c>
      <c r="F4449" s="0" t="n">
        <v>2.08</v>
      </c>
      <c r="G4449" s="0" t="n">
        <v>17191</v>
      </c>
      <c r="H4449" s="6" t="s">
        <v>52</v>
      </c>
      <c r="I4449" s="6" t="n">
        <f aca="false">D4449*F4449</f>
        <v>33.28</v>
      </c>
      <c r="J4449" s="6" t="n">
        <f aca="false">HOUR(E4449)</f>
        <v>21</v>
      </c>
      <c r="K4449" s="6" t="n">
        <f aca="false">IF(COUNTIF($A$2:$A4449,A4449)=1,1,0)</f>
        <v>0</v>
      </c>
    </row>
    <row r="4450" customFormat="false" ht="15" hidden="false" customHeight="false" outlineLevel="0" collapsed="false">
      <c r="A4450" s="0" t="s">
        <v>926</v>
      </c>
      <c r="B4450" s="0" t="s">
        <v>75</v>
      </c>
      <c r="C4450" s="0" t="s">
        <v>76</v>
      </c>
      <c r="D4450" s="0" t="n">
        <v>8</v>
      </c>
      <c r="E4450" s="5" t="n">
        <v>46000.9088657407</v>
      </c>
      <c r="F4450" s="0" t="n">
        <v>3.39</v>
      </c>
      <c r="G4450" s="0" t="n">
        <v>17191</v>
      </c>
      <c r="H4450" s="6" t="s">
        <v>52</v>
      </c>
      <c r="I4450" s="6" t="n">
        <f aca="false">D4450*F4450</f>
        <v>27.12</v>
      </c>
      <c r="J4450" s="6" t="n">
        <f aca="false">HOUR(E4450)</f>
        <v>21</v>
      </c>
      <c r="K4450" s="6" t="n">
        <f aca="false">IF(COUNTIF($A$2:$A4450,A4450)=1,1,0)</f>
        <v>0</v>
      </c>
    </row>
    <row r="4451" customFormat="false" ht="15" hidden="false" customHeight="false" outlineLevel="0" collapsed="false">
      <c r="A4451" s="0" t="s">
        <v>926</v>
      </c>
      <c r="B4451" s="0" t="s">
        <v>59</v>
      </c>
      <c r="C4451" s="0" t="s">
        <v>60</v>
      </c>
      <c r="D4451" s="0" t="n">
        <v>11</v>
      </c>
      <c r="E4451" s="5" t="n">
        <v>46000.9088657407</v>
      </c>
      <c r="F4451" s="0" t="n">
        <v>0.42</v>
      </c>
      <c r="G4451" s="0" t="n">
        <v>17191</v>
      </c>
      <c r="H4451" s="6" t="s">
        <v>52</v>
      </c>
      <c r="I4451" s="6" t="n">
        <f aca="false">D4451*F4451</f>
        <v>4.62</v>
      </c>
      <c r="J4451" s="6" t="n">
        <f aca="false">HOUR(E4451)</f>
        <v>21</v>
      </c>
      <c r="K4451" s="6" t="n">
        <f aca="false">IF(COUNTIF($A$2:$A4451,A4451)=1,1,0)</f>
        <v>0</v>
      </c>
    </row>
    <row r="4452" customFormat="false" ht="15" hidden="false" customHeight="false" outlineLevel="0" collapsed="false">
      <c r="A4452" s="0" t="s">
        <v>926</v>
      </c>
      <c r="B4452" s="0" t="s">
        <v>63</v>
      </c>
      <c r="C4452" s="0" t="s">
        <v>64</v>
      </c>
      <c r="D4452" s="0" t="n">
        <v>21</v>
      </c>
      <c r="E4452" s="5" t="n">
        <v>46000.9088657407</v>
      </c>
      <c r="F4452" s="0" t="n">
        <v>1.85</v>
      </c>
      <c r="G4452" s="0" t="n">
        <v>17191</v>
      </c>
      <c r="H4452" s="6" t="s">
        <v>52</v>
      </c>
      <c r="I4452" s="6" t="n">
        <f aca="false">D4452*F4452</f>
        <v>38.85</v>
      </c>
      <c r="J4452" s="6" t="n">
        <f aca="false">HOUR(E4452)</f>
        <v>21</v>
      </c>
      <c r="K4452" s="6" t="n">
        <f aca="false">IF(COUNTIF($A$2:$A4452,A4452)=1,1,0)</f>
        <v>0</v>
      </c>
    </row>
    <row r="4453" customFormat="false" ht="15" hidden="false" customHeight="false" outlineLevel="0" collapsed="false">
      <c r="A4453" s="0" t="s">
        <v>926</v>
      </c>
      <c r="B4453" s="0" t="s">
        <v>134</v>
      </c>
      <c r="C4453" s="0" t="s">
        <v>135</v>
      </c>
      <c r="D4453" s="0" t="n">
        <v>1</v>
      </c>
      <c r="E4453" s="5" t="n">
        <v>46000.9088657407</v>
      </c>
      <c r="F4453" s="0" t="n">
        <v>5.95</v>
      </c>
      <c r="G4453" s="0" t="n">
        <v>17191</v>
      </c>
      <c r="H4453" s="6" t="s">
        <v>52</v>
      </c>
      <c r="I4453" s="6" t="n">
        <f aca="false">D4453*F4453</f>
        <v>5.95</v>
      </c>
      <c r="J4453" s="6" t="n">
        <f aca="false">HOUR(E4453)</f>
        <v>21</v>
      </c>
      <c r="K4453" s="6" t="n">
        <f aca="false">IF(COUNTIF($A$2:$A4453,A4453)=1,1,0)</f>
        <v>0</v>
      </c>
    </row>
    <row r="4454" customFormat="false" ht="15" hidden="false" customHeight="false" outlineLevel="0" collapsed="false">
      <c r="A4454" s="0" t="s">
        <v>926</v>
      </c>
      <c r="B4454" s="0" t="s">
        <v>79</v>
      </c>
      <c r="C4454" s="0" t="s">
        <v>80</v>
      </c>
      <c r="D4454" s="0" t="n">
        <v>5</v>
      </c>
      <c r="E4454" s="5" t="n">
        <v>46000.9088657407</v>
      </c>
      <c r="F4454" s="0" t="n">
        <v>3.39</v>
      </c>
      <c r="G4454" s="0" t="n">
        <v>17191</v>
      </c>
      <c r="H4454" s="6" t="s">
        <v>52</v>
      </c>
      <c r="I4454" s="6" t="n">
        <f aca="false">D4454*F4454</f>
        <v>16.95</v>
      </c>
      <c r="J4454" s="6" t="n">
        <f aca="false">HOUR(E4454)</f>
        <v>21</v>
      </c>
      <c r="K4454" s="6" t="n">
        <f aca="false">IF(COUNTIF($A$2:$A4454,A4454)=1,1,0)</f>
        <v>0</v>
      </c>
    </row>
    <row r="4455" customFormat="false" ht="15" hidden="false" customHeight="false" outlineLevel="0" collapsed="false">
      <c r="A4455" s="0" t="s">
        <v>926</v>
      </c>
      <c r="B4455" s="0" t="s">
        <v>104</v>
      </c>
      <c r="C4455" s="0" t="s">
        <v>105</v>
      </c>
      <c r="D4455" s="0" t="n">
        <v>3</v>
      </c>
      <c r="E4455" s="5" t="n">
        <v>46000.9088657407</v>
      </c>
      <c r="F4455" s="0" t="n">
        <v>1.65</v>
      </c>
      <c r="G4455" s="0" t="n">
        <v>17191</v>
      </c>
      <c r="H4455" s="6" t="s">
        <v>52</v>
      </c>
      <c r="I4455" s="6" t="n">
        <f aca="false">D4455*F4455</f>
        <v>4.95</v>
      </c>
      <c r="J4455" s="6" t="n">
        <f aca="false">HOUR(E4455)</f>
        <v>21</v>
      </c>
      <c r="K4455" s="6" t="n">
        <f aca="false">IF(COUNTIF($A$2:$A4455,A4455)=1,1,0)</f>
        <v>0</v>
      </c>
    </row>
    <row r="4456" customFormat="false" ht="15" hidden="false" customHeight="false" outlineLevel="0" collapsed="false">
      <c r="A4456" s="0" t="s">
        <v>927</v>
      </c>
      <c r="B4456" s="0" t="s">
        <v>93</v>
      </c>
      <c r="C4456" s="0" t="s">
        <v>94</v>
      </c>
      <c r="D4456" s="0" t="n">
        <v>10</v>
      </c>
      <c r="E4456" s="5" t="n">
        <v>46001.3875462963</v>
      </c>
      <c r="F4456" s="0" t="n">
        <v>1.69</v>
      </c>
      <c r="G4456" s="0" t="n">
        <v>17143</v>
      </c>
      <c r="H4456" s="6" t="s">
        <v>113</v>
      </c>
      <c r="I4456" s="6" t="n">
        <f aca="false">D4456*F4456</f>
        <v>16.9</v>
      </c>
      <c r="J4456" s="6" t="n">
        <f aca="false">HOUR(E4456)</f>
        <v>9</v>
      </c>
      <c r="K4456" s="6" t="n">
        <f aca="false">IF(COUNTIF($A$2:$A4456,A4456)=1,1,0)</f>
        <v>1</v>
      </c>
    </row>
    <row r="4457" customFormat="false" ht="15" hidden="false" customHeight="false" outlineLevel="0" collapsed="false">
      <c r="A4457" s="0" t="s">
        <v>927</v>
      </c>
      <c r="B4457" s="0" t="s">
        <v>99</v>
      </c>
      <c r="C4457" s="0" t="s">
        <v>100</v>
      </c>
      <c r="D4457" s="0" t="n">
        <v>11</v>
      </c>
      <c r="E4457" s="5" t="n">
        <v>46001.3875462963</v>
      </c>
      <c r="F4457" s="0" t="n">
        <v>2.08</v>
      </c>
      <c r="G4457" s="0" t="n">
        <v>17143</v>
      </c>
      <c r="H4457" s="6" t="s">
        <v>113</v>
      </c>
      <c r="I4457" s="6" t="n">
        <f aca="false">D4457*F4457</f>
        <v>22.88</v>
      </c>
      <c r="J4457" s="6" t="n">
        <f aca="false">HOUR(E4457)</f>
        <v>9</v>
      </c>
      <c r="K4457" s="6" t="n">
        <f aca="false">IF(COUNTIF($A$2:$A4457,A4457)=1,1,0)</f>
        <v>0</v>
      </c>
    </row>
    <row r="4458" customFormat="false" ht="15" hidden="false" customHeight="false" outlineLevel="0" collapsed="false">
      <c r="A4458" s="0" t="s">
        <v>927</v>
      </c>
      <c r="B4458" s="0" t="s">
        <v>72</v>
      </c>
      <c r="C4458" s="0" t="s">
        <v>73</v>
      </c>
      <c r="D4458" s="0" t="n">
        <v>26</v>
      </c>
      <c r="E4458" s="5" t="n">
        <v>46001.3875462963</v>
      </c>
      <c r="F4458" s="0" t="n">
        <v>4.95</v>
      </c>
      <c r="G4458" s="0" t="n">
        <v>17143</v>
      </c>
      <c r="H4458" s="6" t="s">
        <v>113</v>
      </c>
      <c r="I4458" s="6" t="n">
        <f aca="false">D4458*F4458</f>
        <v>128.7</v>
      </c>
      <c r="J4458" s="6" t="n">
        <f aca="false">HOUR(E4458)</f>
        <v>9</v>
      </c>
      <c r="K4458" s="6" t="n">
        <f aca="false">IF(COUNTIF($A$2:$A4458,A4458)=1,1,0)</f>
        <v>0</v>
      </c>
    </row>
    <row r="4459" customFormat="false" ht="15" hidden="false" customHeight="false" outlineLevel="0" collapsed="false">
      <c r="A4459" s="0" t="s">
        <v>927</v>
      </c>
      <c r="B4459" s="0" t="s">
        <v>118</v>
      </c>
      <c r="C4459" s="0" t="s">
        <v>119</v>
      </c>
      <c r="D4459" s="0" t="n">
        <v>44</v>
      </c>
      <c r="E4459" s="5" t="n">
        <v>46001.3875462963</v>
      </c>
      <c r="F4459" s="0" t="n">
        <v>4.95</v>
      </c>
      <c r="G4459" s="0" t="n">
        <v>17143</v>
      </c>
      <c r="H4459" s="6" t="s">
        <v>113</v>
      </c>
      <c r="I4459" s="6" t="n">
        <f aca="false">D4459*F4459</f>
        <v>217.8</v>
      </c>
      <c r="J4459" s="6" t="n">
        <f aca="false">HOUR(E4459)</f>
        <v>9</v>
      </c>
      <c r="K4459" s="6" t="n">
        <f aca="false">IF(COUNTIF($A$2:$A4459,A4459)=1,1,0)</f>
        <v>0</v>
      </c>
    </row>
    <row r="4460" customFormat="false" ht="15" hidden="false" customHeight="false" outlineLevel="0" collapsed="false">
      <c r="A4460" s="0" t="s">
        <v>927</v>
      </c>
      <c r="B4460" s="0" t="s">
        <v>86</v>
      </c>
      <c r="C4460" s="0" t="s">
        <v>87</v>
      </c>
      <c r="D4460" s="0" t="n">
        <v>16</v>
      </c>
      <c r="E4460" s="5" t="n">
        <v>46001.3875462963</v>
      </c>
      <c r="F4460" s="0" t="n">
        <v>4.25</v>
      </c>
      <c r="G4460" s="0" t="n">
        <v>17143</v>
      </c>
      <c r="H4460" s="6" t="s">
        <v>113</v>
      </c>
      <c r="I4460" s="6" t="n">
        <f aca="false">D4460*F4460</f>
        <v>68</v>
      </c>
      <c r="J4460" s="6" t="n">
        <f aca="false">HOUR(E4460)</f>
        <v>9</v>
      </c>
      <c r="K4460" s="6" t="n">
        <f aca="false">IF(COUNTIF($A$2:$A4460,A4460)=1,1,0)</f>
        <v>0</v>
      </c>
    </row>
    <row r="4461" customFormat="false" ht="15" hidden="false" customHeight="false" outlineLevel="0" collapsed="false">
      <c r="A4461" s="0" t="s">
        <v>927</v>
      </c>
      <c r="B4461" s="0" t="s">
        <v>145</v>
      </c>
      <c r="C4461" s="0" t="s">
        <v>146</v>
      </c>
      <c r="D4461" s="0" t="n">
        <v>23</v>
      </c>
      <c r="E4461" s="5" t="n">
        <v>46001.3875462963</v>
      </c>
      <c r="F4461" s="0" t="n">
        <v>1.85</v>
      </c>
      <c r="G4461" s="0" t="n">
        <v>17143</v>
      </c>
      <c r="H4461" s="6" t="s">
        <v>113</v>
      </c>
      <c r="I4461" s="6" t="n">
        <f aca="false">D4461*F4461</f>
        <v>42.55</v>
      </c>
      <c r="J4461" s="6" t="n">
        <f aca="false">HOUR(E4461)</f>
        <v>9</v>
      </c>
      <c r="K4461" s="6" t="n">
        <f aca="false">IF(COUNTIF($A$2:$A4461,A4461)=1,1,0)</f>
        <v>0</v>
      </c>
    </row>
    <row r="4462" customFormat="false" ht="15" hidden="false" customHeight="false" outlineLevel="0" collapsed="false">
      <c r="A4462" s="0" t="s">
        <v>927</v>
      </c>
      <c r="B4462" s="0" t="s">
        <v>63</v>
      </c>
      <c r="C4462" s="0" t="s">
        <v>64</v>
      </c>
      <c r="D4462" s="0" t="n">
        <v>2</v>
      </c>
      <c r="E4462" s="5" t="n">
        <v>46001.3875462963</v>
      </c>
      <c r="F4462" s="0" t="n">
        <v>1.85</v>
      </c>
      <c r="G4462" s="0" t="n">
        <v>17143</v>
      </c>
      <c r="H4462" s="6" t="s">
        <v>113</v>
      </c>
      <c r="I4462" s="6" t="n">
        <f aca="false">D4462*F4462</f>
        <v>3.7</v>
      </c>
      <c r="J4462" s="6" t="n">
        <f aca="false">HOUR(E4462)</f>
        <v>9</v>
      </c>
      <c r="K4462" s="6" t="n">
        <f aca="false">IF(COUNTIF($A$2:$A4462,A4462)=1,1,0)</f>
        <v>0</v>
      </c>
    </row>
    <row r="4463" customFormat="false" ht="15" hidden="false" customHeight="false" outlineLevel="0" collapsed="false">
      <c r="A4463" s="0" t="s">
        <v>927</v>
      </c>
      <c r="B4463" s="0" t="s">
        <v>116</v>
      </c>
      <c r="C4463" s="0" t="s">
        <v>117</v>
      </c>
      <c r="D4463" s="0" t="n">
        <v>13</v>
      </c>
      <c r="E4463" s="5" t="n">
        <v>46001.3875462963</v>
      </c>
      <c r="F4463" s="0" t="n">
        <v>1.95</v>
      </c>
      <c r="G4463" s="0" t="n">
        <v>17143</v>
      </c>
      <c r="H4463" s="6" t="s">
        <v>113</v>
      </c>
      <c r="I4463" s="6" t="n">
        <f aca="false">D4463*F4463</f>
        <v>25.35</v>
      </c>
      <c r="J4463" s="6" t="n">
        <f aca="false">HOUR(E4463)</f>
        <v>9</v>
      </c>
      <c r="K4463" s="6" t="n">
        <f aca="false">IF(COUNTIF($A$2:$A4463,A4463)=1,1,0)</f>
        <v>0</v>
      </c>
    </row>
    <row r="4464" customFormat="false" ht="15" hidden="false" customHeight="false" outlineLevel="0" collapsed="false">
      <c r="A4464" s="0" t="s">
        <v>927</v>
      </c>
      <c r="B4464" s="0" t="s">
        <v>77</v>
      </c>
      <c r="C4464" s="0" t="s">
        <v>78</v>
      </c>
      <c r="D4464" s="0" t="n">
        <v>20</v>
      </c>
      <c r="E4464" s="5" t="n">
        <v>46001.3875462963</v>
      </c>
      <c r="F4464" s="0" t="n">
        <v>1.65</v>
      </c>
      <c r="G4464" s="0" t="n">
        <v>17143</v>
      </c>
      <c r="H4464" s="6" t="s">
        <v>113</v>
      </c>
      <c r="I4464" s="6" t="n">
        <f aca="false">D4464*F4464</f>
        <v>33</v>
      </c>
      <c r="J4464" s="6" t="n">
        <f aca="false">HOUR(E4464)</f>
        <v>9</v>
      </c>
      <c r="K4464" s="6" t="n">
        <f aca="false">IF(COUNTIF($A$2:$A4464,A4464)=1,1,0)</f>
        <v>0</v>
      </c>
    </row>
    <row r="4465" customFormat="false" ht="15" hidden="false" customHeight="false" outlineLevel="0" collapsed="false">
      <c r="A4465" s="0" t="s">
        <v>927</v>
      </c>
      <c r="B4465" s="0" t="s">
        <v>125</v>
      </c>
      <c r="C4465" s="0" t="s">
        <v>126</v>
      </c>
      <c r="D4465" s="0" t="n">
        <v>17</v>
      </c>
      <c r="E4465" s="5" t="n">
        <v>46001.3875462963</v>
      </c>
      <c r="F4465" s="0" t="n">
        <v>1.25</v>
      </c>
      <c r="G4465" s="0" t="n">
        <v>17143</v>
      </c>
      <c r="H4465" s="6" t="s">
        <v>113</v>
      </c>
      <c r="I4465" s="6" t="n">
        <f aca="false">D4465*F4465</f>
        <v>21.25</v>
      </c>
      <c r="J4465" s="6" t="n">
        <f aca="false">HOUR(E4465)</f>
        <v>9</v>
      </c>
      <c r="K4465" s="6" t="n">
        <f aca="false">IF(COUNTIF($A$2:$A4465,A4465)=1,1,0)</f>
        <v>0</v>
      </c>
    </row>
    <row r="4466" customFormat="false" ht="15" hidden="false" customHeight="false" outlineLevel="0" collapsed="false">
      <c r="A4466" s="0" t="s">
        <v>928</v>
      </c>
      <c r="B4466" s="0" t="s">
        <v>121</v>
      </c>
      <c r="C4466" s="0" t="s">
        <v>122</v>
      </c>
      <c r="D4466" s="0" t="n">
        <v>13</v>
      </c>
      <c r="E4466" s="5" t="n">
        <v>46001.4032407407</v>
      </c>
      <c r="F4466" s="0" t="n">
        <v>2.1</v>
      </c>
      <c r="G4466" s="0" t="n">
        <v>17065</v>
      </c>
      <c r="H4466" s="6" t="s">
        <v>74</v>
      </c>
      <c r="I4466" s="6" t="n">
        <f aca="false">D4466*F4466</f>
        <v>27.3</v>
      </c>
      <c r="J4466" s="6" t="n">
        <f aca="false">HOUR(E4466)</f>
        <v>9</v>
      </c>
      <c r="K4466" s="6" t="n">
        <f aca="false">IF(COUNTIF($A$2:$A4466,A4466)=1,1,0)</f>
        <v>1</v>
      </c>
    </row>
    <row r="4467" customFormat="false" ht="15" hidden="false" customHeight="false" outlineLevel="0" collapsed="false">
      <c r="A4467" s="0" t="s">
        <v>928</v>
      </c>
      <c r="B4467" s="0" t="s">
        <v>72</v>
      </c>
      <c r="C4467" s="0" t="s">
        <v>73</v>
      </c>
      <c r="D4467" s="0" t="n">
        <v>32</v>
      </c>
      <c r="E4467" s="5" t="n">
        <v>46001.4032407407</v>
      </c>
      <c r="F4467" s="0" t="n">
        <v>4.95</v>
      </c>
      <c r="G4467" s="0" t="n">
        <v>17065</v>
      </c>
      <c r="H4467" s="6" t="s">
        <v>74</v>
      </c>
      <c r="I4467" s="6" t="n">
        <f aca="false">D4467*F4467</f>
        <v>158.4</v>
      </c>
      <c r="J4467" s="6" t="n">
        <f aca="false">HOUR(E4467)</f>
        <v>9</v>
      </c>
      <c r="K4467" s="6" t="n">
        <f aca="false">IF(COUNTIF($A$2:$A4467,A4467)=1,1,0)</f>
        <v>0</v>
      </c>
    </row>
    <row r="4468" customFormat="false" ht="15" hidden="false" customHeight="false" outlineLevel="0" collapsed="false">
      <c r="A4468" s="0" t="s">
        <v>928</v>
      </c>
      <c r="B4468" s="0" t="s">
        <v>114</v>
      </c>
      <c r="C4468" s="0" t="s">
        <v>115</v>
      </c>
      <c r="D4468" s="0" t="n">
        <v>24</v>
      </c>
      <c r="E4468" s="5" t="n">
        <v>46001.4032407407</v>
      </c>
      <c r="F4468" s="0" t="n">
        <v>2.08</v>
      </c>
      <c r="G4468" s="0" t="n">
        <v>17065</v>
      </c>
      <c r="H4468" s="6" t="s">
        <v>74</v>
      </c>
      <c r="I4468" s="6" t="n">
        <f aca="false">D4468*F4468</f>
        <v>49.92</v>
      </c>
      <c r="J4468" s="6" t="n">
        <f aca="false">HOUR(E4468)</f>
        <v>9</v>
      </c>
      <c r="K4468" s="6" t="n">
        <f aca="false">IF(COUNTIF($A$2:$A4468,A4468)=1,1,0)</f>
        <v>0</v>
      </c>
    </row>
    <row r="4469" customFormat="false" ht="15" hidden="false" customHeight="false" outlineLevel="0" collapsed="false">
      <c r="A4469" s="0" t="s">
        <v>928</v>
      </c>
      <c r="B4469" s="0" t="s">
        <v>40</v>
      </c>
      <c r="C4469" s="0" t="s">
        <v>41</v>
      </c>
      <c r="D4469" s="0" t="n">
        <v>1</v>
      </c>
      <c r="E4469" s="5" t="n">
        <v>46001.4032407407</v>
      </c>
      <c r="F4469" s="0" t="n">
        <v>1.06</v>
      </c>
      <c r="G4469" s="0" t="n">
        <v>17065</v>
      </c>
      <c r="H4469" s="6" t="s">
        <v>74</v>
      </c>
      <c r="I4469" s="6" t="n">
        <f aca="false">D4469*F4469</f>
        <v>1.06</v>
      </c>
      <c r="J4469" s="6" t="n">
        <f aca="false">HOUR(E4469)</f>
        <v>9</v>
      </c>
      <c r="K4469" s="6" t="n">
        <f aca="false">IF(COUNTIF($A$2:$A4469,A4469)=1,1,0)</f>
        <v>0</v>
      </c>
    </row>
    <row r="4470" customFormat="false" ht="15" hidden="false" customHeight="false" outlineLevel="0" collapsed="false">
      <c r="A4470" s="0" t="s">
        <v>928</v>
      </c>
      <c r="B4470" s="0" t="s">
        <v>83</v>
      </c>
      <c r="C4470" s="0" t="s">
        <v>84</v>
      </c>
      <c r="D4470" s="0" t="n">
        <v>11</v>
      </c>
      <c r="E4470" s="5" t="n">
        <v>46001.4032407407</v>
      </c>
      <c r="F4470" s="0" t="n">
        <v>2.95</v>
      </c>
      <c r="G4470" s="0" t="n">
        <v>17065</v>
      </c>
      <c r="H4470" s="6" t="s">
        <v>74</v>
      </c>
      <c r="I4470" s="6" t="n">
        <f aca="false">D4470*F4470</f>
        <v>32.45</v>
      </c>
      <c r="J4470" s="6" t="n">
        <f aca="false">HOUR(E4470)</f>
        <v>9</v>
      </c>
      <c r="K4470" s="6" t="n">
        <f aca="false">IF(COUNTIF($A$2:$A4470,A4470)=1,1,0)</f>
        <v>0</v>
      </c>
    </row>
    <row r="4471" customFormat="false" ht="15" hidden="false" customHeight="false" outlineLevel="0" collapsed="false">
      <c r="A4471" s="0" t="s">
        <v>928</v>
      </c>
      <c r="B4471" s="0" t="s">
        <v>104</v>
      </c>
      <c r="C4471" s="0" t="s">
        <v>105</v>
      </c>
      <c r="D4471" s="0" t="n">
        <v>8</v>
      </c>
      <c r="E4471" s="5" t="n">
        <v>46001.4032407407</v>
      </c>
      <c r="F4471" s="0" t="n">
        <v>1.65</v>
      </c>
      <c r="G4471" s="0" t="n">
        <v>17065</v>
      </c>
      <c r="H4471" s="6" t="s">
        <v>74</v>
      </c>
      <c r="I4471" s="6" t="n">
        <f aca="false">D4471*F4471</f>
        <v>13.2</v>
      </c>
      <c r="J4471" s="6" t="n">
        <f aca="false">HOUR(E4471)</f>
        <v>9</v>
      </c>
      <c r="K4471" s="6" t="n">
        <f aca="false">IF(COUNTIF($A$2:$A4471,A4471)=1,1,0)</f>
        <v>0</v>
      </c>
    </row>
    <row r="4472" customFormat="false" ht="15" hidden="false" customHeight="false" outlineLevel="0" collapsed="false">
      <c r="A4472" s="0" t="s">
        <v>928</v>
      </c>
      <c r="B4472" s="0" t="s">
        <v>75</v>
      </c>
      <c r="C4472" s="0" t="s">
        <v>76</v>
      </c>
      <c r="D4472" s="0" t="n">
        <v>14</v>
      </c>
      <c r="E4472" s="5" t="n">
        <v>46001.4032407407</v>
      </c>
      <c r="F4472" s="0" t="n">
        <v>3.39</v>
      </c>
      <c r="G4472" s="0" t="n">
        <v>17065</v>
      </c>
      <c r="H4472" s="6" t="s">
        <v>74</v>
      </c>
      <c r="I4472" s="6" t="n">
        <f aca="false">D4472*F4472</f>
        <v>47.46</v>
      </c>
      <c r="J4472" s="6" t="n">
        <f aca="false">HOUR(E4472)</f>
        <v>9</v>
      </c>
      <c r="K4472" s="6" t="n">
        <f aca="false">IF(COUNTIF($A$2:$A4472,A4472)=1,1,0)</f>
        <v>0</v>
      </c>
    </row>
    <row r="4473" customFormat="false" ht="15" hidden="false" customHeight="false" outlineLevel="0" collapsed="false">
      <c r="A4473" s="0" t="s">
        <v>928</v>
      </c>
      <c r="B4473" s="0" t="s">
        <v>93</v>
      </c>
      <c r="C4473" s="0" t="s">
        <v>94</v>
      </c>
      <c r="D4473" s="0" t="n">
        <v>9</v>
      </c>
      <c r="E4473" s="5" t="n">
        <v>46001.4032407407</v>
      </c>
      <c r="F4473" s="0" t="n">
        <v>1.69</v>
      </c>
      <c r="G4473" s="0" t="n">
        <v>17065</v>
      </c>
      <c r="H4473" s="6" t="s">
        <v>74</v>
      </c>
      <c r="I4473" s="6" t="n">
        <f aca="false">D4473*F4473</f>
        <v>15.21</v>
      </c>
      <c r="J4473" s="6" t="n">
        <f aca="false">HOUR(E4473)</f>
        <v>9</v>
      </c>
      <c r="K4473" s="6" t="n">
        <f aca="false">IF(COUNTIF($A$2:$A4473,A4473)=1,1,0)</f>
        <v>0</v>
      </c>
    </row>
    <row r="4474" customFormat="false" ht="15" hidden="false" customHeight="false" outlineLevel="0" collapsed="false">
      <c r="A4474" s="0" t="s">
        <v>928</v>
      </c>
      <c r="B4474" s="0" t="s">
        <v>43</v>
      </c>
      <c r="C4474" s="0" t="s">
        <v>44</v>
      </c>
      <c r="D4474" s="0" t="n">
        <v>5</v>
      </c>
      <c r="E4474" s="5" t="n">
        <v>46001.4032407407</v>
      </c>
      <c r="F4474" s="0" t="n">
        <v>4.25</v>
      </c>
      <c r="G4474" s="0" t="n">
        <v>17065</v>
      </c>
      <c r="H4474" s="6" t="s">
        <v>74</v>
      </c>
      <c r="I4474" s="6" t="n">
        <f aca="false">D4474*F4474</f>
        <v>21.25</v>
      </c>
      <c r="J4474" s="6" t="n">
        <f aca="false">HOUR(E4474)</f>
        <v>9</v>
      </c>
      <c r="K4474" s="6" t="n">
        <f aca="false">IF(COUNTIF($A$2:$A4474,A4474)=1,1,0)</f>
        <v>0</v>
      </c>
    </row>
    <row r="4475" customFormat="false" ht="15" hidden="false" customHeight="false" outlineLevel="0" collapsed="false">
      <c r="A4475" s="0" t="s">
        <v>929</v>
      </c>
      <c r="B4475" s="0" t="s">
        <v>102</v>
      </c>
      <c r="C4475" s="0" t="s">
        <v>103</v>
      </c>
      <c r="D4475" s="0" t="n">
        <v>16</v>
      </c>
      <c r="E4475" s="5" t="n">
        <v>46001.4411342593</v>
      </c>
      <c r="F4475" s="0" t="n">
        <v>8.5</v>
      </c>
      <c r="G4475" s="0" t="n">
        <v>17235</v>
      </c>
      <c r="H4475" s="6" t="s">
        <v>74</v>
      </c>
      <c r="I4475" s="6" t="n">
        <f aca="false">D4475*F4475</f>
        <v>136</v>
      </c>
      <c r="J4475" s="6" t="n">
        <f aca="false">HOUR(E4475)</f>
        <v>10</v>
      </c>
      <c r="K4475" s="6" t="n">
        <f aca="false">IF(COUNTIF($A$2:$A4475,A4475)=1,1,0)</f>
        <v>1</v>
      </c>
    </row>
    <row r="4476" customFormat="false" ht="15" hidden="false" customHeight="false" outlineLevel="0" collapsed="false">
      <c r="A4476" s="0" t="s">
        <v>929</v>
      </c>
      <c r="B4476" s="0" t="s">
        <v>69</v>
      </c>
      <c r="C4476" s="0" t="s">
        <v>70</v>
      </c>
      <c r="D4476" s="0" t="n">
        <v>43</v>
      </c>
      <c r="E4476" s="5" t="n">
        <v>46001.4411342593</v>
      </c>
      <c r="F4476" s="0" t="n">
        <v>2.08</v>
      </c>
      <c r="G4476" s="0" t="n">
        <v>17235</v>
      </c>
      <c r="H4476" s="6" t="s">
        <v>74</v>
      </c>
      <c r="I4476" s="6" t="n">
        <f aca="false">D4476*F4476</f>
        <v>89.44</v>
      </c>
      <c r="J4476" s="6" t="n">
        <f aca="false">HOUR(E4476)</f>
        <v>10</v>
      </c>
      <c r="K4476" s="6" t="n">
        <f aca="false">IF(COUNTIF($A$2:$A4476,A4476)=1,1,0)</f>
        <v>0</v>
      </c>
    </row>
    <row r="4477" customFormat="false" ht="15" hidden="false" customHeight="false" outlineLevel="0" collapsed="false">
      <c r="A4477" s="0" t="s">
        <v>929</v>
      </c>
      <c r="B4477" s="0" t="s">
        <v>53</v>
      </c>
      <c r="C4477" s="0" t="s">
        <v>54</v>
      </c>
      <c r="D4477" s="0" t="n">
        <v>21</v>
      </c>
      <c r="E4477" s="5" t="n">
        <v>46001.4411342593</v>
      </c>
      <c r="F4477" s="0" t="n">
        <v>2.95</v>
      </c>
      <c r="G4477" s="0" t="n">
        <v>17235</v>
      </c>
      <c r="H4477" s="6" t="s">
        <v>74</v>
      </c>
      <c r="I4477" s="6" t="n">
        <f aca="false">D4477*F4477</f>
        <v>61.95</v>
      </c>
      <c r="J4477" s="6" t="n">
        <f aca="false">HOUR(E4477)</f>
        <v>10</v>
      </c>
      <c r="K4477" s="6" t="n">
        <f aca="false">IF(COUNTIF($A$2:$A4477,A4477)=1,1,0)</f>
        <v>0</v>
      </c>
    </row>
    <row r="4478" customFormat="false" ht="15" hidden="false" customHeight="false" outlineLevel="0" collapsed="false">
      <c r="A4478" s="0" t="s">
        <v>929</v>
      </c>
      <c r="B4478" s="0" t="s">
        <v>72</v>
      </c>
      <c r="C4478" s="0" t="s">
        <v>73</v>
      </c>
      <c r="D4478" s="0" t="n">
        <v>38</v>
      </c>
      <c r="E4478" s="5" t="n">
        <v>46001.4411342593</v>
      </c>
      <c r="F4478" s="0" t="n">
        <v>4.95</v>
      </c>
      <c r="G4478" s="0" t="n">
        <v>17235</v>
      </c>
      <c r="H4478" s="6" t="s">
        <v>74</v>
      </c>
      <c r="I4478" s="6" t="n">
        <f aca="false">D4478*F4478</f>
        <v>188.1</v>
      </c>
      <c r="J4478" s="6" t="n">
        <f aca="false">HOUR(E4478)</f>
        <v>10</v>
      </c>
      <c r="K4478" s="6" t="n">
        <f aca="false">IF(COUNTIF($A$2:$A4478,A4478)=1,1,0)</f>
        <v>0</v>
      </c>
    </row>
    <row r="4479" customFormat="false" ht="15" hidden="false" customHeight="false" outlineLevel="0" collapsed="false">
      <c r="A4479" s="0" t="s">
        <v>929</v>
      </c>
      <c r="B4479" s="0" t="s">
        <v>43</v>
      </c>
      <c r="C4479" s="0" t="s">
        <v>44</v>
      </c>
      <c r="D4479" s="0" t="n">
        <v>11</v>
      </c>
      <c r="E4479" s="5" t="n">
        <v>46001.4411342593</v>
      </c>
      <c r="F4479" s="0" t="n">
        <v>4.25</v>
      </c>
      <c r="G4479" s="0" t="n">
        <v>17235</v>
      </c>
      <c r="H4479" s="6" t="s">
        <v>74</v>
      </c>
      <c r="I4479" s="6" t="n">
        <f aca="false">D4479*F4479</f>
        <v>46.75</v>
      </c>
      <c r="J4479" s="6" t="n">
        <f aca="false">HOUR(E4479)</f>
        <v>10</v>
      </c>
      <c r="K4479" s="6" t="n">
        <f aca="false">IF(COUNTIF($A$2:$A4479,A4479)=1,1,0)</f>
        <v>0</v>
      </c>
    </row>
    <row r="4480" customFormat="false" ht="15" hidden="false" customHeight="false" outlineLevel="0" collapsed="false">
      <c r="A4480" s="0" t="s">
        <v>929</v>
      </c>
      <c r="B4480" s="0" t="s">
        <v>88</v>
      </c>
      <c r="C4480" s="0" t="s">
        <v>89</v>
      </c>
      <c r="D4480" s="0" t="n">
        <v>1</v>
      </c>
      <c r="E4480" s="5" t="n">
        <v>46001.4411342593</v>
      </c>
      <c r="F4480" s="0" t="n">
        <v>2.75</v>
      </c>
      <c r="G4480" s="0" t="n">
        <v>17235</v>
      </c>
      <c r="H4480" s="6" t="s">
        <v>74</v>
      </c>
      <c r="I4480" s="6" t="n">
        <f aca="false">D4480*F4480</f>
        <v>2.75</v>
      </c>
      <c r="J4480" s="6" t="n">
        <f aca="false">HOUR(E4480)</f>
        <v>10</v>
      </c>
      <c r="K4480" s="6" t="n">
        <f aca="false">IF(COUNTIF($A$2:$A4480,A4480)=1,1,0)</f>
        <v>0</v>
      </c>
    </row>
    <row r="4481" customFormat="false" ht="15" hidden="false" customHeight="false" outlineLevel="0" collapsed="false">
      <c r="A4481" s="0" t="s">
        <v>929</v>
      </c>
      <c r="B4481" s="0" t="s">
        <v>61</v>
      </c>
      <c r="C4481" s="0" t="s">
        <v>62</v>
      </c>
      <c r="D4481" s="0" t="n">
        <v>5</v>
      </c>
      <c r="E4481" s="5" t="n">
        <v>46001.4411342593</v>
      </c>
      <c r="F4481" s="0" t="n">
        <v>1.65</v>
      </c>
      <c r="G4481" s="0" t="n">
        <v>17235</v>
      </c>
      <c r="H4481" s="6" t="s">
        <v>74</v>
      </c>
      <c r="I4481" s="6" t="n">
        <f aca="false">D4481*F4481</f>
        <v>8.25</v>
      </c>
      <c r="J4481" s="6" t="n">
        <f aca="false">HOUR(E4481)</f>
        <v>10</v>
      </c>
      <c r="K4481" s="6" t="n">
        <f aca="false">IF(COUNTIF($A$2:$A4481,A4481)=1,1,0)</f>
        <v>0</v>
      </c>
    </row>
    <row r="4482" customFormat="false" ht="15" hidden="false" customHeight="false" outlineLevel="0" collapsed="false">
      <c r="A4482" s="0" t="s">
        <v>929</v>
      </c>
      <c r="B4482" s="0" t="s">
        <v>118</v>
      </c>
      <c r="C4482" s="0" t="s">
        <v>119</v>
      </c>
      <c r="D4482" s="0" t="n">
        <v>33</v>
      </c>
      <c r="E4482" s="5" t="n">
        <v>46001.4411342593</v>
      </c>
      <c r="F4482" s="0" t="n">
        <v>4.95</v>
      </c>
      <c r="G4482" s="0" t="n">
        <v>17235</v>
      </c>
      <c r="H4482" s="6" t="s">
        <v>74</v>
      </c>
      <c r="I4482" s="6" t="n">
        <f aca="false">D4482*F4482</f>
        <v>163.35</v>
      </c>
      <c r="J4482" s="6" t="n">
        <f aca="false">HOUR(E4482)</f>
        <v>10</v>
      </c>
      <c r="K4482" s="6" t="n">
        <f aca="false">IF(COUNTIF($A$2:$A4482,A4482)=1,1,0)</f>
        <v>0</v>
      </c>
    </row>
    <row r="4483" customFormat="false" ht="15" hidden="false" customHeight="false" outlineLevel="0" collapsed="false">
      <c r="A4483" s="0" t="s">
        <v>929</v>
      </c>
      <c r="B4483" s="0" t="s">
        <v>104</v>
      </c>
      <c r="C4483" s="0" t="s">
        <v>105</v>
      </c>
      <c r="D4483" s="0" t="n">
        <v>18</v>
      </c>
      <c r="E4483" s="5" t="n">
        <v>46001.4411342593</v>
      </c>
      <c r="F4483" s="0" t="n">
        <v>1.65</v>
      </c>
      <c r="G4483" s="0" t="n">
        <v>17235</v>
      </c>
      <c r="H4483" s="6" t="s">
        <v>74</v>
      </c>
      <c r="I4483" s="6" t="n">
        <f aca="false">D4483*F4483</f>
        <v>29.7</v>
      </c>
      <c r="J4483" s="6" t="n">
        <f aca="false">HOUR(E4483)</f>
        <v>10</v>
      </c>
      <c r="K4483" s="6" t="n">
        <f aca="false">IF(COUNTIF($A$2:$A4483,A4483)=1,1,0)</f>
        <v>0</v>
      </c>
    </row>
    <row r="4484" customFormat="false" ht="15" hidden="false" customHeight="false" outlineLevel="0" collapsed="false">
      <c r="A4484" s="0" t="s">
        <v>929</v>
      </c>
      <c r="B4484" s="0" t="s">
        <v>137</v>
      </c>
      <c r="C4484" s="0" t="s">
        <v>138</v>
      </c>
      <c r="D4484" s="0" t="n">
        <v>15</v>
      </c>
      <c r="E4484" s="5" t="n">
        <v>46001.4411342593</v>
      </c>
      <c r="F4484" s="0" t="n">
        <v>2.1</v>
      </c>
      <c r="G4484" s="0" t="n">
        <v>17235</v>
      </c>
      <c r="H4484" s="6" t="s">
        <v>74</v>
      </c>
      <c r="I4484" s="6" t="n">
        <f aca="false">D4484*F4484</f>
        <v>31.5</v>
      </c>
      <c r="J4484" s="6" t="n">
        <f aca="false">HOUR(E4484)</f>
        <v>10</v>
      </c>
      <c r="K4484" s="6" t="n">
        <f aca="false">IF(COUNTIF($A$2:$A4484,A4484)=1,1,0)</f>
        <v>0</v>
      </c>
    </row>
    <row r="4485" customFormat="false" ht="15" hidden="false" customHeight="false" outlineLevel="0" collapsed="false">
      <c r="A4485" s="0" t="s">
        <v>930</v>
      </c>
      <c r="B4485" s="0" t="s">
        <v>72</v>
      </c>
      <c r="C4485" s="0" t="s">
        <v>73</v>
      </c>
      <c r="D4485" s="0" t="n">
        <v>-15</v>
      </c>
      <c r="E4485" s="5" t="n">
        <v>46001.508287037</v>
      </c>
      <c r="F4485" s="0" t="n">
        <v>4.95</v>
      </c>
      <c r="G4485" s="0" t="n">
        <v>17095</v>
      </c>
      <c r="H4485" s="6" t="s">
        <v>52</v>
      </c>
      <c r="I4485" s="6" t="n">
        <f aca="false">D4485*F4485</f>
        <v>-74.25</v>
      </c>
      <c r="J4485" s="6" t="n">
        <f aca="false">HOUR(E4485)</f>
        <v>12</v>
      </c>
      <c r="K4485" s="6" t="n">
        <f aca="false">IF(COUNTIF($A$2:$A4485,A4485)=1,1,0)</f>
        <v>1</v>
      </c>
    </row>
    <row r="4486" customFormat="false" ht="15" hidden="false" customHeight="false" outlineLevel="0" collapsed="false">
      <c r="A4486" s="0" t="s">
        <v>930</v>
      </c>
      <c r="B4486" s="0" t="s">
        <v>127</v>
      </c>
      <c r="C4486" s="0" t="s">
        <v>128</v>
      </c>
      <c r="D4486" s="0" t="n">
        <v>-10</v>
      </c>
      <c r="E4486" s="5" t="n">
        <v>46001.508287037</v>
      </c>
      <c r="F4486" s="0" t="n">
        <v>1.45</v>
      </c>
      <c r="G4486" s="0" t="n">
        <v>17095</v>
      </c>
      <c r="H4486" s="6" t="s">
        <v>52</v>
      </c>
      <c r="I4486" s="6" t="n">
        <f aca="false">D4486*F4486</f>
        <v>-14.5</v>
      </c>
      <c r="J4486" s="6" t="n">
        <f aca="false">HOUR(E4486)</f>
        <v>12</v>
      </c>
      <c r="K4486" s="6" t="n">
        <f aca="false">IF(COUNTIF($A$2:$A4486,A4486)=1,1,0)</f>
        <v>0</v>
      </c>
    </row>
    <row r="4487" customFormat="false" ht="15" hidden="false" customHeight="false" outlineLevel="0" collapsed="false">
      <c r="A4487" s="0" t="s">
        <v>930</v>
      </c>
      <c r="B4487" s="0" t="s">
        <v>131</v>
      </c>
      <c r="C4487" s="0" t="s">
        <v>132</v>
      </c>
      <c r="D4487" s="0" t="n">
        <v>-9</v>
      </c>
      <c r="E4487" s="5" t="n">
        <v>46001.508287037</v>
      </c>
      <c r="F4487" s="0" t="n">
        <v>3.39</v>
      </c>
      <c r="G4487" s="0" t="n">
        <v>17095</v>
      </c>
      <c r="H4487" s="6" t="s">
        <v>52</v>
      </c>
      <c r="I4487" s="6" t="n">
        <f aca="false">D4487*F4487</f>
        <v>-30.51</v>
      </c>
      <c r="J4487" s="6" t="n">
        <f aca="false">HOUR(E4487)</f>
        <v>12</v>
      </c>
      <c r="K4487" s="6" t="n">
        <f aca="false">IF(COUNTIF($A$2:$A4487,A4487)=1,1,0)</f>
        <v>0</v>
      </c>
    </row>
    <row r="4488" customFormat="false" ht="15" hidden="false" customHeight="false" outlineLevel="0" collapsed="false">
      <c r="A4488" s="0" t="s">
        <v>930</v>
      </c>
      <c r="B4488" s="0" t="s">
        <v>107</v>
      </c>
      <c r="C4488" s="0" t="s">
        <v>108</v>
      </c>
      <c r="D4488" s="0" t="n">
        <v>-8</v>
      </c>
      <c r="E4488" s="5" t="n">
        <v>46001.508287037</v>
      </c>
      <c r="F4488" s="0" t="n">
        <v>3.75</v>
      </c>
      <c r="G4488" s="0" t="n">
        <v>17095</v>
      </c>
      <c r="H4488" s="6" t="s">
        <v>52</v>
      </c>
      <c r="I4488" s="6" t="n">
        <f aca="false">D4488*F4488</f>
        <v>-30</v>
      </c>
      <c r="J4488" s="6" t="n">
        <f aca="false">HOUR(E4488)</f>
        <v>12</v>
      </c>
      <c r="K4488" s="6" t="n">
        <f aca="false">IF(COUNTIF($A$2:$A4488,A4488)=1,1,0)</f>
        <v>0</v>
      </c>
    </row>
    <row r="4489" customFormat="false" ht="15" hidden="false" customHeight="false" outlineLevel="0" collapsed="false">
      <c r="A4489" s="0" t="s">
        <v>930</v>
      </c>
      <c r="B4489" s="0" t="s">
        <v>59</v>
      </c>
      <c r="C4489" s="0" t="s">
        <v>60</v>
      </c>
      <c r="D4489" s="0" t="n">
        <v>-8</v>
      </c>
      <c r="E4489" s="5" t="n">
        <v>46001.508287037</v>
      </c>
      <c r="F4489" s="0" t="n">
        <v>0.42</v>
      </c>
      <c r="G4489" s="0" t="n">
        <v>17095</v>
      </c>
      <c r="H4489" s="6" t="s">
        <v>52</v>
      </c>
      <c r="I4489" s="6" t="n">
        <f aca="false">D4489*F4489</f>
        <v>-3.36</v>
      </c>
      <c r="J4489" s="6" t="n">
        <f aca="false">HOUR(E4489)</f>
        <v>12</v>
      </c>
      <c r="K4489" s="6" t="n">
        <f aca="false">IF(COUNTIF($A$2:$A4489,A4489)=1,1,0)</f>
        <v>0</v>
      </c>
    </row>
    <row r="4490" customFormat="false" ht="15" hidden="false" customHeight="false" outlineLevel="0" collapsed="false">
      <c r="A4490" s="0" t="s">
        <v>930</v>
      </c>
      <c r="B4490" s="0" t="s">
        <v>109</v>
      </c>
      <c r="C4490" s="0" t="s">
        <v>110</v>
      </c>
      <c r="D4490" s="0" t="n">
        <v>-5</v>
      </c>
      <c r="E4490" s="5" t="n">
        <v>46001.508287037</v>
      </c>
      <c r="F4490" s="0" t="n">
        <v>0.85</v>
      </c>
      <c r="G4490" s="0" t="n">
        <v>17095</v>
      </c>
      <c r="H4490" s="6" t="s">
        <v>52</v>
      </c>
      <c r="I4490" s="6" t="n">
        <f aca="false">D4490*F4490</f>
        <v>-4.25</v>
      </c>
      <c r="J4490" s="6" t="n">
        <f aca="false">HOUR(E4490)</f>
        <v>12</v>
      </c>
      <c r="K4490" s="6" t="n">
        <f aca="false">IF(COUNTIF($A$2:$A4490,A4490)=1,1,0)</f>
        <v>0</v>
      </c>
    </row>
    <row r="4491" customFormat="false" ht="15" hidden="false" customHeight="false" outlineLevel="0" collapsed="false">
      <c r="A4491" s="0" t="s">
        <v>930</v>
      </c>
      <c r="B4491" s="0" t="s">
        <v>45</v>
      </c>
      <c r="C4491" s="0" t="s">
        <v>46</v>
      </c>
      <c r="D4491" s="0" t="n">
        <v>-10</v>
      </c>
      <c r="E4491" s="5" t="n">
        <v>46001.508287037</v>
      </c>
      <c r="F4491" s="0" t="n">
        <v>2.1</v>
      </c>
      <c r="G4491" s="0" t="n">
        <v>17095</v>
      </c>
      <c r="H4491" s="6" t="s">
        <v>52</v>
      </c>
      <c r="I4491" s="6" t="n">
        <f aca="false">D4491*F4491</f>
        <v>-21</v>
      </c>
      <c r="J4491" s="6" t="n">
        <f aca="false">HOUR(E4491)</f>
        <v>12</v>
      </c>
      <c r="K4491" s="6" t="n">
        <f aca="false">IF(COUNTIF($A$2:$A4491,A4491)=1,1,0)</f>
        <v>0</v>
      </c>
    </row>
    <row r="4492" customFormat="false" ht="15" hidden="false" customHeight="false" outlineLevel="0" collapsed="false">
      <c r="A4492" s="0" t="s">
        <v>930</v>
      </c>
      <c r="B4492" s="0" t="s">
        <v>50</v>
      </c>
      <c r="C4492" s="0" t="s">
        <v>51</v>
      </c>
      <c r="D4492" s="0" t="n">
        <v>-14</v>
      </c>
      <c r="E4492" s="5" t="n">
        <v>46001.508287037</v>
      </c>
      <c r="F4492" s="0" t="n">
        <v>5.95</v>
      </c>
      <c r="G4492" s="0" t="n">
        <v>17095</v>
      </c>
      <c r="H4492" s="6" t="s">
        <v>52</v>
      </c>
      <c r="I4492" s="6" t="n">
        <f aca="false">D4492*F4492</f>
        <v>-83.3</v>
      </c>
      <c r="J4492" s="6" t="n">
        <f aca="false">HOUR(E4492)</f>
        <v>12</v>
      </c>
      <c r="K4492" s="6" t="n">
        <f aca="false">IF(COUNTIF($A$2:$A4492,A4492)=1,1,0)</f>
        <v>0</v>
      </c>
    </row>
    <row r="4493" customFormat="false" ht="15" hidden="false" customHeight="false" outlineLevel="0" collapsed="false">
      <c r="A4493" s="0" t="s">
        <v>930</v>
      </c>
      <c r="B4493" s="0" t="s">
        <v>65</v>
      </c>
      <c r="C4493" s="0" t="s">
        <v>66</v>
      </c>
      <c r="D4493" s="0" t="n">
        <v>-3</v>
      </c>
      <c r="E4493" s="5" t="n">
        <v>46001.508287037</v>
      </c>
      <c r="F4493" s="0" t="n">
        <v>1.65</v>
      </c>
      <c r="G4493" s="0" t="n">
        <v>17095</v>
      </c>
      <c r="H4493" s="6" t="s">
        <v>52</v>
      </c>
      <c r="I4493" s="6" t="n">
        <f aca="false">D4493*F4493</f>
        <v>-4.95</v>
      </c>
      <c r="J4493" s="6" t="n">
        <f aca="false">HOUR(E4493)</f>
        <v>12</v>
      </c>
      <c r="K4493" s="6" t="n">
        <f aca="false">IF(COUNTIF($A$2:$A4493,A4493)=1,1,0)</f>
        <v>0</v>
      </c>
    </row>
    <row r="4494" customFormat="false" ht="15" hidden="false" customHeight="false" outlineLevel="0" collapsed="false">
      <c r="A4494" s="0" t="s">
        <v>930</v>
      </c>
      <c r="B4494" s="0" t="s">
        <v>77</v>
      </c>
      <c r="C4494" s="0" t="s">
        <v>78</v>
      </c>
      <c r="D4494" s="0" t="n">
        <v>-14</v>
      </c>
      <c r="E4494" s="5" t="n">
        <v>46001.508287037</v>
      </c>
      <c r="F4494" s="0" t="n">
        <v>1.65</v>
      </c>
      <c r="G4494" s="0" t="n">
        <v>17095</v>
      </c>
      <c r="H4494" s="6" t="s">
        <v>52</v>
      </c>
      <c r="I4494" s="6" t="n">
        <f aca="false">D4494*F4494</f>
        <v>-23.1</v>
      </c>
      <c r="J4494" s="6" t="n">
        <f aca="false">HOUR(E4494)</f>
        <v>12</v>
      </c>
      <c r="K4494" s="6" t="n">
        <f aca="false">IF(COUNTIF($A$2:$A4494,A4494)=1,1,0)</f>
        <v>0</v>
      </c>
    </row>
    <row r="4495" customFormat="false" ht="15" hidden="false" customHeight="false" outlineLevel="0" collapsed="false">
      <c r="A4495" s="0" t="s">
        <v>931</v>
      </c>
      <c r="B4495" s="0" t="s">
        <v>45</v>
      </c>
      <c r="D4495" s="0" t="n">
        <v>5</v>
      </c>
      <c r="E4495" s="5" t="n">
        <v>46001.5555439815</v>
      </c>
      <c r="F4495" s="0" t="n">
        <v>2.1</v>
      </c>
      <c r="G4495" s="0" t="n">
        <v>17054</v>
      </c>
      <c r="H4495" s="6" t="s">
        <v>74</v>
      </c>
      <c r="I4495" s="6" t="n">
        <f aca="false">D4495*F4495</f>
        <v>10.5</v>
      </c>
      <c r="J4495" s="6" t="n">
        <f aca="false">HOUR(E4495)</f>
        <v>13</v>
      </c>
      <c r="K4495" s="6" t="n">
        <f aca="false">IF(COUNTIF($A$2:$A4495,A4495)=1,1,0)</f>
        <v>1</v>
      </c>
    </row>
    <row r="4496" customFormat="false" ht="15" hidden="false" customHeight="false" outlineLevel="0" collapsed="false">
      <c r="A4496" s="0" t="s">
        <v>931</v>
      </c>
      <c r="B4496" s="0" t="s">
        <v>40</v>
      </c>
      <c r="C4496" s="0" t="s">
        <v>41</v>
      </c>
      <c r="D4496" s="0" t="n">
        <v>4</v>
      </c>
      <c r="E4496" s="5" t="n">
        <v>46001.5555439815</v>
      </c>
      <c r="F4496" s="0" t="n">
        <v>1.06</v>
      </c>
      <c r="G4496" s="0" t="n">
        <v>17054</v>
      </c>
      <c r="H4496" s="6" t="s">
        <v>74</v>
      </c>
      <c r="I4496" s="6" t="n">
        <f aca="false">D4496*F4496</f>
        <v>4.24</v>
      </c>
      <c r="J4496" s="6" t="n">
        <f aca="false">HOUR(E4496)</f>
        <v>13</v>
      </c>
      <c r="K4496" s="6" t="n">
        <f aca="false">IF(COUNTIF($A$2:$A4496,A4496)=1,1,0)</f>
        <v>0</v>
      </c>
    </row>
    <row r="4497" customFormat="false" ht="15" hidden="false" customHeight="false" outlineLevel="0" collapsed="false">
      <c r="A4497" s="0" t="s">
        <v>931</v>
      </c>
      <c r="B4497" s="0" t="s">
        <v>55</v>
      </c>
      <c r="C4497" s="0" t="s">
        <v>56</v>
      </c>
      <c r="D4497" s="0" t="n">
        <v>14</v>
      </c>
      <c r="E4497" s="5" t="n">
        <v>46001.5555439815</v>
      </c>
      <c r="F4497" s="0" t="n">
        <v>1.65</v>
      </c>
      <c r="G4497" s="0" t="n">
        <v>17054</v>
      </c>
      <c r="H4497" s="6" t="s">
        <v>74</v>
      </c>
      <c r="I4497" s="6" t="n">
        <f aca="false">D4497*F4497</f>
        <v>23.1</v>
      </c>
      <c r="J4497" s="6" t="n">
        <f aca="false">HOUR(E4497)</f>
        <v>13</v>
      </c>
      <c r="K4497" s="6" t="n">
        <f aca="false">IF(COUNTIF($A$2:$A4497,A4497)=1,1,0)</f>
        <v>0</v>
      </c>
    </row>
    <row r="4498" customFormat="false" ht="15" hidden="false" customHeight="false" outlineLevel="0" collapsed="false">
      <c r="A4498" s="0" t="s">
        <v>931</v>
      </c>
      <c r="B4498" s="0" t="s">
        <v>99</v>
      </c>
      <c r="C4498" s="0" t="s">
        <v>100</v>
      </c>
      <c r="D4498" s="0" t="n">
        <v>9</v>
      </c>
      <c r="E4498" s="5" t="n">
        <v>46001.5555439815</v>
      </c>
      <c r="F4498" s="0" t="n">
        <v>2.08</v>
      </c>
      <c r="G4498" s="0" t="n">
        <v>17054</v>
      </c>
      <c r="H4498" s="6" t="s">
        <v>74</v>
      </c>
      <c r="I4498" s="6" t="n">
        <f aca="false">D4498*F4498</f>
        <v>18.72</v>
      </c>
      <c r="J4498" s="6" t="n">
        <f aca="false">HOUR(E4498)</f>
        <v>13</v>
      </c>
      <c r="K4498" s="6" t="n">
        <f aca="false">IF(COUNTIF($A$2:$A4498,A4498)=1,1,0)</f>
        <v>0</v>
      </c>
    </row>
    <row r="4499" customFormat="false" ht="15" hidden="false" customHeight="false" outlineLevel="0" collapsed="false">
      <c r="A4499" s="0" t="s">
        <v>931</v>
      </c>
      <c r="B4499" s="0" t="s">
        <v>125</v>
      </c>
      <c r="C4499" s="0" t="s">
        <v>126</v>
      </c>
      <c r="D4499" s="0" t="n">
        <v>15</v>
      </c>
      <c r="E4499" s="5" t="n">
        <v>46001.5555439815</v>
      </c>
      <c r="F4499" s="0" t="n">
        <v>1.25</v>
      </c>
      <c r="G4499" s="0" t="n">
        <v>17054</v>
      </c>
      <c r="H4499" s="6" t="s">
        <v>74</v>
      </c>
      <c r="I4499" s="6" t="n">
        <f aca="false">D4499*F4499</f>
        <v>18.75</v>
      </c>
      <c r="J4499" s="6" t="n">
        <f aca="false">HOUR(E4499)</f>
        <v>13</v>
      </c>
      <c r="K4499" s="6" t="n">
        <f aca="false">IF(COUNTIF($A$2:$A4499,A4499)=1,1,0)</f>
        <v>0</v>
      </c>
    </row>
    <row r="4500" customFormat="false" ht="15" hidden="false" customHeight="false" outlineLevel="0" collapsed="false">
      <c r="A4500" s="0" t="s">
        <v>931</v>
      </c>
      <c r="B4500" s="0" t="s">
        <v>61</v>
      </c>
      <c r="C4500" s="0" t="s">
        <v>62</v>
      </c>
      <c r="D4500" s="0" t="n">
        <v>2</v>
      </c>
      <c r="E4500" s="5" t="n">
        <v>46001.5555439815</v>
      </c>
      <c r="F4500" s="0" t="n">
        <v>1.65</v>
      </c>
      <c r="G4500" s="0" t="n">
        <v>17054</v>
      </c>
      <c r="H4500" s="6" t="s">
        <v>74</v>
      </c>
      <c r="I4500" s="6" t="n">
        <f aca="false">D4500*F4500</f>
        <v>3.3</v>
      </c>
      <c r="J4500" s="6" t="n">
        <f aca="false">HOUR(E4500)</f>
        <v>13</v>
      </c>
      <c r="K4500" s="6" t="n">
        <f aca="false">IF(COUNTIF($A$2:$A4500,A4500)=1,1,0)</f>
        <v>0</v>
      </c>
    </row>
    <row r="4501" customFormat="false" ht="15" hidden="false" customHeight="false" outlineLevel="0" collapsed="false">
      <c r="A4501" s="0" t="s">
        <v>931</v>
      </c>
      <c r="B4501" s="0" t="s">
        <v>65</v>
      </c>
      <c r="C4501" s="0" t="s">
        <v>66</v>
      </c>
      <c r="D4501" s="0" t="n">
        <v>14</v>
      </c>
      <c r="E4501" s="5" t="n">
        <v>46001.5555439815</v>
      </c>
      <c r="F4501" s="0" t="n">
        <v>1.65</v>
      </c>
      <c r="G4501" s="0" t="n">
        <v>17054</v>
      </c>
      <c r="H4501" s="6" t="s">
        <v>74</v>
      </c>
      <c r="I4501" s="6" t="n">
        <f aca="false">D4501*F4501</f>
        <v>23.1</v>
      </c>
      <c r="J4501" s="6" t="n">
        <f aca="false">HOUR(E4501)</f>
        <v>13</v>
      </c>
      <c r="K4501" s="6" t="n">
        <f aca="false">IF(COUNTIF($A$2:$A4501,A4501)=1,1,0)</f>
        <v>0</v>
      </c>
    </row>
    <row r="4502" customFormat="false" ht="15" hidden="false" customHeight="false" outlineLevel="0" collapsed="false">
      <c r="A4502" s="0" t="s">
        <v>931</v>
      </c>
      <c r="B4502" s="0" t="s">
        <v>93</v>
      </c>
      <c r="C4502" s="0" t="s">
        <v>94</v>
      </c>
      <c r="D4502" s="0" t="n">
        <v>2</v>
      </c>
      <c r="E4502" s="5" t="n">
        <v>46001.5555439815</v>
      </c>
      <c r="F4502" s="0" t="n">
        <v>1.69</v>
      </c>
      <c r="G4502" s="0" t="n">
        <v>17054</v>
      </c>
      <c r="H4502" s="6" t="s">
        <v>74</v>
      </c>
      <c r="I4502" s="6" t="n">
        <f aca="false">D4502*F4502</f>
        <v>3.38</v>
      </c>
      <c r="J4502" s="6" t="n">
        <f aca="false">HOUR(E4502)</f>
        <v>13</v>
      </c>
      <c r="K4502" s="6" t="n">
        <f aca="false">IF(COUNTIF($A$2:$A4502,A4502)=1,1,0)</f>
        <v>0</v>
      </c>
    </row>
    <row r="4503" customFormat="false" ht="15" hidden="false" customHeight="false" outlineLevel="0" collapsed="false">
      <c r="A4503" s="0" t="s">
        <v>931</v>
      </c>
      <c r="B4503" s="0" t="s">
        <v>109</v>
      </c>
      <c r="C4503" s="0" t="s">
        <v>110</v>
      </c>
      <c r="D4503" s="0" t="n">
        <v>23</v>
      </c>
      <c r="E4503" s="5" t="n">
        <v>46001.5555439815</v>
      </c>
      <c r="F4503" s="0" t="n">
        <v>0.85</v>
      </c>
      <c r="G4503" s="0" t="n">
        <v>17054</v>
      </c>
      <c r="H4503" s="6" t="s">
        <v>74</v>
      </c>
      <c r="I4503" s="6" t="n">
        <f aca="false">D4503*F4503</f>
        <v>19.55</v>
      </c>
      <c r="J4503" s="6" t="n">
        <f aca="false">HOUR(E4503)</f>
        <v>13</v>
      </c>
      <c r="K4503" s="6" t="n">
        <f aca="false">IF(COUNTIF($A$2:$A4503,A4503)=1,1,0)</f>
        <v>0</v>
      </c>
    </row>
    <row r="4504" customFormat="false" ht="15" hidden="false" customHeight="false" outlineLevel="0" collapsed="false">
      <c r="A4504" s="0" t="s">
        <v>932</v>
      </c>
      <c r="B4504" s="0" t="s">
        <v>61</v>
      </c>
      <c r="C4504" s="0" t="s">
        <v>62</v>
      </c>
      <c r="D4504" s="0" t="n">
        <v>13</v>
      </c>
      <c r="E4504" s="5" t="n">
        <v>46001.5582175926</v>
      </c>
      <c r="F4504" s="0" t="n">
        <v>1.65</v>
      </c>
      <c r="H4504" s="6" t="s">
        <v>42</v>
      </c>
      <c r="I4504" s="6" t="n">
        <f aca="false">D4504*F4504</f>
        <v>21.45</v>
      </c>
      <c r="J4504" s="6" t="n">
        <f aca="false">HOUR(E4504)</f>
        <v>13</v>
      </c>
      <c r="K4504" s="6" t="n">
        <f aca="false">IF(COUNTIF($A$2:$A4504,A4504)=1,1,0)</f>
        <v>1</v>
      </c>
    </row>
    <row r="4505" customFormat="false" ht="15" hidden="false" customHeight="false" outlineLevel="0" collapsed="false">
      <c r="A4505" s="0" t="s">
        <v>932</v>
      </c>
      <c r="B4505" s="0" t="s">
        <v>107</v>
      </c>
      <c r="C4505" s="0" t="s">
        <v>108</v>
      </c>
      <c r="D4505" s="0" t="n">
        <v>6</v>
      </c>
      <c r="E4505" s="5" t="n">
        <v>46001.5582175926</v>
      </c>
      <c r="F4505" s="0" t="n">
        <v>3.75</v>
      </c>
      <c r="H4505" s="6" t="s">
        <v>42</v>
      </c>
      <c r="I4505" s="6" t="n">
        <f aca="false">D4505*F4505</f>
        <v>22.5</v>
      </c>
      <c r="J4505" s="6" t="n">
        <f aca="false">HOUR(E4505)</f>
        <v>13</v>
      </c>
      <c r="K4505" s="6" t="n">
        <f aca="false">IF(COUNTIF($A$2:$A4505,A4505)=1,1,0)</f>
        <v>0</v>
      </c>
    </row>
    <row r="4506" customFormat="false" ht="15" hidden="false" customHeight="false" outlineLevel="0" collapsed="false">
      <c r="A4506" s="0" t="s">
        <v>932</v>
      </c>
      <c r="B4506" s="0" t="s">
        <v>55</v>
      </c>
      <c r="C4506" s="0" t="s">
        <v>56</v>
      </c>
      <c r="D4506" s="0" t="n">
        <v>5</v>
      </c>
      <c r="E4506" s="5" t="n">
        <v>46001.5582175926</v>
      </c>
      <c r="F4506" s="0" t="n">
        <v>1.65</v>
      </c>
      <c r="H4506" s="6" t="s">
        <v>42</v>
      </c>
      <c r="I4506" s="6" t="n">
        <f aca="false">D4506*F4506</f>
        <v>8.25</v>
      </c>
      <c r="J4506" s="6" t="n">
        <f aca="false">HOUR(E4506)</f>
        <v>13</v>
      </c>
      <c r="K4506" s="6" t="n">
        <f aca="false">IF(COUNTIF($A$2:$A4506,A4506)=1,1,0)</f>
        <v>0</v>
      </c>
    </row>
    <row r="4507" customFormat="false" ht="15" hidden="false" customHeight="false" outlineLevel="0" collapsed="false">
      <c r="A4507" s="0" t="s">
        <v>933</v>
      </c>
      <c r="B4507" s="0" t="s">
        <v>59</v>
      </c>
      <c r="C4507" s="0" t="s">
        <v>60</v>
      </c>
      <c r="D4507" s="0" t="n">
        <v>3</v>
      </c>
      <c r="E4507" s="5" t="n">
        <v>46001.6306365741</v>
      </c>
      <c r="F4507" s="0" t="n">
        <v>0.42</v>
      </c>
      <c r="G4507" s="0" t="n">
        <v>17188</v>
      </c>
      <c r="H4507" s="6" t="s">
        <v>151</v>
      </c>
      <c r="I4507" s="6" t="n">
        <f aca="false">D4507*F4507</f>
        <v>1.26</v>
      </c>
      <c r="J4507" s="6" t="n">
        <f aca="false">HOUR(E4507)</f>
        <v>15</v>
      </c>
      <c r="K4507" s="6" t="n">
        <f aca="false">IF(COUNTIF($A$2:$A4507,A4507)=1,1,0)</f>
        <v>1</v>
      </c>
    </row>
    <row r="4508" customFormat="false" ht="15" hidden="false" customHeight="false" outlineLevel="0" collapsed="false">
      <c r="A4508" s="0" t="s">
        <v>933</v>
      </c>
      <c r="B4508" s="0" t="s">
        <v>104</v>
      </c>
      <c r="C4508" s="0" t="s">
        <v>105</v>
      </c>
      <c r="D4508" s="0" t="n">
        <v>8</v>
      </c>
      <c r="E4508" s="5" t="n">
        <v>46001.6306365741</v>
      </c>
      <c r="F4508" s="0" t="n">
        <v>1.65</v>
      </c>
      <c r="G4508" s="0" t="n">
        <v>17188</v>
      </c>
      <c r="H4508" s="6" t="s">
        <v>151</v>
      </c>
      <c r="I4508" s="6" t="n">
        <f aca="false">D4508*F4508</f>
        <v>13.2</v>
      </c>
      <c r="J4508" s="6" t="n">
        <f aca="false">HOUR(E4508)</f>
        <v>15</v>
      </c>
      <c r="K4508" s="6" t="n">
        <f aca="false">IF(COUNTIF($A$2:$A4508,A4508)=1,1,0)</f>
        <v>0</v>
      </c>
    </row>
    <row r="4509" customFormat="false" ht="15" hidden="false" customHeight="false" outlineLevel="0" collapsed="false">
      <c r="A4509" s="0" t="s">
        <v>933</v>
      </c>
      <c r="B4509" s="0" t="s">
        <v>131</v>
      </c>
      <c r="C4509" s="0" t="s">
        <v>132</v>
      </c>
      <c r="D4509" s="0" t="n">
        <v>1</v>
      </c>
      <c r="E4509" s="5" t="n">
        <v>46001.6306365741</v>
      </c>
      <c r="F4509" s="0" t="n">
        <v>3.39</v>
      </c>
      <c r="G4509" s="0" t="n">
        <v>17188</v>
      </c>
      <c r="H4509" s="6" t="s">
        <v>151</v>
      </c>
      <c r="I4509" s="6" t="n">
        <f aca="false">D4509*F4509</f>
        <v>3.39</v>
      </c>
      <c r="J4509" s="6" t="n">
        <f aca="false">HOUR(E4509)</f>
        <v>15</v>
      </c>
      <c r="K4509" s="6" t="n">
        <f aca="false">IF(COUNTIF($A$2:$A4509,A4509)=1,1,0)</f>
        <v>0</v>
      </c>
    </row>
    <row r="4510" customFormat="false" ht="15" hidden="false" customHeight="false" outlineLevel="0" collapsed="false">
      <c r="A4510" s="0" t="s">
        <v>933</v>
      </c>
      <c r="B4510" s="0" t="s">
        <v>107</v>
      </c>
      <c r="C4510" s="0" t="s">
        <v>108</v>
      </c>
      <c r="D4510" s="0" t="n">
        <v>1</v>
      </c>
      <c r="E4510" s="5" t="n">
        <v>46001.6306365741</v>
      </c>
      <c r="F4510" s="0" t="n">
        <v>3.75</v>
      </c>
      <c r="G4510" s="0" t="n">
        <v>17188</v>
      </c>
      <c r="H4510" s="6" t="s">
        <v>151</v>
      </c>
      <c r="I4510" s="6" t="n">
        <f aca="false">D4510*F4510</f>
        <v>3.75</v>
      </c>
      <c r="J4510" s="6" t="n">
        <f aca="false">HOUR(E4510)</f>
        <v>15</v>
      </c>
      <c r="K4510" s="6" t="n">
        <f aca="false">IF(COUNTIF($A$2:$A4510,A4510)=1,1,0)</f>
        <v>0</v>
      </c>
    </row>
    <row r="4511" customFormat="false" ht="15" hidden="false" customHeight="false" outlineLevel="0" collapsed="false">
      <c r="A4511" s="0" t="s">
        <v>933</v>
      </c>
      <c r="B4511" s="0" t="s">
        <v>127</v>
      </c>
      <c r="C4511" s="0" t="s">
        <v>128</v>
      </c>
      <c r="D4511" s="0" t="n">
        <v>18</v>
      </c>
      <c r="E4511" s="5" t="n">
        <v>46001.6306365741</v>
      </c>
      <c r="F4511" s="0" t="n">
        <v>1.45</v>
      </c>
      <c r="G4511" s="0" t="n">
        <v>17188</v>
      </c>
      <c r="H4511" s="6" t="s">
        <v>151</v>
      </c>
      <c r="I4511" s="6" t="n">
        <f aca="false">D4511*F4511</f>
        <v>26.1</v>
      </c>
      <c r="J4511" s="6" t="n">
        <f aca="false">HOUR(E4511)</f>
        <v>15</v>
      </c>
      <c r="K4511" s="6" t="n">
        <f aca="false">IF(COUNTIF($A$2:$A4511,A4511)=1,1,0)</f>
        <v>0</v>
      </c>
    </row>
    <row r="4512" customFormat="false" ht="15" hidden="false" customHeight="false" outlineLevel="0" collapsed="false">
      <c r="A4512" s="0" t="s">
        <v>933</v>
      </c>
      <c r="B4512" s="0" t="s">
        <v>99</v>
      </c>
      <c r="C4512" s="0" t="s">
        <v>100</v>
      </c>
      <c r="D4512" s="0" t="n">
        <v>24</v>
      </c>
      <c r="E4512" s="5" t="n">
        <v>46001.6306365741</v>
      </c>
      <c r="F4512" s="0" t="n">
        <v>2.08</v>
      </c>
      <c r="G4512" s="0" t="n">
        <v>17188</v>
      </c>
      <c r="H4512" s="6" t="s">
        <v>151</v>
      </c>
      <c r="I4512" s="6" t="n">
        <f aca="false">D4512*F4512</f>
        <v>49.92</v>
      </c>
      <c r="J4512" s="6" t="n">
        <f aca="false">HOUR(E4512)</f>
        <v>15</v>
      </c>
      <c r="K4512" s="6" t="n">
        <f aca="false">IF(COUNTIF($A$2:$A4512,A4512)=1,1,0)</f>
        <v>0</v>
      </c>
    </row>
    <row r="4513" customFormat="false" ht="15" hidden="false" customHeight="false" outlineLevel="0" collapsed="false">
      <c r="A4513" s="0" t="s">
        <v>934</v>
      </c>
      <c r="B4513" s="0" t="s">
        <v>93</v>
      </c>
      <c r="C4513" s="0" t="s">
        <v>94</v>
      </c>
      <c r="D4513" s="0" t="n">
        <v>14</v>
      </c>
      <c r="E4513" s="5" t="n">
        <v>46001.7359259259</v>
      </c>
      <c r="F4513" s="0" t="n">
        <v>1.69</v>
      </c>
      <c r="G4513" s="0" t="n">
        <v>17002</v>
      </c>
      <c r="H4513" s="6" t="s">
        <v>74</v>
      </c>
      <c r="I4513" s="6" t="n">
        <f aca="false">D4513*F4513</f>
        <v>23.66</v>
      </c>
      <c r="J4513" s="6" t="n">
        <f aca="false">HOUR(E4513)</f>
        <v>17</v>
      </c>
      <c r="K4513" s="6" t="n">
        <f aca="false">IF(COUNTIF($A$2:$A4513,A4513)=1,1,0)</f>
        <v>1</v>
      </c>
    </row>
    <row r="4514" customFormat="false" ht="15" hidden="false" customHeight="false" outlineLevel="0" collapsed="false">
      <c r="A4514" s="0" t="s">
        <v>934</v>
      </c>
      <c r="B4514" s="0" t="s">
        <v>83</v>
      </c>
      <c r="C4514" s="0" t="s">
        <v>84</v>
      </c>
      <c r="D4514" s="0" t="n">
        <v>9</v>
      </c>
      <c r="E4514" s="5" t="n">
        <v>46001.7359259259</v>
      </c>
      <c r="F4514" s="0" t="n">
        <v>2.95</v>
      </c>
      <c r="G4514" s="0" t="n">
        <v>17002</v>
      </c>
      <c r="H4514" s="6" t="s">
        <v>74</v>
      </c>
      <c r="I4514" s="6" t="n">
        <f aca="false">D4514*F4514</f>
        <v>26.55</v>
      </c>
      <c r="J4514" s="6" t="n">
        <f aca="false">HOUR(E4514)</f>
        <v>17</v>
      </c>
      <c r="K4514" s="6" t="n">
        <f aca="false">IF(COUNTIF($A$2:$A4514,A4514)=1,1,0)</f>
        <v>0</v>
      </c>
    </row>
    <row r="4515" customFormat="false" ht="15" hidden="false" customHeight="false" outlineLevel="0" collapsed="false">
      <c r="A4515" s="0" t="s">
        <v>935</v>
      </c>
      <c r="B4515" s="0" t="s">
        <v>102</v>
      </c>
      <c r="C4515" s="0" t="s">
        <v>103</v>
      </c>
      <c r="D4515" s="0" t="n">
        <v>47</v>
      </c>
      <c r="E4515" s="5" t="n">
        <v>46001.7706134259</v>
      </c>
      <c r="F4515" s="0" t="n">
        <v>8.5</v>
      </c>
      <c r="G4515" s="0" t="n">
        <v>17128</v>
      </c>
      <c r="H4515" s="6" t="s">
        <v>74</v>
      </c>
      <c r="I4515" s="6" t="n">
        <f aca="false">D4515*F4515</f>
        <v>399.5</v>
      </c>
      <c r="J4515" s="6" t="n">
        <f aca="false">HOUR(E4515)</f>
        <v>18</v>
      </c>
      <c r="K4515" s="6" t="n">
        <f aca="false">IF(COUNTIF($A$2:$A4515,A4515)=1,1,0)</f>
        <v>1</v>
      </c>
    </row>
    <row r="4516" customFormat="false" ht="15" hidden="false" customHeight="false" outlineLevel="0" collapsed="false">
      <c r="A4516" s="0" t="s">
        <v>935</v>
      </c>
      <c r="B4516" s="0" t="s">
        <v>107</v>
      </c>
      <c r="C4516" s="0" t="s">
        <v>108</v>
      </c>
      <c r="D4516" s="0" t="n">
        <v>11</v>
      </c>
      <c r="E4516" s="5" t="n">
        <v>46001.7706134259</v>
      </c>
      <c r="F4516" s="0" t="n">
        <v>3.75</v>
      </c>
      <c r="G4516" s="0" t="n">
        <v>17128</v>
      </c>
      <c r="H4516" s="6" t="s">
        <v>74</v>
      </c>
      <c r="I4516" s="6" t="n">
        <f aca="false">D4516*F4516</f>
        <v>41.25</v>
      </c>
      <c r="J4516" s="6" t="n">
        <f aca="false">HOUR(E4516)</f>
        <v>18</v>
      </c>
      <c r="K4516" s="6" t="n">
        <f aca="false">IF(COUNTIF($A$2:$A4516,A4516)=1,1,0)</f>
        <v>0</v>
      </c>
    </row>
    <row r="4517" customFormat="false" ht="15" hidden="false" customHeight="false" outlineLevel="0" collapsed="false">
      <c r="A4517" s="0" t="s">
        <v>936</v>
      </c>
      <c r="B4517" s="0" t="s">
        <v>45</v>
      </c>
      <c r="C4517" s="0" t="s">
        <v>46</v>
      </c>
      <c r="D4517" s="0" t="n">
        <v>19</v>
      </c>
      <c r="E4517" s="5" t="n">
        <v>46001.8464699074</v>
      </c>
      <c r="F4517" s="0" t="n">
        <v>2.1</v>
      </c>
      <c r="G4517" s="0" t="n">
        <v>17163</v>
      </c>
      <c r="H4517" s="6" t="s">
        <v>42</v>
      </c>
      <c r="I4517" s="6" t="n">
        <f aca="false">D4517*F4517</f>
        <v>39.9</v>
      </c>
      <c r="J4517" s="6" t="n">
        <f aca="false">HOUR(E4517)</f>
        <v>20</v>
      </c>
      <c r="K4517" s="6" t="n">
        <f aca="false">IF(COUNTIF($A$2:$A4517,A4517)=1,1,0)</f>
        <v>1</v>
      </c>
    </row>
    <row r="4518" customFormat="false" ht="15" hidden="false" customHeight="false" outlineLevel="0" collapsed="false">
      <c r="A4518" s="0" t="s">
        <v>936</v>
      </c>
      <c r="B4518" s="0" t="s">
        <v>91</v>
      </c>
      <c r="C4518" s="0" t="s">
        <v>92</v>
      </c>
      <c r="D4518" s="0" t="n">
        <v>2</v>
      </c>
      <c r="E4518" s="5" t="n">
        <v>46001.8464699074</v>
      </c>
      <c r="F4518" s="0" t="n">
        <v>7.65</v>
      </c>
      <c r="G4518" s="0" t="n">
        <v>17163</v>
      </c>
      <c r="H4518" s="6" t="s">
        <v>42</v>
      </c>
      <c r="I4518" s="6" t="n">
        <f aca="false">D4518*F4518</f>
        <v>15.3</v>
      </c>
      <c r="J4518" s="6" t="n">
        <f aca="false">HOUR(E4518)</f>
        <v>20</v>
      </c>
      <c r="K4518" s="6" t="n">
        <f aca="false">IF(COUNTIF($A$2:$A4518,A4518)=1,1,0)</f>
        <v>0</v>
      </c>
    </row>
    <row r="4519" customFormat="false" ht="15" hidden="false" customHeight="false" outlineLevel="0" collapsed="false">
      <c r="A4519" s="0" t="s">
        <v>936</v>
      </c>
      <c r="B4519" s="0" t="s">
        <v>109</v>
      </c>
      <c r="C4519" s="0" t="s">
        <v>110</v>
      </c>
      <c r="D4519" s="0" t="n">
        <v>15</v>
      </c>
      <c r="E4519" s="5" t="n">
        <v>46001.8464699074</v>
      </c>
      <c r="F4519" s="0" t="n">
        <v>0.85</v>
      </c>
      <c r="G4519" s="0" t="n">
        <v>17163</v>
      </c>
      <c r="H4519" s="6" t="s">
        <v>42</v>
      </c>
      <c r="I4519" s="6" t="n">
        <f aca="false">D4519*F4519</f>
        <v>12.75</v>
      </c>
      <c r="J4519" s="6" t="n">
        <f aca="false">HOUR(E4519)</f>
        <v>20</v>
      </c>
      <c r="K4519" s="6" t="n">
        <f aca="false">IF(COUNTIF($A$2:$A4519,A4519)=1,1,0)</f>
        <v>0</v>
      </c>
    </row>
    <row r="4520" customFormat="false" ht="15" hidden="false" customHeight="false" outlineLevel="0" collapsed="false">
      <c r="A4520" s="0" t="s">
        <v>936</v>
      </c>
      <c r="B4520" s="0" t="s">
        <v>43</v>
      </c>
      <c r="C4520" s="0" t="s">
        <v>44</v>
      </c>
      <c r="D4520" s="0" t="n">
        <v>23</v>
      </c>
      <c r="E4520" s="5" t="n">
        <v>46001.8464699074</v>
      </c>
      <c r="F4520" s="0" t="n">
        <v>4.25</v>
      </c>
      <c r="G4520" s="0" t="n">
        <v>17163</v>
      </c>
      <c r="H4520" s="6" t="s">
        <v>42</v>
      </c>
      <c r="I4520" s="6" t="n">
        <f aca="false">D4520*F4520</f>
        <v>97.75</v>
      </c>
      <c r="J4520" s="6" t="n">
        <f aca="false">HOUR(E4520)</f>
        <v>20</v>
      </c>
      <c r="K4520" s="6" t="n">
        <f aca="false">IF(COUNTIF($A$2:$A4520,A4520)=1,1,0)</f>
        <v>0</v>
      </c>
    </row>
    <row r="4521" customFormat="false" ht="15" hidden="false" customHeight="false" outlineLevel="0" collapsed="false">
      <c r="A4521" s="0" t="s">
        <v>936</v>
      </c>
      <c r="B4521" s="0" t="s">
        <v>65</v>
      </c>
      <c r="C4521" s="0" t="s">
        <v>66</v>
      </c>
      <c r="D4521" s="0" t="n">
        <v>1</v>
      </c>
      <c r="E4521" s="5" t="n">
        <v>46001.8464699074</v>
      </c>
      <c r="F4521" s="0" t="n">
        <v>1.65</v>
      </c>
      <c r="G4521" s="0" t="n">
        <v>17163</v>
      </c>
      <c r="H4521" s="6" t="s">
        <v>42</v>
      </c>
      <c r="I4521" s="6" t="n">
        <f aca="false">D4521*F4521</f>
        <v>1.65</v>
      </c>
      <c r="J4521" s="6" t="n">
        <f aca="false">HOUR(E4521)</f>
        <v>20</v>
      </c>
      <c r="K4521" s="6" t="n">
        <f aca="false">IF(COUNTIF($A$2:$A4521,A4521)=1,1,0)</f>
        <v>0</v>
      </c>
    </row>
    <row r="4522" customFormat="false" ht="15" hidden="false" customHeight="false" outlineLevel="0" collapsed="false">
      <c r="A4522" s="0" t="s">
        <v>936</v>
      </c>
      <c r="B4522" s="0" t="s">
        <v>131</v>
      </c>
      <c r="C4522" s="0" t="s">
        <v>132</v>
      </c>
      <c r="D4522" s="0" t="n">
        <v>4</v>
      </c>
      <c r="E4522" s="5" t="n">
        <v>46001.8464699074</v>
      </c>
      <c r="F4522" s="0" t="n">
        <v>3.39</v>
      </c>
      <c r="G4522" s="0" t="n">
        <v>17163</v>
      </c>
      <c r="H4522" s="6" t="s">
        <v>42</v>
      </c>
      <c r="I4522" s="6" t="n">
        <f aca="false">D4522*F4522</f>
        <v>13.56</v>
      </c>
      <c r="J4522" s="6" t="n">
        <f aca="false">HOUR(E4522)</f>
        <v>20</v>
      </c>
      <c r="K4522" s="6" t="n">
        <f aca="false">IF(COUNTIF($A$2:$A4522,A4522)=1,1,0)</f>
        <v>0</v>
      </c>
    </row>
    <row r="4523" customFormat="false" ht="15" hidden="false" customHeight="false" outlineLevel="0" collapsed="false">
      <c r="A4523" s="0" t="s">
        <v>936</v>
      </c>
      <c r="B4523" s="0" t="s">
        <v>40</v>
      </c>
      <c r="C4523" s="0" t="s">
        <v>41</v>
      </c>
      <c r="D4523" s="0" t="n">
        <v>17</v>
      </c>
      <c r="E4523" s="5" t="n">
        <v>46001.8464699074</v>
      </c>
      <c r="F4523" s="0" t="n">
        <v>1.06</v>
      </c>
      <c r="G4523" s="0" t="n">
        <v>17163</v>
      </c>
      <c r="H4523" s="6" t="s">
        <v>42</v>
      </c>
      <c r="I4523" s="6" t="n">
        <f aca="false">D4523*F4523</f>
        <v>18.02</v>
      </c>
      <c r="J4523" s="6" t="n">
        <f aca="false">HOUR(E4523)</f>
        <v>20</v>
      </c>
      <c r="K4523" s="6" t="n">
        <f aca="false">IF(COUNTIF($A$2:$A4523,A4523)=1,1,0)</f>
        <v>0</v>
      </c>
    </row>
    <row r="4524" customFormat="false" ht="15" hidden="false" customHeight="false" outlineLevel="0" collapsed="false">
      <c r="A4524" s="0" t="s">
        <v>936</v>
      </c>
      <c r="B4524" s="0" t="s">
        <v>47</v>
      </c>
      <c r="C4524" s="0" t="s">
        <v>48</v>
      </c>
      <c r="D4524" s="0" t="n">
        <v>8</v>
      </c>
      <c r="E4524" s="5" t="n">
        <v>46001.8464699074</v>
      </c>
      <c r="F4524" s="0" t="n">
        <v>12.75</v>
      </c>
      <c r="G4524" s="0" t="n">
        <v>17163</v>
      </c>
      <c r="H4524" s="6" t="s">
        <v>42</v>
      </c>
      <c r="I4524" s="6" t="n">
        <f aca="false">D4524*F4524</f>
        <v>102</v>
      </c>
      <c r="J4524" s="6" t="n">
        <f aca="false">HOUR(E4524)</f>
        <v>20</v>
      </c>
      <c r="K4524" s="6" t="n">
        <f aca="false">IF(COUNTIF($A$2:$A4524,A4524)=1,1,0)</f>
        <v>0</v>
      </c>
    </row>
    <row r="4525" customFormat="false" ht="15" hidden="false" customHeight="false" outlineLevel="0" collapsed="false">
      <c r="A4525" s="0" t="s">
        <v>936</v>
      </c>
      <c r="B4525" s="0" t="s">
        <v>86</v>
      </c>
      <c r="C4525" s="0" t="s">
        <v>87</v>
      </c>
      <c r="D4525" s="0" t="n">
        <v>24</v>
      </c>
      <c r="E4525" s="5" t="n">
        <v>46001.8464699074</v>
      </c>
      <c r="F4525" s="0" t="n">
        <v>4.25</v>
      </c>
      <c r="G4525" s="0" t="n">
        <v>17163</v>
      </c>
      <c r="H4525" s="6" t="s">
        <v>42</v>
      </c>
      <c r="I4525" s="6" t="n">
        <f aca="false">D4525*F4525</f>
        <v>102</v>
      </c>
      <c r="J4525" s="6" t="n">
        <f aca="false">HOUR(E4525)</f>
        <v>20</v>
      </c>
      <c r="K4525" s="6" t="n">
        <f aca="false">IF(COUNTIF($A$2:$A4525,A4525)=1,1,0)</f>
        <v>0</v>
      </c>
    </row>
    <row r="4526" customFormat="false" ht="15" hidden="false" customHeight="false" outlineLevel="0" collapsed="false">
      <c r="A4526" s="0" t="s">
        <v>937</v>
      </c>
      <c r="B4526" s="0" t="s">
        <v>72</v>
      </c>
      <c r="C4526" s="0" t="s">
        <v>73</v>
      </c>
      <c r="D4526" s="0" t="n">
        <v>48</v>
      </c>
      <c r="E4526" s="5" t="n">
        <v>46001.8704166667</v>
      </c>
      <c r="F4526" s="0" t="n">
        <v>4.95</v>
      </c>
      <c r="G4526" s="0" t="n">
        <v>17033</v>
      </c>
      <c r="H4526" s="6" t="s">
        <v>74</v>
      </c>
      <c r="I4526" s="6" t="n">
        <f aca="false">D4526*F4526</f>
        <v>237.6</v>
      </c>
      <c r="J4526" s="6" t="n">
        <f aca="false">HOUR(E4526)</f>
        <v>20</v>
      </c>
      <c r="K4526" s="6" t="n">
        <f aca="false">IF(COUNTIF($A$2:$A4526,A4526)=1,1,0)</f>
        <v>1</v>
      </c>
    </row>
    <row r="4527" customFormat="false" ht="15" hidden="false" customHeight="false" outlineLevel="0" collapsed="false">
      <c r="A4527" s="0" t="s">
        <v>937</v>
      </c>
      <c r="B4527" s="0" t="s">
        <v>104</v>
      </c>
      <c r="C4527" s="0" t="s">
        <v>105</v>
      </c>
      <c r="D4527" s="0" t="n">
        <v>2</v>
      </c>
      <c r="E4527" s="5" t="n">
        <v>46001.8704166667</v>
      </c>
      <c r="F4527" s="0" t="n">
        <v>1.65</v>
      </c>
      <c r="G4527" s="0" t="n">
        <v>17033</v>
      </c>
      <c r="H4527" s="6" t="s">
        <v>74</v>
      </c>
      <c r="I4527" s="6" t="n">
        <f aca="false">D4527*F4527</f>
        <v>3.3</v>
      </c>
      <c r="J4527" s="6" t="n">
        <f aca="false">HOUR(E4527)</f>
        <v>20</v>
      </c>
      <c r="K4527" s="6" t="n">
        <f aca="false">IF(COUNTIF($A$2:$A4527,A4527)=1,1,0)</f>
        <v>0</v>
      </c>
    </row>
    <row r="4528" customFormat="false" ht="15" hidden="false" customHeight="false" outlineLevel="0" collapsed="false">
      <c r="A4528" s="0" t="s">
        <v>937</v>
      </c>
      <c r="B4528" s="0" t="s">
        <v>116</v>
      </c>
      <c r="C4528" s="0" t="s">
        <v>117</v>
      </c>
      <c r="D4528" s="0" t="n">
        <v>17</v>
      </c>
      <c r="E4528" s="5" t="n">
        <v>46001.8704166667</v>
      </c>
      <c r="F4528" s="0" t="n">
        <v>1.95</v>
      </c>
      <c r="G4528" s="0" t="n">
        <v>17033</v>
      </c>
      <c r="H4528" s="6" t="s">
        <v>74</v>
      </c>
      <c r="I4528" s="6" t="n">
        <f aca="false">D4528*F4528</f>
        <v>33.15</v>
      </c>
      <c r="J4528" s="6" t="n">
        <f aca="false">HOUR(E4528)</f>
        <v>20</v>
      </c>
      <c r="K4528" s="6" t="n">
        <f aca="false">IF(COUNTIF($A$2:$A4528,A4528)=1,1,0)</f>
        <v>0</v>
      </c>
    </row>
    <row r="4529" customFormat="false" ht="15" hidden="false" customHeight="false" outlineLevel="0" collapsed="false">
      <c r="A4529" s="0" t="s">
        <v>937</v>
      </c>
      <c r="B4529" s="0" t="s">
        <v>109</v>
      </c>
      <c r="C4529" s="0" t="s">
        <v>110</v>
      </c>
      <c r="D4529" s="0" t="n">
        <v>21</v>
      </c>
      <c r="E4529" s="5" t="n">
        <v>46001.8704166667</v>
      </c>
      <c r="F4529" s="0" t="n">
        <v>0.85</v>
      </c>
      <c r="G4529" s="0" t="n">
        <v>17033</v>
      </c>
      <c r="H4529" s="6" t="s">
        <v>74</v>
      </c>
      <c r="I4529" s="6" t="n">
        <f aca="false">D4529*F4529</f>
        <v>17.85</v>
      </c>
      <c r="J4529" s="6" t="n">
        <f aca="false">HOUR(E4529)</f>
        <v>20</v>
      </c>
      <c r="K4529" s="6" t="n">
        <f aca="false">IF(COUNTIF($A$2:$A4529,A4529)=1,1,0)</f>
        <v>0</v>
      </c>
    </row>
    <row r="4530" customFormat="false" ht="15" hidden="false" customHeight="false" outlineLevel="0" collapsed="false">
      <c r="A4530" s="0" t="s">
        <v>937</v>
      </c>
      <c r="B4530" s="0" t="s">
        <v>107</v>
      </c>
      <c r="C4530" s="0" t="s">
        <v>108</v>
      </c>
      <c r="D4530" s="0" t="n">
        <v>17</v>
      </c>
      <c r="E4530" s="5" t="n">
        <v>46001.8704166667</v>
      </c>
      <c r="F4530" s="0" t="n">
        <v>3.75</v>
      </c>
      <c r="G4530" s="0" t="n">
        <v>17033</v>
      </c>
      <c r="H4530" s="6" t="s">
        <v>74</v>
      </c>
      <c r="I4530" s="6" t="n">
        <f aca="false">D4530*F4530</f>
        <v>63.75</v>
      </c>
      <c r="J4530" s="6" t="n">
        <f aca="false">HOUR(E4530)</f>
        <v>20</v>
      </c>
      <c r="K4530" s="6" t="n">
        <f aca="false">IF(COUNTIF($A$2:$A4530,A4530)=1,1,0)</f>
        <v>0</v>
      </c>
    </row>
    <row r="4531" customFormat="false" ht="15" hidden="false" customHeight="false" outlineLevel="0" collapsed="false">
      <c r="A4531" s="0" t="s">
        <v>937</v>
      </c>
      <c r="B4531" s="0" t="s">
        <v>93</v>
      </c>
      <c r="C4531" s="0" t="s">
        <v>94</v>
      </c>
      <c r="D4531" s="0" t="n">
        <v>19</v>
      </c>
      <c r="E4531" s="5" t="n">
        <v>46001.8704166667</v>
      </c>
      <c r="F4531" s="0" t="n">
        <v>1.69</v>
      </c>
      <c r="G4531" s="0" t="n">
        <v>17033</v>
      </c>
      <c r="H4531" s="6" t="s">
        <v>74</v>
      </c>
      <c r="I4531" s="6" t="n">
        <f aca="false">D4531*F4531</f>
        <v>32.11</v>
      </c>
      <c r="J4531" s="6" t="n">
        <f aca="false">HOUR(E4531)</f>
        <v>20</v>
      </c>
      <c r="K4531" s="6" t="n">
        <f aca="false">IF(COUNTIF($A$2:$A4531,A4531)=1,1,0)</f>
        <v>0</v>
      </c>
    </row>
    <row r="4532" customFormat="false" ht="15" hidden="false" customHeight="false" outlineLevel="0" collapsed="false">
      <c r="A4532" s="0" t="s">
        <v>938</v>
      </c>
      <c r="B4532" s="0" t="s">
        <v>50</v>
      </c>
      <c r="C4532" s="0" t="s">
        <v>51</v>
      </c>
      <c r="D4532" s="0" t="n">
        <v>11</v>
      </c>
      <c r="E4532" s="5" t="n">
        <v>46001.9541666667</v>
      </c>
      <c r="F4532" s="0" t="n">
        <v>5.95</v>
      </c>
      <c r="G4532" s="0" t="n">
        <v>17071</v>
      </c>
      <c r="H4532" s="6" t="s">
        <v>68</v>
      </c>
      <c r="I4532" s="6" t="n">
        <f aca="false">D4532*F4532</f>
        <v>65.45</v>
      </c>
      <c r="J4532" s="6" t="n">
        <f aca="false">HOUR(E4532)</f>
        <v>22</v>
      </c>
      <c r="K4532" s="6" t="n">
        <f aca="false">IF(COUNTIF($A$2:$A4532,A4532)=1,1,0)</f>
        <v>1</v>
      </c>
    </row>
    <row r="4533" customFormat="false" ht="15" hidden="false" customHeight="false" outlineLevel="0" collapsed="false">
      <c r="A4533" s="0" t="s">
        <v>938</v>
      </c>
      <c r="B4533" s="0" t="s">
        <v>72</v>
      </c>
      <c r="C4533" s="0" t="s">
        <v>73</v>
      </c>
      <c r="D4533" s="0" t="n">
        <v>35</v>
      </c>
      <c r="E4533" s="5" t="n">
        <v>46001.9541666667</v>
      </c>
      <c r="F4533" s="0" t="n">
        <v>4.95</v>
      </c>
      <c r="G4533" s="0" t="n">
        <v>17071</v>
      </c>
      <c r="H4533" s="6" t="s">
        <v>68</v>
      </c>
      <c r="I4533" s="6" t="n">
        <f aca="false">D4533*F4533</f>
        <v>173.25</v>
      </c>
      <c r="J4533" s="6" t="n">
        <f aca="false">HOUR(E4533)</f>
        <v>22</v>
      </c>
      <c r="K4533" s="6" t="n">
        <f aca="false">IF(COUNTIF($A$2:$A4533,A4533)=1,1,0)</f>
        <v>0</v>
      </c>
    </row>
    <row r="4534" customFormat="false" ht="15" hidden="false" customHeight="false" outlineLevel="0" collapsed="false">
      <c r="A4534" s="0" t="s">
        <v>939</v>
      </c>
      <c r="B4534" s="0" t="s">
        <v>77</v>
      </c>
      <c r="C4534" s="0" t="s">
        <v>78</v>
      </c>
      <c r="D4534" s="0" t="n">
        <v>22</v>
      </c>
      <c r="E4534" s="5" t="n">
        <v>46002.4150925926</v>
      </c>
      <c r="F4534" s="0" t="n">
        <v>1.65</v>
      </c>
      <c r="G4534" s="0" t="n">
        <v>17041</v>
      </c>
      <c r="H4534" s="6" t="s">
        <v>208</v>
      </c>
      <c r="I4534" s="6" t="n">
        <f aca="false">D4534*F4534</f>
        <v>36.3</v>
      </c>
      <c r="J4534" s="6" t="n">
        <f aca="false">HOUR(E4534)</f>
        <v>9</v>
      </c>
      <c r="K4534" s="6" t="n">
        <f aca="false">IF(COUNTIF($A$2:$A4534,A4534)=1,1,0)</f>
        <v>1</v>
      </c>
    </row>
    <row r="4535" customFormat="false" ht="15" hidden="false" customHeight="false" outlineLevel="0" collapsed="false">
      <c r="A4535" s="0" t="s">
        <v>939</v>
      </c>
      <c r="B4535" s="0" t="s">
        <v>79</v>
      </c>
      <c r="C4535" s="0" t="s">
        <v>80</v>
      </c>
      <c r="D4535" s="0" t="n">
        <v>4</v>
      </c>
      <c r="E4535" s="5" t="n">
        <v>46002.4150925926</v>
      </c>
      <c r="F4535" s="0" t="n">
        <v>3.39</v>
      </c>
      <c r="G4535" s="0" t="n">
        <v>17041</v>
      </c>
      <c r="H4535" s="6" t="s">
        <v>208</v>
      </c>
      <c r="I4535" s="6" t="n">
        <f aca="false">D4535*F4535</f>
        <v>13.56</v>
      </c>
      <c r="J4535" s="6" t="n">
        <f aca="false">HOUR(E4535)</f>
        <v>9</v>
      </c>
      <c r="K4535" s="6" t="n">
        <f aca="false">IF(COUNTIF($A$2:$A4535,A4535)=1,1,0)</f>
        <v>0</v>
      </c>
    </row>
    <row r="4536" customFormat="false" ht="15" hidden="false" customHeight="false" outlineLevel="0" collapsed="false">
      <c r="A4536" s="0" t="s">
        <v>940</v>
      </c>
      <c r="B4536" s="0" t="s">
        <v>61</v>
      </c>
      <c r="C4536" s="0" t="s">
        <v>62</v>
      </c>
      <c r="D4536" s="0" t="n">
        <v>7</v>
      </c>
      <c r="E4536" s="5" t="n">
        <v>46002.4330092593</v>
      </c>
      <c r="F4536" s="0" t="n">
        <v>1.65</v>
      </c>
      <c r="G4536" s="0" t="n">
        <v>17131</v>
      </c>
      <c r="H4536" s="6" t="s">
        <v>74</v>
      </c>
      <c r="I4536" s="6" t="n">
        <f aca="false">D4536*F4536</f>
        <v>11.55</v>
      </c>
      <c r="J4536" s="6" t="n">
        <f aca="false">HOUR(E4536)</f>
        <v>10</v>
      </c>
      <c r="K4536" s="6" t="n">
        <f aca="false">IF(COUNTIF($A$2:$A4536,A4536)=1,1,0)</f>
        <v>1</v>
      </c>
    </row>
    <row r="4537" customFormat="false" ht="15" hidden="false" customHeight="false" outlineLevel="0" collapsed="false">
      <c r="A4537" s="0" t="s">
        <v>940</v>
      </c>
      <c r="B4537" s="0" t="s">
        <v>63</v>
      </c>
      <c r="C4537" s="0" t="s">
        <v>64</v>
      </c>
      <c r="D4537" s="0" t="n">
        <v>4</v>
      </c>
      <c r="E4537" s="5" t="n">
        <v>46002.4330092593</v>
      </c>
      <c r="F4537" s="0" t="n">
        <v>1.85</v>
      </c>
      <c r="G4537" s="0" t="n">
        <v>17131</v>
      </c>
      <c r="H4537" s="6" t="s">
        <v>74</v>
      </c>
      <c r="I4537" s="6" t="n">
        <f aca="false">D4537*F4537</f>
        <v>7.4</v>
      </c>
      <c r="J4537" s="6" t="n">
        <f aca="false">HOUR(E4537)</f>
        <v>10</v>
      </c>
      <c r="K4537" s="6" t="n">
        <f aca="false">IF(COUNTIF($A$2:$A4537,A4537)=1,1,0)</f>
        <v>0</v>
      </c>
    </row>
    <row r="4538" customFormat="false" ht="15" hidden="false" customHeight="false" outlineLevel="0" collapsed="false">
      <c r="A4538" s="0" t="s">
        <v>940</v>
      </c>
      <c r="B4538" s="0" t="s">
        <v>107</v>
      </c>
      <c r="C4538" s="0" t="s">
        <v>108</v>
      </c>
      <c r="D4538" s="0" t="n">
        <v>15</v>
      </c>
      <c r="E4538" s="5" t="n">
        <v>46002.4330092593</v>
      </c>
      <c r="F4538" s="0" t="n">
        <v>3.75</v>
      </c>
      <c r="G4538" s="0" t="n">
        <v>17131</v>
      </c>
      <c r="H4538" s="6" t="s">
        <v>74</v>
      </c>
      <c r="I4538" s="6" t="n">
        <f aca="false">D4538*F4538</f>
        <v>56.25</v>
      </c>
      <c r="J4538" s="6" t="n">
        <f aca="false">HOUR(E4538)</f>
        <v>10</v>
      </c>
      <c r="K4538" s="6" t="n">
        <f aca="false">IF(COUNTIF($A$2:$A4538,A4538)=1,1,0)</f>
        <v>0</v>
      </c>
    </row>
    <row r="4539" customFormat="false" ht="15" hidden="false" customHeight="false" outlineLevel="0" collapsed="false">
      <c r="A4539" s="0" t="s">
        <v>940</v>
      </c>
      <c r="B4539" s="0" t="s">
        <v>140</v>
      </c>
      <c r="C4539" s="0" t="s">
        <v>141</v>
      </c>
      <c r="D4539" s="0" t="n">
        <v>21</v>
      </c>
      <c r="E4539" s="5" t="n">
        <v>46002.4330092593</v>
      </c>
      <c r="F4539" s="0" t="n">
        <v>2.08</v>
      </c>
      <c r="G4539" s="0" t="n">
        <v>17131</v>
      </c>
      <c r="H4539" s="6" t="s">
        <v>74</v>
      </c>
      <c r="I4539" s="6" t="n">
        <f aca="false">D4539*F4539</f>
        <v>43.68</v>
      </c>
      <c r="J4539" s="6" t="n">
        <f aca="false">HOUR(E4539)</f>
        <v>10</v>
      </c>
      <c r="K4539" s="6" t="n">
        <f aca="false">IF(COUNTIF($A$2:$A4539,A4539)=1,1,0)</f>
        <v>0</v>
      </c>
    </row>
    <row r="4540" customFormat="false" ht="15" hidden="false" customHeight="false" outlineLevel="0" collapsed="false">
      <c r="A4540" s="0" t="s">
        <v>940</v>
      </c>
      <c r="B4540" s="0" t="s">
        <v>118</v>
      </c>
      <c r="C4540" s="0" t="s">
        <v>119</v>
      </c>
      <c r="D4540" s="0" t="n">
        <v>8</v>
      </c>
      <c r="E4540" s="5" t="n">
        <v>46002.4330092593</v>
      </c>
      <c r="F4540" s="0" t="n">
        <v>4.95</v>
      </c>
      <c r="G4540" s="0" t="n">
        <v>17131</v>
      </c>
      <c r="H4540" s="6" t="s">
        <v>74</v>
      </c>
      <c r="I4540" s="6" t="n">
        <f aca="false">D4540*F4540</f>
        <v>39.6</v>
      </c>
      <c r="J4540" s="6" t="n">
        <f aca="false">HOUR(E4540)</f>
        <v>10</v>
      </c>
      <c r="K4540" s="6" t="n">
        <f aca="false">IF(COUNTIF($A$2:$A4540,A4540)=1,1,0)</f>
        <v>0</v>
      </c>
    </row>
    <row r="4541" customFormat="false" ht="15" hidden="false" customHeight="false" outlineLevel="0" collapsed="false">
      <c r="A4541" s="0" t="s">
        <v>940</v>
      </c>
      <c r="B4541" s="0" t="s">
        <v>55</v>
      </c>
      <c r="C4541" s="0" t="s">
        <v>56</v>
      </c>
      <c r="D4541" s="0" t="n">
        <v>13</v>
      </c>
      <c r="E4541" s="5" t="n">
        <v>46002.4330092593</v>
      </c>
      <c r="F4541" s="0" t="n">
        <v>1.65</v>
      </c>
      <c r="G4541" s="0" t="n">
        <v>17131</v>
      </c>
      <c r="H4541" s="6" t="s">
        <v>74</v>
      </c>
      <c r="I4541" s="6" t="n">
        <f aca="false">D4541*F4541</f>
        <v>21.45</v>
      </c>
      <c r="J4541" s="6" t="n">
        <f aca="false">HOUR(E4541)</f>
        <v>10</v>
      </c>
      <c r="K4541" s="6" t="n">
        <f aca="false">IF(COUNTIF($A$2:$A4541,A4541)=1,1,0)</f>
        <v>0</v>
      </c>
    </row>
    <row r="4542" customFormat="false" ht="15" hidden="false" customHeight="false" outlineLevel="0" collapsed="false">
      <c r="A4542" s="0" t="s">
        <v>941</v>
      </c>
      <c r="B4542" s="0" t="s">
        <v>57</v>
      </c>
      <c r="C4542" s="0" t="s">
        <v>58</v>
      </c>
      <c r="D4542" s="0" t="n">
        <v>19</v>
      </c>
      <c r="E4542" s="5" t="n">
        <v>46002.4973842593</v>
      </c>
      <c r="F4542" s="0" t="n">
        <v>2.08</v>
      </c>
      <c r="G4542" s="0" t="n">
        <v>17140</v>
      </c>
      <c r="H4542" s="6" t="s">
        <v>74</v>
      </c>
      <c r="I4542" s="6" t="n">
        <f aca="false">D4542*F4542</f>
        <v>39.52</v>
      </c>
      <c r="J4542" s="6" t="n">
        <f aca="false">HOUR(E4542)</f>
        <v>11</v>
      </c>
      <c r="K4542" s="6" t="n">
        <f aca="false">IF(COUNTIF($A$2:$A4542,A4542)=1,1,0)</f>
        <v>1</v>
      </c>
    </row>
    <row r="4543" customFormat="false" ht="15" hidden="false" customHeight="false" outlineLevel="0" collapsed="false">
      <c r="A4543" s="0" t="s">
        <v>941</v>
      </c>
      <c r="B4543" s="0" t="s">
        <v>116</v>
      </c>
      <c r="C4543" s="0" t="s">
        <v>117</v>
      </c>
      <c r="D4543" s="0" t="n">
        <v>9</v>
      </c>
      <c r="E4543" s="5" t="n">
        <v>46002.4973842593</v>
      </c>
      <c r="F4543" s="0" t="n">
        <v>1.95</v>
      </c>
      <c r="G4543" s="0" t="n">
        <v>17140</v>
      </c>
      <c r="H4543" s="6" t="s">
        <v>74</v>
      </c>
      <c r="I4543" s="6" t="n">
        <f aca="false">D4543*F4543</f>
        <v>17.55</v>
      </c>
      <c r="J4543" s="6" t="n">
        <f aca="false">HOUR(E4543)</f>
        <v>11</v>
      </c>
      <c r="K4543" s="6" t="n">
        <f aca="false">IF(COUNTIF($A$2:$A4543,A4543)=1,1,0)</f>
        <v>0</v>
      </c>
    </row>
    <row r="4544" customFormat="false" ht="15" hidden="false" customHeight="false" outlineLevel="0" collapsed="false">
      <c r="A4544" s="0" t="s">
        <v>941</v>
      </c>
      <c r="B4544" s="0" t="s">
        <v>72</v>
      </c>
      <c r="C4544" s="0" t="s">
        <v>73</v>
      </c>
      <c r="D4544" s="0" t="n">
        <v>19</v>
      </c>
      <c r="E4544" s="5" t="n">
        <v>46002.4973842593</v>
      </c>
      <c r="F4544" s="0" t="n">
        <v>4.95</v>
      </c>
      <c r="G4544" s="0" t="n">
        <v>17140</v>
      </c>
      <c r="H4544" s="6" t="s">
        <v>74</v>
      </c>
      <c r="I4544" s="6" t="n">
        <f aca="false">D4544*F4544</f>
        <v>94.05</v>
      </c>
      <c r="J4544" s="6" t="n">
        <f aca="false">HOUR(E4544)</f>
        <v>11</v>
      </c>
      <c r="K4544" s="6" t="n">
        <f aca="false">IF(COUNTIF($A$2:$A4544,A4544)=1,1,0)</f>
        <v>0</v>
      </c>
    </row>
    <row r="4545" customFormat="false" ht="15" hidden="false" customHeight="false" outlineLevel="0" collapsed="false">
      <c r="A4545" s="0" t="s">
        <v>941</v>
      </c>
      <c r="B4545" s="0" t="s">
        <v>127</v>
      </c>
      <c r="C4545" s="0" t="s">
        <v>128</v>
      </c>
      <c r="D4545" s="0" t="n">
        <v>9</v>
      </c>
      <c r="E4545" s="5" t="n">
        <v>46002.4973842593</v>
      </c>
      <c r="F4545" s="0" t="n">
        <v>1.45</v>
      </c>
      <c r="G4545" s="0" t="n">
        <v>17140</v>
      </c>
      <c r="H4545" s="6" t="s">
        <v>74</v>
      </c>
      <c r="I4545" s="6" t="n">
        <f aca="false">D4545*F4545</f>
        <v>13.05</v>
      </c>
      <c r="J4545" s="6" t="n">
        <f aca="false">HOUR(E4545)</f>
        <v>11</v>
      </c>
      <c r="K4545" s="6" t="n">
        <f aca="false">IF(COUNTIF($A$2:$A4545,A4545)=1,1,0)</f>
        <v>0</v>
      </c>
    </row>
    <row r="4546" customFormat="false" ht="15" hidden="false" customHeight="false" outlineLevel="0" collapsed="false">
      <c r="A4546" s="0" t="s">
        <v>941</v>
      </c>
      <c r="B4546" s="0" t="s">
        <v>102</v>
      </c>
      <c r="C4546" s="0" t="s">
        <v>103</v>
      </c>
      <c r="D4546" s="0" t="n">
        <v>48</v>
      </c>
      <c r="E4546" s="5" t="n">
        <v>46002.4973842593</v>
      </c>
      <c r="F4546" s="0" t="n">
        <v>8.5</v>
      </c>
      <c r="G4546" s="0" t="n">
        <v>17140</v>
      </c>
      <c r="H4546" s="6" t="s">
        <v>74</v>
      </c>
      <c r="I4546" s="6" t="n">
        <f aca="false">D4546*F4546</f>
        <v>408</v>
      </c>
      <c r="J4546" s="6" t="n">
        <f aca="false">HOUR(E4546)</f>
        <v>11</v>
      </c>
      <c r="K4546" s="6" t="n">
        <f aca="false">IF(COUNTIF($A$2:$A4546,A4546)=1,1,0)</f>
        <v>0</v>
      </c>
    </row>
    <row r="4547" customFormat="false" ht="15" hidden="false" customHeight="false" outlineLevel="0" collapsed="false">
      <c r="A4547" s="0" t="s">
        <v>942</v>
      </c>
      <c r="B4547" s="0" t="s">
        <v>53</v>
      </c>
      <c r="C4547" s="0" t="s">
        <v>54</v>
      </c>
      <c r="D4547" s="0" t="n">
        <v>24</v>
      </c>
      <c r="E4547" s="5" t="n">
        <v>46002.5487152778</v>
      </c>
      <c r="F4547" s="0" t="n">
        <v>2.95</v>
      </c>
      <c r="H4547" s="6" t="s">
        <v>74</v>
      </c>
      <c r="I4547" s="6" t="n">
        <f aca="false">D4547*F4547</f>
        <v>70.8</v>
      </c>
      <c r="J4547" s="6" t="n">
        <f aca="false">HOUR(E4547)</f>
        <v>13</v>
      </c>
      <c r="K4547" s="6" t="n">
        <f aca="false">IF(COUNTIF($A$2:$A4547,A4547)=1,1,0)</f>
        <v>1</v>
      </c>
    </row>
    <row r="4548" customFormat="false" ht="15" hidden="false" customHeight="false" outlineLevel="0" collapsed="false">
      <c r="A4548" s="0" t="s">
        <v>942</v>
      </c>
      <c r="B4548" s="0" t="s">
        <v>43</v>
      </c>
      <c r="C4548" s="0" t="s">
        <v>44</v>
      </c>
      <c r="D4548" s="0" t="n">
        <v>20</v>
      </c>
      <c r="E4548" s="5" t="n">
        <v>46002.5487152778</v>
      </c>
      <c r="F4548" s="0" t="n">
        <v>4.25</v>
      </c>
      <c r="H4548" s="6" t="s">
        <v>74</v>
      </c>
      <c r="I4548" s="6" t="n">
        <f aca="false">D4548*F4548</f>
        <v>85</v>
      </c>
      <c r="J4548" s="6" t="n">
        <f aca="false">HOUR(E4548)</f>
        <v>13</v>
      </c>
      <c r="K4548" s="6" t="n">
        <f aca="false">IF(COUNTIF($A$2:$A4548,A4548)=1,1,0)</f>
        <v>0</v>
      </c>
    </row>
    <row r="4549" customFormat="false" ht="15" hidden="false" customHeight="false" outlineLevel="0" collapsed="false">
      <c r="A4549" s="0" t="s">
        <v>943</v>
      </c>
      <c r="B4549" s="0" t="s">
        <v>63</v>
      </c>
      <c r="C4549" s="0" t="s">
        <v>64</v>
      </c>
      <c r="D4549" s="0" t="n">
        <v>7</v>
      </c>
      <c r="E4549" s="5" t="n">
        <v>46002.5783333333</v>
      </c>
      <c r="F4549" s="0" t="n">
        <v>1.85</v>
      </c>
      <c r="G4549" s="0" t="n">
        <v>17177</v>
      </c>
      <c r="H4549" s="6" t="s">
        <v>74</v>
      </c>
      <c r="I4549" s="6" t="n">
        <f aca="false">D4549*F4549</f>
        <v>12.95</v>
      </c>
      <c r="J4549" s="6" t="n">
        <f aca="false">HOUR(E4549)</f>
        <v>13</v>
      </c>
      <c r="K4549" s="6" t="n">
        <f aca="false">IF(COUNTIF($A$2:$A4549,A4549)=1,1,0)</f>
        <v>1</v>
      </c>
    </row>
    <row r="4550" customFormat="false" ht="15" hidden="false" customHeight="false" outlineLevel="0" collapsed="false">
      <c r="A4550" s="0" t="s">
        <v>943</v>
      </c>
      <c r="B4550" s="0" t="s">
        <v>69</v>
      </c>
      <c r="C4550" s="0" t="s">
        <v>70</v>
      </c>
      <c r="D4550" s="0" t="n">
        <v>24</v>
      </c>
      <c r="E4550" s="5" t="n">
        <v>46002.5783333333</v>
      </c>
      <c r="F4550" s="0" t="n">
        <v>2.08</v>
      </c>
      <c r="G4550" s="0" t="n">
        <v>17177</v>
      </c>
      <c r="H4550" s="6" t="s">
        <v>74</v>
      </c>
      <c r="I4550" s="6" t="n">
        <f aca="false">D4550*F4550</f>
        <v>49.92</v>
      </c>
      <c r="J4550" s="6" t="n">
        <f aca="false">HOUR(E4550)</f>
        <v>13</v>
      </c>
      <c r="K4550" s="6" t="n">
        <f aca="false">IF(COUNTIF($A$2:$A4550,A4550)=1,1,0)</f>
        <v>0</v>
      </c>
    </row>
    <row r="4551" customFormat="false" ht="15" hidden="false" customHeight="false" outlineLevel="0" collapsed="false">
      <c r="A4551" s="0" t="s">
        <v>943</v>
      </c>
      <c r="B4551" s="0" t="s">
        <v>81</v>
      </c>
      <c r="C4551" s="0" t="s">
        <v>82</v>
      </c>
      <c r="D4551" s="0" t="n">
        <v>3</v>
      </c>
      <c r="E4551" s="5" t="n">
        <v>46002.5783333333</v>
      </c>
      <c r="F4551" s="0" t="n">
        <v>1.65</v>
      </c>
      <c r="G4551" s="0" t="n">
        <v>17177</v>
      </c>
      <c r="H4551" s="6" t="s">
        <v>74</v>
      </c>
      <c r="I4551" s="6" t="n">
        <f aca="false">D4551*F4551</f>
        <v>4.95</v>
      </c>
      <c r="J4551" s="6" t="n">
        <f aca="false">HOUR(E4551)</f>
        <v>13</v>
      </c>
      <c r="K4551" s="6" t="n">
        <f aca="false">IF(COUNTIF($A$2:$A4551,A4551)=1,1,0)</f>
        <v>0</v>
      </c>
    </row>
    <row r="4552" customFormat="false" ht="15" hidden="false" customHeight="false" outlineLevel="0" collapsed="false">
      <c r="A4552" s="0" t="s">
        <v>943</v>
      </c>
      <c r="B4552" s="0" t="s">
        <v>104</v>
      </c>
      <c r="C4552" s="0" t="s">
        <v>105</v>
      </c>
      <c r="D4552" s="0" t="n">
        <v>10</v>
      </c>
      <c r="E4552" s="5" t="n">
        <v>46002.5783333333</v>
      </c>
      <c r="F4552" s="0" t="n">
        <v>1.65</v>
      </c>
      <c r="G4552" s="0" t="n">
        <v>17177</v>
      </c>
      <c r="H4552" s="6" t="s">
        <v>74</v>
      </c>
      <c r="I4552" s="6" t="n">
        <f aca="false">D4552*F4552</f>
        <v>16.5</v>
      </c>
      <c r="J4552" s="6" t="n">
        <f aca="false">HOUR(E4552)</f>
        <v>13</v>
      </c>
      <c r="K4552" s="6" t="n">
        <f aca="false">IF(COUNTIF($A$2:$A4552,A4552)=1,1,0)</f>
        <v>0</v>
      </c>
    </row>
    <row r="4553" customFormat="false" ht="15" hidden="false" customHeight="false" outlineLevel="0" collapsed="false">
      <c r="A4553" s="0" t="s">
        <v>943</v>
      </c>
      <c r="B4553" s="0" t="s">
        <v>55</v>
      </c>
      <c r="C4553" s="0" t="s">
        <v>56</v>
      </c>
      <c r="D4553" s="0" t="n">
        <v>6</v>
      </c>
      <c r="E4553" s="5" t="n">
        <v>46002.5783333333</v>
      </c>
      <c r="F4553" s="0" t="n">
        <v>1.65</v>
      </c>
      <c r="G4553" s="0" t="n">
        <v>17177</v>
      </c>
      <c r="H4553" s="6" t="s">
        <v>74</v>
      </c>
      <c r="I4553" s="6" t="n">
        <f aca="false">D4553*F4553</f>
        <v>9.9</v>
      </c>
      <c r="J4553" s="6" t="n">
        <f aca="false">HOUR(E4553)</f>
        <v>13</v>
      </c>
      <c r="K4553" s="6" t="n">
        <f aca="false">IF(COUNTIF($A$2:$A4553,A4553)=1,1,0)</f>
        <v>0</v>
      </c>
    </row>
    <row r="4554" customFormat="false" ht="15" hidden="false" customHeight="false" outlineLevel="0" collapsed="false">
      <c r="A4554" s="0" t="s">
        <v>943</v>
      </c>
      <c r="B4554" s="0" t="s">
        <v>140</v>
      </c>
      <c r="C4554" s="0" t="s">
        <v>141</v>
      </c>
      <c r="D4554" s="0" t="n">
        <v>17</v>
      </c>
      <c r="E4554" s="5" t="n">
        <v>46002.5783333333</v>
      </c>
      <c r="F4554" s="0" t="n">
        <v>2.08</v>
      </c>
      <c r="G4554" s="0" t="n">
        <v>17177</v>
      </c>
      <c r="H4554" s="6" t="s">
        <v>74</v>
      </c>
      <c r="I4554" s="6" t="n">
        <f aca="false">D4554*F4554</f>
        <v>35.36</v>
      </c>
      <c r="J4554" s="6" t="n">
        <f aca="false">HOUR(E4554)</f>
        <v>13</v>
      </c>
      <c r="K4554" s="6" t="n">
        <f aca="false">IF(COUNTIF($A$2:$A4554,A4554)=1,1,0)</f>
        <v>0</v>
      </c>
    </row>
    <row r="4555" customFormat="false" ht="15" hidden="false" customHeight="false" outlineLevel="0" collapsed="false">
      <c r="A4555" s="0" t="s">
        <v>943</v>
      </c>
      <c r="B4555" s="0" t="s">
        <v>88</v>
      </c>
      <c r="C4555" s="0" t="s">
        <v>89</v>
      </c>
      <c r="D4555" s="0" t="n">
        <v>12</v>
      </c>
      <c r="E4555" s="5" t="n">
        <v>46002.5783333333</v>
      </c>
      <c r="F4555" s="0" t="n">
        <v>2.75</v>
      </c>
      <c r="G4555" s="0" t="n">
        <v>17177</v>
      </c>
      <c r="H4555" s="6" t="s">
        <v>74</v>
      </c>
      <c r="I4555" s="6" t="n">
        <f aca="false">D4555*F4555</f>
        <v>33</v>
      </c>
      <c r="J4555" s="6" t="n">
        <f aca="false">HOUR(E4555)</f>
        <v>13</v>
      </c>
      <c r="K4555" s="6" t="n">
        <f aca="false">IF(COUNTIF($A$2:$A4555,A4555)=1,1,0)</f>
        <v>0</v>
      </c>
    </row>
    <row r="4556" customFormat="false" ht="15" hidden="false" customHeight="false" outlineLevel="0" collapsed="false">
      <c r="A4556" s="0" t="s">
        <v>943</v>
      </c>
      <c r="B4556" s="0" t="s">
        <v>116</v>
      </c>
      <c r="C4556" s="0" t="s">
        <v>117</v>
      </c>
      <c r="D4556" s="0" t="n">
        <v>17</v>
      </c>
      <c r="E4556" s="5" t="n">
        <v>46002.5783333333</v>
      </c>
      <c r="F4556" s="0" t="n">
        <v>1.95</v>
      </c>
      <c r="G4556" s="0" t="n">
        <v>17177</v>
      </c>
      <c r="H4556" s="6" t="s">
        <v>74</v>
      </c>
      <c r="I4556" s="6" t="n">
        <f aca="false">D4556*F4556</f>
        <v>33.15</v>
      </c>
      <c r="J4556" s="6" t="n">
        <f aca="false">HOUR(E4556)</f>
        <v>13</v>
      </c>
      <c r="K4556" s="6" t="n">
        <f aca="false">IF(COUNTIF($A$2:$A4556,A4556)=1,1,0)</f>
        <v>0</v>
      </c>
    </row>
    <row r="4557" customFormat="false" ht="15" hidden="false" customHeight="false" outlineLevel="0" collapsed="false">
      <c r="A4557" s="0" t="s">
        <v>944</v>
      </c>
      <c r="B4557" s="0" t="s">
        <v>86</v>
      </c>
      <c r="C4557" s="0" t="s">
        <v>87</v>
      </c>
      <c r="D4557" s="0" t="n">
        <v>15</v>
      </c>
      <c r="E4557" s="5" t="n">
        <v>46002.5823726852</v>
      </c>
      <c r="F4557" s="0" t="n">
        <v>4.25</v>
      </c>
      <c r="G4557" s="0" t="n">
        <v>17099</v>
      </c>
      <c r="H4557" s="6" t="s">
        <v>74</v>
      </c>
      <c r="I4557" s="6" t="n">
        <f aca="false">D4557*F4557</f>
        <v>63.75</v>
      </c>
      <c r="J4557" s="6" t="n">
        <f aca="false">HOUR(E4557)</f>
        <v>13</v>
      </c>
      <c r="K4557" s="6" t="n">
        <f aca="false">IF(COUNTIF($A$2:$A4557,A4557)=1,1,0)</f>
        <v>1</v>
      </c>
    </row>
    <row r="4558" customFormat="false" ht="15" hidden="false" customHeight="false" outlineLevel="0" collapsed="false">
      <c r="A4558" s="0" t="s">
        <v>944</v>
      </c>
      <c r="B4558" s="0" t="s">
        <v>125</v>
      </c>
      <c r="C4558" s="0" t="s">
        <v>126</v>
      </c>
      <c r="D4558" s="0" t="n">
        <v>4</v>
      </c>
      <c r="E4558" s="5" t="n">
        <v>46002.5823726852</v>
      </c>
      <c r="F4558" s="0" t="n">
        <v>1.25</v>
      </c>
      <c r="G4558" s="0" t="n">
        <v>17099</v>
      </c>
      <c r="H4558" s="6" t="s">
        <v>74</v>
      </c>
      <c r="I4558" s="6" t="n">
        <f aca="false">D4558*F4558</f>
        <v>5</v>
      </c>
      <c r="J4558" s="6" t="n">
        <f aca="false">HOUR(E4558)</f>
        <v>13</v>
      </c>
      <c r="K4558" s="6" t="n">
        <f aca="false">IF(COUNTIF($A$2:$A4558,A4558)=1,1,0)</f>
        <v>0</v>
      </c>
    </row>
    <row r="4559" customFormat="false" ht="15" hidden="false" customHeight="false" outlineLevel="0" collapsed="false">
      <c r="A4559" s="0" t="s">
        <v>944</v>
      </c>
      <c r="B4559" s="0" t="s">
        <v>95</v>
      </c>
      <c r="C4559" s="0" t="s">
        <v>96</v>
      </c>
      <c r="D4559" s="0" t="n">
        <v>40</v>
      </c>
      <c r="E4559" s="5" t="n">
        <v>46002.5823726852</v>
      </c>
      <c r="F4559" s="0" t="n">
        <v>2.55</v>
      </c>
      <c r="G4559" s="0" t="n">
        <v>17099</v>
      </c>
      <c r="H4559" s="6" t="s">
        <v>74</v>
      </c>
      <c r="I4559" s="6" t="n">
        <f aca="false">D4559*F4559</f>
        <v>102</v>
      </c>
      <c r="J4559" s="6" t="n">
        <f aca="false">HOUR(E4559)</f>
        <v>13</v>
      </c>
      <c r="K4559" s="6" t="n">
        <f aca="false">IF(COUNTIF($A$2:$A4559,A4559)=1,1,0)</f>
        <v>0</v>
      </c>
    </row>
    <row r="4560" customFormat="false" ht="15" hidden="false" customHeight="false" outlineLevel="0" collapsed="false">
      <c r="A4560" s="0" t="s">
        <v>944</v>
      </c>
      <c r="B4560" s="0" t="s">
        <v>40</v>
      </c>
      <c r="C4560" s="0" t="s">
        <v>41</v>
      </c>
      <c r="D4560" s="0" t="n">
        <v>8</v>
      </c>
      <c r="E4560" s="5" t="n">
        <v>46002.5823726852</v>
      </c>
      <c r="F4560" s="0" t="n">
        <v>1.06</v>
      </c>
      <c r="G4560" s="0" t="n">
        <v>17099</v>
      </c>
      <c r="H4560" s="6" t="s">
        <v>74</v>
      </c>
      <c r="I4560" s="6" t="n">
        <f aca="false">D4560*F4560</f>
        <v>8.48</v>
      </c>
      <c r="J4560" s="6" t="n">
        <f aca="false">HOUR(E4560)</f>
        <v>13</v>
      </c>
      <c r="K4560" s="6" t="n">
        <f aca="false">IF(COUNTIF($A$2:$A4560,A4560)=1,1,0)</f>
        <v>0</v>
      </c>
    </row>
    <row r="4561" customFormat="false" ht="15" hidden="false" customHeight="false" outlineLevel="0" collapsed="false">
      <c r="A4561" s="0" t="s">
        <v>944</v>
      </c>
      <c r="B4561" s="0" t="s">
        <v>137</v>
      </c>
      <c r="C4561" s="0" t="s">
        <v>138</v>
      </c>
      <c r="D4561" s="0" t="n">
        <v>15</v>
      </c>
      <c r="E4561" s="5" t="n">
        <v>46002.5823726852</v>
      </c>
      <c r="F4561" s="0" t="n">
        <v>2.1</v>
      </c>
      <c r="G4561" s="0" t="n">
        <v>17099</v>
      </c>
      <c r="H4561" s="6" t="s">
        <v>74</v>
      </c>
      <c r="I4561" s="6" t="n">
        <f aca="false">D4561*F4561</f>
        <v>31.5</v>
      </c>
      <c r="J4561" s="6" t="n">
        <f aca="false">HOUR(E4561)</f>
        <v>13</v>
      </c>
      <c r="K4561" s="6" t="n">
        <f aca="false">IF(COUNTIF($A$2:$A4561,A4561)=1,1,0)</f>
        <v>0</v>
      </c>
    </row>
    <row r="4562" customFormat="false" ht="15" hidden="false" customHeight="false" outlineLevel="0" collapsed="false">
      <c r="A4562" s="0" t="s">
        <v>944</v>
      </c>
      <c r="B4562" s="0" t="s">
        <v>55</v>
      </c>
      <c r="C4562" s="0" t="s">
        <v>56</v>
      </c>
      <c r="D4562" s="0" t="n">
        <v>19</v>
      </c>
      <c r="E4562" s="5" t="n">
        <v>46002.5823726852</v>
      </c>
      <c r="F4562" s="0" t="n">
        <v>1.65</v>
      </c>
      <c r="G4562" s="0" t="n">
        <v>17099</v>
      </c>
      <c r="H4562" s="6" t="s">
        <v>74</v>
      </c>
      <c r="I4562" s="6" t="n">
        <f aca="false">D4562*F4562</f>
        <v>31.35</v>
      </c>
      <c r="J4562" s="6" t="n">
        <f aca="false">HOUR(E4562)</f>
        <v>13</v>
      </c>
      <c r="K4562" s="6" t="n">
        <f aca="false">IF(COUNTIF($A$2:$A4562,A4562)=1,1,0)</f>
        <v>0</v>
      </c>
    </row>
    <row r="4563" customFormat="false" ht="15" hidden="false" customHeight="false" outlineLevel="0" collapsed="false">
      <c r="A4563" s="0" t="s">
        <v>944</v>
      </c>
      <c r="B4563" s="0" t="s">
        <v>43</v>
      </c>
      <c r="C4563" s="0" t="s">
        <v>44</v>
      </c>
      <c r="D4563" s="0" t="n">
        <v>19</v>
      </c>
      <c r="E4563" s="5" t="n">
        <v>46002.5823726852</v>
      </c>
      <c r="F4563" s="0" t="n">
        <v>4.25</v>
      </c>
      <c r="G4563" s="0" t="n">
        <v>17099</v>
      </c>
      <c r="H4563" s="6" t="s">
        <v>74</v>
      </c>
      <c r="I4563" s="6" t="n">
        <f aca="false">D4563*F4563</f>
        <v>80.75</v>
      </c>
      <c r="J4563" s="6" t="n">
        <f aca="false">HOUR(E4563)</f>
        <v>13</v>
      </c>
      <c r="K4563" s="6" t="n">
        <f aca="false">IF(COUNTIF($A$2:$A4563,A4563)=1,1,0)</f>
        <v>0</v>
      </c>
    </row>
    <row r="4564" customFormat="false" ht="15" hidden="false" customHeight="false" outlineLevel="0" collapsed="false">
      <c r="A4564" s="0" t="s">
        <v>944</v>
      </c>
      <c r="B4564" s="0" t="s">
        <v>118</v>
      </c>
      <c r="C4564" s="0" t="s">
        <v>119</v>
      </c>
      <c r="D4564" s="0" t="n">
        <v>24</v>
      </c>
      <c r="E4564" s="5" t="n">
        <v>46002.5823726852</v>
      </c>
      <c r="F4564" s="0" t="n">
        <v>4.95</v>
      </c>
      <c r="G4564" s="0" t="n">
        <v>17099</v>
      </c>
      <c r="H4564" s="6" t="s">
        <v>74</v>
      </c>
      <c r="I4564" s="6" t="n">
        <f aca="false">D4564*F4564</f>
        <v>118.8</v>
      </c>
      <c r="J4564" s="6" t="n">
        <f aca="false">HOUR(E4564)</f>
        <v>13</v>
      </c>
      <c r="K4564" s="6" t="n">
        <f aca="false">IF(COUNTIF($A$2:$A4564,A4564)=1,1,0)</f>
        <v>0</v>
      </c>
    </row>
    <row r="4565" customFormat="false" ht="15" hidden="false" customHeight="false" outlineLevel="0" collapsed="false">
      <c r="A4565" s="0" t="s">
        <v>945</v>
      </c>
      <c r="B4565" s="0" t="s">
        <v>65</v>
      </c>
      <c r="C4565" s="0" t="s">
        <v>66</v>
      </c>
      <c r="D4565" s="0" t="n">
        <v>11</v>
      </c>
      <c r="E4565" s="5" t="n">
        <v>46002.602337963</v>
      </c>
      <c r="F4565" s="0" t="n">
        <v>1.65</v>
      </c>
      <c r="G4565" s="0" t="n">
        <v>17084</v>
      </c>
      <c r="H4565" s="6" t="s">
        <v>151</v>
      </c>
      <c r="I4565" s="6" t="n">
        <f aca="false">D4565*F4565</f>
        <v>18.15</v>
      </c>
      <c r="J4565" s="6" t="n">
        <f aca="false">HOUR(E4565)</f>
        <v>14</v>
      </c>
      <c r="K4565" s="6" t="n">
        <f aca="false">IF(COUNTIF($A$2:$A4565,A4565)=1,1,0)</f>
        <v>1</v>
      </c>
    </row>
    <row r="4566" customFormat="false" ht="15" hidden="false" customHeight="false" outlineLevel="0" collapsed="false">
      <c r="A4566" s="0" t="s">
        <v>945</v>
      </c>
      <c r="B4566" s="0" t="s">
        <v>50</v>
      </c>
      <c r="C4566" s="0" t="s">
        <v>51</v>
      </c>
      <c r="D4566" s="0" t="n">
        <v>11</v>
      </c>
      <c r="E4566" s="5" t="n">
        <v>46002.602337963</v>
      </c>
      <c r="F4566" s="0" t="n">
        <v>5.95</v>
      </c>
      <c r="G4566" s="0" t="n">
        <v>17084</v>
      </c>
      <c r="H4566" s="6" t="s">
        <v>151</v>
      </c>
      <c r="I4566" s="6" t="n">
        <f aca="false">D4566*F4566</f>
        <v>65.45</v>
      </c>
      <c r="J4566" s="6" t="n">
        <f aca="false">HOUR(E4566)</f>
        <v>14</v>
      </c>
      <c r="K4566" s="6" t="n">
        <f aca="false">IF(COUNTIF($A$2:$A4566,A4566)=1,1,0)</f>
        <v>0</v>
      </c>
    </row>
    <row r="4567" customFormat="false" ht="15" hidden="false" customHeight="false" outlineLevel="0" collapsed="false">
      <c r="A4567" s="0" t="s">
        <v>945</v>
      </c>
      <c r="B4567" s="0" t="s">
        <v>77</v>
      </c>
      <c r="C4567" s="0" t="s">
        <v>78</v>
      </c>
      <c r="D4567" s="0" t="n">
        <v>12</v>
      </c>
      <c r="E4567" s="5" t="n">
        <v>46002.602337963</v>
      </c>
      <c r="F4567" s="0" t="n">
        <v>1.65</v>
      </c>
      <c r="G4567" s="0" t="n">
        <v>17084</v>
      </c>
      <c r="H4567" s="6" t="s">
        <v>151</v>
      </c>
      <c r="I4567" s="6" t="n">
        <f aca="false">D4567*F4567</f>
        <v>19.8</v>
      </c>
      <c r="J4567" s="6" t="n">
        <f aca="false">HOUR(E4567)</f>
        <v>14</v>
      </c>
      <c r="K4567" s="6" t="n">
        <f aca="false">IF(COUNTIF($A$2:$A4567,A4567)=1,1,0)</f>
        <v>0</v>
      </c>
    </row>
    <row r="4568" customFormat="false" ht="15" hidden="false" customHeight="false" outlineLevel="0" collapsed="false">
      <c r="A4568" s="0" t="s">
        <v>945</v>
      </c>
      <c r="B4568" s="0" t="s">
        <v>127</v>
      </c>
      <c r="C4568" s="0" t="s">
        <v>128</v>
      </c>
      <c r="D4568" s="0" t="n">
        <v>24</v>
      </c>
      <c r="E4568" s="5" t="n">
        <v>46002.602337963</v>
      </c>
      <c r="F4568" s="0" t="n">
        <v>1.45</v>
      </c>
      <c r="G4568" s="0" t="n">
        <v>17084</v>
      </c>
      <c r="H4568" s="6" t="s">
        <v>151</v>
      </c>
      <c r="I4568" s="6" t="n">
        <f aca="false">D4568*F4568</f>
        <v>34.8</v>
      </c>
      <c r="J4568" s="6" t="n">
        <f aca="false">HOUR(E4568)</f>
        <v>14</v>
      </c>
      <c r="K4568" s="6" t="n">
        <f aca="false">IF(COUNTIF($A$2:$A4568,A4568)=1,1,0)</f>
        <v>0</v>
      </c>
    </row>
    <row r="4569" customFormat="false" ht="15" hidden="false" customHeight="false" outlineLevel="0" collapsed="false">
      <c r="A4569" s="0" t="s">
        <v>945</v>
      </c>
      <c r="B4569" s="0" t="s">
        <v>131</v>
      </c>
      <c r="C4569" s="0" t="s">
        <v>132</v>
      </c>
      <c r="D4569" s="0" t="n">
        <v>23</v>
      </c>
      <c r="E4569" s="5" t="n">
        <v>46002.602337963</v>
      </c>
      <c r="F4569" s="0" t="n">
        <v>3.39</v>
      </c>
      <c r="G4569" s="0" t="n">
        <v>17084</v>
      </c>
      <c r="H4569" s="6" t="s">
        <v>151</v>
      </c>
      <c r="I4569" s="6" t="n">
        <f aca="false">D4569*F4569</f>
        <v>77.97</v>
      </c>
      <c r="J4569" s="6" t="n">
        <f aca="false">HOUR(E4569)</f>
        <v>14</v>
      </c>
      <c r="K4569" s="6" t="n">
        <f aca="false">IF(COUNTIF($A$2:$A4569,A4569)=1,1,0)</f>
        <v>0</v>
      </c>
    </row>
    <row r="4570" customFormat="false" ht="15" hidden="false" customHeight="false" outlineLevel="0" collapsed="false">
      <c r="A4570" s="0" t="s">
        <v>945</v>
      </c>
      <c r="B4570" s="0" t="s">
        <v>61</v>
      </c>
      <c r="C4570" s="0" t="s">
        <v>62</v>
      </c>
      <c r="D4570" s="0" t="n">
        <v>17</v>
      </c>
      <c r="E4570" s="5" t="n">
        <v>46002.602337963</v>
      </c>
      <c r="F4570" s="0" t="n">
        <v>1.65</v>
      </c>
      <c r="G4570" s="0" t="n">
        <v>17084</v>
      </c>
      <c r="H4570" s="6" t="s">
        <v>151</v>
      </c>
      <c r="I4570" s="6" t="n">
        <f aca="false">D4570*F4570</f>
        <v>28.05</v>
      </c>
      <c r="J4570" s="6" t="n">
        <f aca="false">HOUR(E4570)</f>
        <v>14</v>
      </c>
      <c r="K4570" s="6" t="n">
        <f aca="false">IF(COUNTIF($A$2:$A4570,A4570)=1,1,0)</f>
        <v>0</v>
      </c>
    </row>
    <row r="4571" customFormat="false" ht="15" hidden="false" customHeight="false" outlineLevel="0" collapsed="false">
      <c r="A4571" s="0" t="s">
        <v>946</v>
      </c>
      <c r="B4571" s="0" t="s">
        <v>102</v>
      </c>
      <c r="C4571" s="0" t="s">
        <v>103</v>
      </c>
      <c r="D4571" s="0" t="n">
        <v>24</v>
      </c>
      <c r="E4571" s="5" t="n">
        <v>46002.616099537</v>
      </c>
      <c r="F4571" s="0" t="n">
        <v>8.5</v>
      </c>
      <c r="G4571" s="0" t="n">
        <v>17196</v>
      </c>
      <c r="H4571" s="6" t="s">
        <v>74</v>
      </c>
      <c r="I4571" s="6" t="n">
        <f aca="false">D4571*F4571</f>
        <v>204</v>
      </c>
      <c r="J4571" s="6" t="n">
        <f aca="false">HOUR(E4571)</f>
        <v>14</v>
      </c>
      <c r="K4571" s="6" t="n">
        <f aca="false">IF(COUNTIF($A$2:$A4571,A4571)=1,1,0)</f>
        <v>1</v>
      </c>
    </row>
    <row r="4572" customFormat="false" ht="15" hidden="false" customHeight="false" outlineLevel="0" collapsed="false">
      <c r="A4572" s="0" t="s">
        <v>946</v>
      </c>
      <c r="B4572" s="0" t="s">
        <v>127</v>
      </c>
      <c r="C4572" s="0" t="s">
        <v>128</v>
      </c>
      <c r="D4572" s="0" t="n">
        <v>12</v>
      </c>
      <c r="E4572" s="5" t="n">
        <v>46002.616099537</v>
      </c>
      <c r="F4572" s="0" t="n">
        <v>1.45</v>
      </c>
      <c r="G4572" s="0" t="n">
        <v>17196</v>
      </c>
      <c r="H4572" s="6" t="s">
        <v>74</v>
      </c>
      <c r="I4572" s="6" t="n">
        <f aca="false">D4572*F4572</f>
        <v>17.4</v>
      </c>
      <c r="J4572" s="6" t="n">
        <f aca="false">HOUR(E4572)</f>
        <v>14</v>
      </c>
      <c r="K4572" s="6" t="n">
        <f aca="false">IF(COUNTIF($A$2:$A4572,A4572)=1,1,0)</f>
        <v>0</v>
      </c>
    </row>
    <row r="4573" customFormat="false" ht="15" hidden="false" customHeight="false" outlineLevel="0" collapsed="false">
      <c r="A4573" s="0" t="s">
        <v>946</v>
      </c>
      <c r="B4573" s="0" t="s">
        <v>59</v>
      </c>
      <c r="C4573" s="0" t="s">
        <v>60</v>
      </c>
      <c r="D4573" s="0" t="n">
        <v>23</v>
      </c>
      <c r="E4573" s="5" t="n">
        <v>46002.616099537</v>
      </c>
      <c r="F4573" s="0" t="n">
        <v>0.42</v>
      </c>
      <c r="G4573" s="0" t="n">
        <v>17196</v>
      </c>
      <c r="H4573" s="6" t="s">
        <v>74</v>
      </c>
      <c r="I4573" s="6" t="n">
        <f aca="false">D4573*F4573</f>
        <v>9.66</v>
      </c>
      <c r="J4573" s="6" t="n">
        <f aca="false">HOUR(E4573)</f>
        <v>14</v>
      </c>
      <c r="K4573" s="6" t="n">
        <f aca="false">IF(COUNTIF($A$2:$A4573,A4573)=1,1,0)</f>
        <v>0</v>
      </c>
    </row>
    <row r="4574" customFormat="false" ht="15" hidden="false" customHeight="false" outlineLevel="0" collapsed="false">
      <c r="A4574" s="0" t="s">
        <v>946</v>
      </c>
      <c r="B4574" s="0" t="s">
        <v>93</v>
      </c>
      <c r="C4574" s="0" t="s">
        <v>94</v>
      </c>
      <c r="D4574" s="0" t="n">
        <v>5</v>
      </c>
      <c r="E4574" s="5" t="n">
        <v>46002.616099537</v>
      </c>
      <c r="F4574" s="0" t="n">
        <v>1.69</v>
      </c>
      <c r="G4574" s="0" t="n">
        <v>17196</v>
      </c>
      <c r="H4574" s="6" t="s">
        <v>74</v>
      </c>
      <c r="I4574" s="6" t="n">
        <f aca="false">D4574*F4574</f>
        <v>8.45</v>
      </c>
      <c r="J4574" s="6" t="n">
        <f aca="false">HOUR(E4574)</f>
        <v>14</v>
      </c>
      <c r="K4574" s="6" t="n">
        <f aca="false">IF(COUNTIF($A$2:$A4574,A4574)=1,1,0)</f>
        <v>0</v>
      </c>
    </row>
    <row r="4575" customFormat="false" ht="15" hidden="false" customHeight="false" outlineLevel="0" collapsed="false">
      <c r="A4575" s="0" t="s">
        <v>946</v>
      </c>
      <c r="B4575" s="0" t="s">
        <v>109</v>
      </c>
      <c r="C4575" s="0" t="s">
        <v>110</v>
      </c>
      <c r="D4575" s="0" t="n">
        <v>5</v>
      </c>
      <c r="E4575" s="5" t="n">
        <v>46002.616099537</v>
      </c>
      <c r="F4575" s="0" t="n">
        <v>0.85</v>
      </c>
      <c r="G4575" s="0" t="n">
        <v>17196</v>
      </c>
      <c r="H4575" s="6" t="s">
        <v>74</v>
      </c>
      <c r="I4575" s="6" t="n">
        <f aca="false">D4575*F4575</f>
        <v>4.25</v>
      </c>
      <c r="J4575" s="6" t="n">
        <f aca="false">HOUR(E4575)</f>
        <v>14</v>
      </c>
      <c r="K4575" s="6" t="n">
        <f aca="false">IF(COUNTIF($A$2:$A4575,A4575)=1,1,0)</f>
        <v>0</v>
      </c>
    </row>
    <row r="4576" customFormat="false" ht="15" hidden="false" customHeight="false" outlineLevel="0" collapsed="false">
      <c r="A4576" s="0" t="s">
        <v>946</v>
      </c>
      <c r="B4576" s="0" t="s">
        <v>134</v>
      </c>
      <c r="C4576" s="0" t="s">
        <v>135</v>
      </c>
      <c r="D4576" s="0" t="n">
        <v>3</v>
      </c>
      <c r="E4576" s="5" t="n">
        <v>46002.616099537</v>
      </c>
      <c r="F4576" s="0" t="n">
        <v>5.95</v>
      </c>
      <c r="G4576" s="0" t="n">
        <v>17196</v>
      </c>
      <c r="H4576" s="6" t="s">
        <v>74</v>
      </c>
      <c r="I4576" s="6" t="n">
        <f aca="false">D4576*F4576</f>
        <v>17.85</v>
      </c>
      <c r="J4576" s="6" t="n">
        <f aca="false">HOUR(E4576)</f>
        <v>14</v>
      </c>
      <c r="K4576" s="6" t="n">
        <f aca="false">IF(COUNTIF($A$2:$A4576,A4576)=1,1,0)</f>
        <v>0</v>
      </c>
    </row>
    <row r="4577" customFormat="false" ht="15" hidden="false" customHeight="false" outlineLevel="0" collapsed="false">
      <c r="A4577" s="0" t="s">
        <v>946</v>
      </c>
      <c r="B4577" s="0" t="s">
        <v>114</v>
      </c>
      <c r="C4577" s="0" t="s">
        <v>115</v>
      </c>
      <c r="D4577" s="0" t="n">
        <v>17</v>
      </c>
      <c r="E4577" s="5" t="n">
        <v>46002.616099537</v>
      </c>
      <c r="F4577" s="0" t="n">
        <v>2.08</v>
      </c>
      <c r="G4577" s="0" t="n">
        <v>17196</v>
      </c>
      <c r="H4577" s="6" t="s">
        <v>74</v>
      </c>
      <c r="I4577" s="6" t="n">
        <f aca="false">D4577*F4577</f>
        <v>35.36</v>
      </c>
      <c r="J4577" s="6" t="n">
        <f aca="false">HOUR(E4577)</f>
        <v>14</v>
      </c>
      <c r="K4577" s="6" t="n">
        <f aca="false">IF(COUNTIF($A$2:$A4577,A4577)=1,1,0)</f>
        <v>0</v>
      </c>
    </row>
    <row r="4578" customFormat="false" ht="15" hidden="false" customHeight="false" outlineLevel="0" collapsed="false">
      <c r="A4578" s="0" t="s">
        <v>947</v>
      </c>
      <c r="B4578" s="0" t="s">
        <v>131</v>
      </c>
      <c r="C4578" s="0" t="s">
        <v>132</v>
      </c>
      <c r="D4578" s="0" t="n">
        <v>22</v>
      </c>
      <c r="E4578" s="5" t="n">
        <v>46002.6658680556</v>
      </c>
      <c r="F4578" s="0" t="n">
        <v>3.39</v>
      </c>
      <c r="G4578" s="0" t="n">
        <v>17005</v>
      </c>
      <c r="H4578" s="6" t="s">
        <v>52</v>
      </c>
      <c r="I4578" s="6" t="n">
        <f aca="false">D4578*F4578</f>
        <v>74.58</v>
      </c>
      <c r="J4578" s="6" t="n">
        <f aca="false">HOUR(E4578)</f>
        <v>15</v>
      </c>
      <c r="K4578" s="6" t="n">
        <f aca="false">IF(COUNTIF($A$2:$A4578,A4578)=1,1,0)</f>
        <v>1</v>
      </c>
    </row>
    <row r="4579" customFormat="false" ht="15" hidden="false" customHeight="false" outlineLevel="0" collapsed="false">
      <c r="A4579" s="0" t="s">
        <v>947</v>
      </c>
      <c r="B4579" s="0" t="s">
        <v>104</v>
      </c>
      <c r="C4579" s="0" t="s">
        <v>105</v>
      </c>
      <c r="D4579" s="0" t="n">
        <v>2</v>
      </c>
      <c r="E4579" s="5" t="n">
        <v>46002.6658680556</v>
      </c>
      <c r="F4579" s="0" t="n">
        <v>1.65</v>
      </c>
      <c r="G4579" s="0" t="n">
        <v>17005</v>
      </c>
      <c r="H4579" s="6" t="s">
        <v>52</v>
      </c>
      <c r="I4579" s="6" t="n">
        <f aca="false">D4579*F4579</f>
        <v>3.3</v>
      </c>
      <c r="J4579" s="6" t="n">
        <f aca="false">HOUR(E4579)</f>
        <v>15</v>
      </c>
      <c r="K4579" s="6" t="n">
        <f aca="false">IF(COUNTIF($A$2:$A4579,A4579)=1,1,0)</f>
        <v>0</v>
      </c>
    </row>
    <row r="4580" customFormat="false" ht="15" hidden="false" customHeight="false" outlineLevel="0" collapsed="false">
      <c r="A4580" s="0" t="s">
        <v>947</v>
      </c>
      <c r="B4580" s="0" t="s">
        <v>114</v>
      </c>
      <c r="C4580" s="0" t="s">
        <v>115</v>
      </c>
      <c r="D4580" s="0" t="n">
        <v>19</v>
      </c>
      <c r="E4580" s="5" t="n">
        <v>46002.6658680556</v>
      </c>
      <c r="F4580" s="0" t="n">
        <v>2.08</v>
      </c>
      <c r="G4580" s="0" t="n">
        <v>17005</v>
      </c>
      <c r="H4580" s="6" t="s">
        <v>52</v>
      </c>
      <c r="I4580" s="6" t="n">
        <f aca="false">D4580*F4580</f>
        <v>39.52</v>
      </c>
      <c r="J4580" s="6" t="n">
        <f aca="false">HOUR(E4580)</f>
        <v>15</v>
      </c>
      <c r="K4580" s="6" t="n">
        <f aca="false">IF(COUNTIF($A$2:$A4580,A4580)=1,1,0)</f>
        <v>0</v>
      </c>
    </row>
    <row r="4581" customFormat="false" ht="15" hidden="false" customHeight="false" outlineLevel="0" collapsed="false">
      <c r="A4581" s="0" t="s">
        <v>947</v>
      </c>
      <c r="B4581" s="0" t="s">
        <v>116</v>
      </c>
      <c r="C4581" s="0" t="s">
        <v>117</v>
      </c>
      <c r="D4581" s="0" t="n">
        <v>11</v>
      </c>
      <c r="E4581" s="5" t="n">
        <v>46002.6658680556</v>
      </c>
      <c r="F4581" s="0" t="n">
        <v>1.95</v>
      </c>
      <c r="G4581" s="0" t="n">
        <v>17005</v>
      </c>
      <c r="H4581" s="6" t="s">
        <v>52</v>
      </c>
      <c r="I4581" s="6" t="n">
        <f aca="false">D4581*F4581</f>
        <v>21.45</v>
      </c>
      <c r="J4581" s="6" t="n">
        <f aca="false">HOUR(E4581)</f>
        <v>15</v>
      </c>
      <c r="K4581" s="6" t="n">
        <f aca="false">IF(COUNTIF($A$2:$A4581,A4581)=1,1,0)</f>
        <v>0</v>
      </c>
    </row>
    <row r="4582" customFormat="false" ht="15" hidden="false" customHeight="false" outlineLevel="0" collapsed="false">
      <c r="A4582" s="0" t="s">
        <v>947</v>
      </c>
      <c r="B4582" s="0" t="s">
        <v>69</v>
      </c>
      <c r="C4582" s="0" t="s">
        <v>70</v>
      </c>
      <c r="D4582" s="0" t="n">
        <v>47</v>
      </c>
      <c r="E4582" s="5" t="n">
        <v>46002.6658680556</v>
      </c>
      <c r="F4582" s="0" t="n">
        <v>2.08</v>
      </c>
      <c r="G4582" s="0" t="n">
        <v>17005</v>
      </c>
      <c r="H4582" s="6" t="s">
        <v>52</v>
      </c>
      <c r="I4582" s="6" t="n">
        <f aca="false">D4582*F4582</f>
        <v>97.76</v>
      </c>
      <c r="J4582" s="6" t="n">
        <f aca="false">HOUR(E4582)</f>
        <v>15</v>
      </c>
      <c r="K4582" s="6" t="n">
        <f aca="false">IF(COUNTIF($A$2:$A4582,A4582)=1,1,0)</f>
        <v>0</v>
      </c>
    </row>
    <row r="4583" customFormat="false" ht="15" hidden="false" customHeight="false" outlineLevel="0" collapsed="false">
      <c r="A4583" s="0" t="s">
        <v>947</v>
      </c>
      <c r="B4583" s="0" t="s">
        <v>72</v>
      </c>
      <c r="C4583" s="0" t="s">
        <v>73</v>
      </c>
      <c r="D4583" s="0" t="n">
        <v>36</v>
      </c>
      <c r="E4583" s="5" t="n">
        <v>46002.6658680556</v>
      </c>
      <c r="F4583" s="0" t="n">
        <v>4.95</v>
      </c>
      <c r="G4583" s="0" t="n">
        <v>17005</v>
      </c>
      <c r="H4583" s="6" t="s">
        <v>52</v>
      </c>
      <c r="I4583" s="6" t="n">
        <f aca="false">D4583*F4583</f>
        <v>178.2</v>
      </c>
      <c r="J4583" s="6" t="n">
        <f aca="false">HOUR(E4583)</f>
        <v>15</v>
      </c>
      <c r="K4583" s="6" t="n">
        <f aca="false">IF(COUNTIF($A$2:$A4583,A4583)=1,1,0)</f>
        <v>0</v>
      </c>
    </row>
    <row r="4584" customFormat="false" ht="15" hidden="false" customHeight="false" outlineLevel="0" collapsed="false">
      <c r="A4584" s="0" t="s">
        <v>947</v>
      </c>
      <c r="B4584" s="0" t="s">
        <v>107</v>
      </c>
      <c r="C4584" s="0" t="s">
        <v>108</v>
      </c>
      <c r="D4584" s="0" t="n">
        <v>3</v>
      </c>
      <c r="E4584" s="5" t="n">
        <v>46002.6658680556</v>
      </c>
      <c r="F4584" s="0" t="n">
        <v>3.75</v>
      </c>
      <c r="G4584" s="0" t="n">
        <v>17005</v>
      </c>
      <c r="H4584" s="6" t="s">
        <v>52</v>
      </c>
      <c r="I4584" s="6" t="n">
        <f aca="false">D4584*F4584</f>
        <v>11.25</v>
      </c>
      <c r="J4584" s="6" t="n">
        <f aca="false">HOUR(E4584)</f>
        <v>15</v>
      </c>
      <c r="K4584" s="6" t="n">
        <f aca="false">IF(COUNTIF($A$2:$A4584,A4584)=1,1,0)</f>
        <v>0</v>
      </c>
    </row>
    <row r="4585" customFormat="false" ht="15" hidden="false" customHeight="false" outlineLevel="0" collapsed="false">
      <c r="A4585" s="0" t="s">
        <v>947</v>
      </c>
      <c r="B4585" s="0" t="s">
        <v>61</v>
      </c>
      <c r="C4585" s="0" t="s">
        <v>62</v>
      </c>
      <c r="D4585" s="0" t="n">
        <v>21</v>
      </c>
      <c r="E4585" s="5" t="n">
        <v>46002.6658680556</v>
      </c>
      <c r="F4585" s="0" t="n">
        <v>1.65</v>
      </c>
      <c r="G4585" s="0" t="n">
        <v>17005</v>
      </c>
      <c r="H4585" s="6" t="s">
        <v>52</v>
      </c>
      <c r="I4585" s="6" t="n">
        <f aca="false">D4585*F4585</f>
        <v>34.65</v>
      </c>
      <c r="J4585" s="6" t="n">
        <f aca="false">HOUR(E4585)</f>
        <v>15</v>
      </c>
      <c r="K4585" s="6" t="n">
        <f aca="false">IF(COUNTIF($A$2:$A4585,A4585)=1,1,0)</f>
        <v>0</v>
      </c>
    </row>
    <row r="4586" customFormat="false" ht="15" hidden="false" customHeight="false" outlineLevel="0" collapsed="false">
      <c r="A4586" s="0" t="s">
        <v>947</v>
      </c>
      <c r="B4586" s="0" t="s">
        <v>91</v>
      </c>
      <c r="C4586" s="0" t="s">
        <v>92</v>
      </c>
      <c r="D4586" s="0" t="n">
        <v>10</v>
      </c>
      <c r="E4586" s="5" t="n">
        <v>46002.6658680556</v>
      </c>
      <c r="F4586" s="0" t="n">
        <v>7.65</v>
      </c>
      <c r="G4586" s="0" t="n">
        <v>17005</v>
      </c>
      <c r="H4586" s="6" t="s">
        <v>52</v>
      </c>
      <c r="I4586" s="6" t="n">
        <f aca="false">D4586*F4586</f>
        <v>76.5</v>
      </c>
      <c r="J4586" s="6" t="n">
        <f aca="false">HOUR(E4586)</f>
        <v>15</v>
      </c>
      <c r="K4586" s="6" t="n">
        <f aca="false">IF(COUNTIF($A$2:$A4586,A4586)=1,1,0)</f>
        <v>0</v>
      </c>
    </row>
    <row r="4587" customFormat="false" ht="15" hidden="false" customHeight="false" outlineLevel="0" collapsed="false">
      <c r="A4587" s="0" t="s">
        <v>948</v>
      </c>
      <c r="B4587" s="0" t="s">
        <v>88</v>
      </c>
      <c r="C4587" s="0" t="s">
        <v>89</v>
      </c>
      <c r="D4587" s="0" t="n">
        <v>5</v>
      </c>
      <c r="E4587" s="5" t="n">
        <v>46002.697337963</v>
      </c>
      <c r="F4587" s="0" t="n">
        <v>2.75</v>
      </c>
      <c r="G4587" s="0" t="n">
        <v>17010</v>
      </c>
      <c r="H4587" s="6" t="s">
        <v>74</v>
      </c>
      <c r="I4587" s="6" t="n">
        <f aca="false">D4587*F4587</f>
        <v>13.75</v>
      </c>
      <c r="J4587" s="6" t="n">
        <f aca="false">HOUR(E4587)</f>
        <v>16</v>
      </c>
      <c r="K4587" s="6" t="n">
        <f aca="false">IF(COUNTIF($A$2:$A4587,A4587)=1,1,0)</f>
        <v>1</v>
      </c>
    </row>
    <row r="4588" customFormat="false" ht="15" hidden="false" customHeight="false" outlineLevel="0" collapsed="false">
      <c r="A4588" s="0" t="s">
        <v>948</v>
      </c>
      <c r="B4588" s="0" t="s">
        <v>59</v>
      </c>
      <c r="C4588" s="0" t="s">
        <v>60</v>
      </c>
      <c r="D4588" s="0" t="n">
        <v>15</v>
      </c>
      <c r="E4588" s="5" t="n">
        <v>46002.697337963</v>
      </c>
      <c r="F4588" s="0" t="n">
        <v>0.42</v>
      </c>
      <c r="G4588" s="0" t="n">
        <v>17010</v>
      </c>
      <c r="H4588" s="6" t="s">
        <v>74</v>
      </c>
      <c r="I4588" s="6" t="n">
        <f aca="false">D4588*F4588</f>
        <v>6.3</v>
      </c>
      <c r="J4588" s="6" t="n">
        <f aca="false">HOUR(E4588)</f>
        <v>16</v>
      </c>
      <c r="K4588" s="6" t="n">
        <f aca="false">IF(COUNTIF($A$2:$A4588,A4588)=1,1,0)</f>
        <v>0</v>
      </c>
    </row>
    <row r="4589" customFormat="false" ht="15" hidden="false" customHeight="false" outlineLevel="0" collapsed="false">
      <c r="A4589" s="0" t="s">
        <v>948</v>
      </c>
      <c r="B4589" s="0" t="s">
        <v>121</v>
      </c>
      <c r="C4589" s="0" t="s">
        <v>122</v>
      </c>
      <c r="D4589" s="0" t="n">
        <v>15</v>
      </c>
      <c r="E4589" s="5" t="n">
        <v>46002.697337963</v>
      </c>
      <c r="F4589" s="0" t="n">
        <v>2.1</v>
      </c>
      <c r="G4589" s="0" t="n">
        <v>17010</v>
      </c>
      <c r="H4589" s="6" t="s">
        <v>74</v>
      </c>
      <c r="I4589" s="6" t="n">
        <f aca="false">D4589*F4589</f>
        <v>31.5</v>
      </c>
      <c r="J4589" s="6" t="n">
        <f aca="false">HOUR(E4589)</f>
        <v>16</v>
      </c>
      <c r="K4589" s="6" t="n">
        <f aca="false">IF(COUNTIF($A$2:$A4589,A4589)=1,1,0)</f>
        <v>0</v>
      </c>
    </row>
    <row r="4590" customFormat="false" ht="15" hidden="false" customHeight="false" outlineLevel="0" collapsed="false">
      <c r="A4590" s="0" t="s">
        <v>948</v>
      </c>
      <c r="B4590" s="0" t="s">
        <v>137</v>
      </c>
      <c r="C4590" s="0" t="s">
        <v>138</v>
      </c>
      <c r="D4590" s="0" t="n">
        <v>7</v>
      </c>
      <c r="E4590" s="5" t="n">
        <v>46002.697337963</v>
      </c>
      <c r="F4590" s="0" t="n">
        <v>2.1</v>
      </c>
      <c r="G4590" s="0" t="n">
        <v>17010</v>
      </c>
      <c r="H4590" s="6" t="s">
        <v>74</v>
      </c>
      <c r="I4590" s="6" t="n">
        <f aca="false">D4590*F4590</f>
        <v>14.7</v>
      </c>
      <c r="J4590" s="6" t="n">
        <f aca="false">HOUR(E4590)</f>
        <v>16</v>
      </c>
      <c r="K4590" s="6" t="n">
        <f aca="false">IF(COUNTIF($A$2:$A4590,A4590)=1,1,0)</f>
        <v>0</v>
      </c>
    </row>
    <row r="4591" customFormat="false" ht="15" hidden="false" customHeight="false" outlineLevel="0" collapsed="false">
      <c r="A4591" s="0" t="s">
        <v>948</v>
      </c>
      <c r="B4591" s="0" t="s">
        <v>107</v>
      </c>
      <c r="C4591" s="0" t="s">
        <v>108</v>
      </c>
      <c r="D4591" s="0" t="n">
        <v>7</v>
      </c>
      <c r="E4591" s="5" t="n">
        <v>46002.697337963</v>
      </c>
      <c r="F4591" s="0" t="n">
        <v>3.75</v>
      </c>
      <c r="G4591" s="0" t="n">
        <v>17010</v>
      </c>
      <c r="H4591" s="6" t="s">
        <v>74</v>
      </c>
      <c r="I4591" s="6" t="n">
        <f aca="false">D4591*F4591</f>
        <v>26.25</v>
      </c>
      <c r="J4591" s="6" t="n">
        <f aca="false">HOUR(E4591)</f>
        <v>16</v>
      </c>
      <c r="K4591" s="6" t="n">
        <f aca="false">IF(COUNTIF($A$2:$A4591,A4591)=1,1,0)</f>
        <v>0</v>
      </c>
    </row>
    <row r="4592" customFormat="false" ht="15" hidden="false" customHeight="false" outlineLevel="0" collapsed="false">
      <c r="A4592" s="0" t="s">
        <v>949</v>
      </c>
      <c r="B4592" s="0" t="s">
        <v>95</v>
      </c>
      <c r="C4592" s="0" t="s">
        <v>96</v>
      </c>
      <c r="D4592" s="0" t="n">
        <v>14</v>
      </c>
      <c r="E4592" s="5" t="n">
        <v>46002.7830439815</v>
      </c>
      <c r="F4592" s="0" t="n">
        <v>2.55</v>
      </c>
      <c r="G4592" s="0" t="n">
        <v>17071</v>
      </c>
      <c r="H4592" s="6" t="s">
        <v>113</v>
      </c>
      <c r="I4592" s="6" t="n">
        <f aca="false">D4592*F4592</f>
        <v>35.7</v>
      </c>
      <c r="J4592" s="6" t="n">
        <f aca="false">HOUR(E4592)</f>
        <v>18</v>
      </c>
      <c r="K4592" s="6" t="n">
        <f aca="false">IF(COUNTIF($A$2:$A4592,A4592)=1,1,0)</f>
        <v>1</v>
      </c>
    </row>
    <row r="4593" customFormat="false" ht="15" hidden="false" customHeight="false" outlineLevel="0" collapsed="false">
      <c r="A4593" s="0" t="s">
        <v>949</v>
      </c>
      <c r="B4593" s="0" t="s">
        <v>131</v>
      </c>
      <c r="C4593" s="0" t="s">
        <v>132</v>
      </c>
      <c r="D4593" s="0" t="n">
        <v>13</v>
      </c>
      <c r="E4593" s="5" t="n">
        <v>46002.7830439815</v>
      </c>
      <c r="F4593" s="0" t="n">
        <v>3.39</v>
      </c>
      <c r="G4593" s="0" t="n">
        <v>17071</v>
      </c>
      <c r="H4593" s="6" t="s">
        <v>113</v>
      </c>
      <c r="I4593" s="6" t="n">
        <f aca="false">D4593*F4593</f>
        <v>44.07</v>
      </c>
      <c r="J4593" s="6" t="n">
        <f aca="false">HOUR(E4593)</f>
        <v>18</v>
      </c>
      <c r="K4593" s="6" t="n">
        <f aca="false">IF(COUNTIF($A$2:$A4593,A4593)=1,1,0)</f>
        <v>0</v>
      </c>
    </row>
    <row r="4594" customFormat="false" ht="15" hidden="false" customHeight="false" outlineLevel="0" collapsed="false">
      <c r="A4594" s="0" t="s">
        <v>950</v>
      </c>
      <c r="B4594" s="0" t="s">
        <v>127</v>
      </c>
      <c r="C4594" s="0" t="s">
        <v>128</v>
      </c>
      <c r="D4594" s="0" t="n">
        <v>17</v>
      </c>
      <c r="E4594" s="5" t="n">
        <v>46002.901087963</v>
      </c>
      <c r="F4594" s="0" t="n">
        <v>1.45</v>
      </c>
      <c r="G4594" s="0" t="n">
        <v>17147</v>
      </c>
      <c r="H4594" s="6" t="s">
        <v>74</v>
      </c>
      <c r="I4594" s="6" t="n">
        <f aca="false">D4594*F4594</f>
        <v>24.65</v>
      </c>
      <c r="J4594" s="6" t="n">
        <f aca="false">HOUR(E4594)</f>
        <v>21</v>
      </c>
      <c r="K4594" s="6" t="n">
        <f aca="false">IF(COUNTIF($A$2:$A4594,A4594)=1,1,0)</f>
        <v>1</v>
      </c>
    </row>
    <row r="4595" customFormat="false" ht="15" hidden="false" customHeight="false" outlineLevel="0" collapsed="false">
      <c r="A4595" s="0" t="s">
        <v>950</v>
      </c>
      <c r="B4595" s="0" t="s">
        <v>79</v>
      </c>
      <c r="C4595" s="0" t="s">
        <v>80</v>
      </c>
      <c r="D4595" s="0" t="n">
        <v>10</v>
      </c>
      <c r="E4595" s="5" t="n">
        <v>46002.901087963</v>
      </c>
      <c r="F4595" s="0" t="n">
        <v>3.39</v>
      </c>
      <c r="G4595" s="0" t="n">
        <v>17147</v>
      </c>
      <c r="H4595" s="6" t="s">
        <v>74</v>
      </c>
      <c r="I4595" s="6" t="n">
        <f aca="false">D4595*F4595</f>
        <v>33.9</v>
      </c>
      <c r="J4595" s="6" t="n">
        <f aca="false">HOUR(E4595)</f>
        <v>21</v>
      </c>
      <c r="K4595" s="6" t="n">
        <f aca="false">IF(COUNTIF($A$2:$A4595,A4595)=1,1,0)</f>
        <v>0</v>
      </c>
    </row>
    <row r="4596" customFormat="false" ht="15" hidden="false" customHeight="false" outlineLevel="0" collapsed="false">
      <c r="A4596" s="0" t="s">
        <v>950</v>
      </c>
      <c r="B4596" s="0" t="s">
        <v>121</v>
      </c>
      <c r="C4596" s="0" t="s">
        <v>122</v>
      </c>
      <c r="D4596" s="0" t="n">
        <v>10</v>
      </c>
      <c r="E4596" s="5" t="n">
        <v>46002.901087963</v>
      </c>
      <c r="F4596" s="0" t="n">
        <v>2.1</v>
      </c>
      <c r="G4596" s="0" t="n">
        <v>17147</v>
      </c>
      <c r="H4596" s="6" t="s">
        <v>74</v>
      </c>
      <c r="I4596" s="6" t="n">
        <f aca="false">D4596*F4596</f>
        <v>21</v>
      </c>
      <c r="J4596" s="6" t="n">
        <f aca="false">HOUR(E4596)</f>
        <v>21</v>
      </c>
      <c r="K4596" s="6" t="n">
        <f aca="false">IF(COUNTIF($A$2:$A4596,A4596)=1,1,0)</f>
        <v>0</v>
      </c>
    </row>
    <row r="4597" customFormat="false" ht="15" hidden="false" customHeight="false" outlineLevel="0" collapsed="false">
      <c r="A4597" s="0" t="s">
        <v>950</v>
      </c>
      <c r="B4597" s="0" t="s">
        <v>145</v>
      </c>
      <c r="C4597" s="0" t="s">
        <v>146</v>
      </c>
      <c r="D4597" s="0" t="n">
        <v>11</v>
      </c>
      <c r="E4597" s="5" t="n">
        <v>46002.901087963</v>
      </c>
      <c r="F4597" s="0" t="n">
        <v>1.85</v>
      </c>
      <c r="G4597" s="0" t="n">
        <v>17147</v>
      </c>
      <c r="H4597" s="6" t="s">
        <v>74</v>
      </c>
      <c r="I4597" s="6" t="n">
        <f aca="false">D4597*F4597</f>
        <v>20.35</v>
      </c>
      <c r="J4597" s="6" t="n">
        <f aca="false">HOUR(E4597)</f>
        <v>21</v>
      </c>
      <c r="K4597" s="6" t="n">
        <f aca="false">IF(COUNTIF($A$2:$A4597,A4597)=1,1,0)</f>
        <v>0</v>
      </c>
    </row>
    <row r="4598" customFormat="false" ht="15" hidden="false" customHeight="false" outlineLevel="0" collapsed="false">
      <c r="A4598" s="0" t="s">
        <v>950</v>
      </c>
      <c r="B4598" s="0" t="s">
        <v>55</v>
      </c>
      <c r="C4598" s="0" t="s">
        <v>56</v>
      </c>
      <c r="D4598" s="0" t="n">
        <v>2</v>
      </c>
      <c r="E4598" s="5" t="n">
        <v>46002.901087963</v>
      </c>
      <c r="F4598" s="0" t="n">
        <v>1.65</v>
      </c>
      <c r="G4598" s="0" t="n">
        <v>17147</v>
      </c>
      <c r="H4598" s="6" t="s">
        <v>74</v>
      </c>
      <c r="I4598" s="6" t="n">
        <f aca="false">D4598*F4598</f>
        <v>3.3</v>
      </c>
      <c r="J4598" s="6" t="n">
        <f aca="false">HOUR(E4598)</f>
        <v>21</v>
      </c>
      <c r="K4598" s="6" t="n">
        <f aca="false">IF(COUNTIF($A$2:$A4598,A4598)=1,1,0)</f>
        <v>0</v>
      </c>
    </row>
    <row r="4599" customFormat="false" ht="15" hidden="false" customHeight="false" outlineLevel="0" collapsed="false">
      <c r="A4599" s="0" t="s">
        <v>950</v>
      </c>
      <c r="B4599" s="0" t="s">
        <v>59</v>
      </c>
      <c r="C4599" s="0" t="s">
        <v>60</v>
      </c>
      <c r="D4599" s="0" t="n">
        <v>15</v>
      </c>
      <c r="E4599" s="5" t="n">
        <v>46002.901087963</v>
      </c>
      <c r="F4599" s="0" t="n">
        <v>0.42</v>
      </c>
      <c r="G4599" s="0" t="n">
        <v>17147</v>
      </c>
      <c r="H4599" s="6" t="s">
        <v>74</v>
      </c>
      <c r="I4599" s="6" t="n">
        <f aca="false">D4599*F4599</f>
        <v>6.3</v>
      </c>
      <c r="J4599" s="6" t="n">
        <f aca="false">HOUR(E4599)</f>
        <v>21</v>
      </c>
      <c r="K4599" s="6" t="n">
        <f aca="false">IF(COUNTIF($A$2:$A4599,A4599)=1,1,0)</f>
        <v>0</v>
      </c>
    </row>
    <row r="4600" customFormat="false" ht="15" hidden="false" customHeight="false" outlineLevel="0" collapsed="false">
      <c r="A4600" s="0" t="s">
        <v>950</v>
      </c>
      <c r="B4600" s="0" t="s">
        <v>125</v>
      </c>
      <c r="C4600" s="0" t="s">
        <v>126</v>
      </c>
      <c r="D4600" s="0" t="n">
        <v>3</v>
      </c>
      <c r="E4600" s="5" t="n">
        <v>46002.901087963</v>
      </c>
      <c r="F4600" s="0" t="n">
        <v>1.25</v>
      </c>
      <c r="G4600" s="0" t="n">
        <v>17147</v>
      </c>
      <c r="H4600" s="6" t="s">
        <v>74</v>
      </c>
      <c r="I4600" s="6" t="n">
        <f aca="false">D4600*F4600</f>
        <v>3.75</v>
      </c>
      <c r="J4600" s="6" t="n">
        <f aca="false">HOUR(E4600)</f>
        <v>21</v>
      </c>
      <c r="K4600" s="6" t="n">
        <f aca="false">IF(COUNTIF($A$2:$A4600,A4600)=1,1,0)</f>
        <v>0</v>
      </c>
    </row>
    <row r="4601" customFormat="false" ht="15" hidden="false" customHeight="false" outlineLevel="0" collapsed="false">
      <c r="A4601" s="0" t="s">
        <v>950</v>
      </c>
      <c r="B4601" s="0" t="s">
        <v>99</v>
      </c>
      <c r="C4601" s="0" t="s">
        <v>100</v>
      </c>
      <c r="D4601" s="0" t="n">
        <v>21</v>
      </c>
      <c r="E4601" s="5" t="n">
        <v>46002.901087963</v>
      </c>
      <c r="F4601" s="0" t="n">
        <v>2.08</v>
      </c>
      <c r="G4601" s="0" t="n">
        <v>17147</v>
      </c>
      <c r="H4601" s="6" t="s">
        <v>74</v>
      </c>
      <c r="I4601" s="6" t="n">
        <f aca="false">D4601*F4601</f>
        <v>43.68</v>
      </c>
      <c r="J4601" s="6" t="n">
        <f aca="false">HOUR(E4601)</f>
        <v>21</v>
      </c>
      <c r="K4601" s="6" t="n">
        <f aca="false">IF(COUNTIF($A$2:$A4601,A4601)=1,1,0)</f>
        <v>0</v>
      </c>
    </row>
    <row r="4602" customFormat="false" ht="15" hidden="false" customHeight="false" outlineLevel="0" collapsed="false">
      <c r="A4602" s="0" t="s">
        <v>950</v>
      </c>
      <c r="B4602" s="0" t="s">
        <v>88</v>
      </c>
      <c r="C4602" s="0" t="s">
        <v>89</v>
      </c>
      <c r="D4602" s="0" t="n">
        <v>20</v>
      </c>
      <c r="E4602" s="5" t="n">
        <v>46002.901087963</v>
      </c>
      <c r="F4602" s="0" t="n">
        <v>2.75</v>
      </c>
      <c r="G4602" s="0" t="n">
        <v>17147</v>
      </c>
      <c r="H4602" s="6" t="s">
        <v>74</v>
      </c>
      <c r="I4602" s="6" t="n">
        <f aca="false">D4602*F4602</f>
        <v>55</v>
      </c>
      <c r="J4602" s="6" t="n">
        <f aca="false">HOUR(E4602)</f>
        <v>21</v>
      </c>
      <c r="K4602" s="6" t="n">
        <f aca="false">IF(COUNTIF($A$2:$A4602,A4602)=1,1,0)</f>
        <v>0</v>
      </c>
    </row>
    <row r="4603" customFormat="false" ht="15" hidden="false" customHeight="false" outlineLevel="0" collapsed="false">
      <c r="A4603" s="0" t="s">
        <v>951</v>
      </c>
      <c r="B4603" s="0" t="s">
        <v>43</v>
      </c>
      <c r="C4603" s="0" t="s">
        <v>44</v>
      </c>
      <c r="D4603" s="0" t="n">
        <v>3</v>
      </c>
      <c r="E4603" s="5" t="n">
        <v>46002.9202893519</v>
      </c>
      <c r="F4603" s="0" t="n">
        <v>4.25</v>
      </c>
      <c r="G4603" s="0" t="n">
        <v>17212</v>
      </c>
      <c r="H4603" s="6" t="s">
        <v>113</v>
      </c>
      <c r="I4603" s="6" t="n">
        <f aca="false">D4603*F4603</f>
        <v>12.75</v>
      </c>
      <c r="J4603" s="6" t="n">
        <f aca="false">HOUR(E4603)</f>
        <v>22</v>
      </c>
      <c r="K4603" s="6" t="n">
        <f aca="false">IF(COUNTIF($A$2:$A4603,A4603)=1,1,0)</f>
        <v>1</v>
      </c>
    </row>
    <row r="4604" customFormat="false" ht="15" hidden="false" customHeight="false" outlineLevel="0" collapsed="false">
      <c r="A4604" s="0" t="s">
        <v>951</v>
      </c>
      <c r="B4604" s="0" t="s">
        <v>45</v>
      </c>
      <c r="C4604" s="0" t="s">
        <v>46</v>
      </c>
      <c r="D4604" s="0" t="n">
        <v>5</v>
      </c>
      <c r="E4604" s="5" t="n">
        <v>46002.9202893519</v>
      </c>
      <c r="F4604" s="0" t="n">
        <v>2.1</v>
      </c>
      <c r="G4604" s="0" t="n">
        <v>17212</v>
      </c>
      <c r="H4604" s="6" t="s">
        <v>113</v>
      </c>
      <c r="I4604" s="6" t="n">
        <f aca="false">D4604*F4604</f>
        <v>10.5</v>
      </c>
      <c r="J4604" s="6" t="n">
        <f aca="false">HOUR(E4604)</f>
        <v>22</v>
      </c>
      <c r="K4604" s="6" t="n">
        <f aca="false">IF(COUNTIF($A$2:$A4604,A4604)=1,1,0)</f>
        <v>0</v>
      </c>
    </row>
    <row r="4605" customFormat="false" ht="15" hidden="false" customHeight="false" outlineLevel="0" collapsed="false">
      <c r="A4605" s="0" t="s">
        <v>951</v>
      </c>
      <c r="B4605" s="0" t="s">
        <v>93</v>
      </c>
      <c r="C4605" s="0" t="s">
        <v>94</v>
      </c>
      <c r="D4605" s="0" t="n">
        <v>15</v>
      </c>
      <c r="E4605" s="5" t="n">
        <v>46002.9202893519</v>
      </c>
      <c r="F4605" s="0" t="n">
        <v>1.69</v>
      </c>
      <c r="G4605" s="0" t="n">
        <v>17212</v>
      </c>
      <c r="H4605" s="6" t="s">
        <v>113</v>
      </c>
      <c r="I4605" s="6" t="n">
        <f aca="false">D4605*F4605</f>
        <v>25.35</v>
      </c>
      <c r="J4605" s="6" t="n">
        <f aca="false">HOUR(E4605)</f>
        <v>22</v>
      </c>
      <c r="K4605" s="6" t="n">
        <f aca="false">IF(COUNTIF($A$2:$A4605,A4605)=1,1,0)</f>
        <v>0</v>
      </c>
    </row>
    <row r="4606" customFormat="false" ht="15" hidden="false" customHeight="false" outlineLevel="0" collapsed="false">
      <c r="A4606" s="0" t="s">
        <v>951</v>
      </c>
      <c r="B4606" s="0" t="s">
        <v>61</v>
      </c>
      <c r="C4606" s="0" t="s">
        <v>62</v>
      </c>
      <c r="D4606" s="0" t="n">
        <v>17</v>
      </c>
      <c r="E4606" s="5" t="n">
        <v>46002.9202893519</v>
      </c>
      <c r="F4606" s="0" t="n">
        <v>1.65</v>
      </c>
      <c r="G4606" s="0" t="n">
        <v>17212</v>
      </c>
      <c r="H4606" s="6" t="s">
        <v>113</v>
      </c>
      <c r="I4606" s="6" t="n">
        <f aca="false">D4606*F4606</f>
        <v>28.05</v>
      </c>
      <c r="J4606" s="6" t="n">
        <f aca="false">HOUR(E4606)</f>
        <v>22</v>
      </c>
      <c r="K4606" s="6" t="n">
        <f aca="false">IF(COUNTIF($A$2:$A4606,A4606)=1,1,0)</f>
        <v>0</v>
      </c>
    </row>
    <row r="4607" customFormat="false" ht="15" hidden="false" customHeight="false" outlineLevel="0" collapsed="false">
      <c r="A4607" s="0" t="s">
        <v>951</v>
      </c>
      <c r="B4607" s="0" t="s">
        <v>91</v>
      </c>
      <c r="C4607" s="0" t="s">
        <v>92</v>
      </c>
      <c r="D4607" s="0" t="n">
        <v>14</v>
      </c>
      <c r="E4607" s="5" t="n">
        <v>46002.9202893519</v>
      </c>
      <c r="F4607" s="0" t="n">
        <v>7.65</v>
      </c>
      <c r="G4607" s="0" t="n">
        <v>17212</v>
      </c>
      <c r="H4607" s="6" t="s">
        <v>113</v>
      </c>
      <c r="I4607" s="6" t="n">
        <f aca="false">D4607*F4607</f>
        <v>107.1</v>
      </c>
      <c r="J4607" s="6" t="n">
        <f aca="false">HOUR(E4607)</f>
        <v>22</v>
      </c>
      <c r="K4607" s="6" t="n">
        <f aca="false">IF(COUNTIF($A$2:$A4607,A4607)=1,1,0)</f>
        <v>0</v>
      </c>
    </row>
    <row r="4608" customFormat="false" ht="15" hidden="false" customHeight="false" outlineLevel="0" collapsed="false">
      <c r="A4608" s="0" t="s">
        <v>951</v>
      </c>
      <c r="B4608" s="0" t="s">
        <v>121</v>
      </c>
      <c r="C4608" s="0" t="s">
        <v>122</v>
      </c>
      <c r="D4608" s="0" t="n">
        <v>3</v>
      </c>
      <c r="E4608" s="5" t="n">
        <v>46002.9202893519</v>
      </c>
      <c r="F4608" s="0" t="n">
        <v>2.1</v>
      </c>
      <c r="G4608" s="0" t="n">
        <v>17212</v>
      </c>
      <c r="H4608" s="6" t="s">
        <v>113</v>
      </c>
      <c r="I4608" s="6" t="n">
        <f aca="false">D4608*F4608</f>
        <v>6.3</v>
      </c>
      <c r="J4608" s="6" t="n">
        <f aca="false">HOUR(E4608)</f>
        <v>22</v>
      </c>
      <c r="K4608" s="6" t="n">
        <f aca="false">IF(COUNTIF($A$2:$A4608,A4608)=1,1,0)</f>
        <v>0</v>
      </c>
    </row>
    <row r="4609" customFormat="false" ht="15" hidden="false" customHeight="false" outlineLevel="0" collapsed="false">
      <c r="A4609" s="0" t="s">
        <v>951</v>
      </c>
      <c r="B4609" s="0" t="s">
        <v>127</v>
      </c>
      <c r="C4609" s="0" t="s">
        <v>128</v>
      </c>
      <c r="D4609" s="0" t="n">
        <v>19</v>
      </c>
      <c r="E4609" s="5" t="n">
        <v>46002.9202893519</v>
      </c>
      <c r="F4609" s="0" t="n">
        <v>1.45</v>
      </c>
      <c r="G4609" s="0" t="n">
        <v>17212</v>
      </c>
      <c r="H4609" s="6" t="s">
        <v>113</v>
      </c>
      <c r="I4609" s="6" t="n">
        <f aca="false">D4609*F4609</f>
        <v>27.55</v>
      </c>
      <c r="J4609" s="6" t="n">
        <f aca="false">HOUR(E4609)</f>
        <v>22</v>
      </c>
      <c r="K4609" s="6" t="n">
        <f aca="false">IF(COUNTIF($A$2:$A4609,A4609)=1,1,0)</f>
        <v>0</v>
      </c>
    </row>
    <row r="4610" customFormat="false" ht="15" hidden="false" customHeight="false" outlineLevel="0" collapsed="false">
      <c r="A4610" s="0" t="s">
        <v>951</v>
      </c>
      <c r="B4610" s="0" t="s">
        <v>145</v>
      </c>
      <c r="D4610" s="0" t="n">
        <v>21</v>
      </c>
      <c r="E4610" s="5" t="n">
        <v>46002.9202893519</v>
      </c>
      <c r="F4610" s="0" t="n">
        <v>1.85</v>
      </c>
      <c r="G4610" s="0" t="n">
        <v>17212</v>
      </c>
      <c r="H4610" s="6" t="s">
        <v>113</v>
      </c>
      <c r="I4610" s="6" t="n">
        <f aca="false">D4610*F4610</f>
        <v>38.85</v>
      </c>
      <c r="J4610" s="6" t="n">
        <f aca="false">HOUR(E4610)</f>
        <v>22</v>
      </c>
      <c r="K4610" s="6" t="n">
        <f aca="false">IF(COUNTIF($A$2:$A4610,A4610)=1,1,0)</f>
        <v>0</v>
      </c>
    </row>
    <row r="4611" customFormat="false" ht="15" hidden="false" customHeight="false" outlineLevel="0" collapsed="false">
      <c r="A4611" s="0" t="s">
        <v>952</v>
      </c>
      <c r="B4611" s="0" t="s">
        <v>125</v>
      </c>
      <c r="C4611" s="0" t="s">
        <v>126</v>
      </c>
      <c r="D4611" s="0" t="n">
        <v>24</v>
      </c>
      <c r="E4611" s="5" t="n">
        <v>46003.4081828704</v>
      </c>
      <c r="F4611" s="0" t="n">
        <v>1.25</v>
      </c>
      <c r="G4611" s="0" t="n">
        <v>17155</v>
      </c>
      <c r="H4611" s="6" t="s">
        <v>188</v>
      </c>
      <c r="I4611" s="6" t="n">
        <f aca="false">D4611*F4611</f>
        <v>30</v>
      </c>
      <c r="J4611" s="6" t="n">
        <f aca="false">HOUR(E4611)</f>
        <v>9</v>
      </c>
      <c r="K4611" s="6" t="n">
        <f aca="false">IF(COUNTIF($A$2:$A4611,A4611)=1,1,0)</f>
        <v>1</v>
      </c>
    </row>
    <row r="4612" customFormat="false" ht="15" hidden="false" customHeight="false" outlineLevel="0" collapsed="false">
      <c r="A4612" s="0" t="s">
        <v>952</v>
      </c>
      <c r="B4612" s="0" t="s">
        <v>59</v>
      </c>
      <c r="C4612" s="0" t="s">
        <v>60</v>
      </c>
      <c r="D4612" s="0" t="n">
        <v>7</v>
      </c>
      <c r="E4612" s="5" t="n">
        <v>46003.4081828704</v>
      </c>
      <c r="F4612" s="0" t="n">
        <v>0.42</v>
      </c>
      <c r="G4612" s="0" t="n">
        <v>17155</v>
      </c>
      <c r="H4612" s="6" t="s">
        <v>188</v>
      </c>
      <c r="I4612" s="6" t="n">
        <f aca="false">D4612*F4612</f>
        <v>2.94</v>
      </c>
      <c r="J4612" s="6" t="n">
        <f aca="false">HOUR(E4612)</f>
        <v>9</v>
      </c>
      <c r="K4612" s="6" t="n">
        <f aca="false">IF(COUNTIF($A$2:$A4612,A4612)=1,1,0)</f>
        <v>0</v>
      </c>
    </row>
    <row r="4613" customFormat="false" ht="15" hidden="false" customHeight="false" outlineLevel="0" collapsed="false">
      <c r="A4613" s="0" t="s">
        <v>952</v>
      </c>
      <c r="B4613" s="0" t="s">
        <v>131</v>
      </c>
      <c r="D4613" s="0" t="n">
        <v>6</v>
      </c>
      <c r="E4613" s="5" t="n">
        <v>46003.4081828704</v>
      </c>
      <c r="F4613" s="0" t="n">
        <v>3.39</v>
      </c>
      <c r="G4613" s="0" t="n">
        <v>17155</v>
      </c>
      <c r="H4613" s="6" t="s">
        <v>188</v>
      </c>
      <c r="I4613" s="6" t="n">
        <f aca="false">D4613*F4613</f>
        <v>20.34</v>
      </c>
      <c r="J4613" s="6" t="n">
        <f aca="false">HOUR(E4613)</f>
        <v>9</v>
      </c>
      <c r="K4613" s="6" t="n">
        <f aca="false">IF(COUNTIF($A$2:$A4613,A4613)=1,1,0)</f>
        <v>0</v>
      </c>
    </row>
    <row r="4614" customFormat="false" ht="15" hidden="false" customHeight="false" outlineLevel="0" collapsed="false">
      <c r="A4614" s="0" t="s">
        <v>952</v>
      </c>
      <c r="B4614" s="0" t="s">
        <v>50</v>
      </c>
      <c r="C4614" s="0" t="s">
        <v>51</v>
      </c>
      <c r="D4614" s="0" t="n">
        <v>10</v>
      </c>
      <c r="E4614" s="5" t="n">
        <v>46003.4081828704</v>
      </c>
      <c r="F4614" s="0" t="n">
        <v>5.95</v>
      </c>
      <c r="G4614" s="0" t="n">
        <v>17155</v>
      </c>
      <c r="H4614" s="6" t="s">
        <v>188</v>
      </c>
      <c r="I4614" s="6" t="n">
        <f aca="false">D4614*F4614</f>
        <v>59.5</v>
      </c>
      <c r="J4614" s="6" t="n">
        <f aca="false">HOUR(E4614)</f>
        <v>9</v>
      </c>
      <c r="K4614" s="6" t="n">
        <f aca="false">IF(COUNTIF($A$2:$A4614,A4614)=1,1,0)</f>
        <v>0</v>
      </c>
    </row>
    <row r="4615" customFormat="false" ht="15" hidden="false" customHeight="false" outlineLevel="0" collapsed="false">
      <c r="A4615" s="0" t="s">
        <v>952</v>
      </c>
      <c r="B4615" s="0" t="s">
        <v>55</v>
      </c>
      <c r="C4615" s="0" t="s">
        <v>56</v>
      </c>
      <c r="D4615" s="0" t="n">
        <v>11</v>
      </c>
      <c r="E4615" s="5" t="n">
        <v>46003.4081828704</v>
      </c>
      <c r="F4615" s="0" t="n">
        <v>1.65</v>
      </c>
      <c r="G4615" s="0" t="n">
        <v>17155</v>
      </c>
      <c r="H4615" s="6" t="s">
        <v>188</v>
      </c>
      <c r="I4615" s="6" t="n">
        <f aca="false">D4615*F4615</f>
        <v>18.15</v>
      </c>
      <c r="J4615" s="6" t="n">
        <f aca="false">HOUR(E4615)</f>
        <v>9</v>
      </c>
      <c r="K4615" s="6" t="n">
        <f aca="false">IF(COUNTIF($A$2:$A4615,A4615)=1,1,0)</f>
        <v>0</v>
      </c>
    </row>
    <row r="4616" customFormat="false" ht="15" hidden="false" customHeight="false" outlineLevel="0" collapsed="false">
      <c r="A4616" s="0" t="s">
        <v>952</v>
      </c>
      <c r="B4616" s="0" t="s">
        <v>45</v>
      </c>
      <c r="C4616" s="0" t="s">
        <v>46</v>
      </c>
      <c r="D4616" s="0" t="n">
        <v>13</v>
      </c>
      <c r="E4616" s="5" t="n">
        <v>46003.4081828704</v>
      </c>
      <c r="F4616" s="0" t="n">
        <v>2.1</v>
      </c>
      <c r="G4616" s="0" t="n">
        <v>17155</v>
      </c>
      <c r="H4616" s="6" t="s">
        <v>188</v>
      </c>
      <c r="I4616" s="6" t="n">
        <f aca="false">D4616*F4616</f>
        <v>27.3</v>
      </c>
      <c r="J4616" s="6" t="n">
        <f aca="false">HOUR(E4616)</f>
        <v>9</v>
      </c>
      <c r="K4616" s="6" t="n">
        <f aca="false">IF(COUNTIF($A$2:$A4616,A4616)=1,1,0)</f>
        <v>0</v>
      </c>
    </row>
    <row r="4617" customFormat="false" ht="15" hidden="false" customHeight="false" outlineLevel="0" collapsed="false">
      <c r="A4617" s="0" t="s">
        <v>953</v>
      </c>
      <c r="B4617" s="0" t="s">
        <v>40</v>
      </c>
      <c r="C4617" s="0" t="s">
        <v>41</v>
      </c>
      <c r="D4617" s="0" t="n">
        <v>7</v>
      </c>
      <c r="E4617" s="5" t="n">
        <v>46003.4256018519</v>
      </c>
      <c r="F4617" s="0" t="n">
        <v>1.06</v>
      </c>
      <c r="G4617" s="0" t="n">
        <v>17150</v>
      </c>
      <c r="H4617" s="6" t="s">
        <v>42</v>
      </c>
      <c r="I4617" s="6" t="n">
        <f aca="false">D4617*F4617</f>
        <v>7.42</v>
      </c>
      <c r="J4617" s="6" t="n">
        <f aca="false">HOUR(E4617)</f>
        <v>10</v>
      </c>
      <c r="K4617" s="6" t="n">
        <f aca="false">IF(COUNTIF($A$2:$A4617,A4617)=1,1,0)</f>
        <v>1</v>
      </c>
    </row>
    <row r="4618" customFormat="false" ht="15" hidden="false" customHeight="false" outlineLevel="0" collapsed="false">
      <c r="A4618" s="0" t="s">
        <v>953</v>
      </c>
      <c r="B4618" s="0" t="s">
        <v>131</v>
      </c>
      <c r="C4618" s="0" t="s">
        <v>132</v>
      </c>
      <c r="D4618" s="0" t="n">
        <v>1</v>
      </c>
      <c r="E4618" s="5" t="n">
        <v>46003.4256018519</v>
      </c>
      <c r="F4618" s="0" t="n">
        <v>3.39</v>
      </c>
      <c r="G4618" s="0" t="n">
        <v>17150</v>
      </c>
      <c r="H4618" s="6" t="s">
        <v>42</v>
      </c>
      <c r="I4618" s="6" t="n">
        <f aca="false">D4618*F4618</f>
        <v>3.39</v>
      </c>
      <c r="J4618" s="6" t="n">
        <f aca="false">HOUR(E4618)</f>
        <v>10</v>
      </c>
      <c r="K4618" s="6" t="n">
        <f aca="false">IF(COUNTIF($A$2:$A4618,A4618)=1,1,0)</f>
        <v>0</v>
      </c>
    </row>
    <row r="4619" customFormat="false" ht="15" hidden="false" customHeight="false" outlineLevel="0" collapsed="false">
      <c r="A4619" s="0" t="s">
        <v>953</v>
      </c>
      <c r="B4619" s="0" t="s">
        <v>125</v>
      </c>
      <c r="C4619" s="0" t="s">
        <v>126</v>
      </c>
      <c r="D4619" s="0" t="n">
        <v>21</v>
      </c>
      <c r="E4619" s="5" t="n">
        <v>46003.4256018519</v>
      </c>
      <c r="F4619" s="0" t="n">
        <v>1.25</v>
      </c>
      <c r="G4619" s="0" t="n">
        <v>17150</v>
      </c>
      <c r="H4619" s="6" t="s">
        <v>42</v>
      </c>
      <c r="I4619" s="6" t="n">
        <f aca="false">D4619*F4619</f>
        <v>26.25</v>
      </c>
      <c r="J4619" s="6" t="n">
        <f aca="false">HOUR(E4619)</f>
        <v>10</v>
      </c>
      <c r="K4619" s="6" t="n">
        <f aca="false">IF(COUNTIF($A$2:$A4619,A4619)=1,1,0)</f>
        <v>0</v>
      </c>
    </row>
    <row r="4620" customFormat="false" ht="15" hidden="false" customHeight="false" outlineLevel="0" collapsed="false">
      <c r="A4620" s="0" t="s">
        <v>953</v>
      </c>
      <c r="B4620" s="0" t="s">
        <v>83</v>
      </c>
      <c r="C4620" s="0" t="s">
        <v>84</v>
      </c>
      <c r="D4620" s="0" t="n">
        <v>23</v>
      </c>
      <c r="E4620" s="5" t="n">
        <v>46003.4256018519</v>
      </c>
      <c r="F4620" s="0" t="n">
        <v>2.95</v>
      </c>
      <c r="G4620" s="0" t="n">
        <v>17150</v>
      </c>
      <c r="H4620" s="6" t="s">
        <v>42</v>
      </c>
      <c r="I4620" s="6" t="n">
        <f aca="false">D4620*F4620</f>
        <v>67.85</v>
      </c>
      <c r="J4620" s="6" t="n">
        <f aca="false">HOUR(E4620)</f>
        <v>10</v>
      </c>
      <c r="K4620" s="6" t="n">
        <f aca="false">IF(COUNTIF($A$2:$A4620,A4620)=1,1,0)</f>
        <v>0</v>
      </c>
    </row>
    <row r="4621" customFormat="false" ht="15" hidden="false" customHeight="false" outlineLevel="0" collapsed="false">
      <c r="A4621" s="0" t="s">
        <v>953</v>
      </c>
      <c r="B4621" s="0" t="s">
        <v>79</v>
      </c>
      <c r="C4621" s="0" t="s">
        <v>80</v>
      </c>
      <c r="D4621" s="0" t="n">
        <v>8</v>
      </c>
      <c r="E4621" s="5" t="n">
        <v>46003.4256018519</v>
      </c>
      <c r="F4621" s="0" t="n">
        <v>3.39</v>
      </c>
      <c r="G4621" s="0" t="n">
        <v>17150</v>
      </c>
      <c r="H4621" s="6" t="s">
        <v>42</v>
      </c>
      <c r="I4621" s="6" t="n">
        <f aca="false">D4621*F4621</f>
        <v>27.12</v>
      </c>
      <c r="J4621" s="6" t="n">
        <f aca="false">HOUR(E4621)</f>
        <v>10</v>
      </c>
      <c r="K4621" s="6" t="n">
        <f aca="false">IF(COUNTIF($A$2:$A4621,A4621)=1,1,0)</f>
        <v>0</v>
      </c>
    </row>
    <row r="4622" customFormat="false" ht="15" hidden="false" customHeight="false" outlineLevel="0" collapsed="false">
      <c r="A4622" s="0" t="s">
        <v>953</v>
      </c>
      <c r="B4622" s="0" t="s">
        <v>134</v>
      </c>
      <c r="C4622" s="0" t="s">
        <v>135</v>
      </c>
      <c r="D4622" s="0" t="n">
        <v>6</v>
      </c>
      <c r="E4622" s="5" t="n">
        <v>46003.4256018519</v>
      </c>
      <c r="F4622" s="0" t="n">
        <v>5.95</v>
      </c>
      <c r="G4622" s="0" t="n">
        <v>17150</v>
      </c>
      <c r="H4622" s="6" t="s">
        <v>42</v>
      </c>
      <c r="I4622" s="6" t="n">
        <f aca="false">D4622*F4622</f>
        <v>35.7</v>
      </c>
      <c r="J4622" s="6" t="n">
        <f aca="false">HOUR(E4622)</f>
        <v>10</v>
      </c>
      <c r="K4622" s="6" t="n">
        <f aca="false">IF(COUNTIF($A$2:$A4622,A4622)=1,1,0)</f>
        <v>0</v>
      </c>
    </row>
    <row r="4623" customFormat="false" ht="15" hidden="false" customHeight="false" outlineLevel="0" collapsed="false">
      <c r="A4623" s="0" t="s">
        <v>953</v>
      </c>
      <c r="B4623" s="0" t="s">
        <v>63</v>
      </c>
      <c r="C4623" s="0" t="s">
        <v>64</v>
      </c>
      <c r="D4623" s="0" t="n">
        <v>10</v>
      </c>
      <c r="E4623" s="5" t="n">
        <v>46003.4256018519</v>
      </c>
      <c r="F4623" s="0" t="n">
        <v>1.85</v>
      </c>
      <c r="G4623" s="0" t="n">
        <v>17150</v>
      </c>
      <c r="H4623" s="6" t="s">
        <v>42</v>
      </c>
      <c r="I4623" s="6" t="n">
        <f aca="false">D4623*F4623</f>
        <v>18.5</v>
      </c>
      <c r="J4623" s="6" t="n">
        <f aca="false">HOUR(E4623)</f>
        <v>10</v>
      </c>
      <c r="K4623" s="6" t="n">
        <f aca="false">IF(COUNTIF($A$2:$A4623,A4623)=1,1,0)</f>
        <v>0</v>
      </c>
    </row>
    <row r="4624" customFormat="false" ht="15" hidden="false" customHeight="false" outlineLevel="0" collapsed="false">
      <c r="A4624" s="0" t="s">
        <v>954</v>
      </c>
      <c r="B4624" s="0" t="s">
        <v>79</v>
      </c>
      <c r="C4624" s="0" t="s">
        <v>80</v>
      </c>
      <c r="D4624" s="0" t="n">
        <v>19</v>
      </c>
      <c r="E4624" s="5" t="n">
        <v>46003.4375462963</v>
      </c>
      <c r="F4624" s="0" t="n">
        <v>3.39</v>
      </c>
      <c r="G4624" s="0" t="n">
        <v>17203</v>
      </c>
      <c r="H4624" s="6" t="s">
        <v>74</v>
      </c>
      <c r="I4624" s="6" t="n">
        <f aca="false">D4624*F4624</f>
        <v>64.41</v>
      </c>
      <c r="J4624" s="6" t="n">
        <f aca="false">HOUR(E4624)</f>
        <v>10</v>
      </c>
      <c r="K4624" s="6" t="n">
        <f aca="false">IF(COUNTIF($A$2:$A4624,A4624)=1,1,0)</f>
        <v>1</v>
      </c>
    </row>
    <row r="4625" customFormat="false" ht="15" hidden="false" customHeight="false" outlineLevel="0" collapsed="false">
      <c r="A4625" s="0" t="s">
        <v>954</v>
      </c>
      <c r="B4625" s="0" t="s">
        <v>88</v>
      </c>
      <c r="C4625" s="0" t="s">
        <v>89</v>
      </c>
      <c r="D4625" s="0" t="n">
        <v>22</v>
      </c>
      <c r="E4625" s="5" t="n">
        <v>46003.4375462963</v>
      </c>
      <c r="F4625" s="0" t="n">
        <v>2.75</v>
      </c>
      <c r="G4625" s="0" t="n">
        <v>17203</v>
      </c>
      <c r="H4625" s="6" t="s">
        <v>74</v>
      </c>
      <c r="I4625" s="6" t="n">
        <f aca="false">D4625*F4625</f>
        <v>60.5</v>
      </c>
      <c r="J4625" s="6" t="n">
        <f aca="false">HOUR(E4625)</f>
        <v>10</v>
      </c>
      <c r="K4625" s="6" t="n">
        <f aca="false">IF(COUNTIF($A$2:$A4625,A4625)=1,1,0)</f>
        <v>0</v>
      </c>
    </row>
    <row r="4626" customFormat="false" ht="15" hidden="false" customHeight="false" outlineLevel="0" collapsed="false">
      <c r="A4626" s="0" t="s">
        <v>954</v>
      </c>
      <c r="B4626" s="0" t="s">
        <v>109</v>
      </c>
      <c r="C4626" s="0" t="s">
        <v>110</v>
      </c>
      <c r="D4626" s="0" t="n">
        <v>9</v>
      </c>
      <c r="E4626" s="5" t="n">
        <v>46003.4375462963</v>
      </c>
      <c r="F4626" s="0" t="n">
        <v>0.85</v>
      </c>
      <c r="G4626" s="0" t="n">
        <v>17203</v>
      </c>
      <c r="H4626" s="6" t="s">
        <v>74</v>
      </c>
      <c r="I4626" s="6" t="n">
        <f aca="false">D4626*F4626</f>
        <v>7.65</v>
      </c>
      <c r="J4626" s="6" t="n">
        <f aca="false">HOUR(E4626)</f>
        <v>10</v>
      </c>
      <c r="K4626" s="6" t="n">
        <f aca="false">IF(COUNTIF($A$2:$A4626,A4626)=1,1,0)</f>
        <v>0</v>
      </c>
    </row>
    <row r="4627" customFormat="false" ht="15" hidden="false" customHeight="false" outlineLevel="0" collapsed="false">
      <c r="A4627" s="0" t="s">
        <v>954</v>
      </c>
      <c r="B4627" s="0" t="s">
        <v>127</v>
      </c>
      <c r="C4627" s="0" t="s">
        <v>128</v>
      </c>
      <c r="D4627" s="0" t="n">
        <v>24</v>
      </c>
      <c r="E4627" s="5" t="n">
        <v>46003.4375462963</v>
      </c>
      <c r="F4627" s="0" t="n">
        <v>1.45</v>
      </c>
      <c r="G4627" s="0" t="n">
        <v>17203</v>
      </c>
      <c r="H4627" s="6" t="s">
        <v>74</v>
      </c>
      <c r="I4627" s="6" t="n">
        <f aca="false">D4627*F4627</f>
        <v>34.8</v>
      </c>
      <c r="J4627" s="6" t="n">
        <f aca="false">HOUR(E4627)</f>
        <v>10</v>
      </c>
      <c r="K4627" s="6" t="n">
        <f aca="false">IF(COUNTIF($A$2:$A4627,A4627)=1,1,0)</f>
        <v>0</v>
      </c>
    </row>
    <row r="4628" customFormat="false" ht="15" hidden="false" customHeight="false" outlineLevel="0" collapsed="false">
      <c r="A4628" s="0" t="s">
        <v>954</v>
      </c>
      <c r="B4628" s="0" t="s">
        <v>50</v>
      </c>
      <c r="C4628" s="0" t="s">
        <v>51</v>
      </c>
      <c r="D4628" s="0" t="n">
        <v>9</v>
      </c>
      <c r="E4628" s="5" t="n">
        <v>46003.4375462963</v>
      </c>
      <c r="F4628" s="0" t="n">
        <v>5.95</v>
      </c>
      <c r="G4628" s="0" t="n">
        <v>17203</v>
      </c>
      <c r="H4628" s="6" t="s">
        <v>74</v>
      </c>
      <c r="I4628" s="6" t="n">
        <f aca="false">D4628*F4628</f>
        <v>53.55</v>
      </c>
      <c r="J4628" s="6" t="n">
        <f aca="false">HOUR(E4628)</f>
        <v>10</v>
      </c>
      <c r="K4628" s="6" t="n">
        <f aca="false">IF(COUNTIF($A$2:$A4628,A4628)=1,1,0)</f>
        <v>0</v>
      </c>
    </row>
    <row r="4629" customFormat="false" ht="15" hidden="false" customHeight="false" outlineLevel="0" collapsed="false">
      <c r="A4629" s="0" t="s">
        <v>954</v>
      </c>
      <c r="B4629" s="0" t="s">
        <v>43</v>
      </c>
      <c r="C4629" s="0" t="s">
        <v>44</v>
      </c>
      <c r="D4629" s="0" t="n">
        <v>9</v>
      </c>
      <c r="E4629" s="5" t="n">
        <v>46003.4375462963</v>
      </c>
      <c r="F4629" s="0" t="n">
        <v>4.25</v>
      </c>
      <c r="G4629" s="0" t="n">
        <v>17203</v>
      </c>
      <c r="H4629" s="6" t="s">
        <v>74</v>
      </c>
      <c r="I4629" s="6" t="n">
        <f aca="false">D4629*F4629</f>
        <v>38.25</v>
      </c>
      <c r="J4629" s="6" t="n">
        <f aca="false">HOUR(E4629)</f>
        <v>10</v>
      </c>
      <c r="K4629" s="6" t="n">
        <f aca="false">IF(COUNTIF($A$2:$A4629,A4629)=1,1,0)</f>
        <v>0</v>
      </c>
    </row>
    <row r="4630" customFormat="false" ht="15" hidden="false" customHeight="false" outlineLevel="0" collapsed="false">
      <c r="A4630" s="0" t="s">
        <v>954</v>
      </c>
      <c r="B4630" s="0" t="s">
        <v>137</v>
      </c>
      <c r="C4630" s="0" t="s">
        <v>138</v>
      </c>
      <c r="D4630" s="0" t="n">
        <v>7</v>
      </c>
      <c r="E4630" s="5" t="n">
        <v>46003.4375462963</v>
      </c>
      <c r="F4630" s="0" t="n">
        <v>2.1</v>
      </c>
      <c r="G4630" s="0" t="n">
        <v>17203</v>
      </c>
      <c r="H4630" s="6" t="s">
        <v>74</v>
      </c>
      <c r="I4630" s="6" t="n">
        <f aca="false">D4630*F4630</f>
        <v>14.7</v>
      </c>
      <c r="J4630" s="6" t="n">
        <f aca="false">HOUR(E4630)</f>
        <v>10</v>
      </c>
      <c r="K4630" s="6" t="n">
        <f aca="false">IF(COUNTIF($A$2:$A4630,A4630)=1,1,0)</f>
        <v>0</v>
      </c>
    </row>
    <row r="4631" customFormat="false" ht="15" hidden="false" customHeight="false" outlineLevel="0" collapsed="false">
      <c r="A4631" s="0" t="s">
        <v>955</v>
      </c>
      <c r="B4631" s="0" t="s">
        <v>127</v>
      </c>
      <c r="C4631" s="0" t="s">
        <v>128</v>
      </c>
      <c r="D4631" s="0" t="n">
        <v>18</v>
      </c>
      <c r="E4631" s="5" t="n">
        <v>46003.457025463</v>
      </c>
      <c r="F4631" s="0" t="n">
        <v>1.45</v>
      </c>
      <c r="G4631" s="0" t="n">
        <v>17034</v>
      </c>
      <c r="H4631" s="6" t="s">
        <v>113</v>
      </c>
      <c r="I4631" s="6" t="n">
        <f aca="false">D4631*F4631</f>
        <v>26.1</v>
      </c>
      <c r="J4631" s="6" t="n">
        <f aca="false">HOUR(E4631)</f>
        <v>10</v>
      </c>
      <c r="K4631" s="6" t="n">
        <f aca="false">IF(COUNTIF($A$2:$A4631,A4631)=1,1,0)</f>
        <v>1</v>
      </c>
    </row>
    <row r="4632" customFormat="false" ht="15" hidden="false" customHeight="false" outlineLevel="0" collapsed="false">
      <c r="A4632" s="0" t="s">
        <v>955</v>
      </c>
      <c r="B4632" s="0" t="s">
        <v>145</v>
      </c>
      <c r="C4632" s="0" t="s">
        <v>146</v>
      </c>
      <c r="D4632" s="0" t="n">
        <v>4</v>
      </c>
      <c r="E4632" s="5" t="n">
        <v>46003.457025463</v>
      </c>
      <c r="F4632" s="0" t="n">
        <v>1.85</v>
      </c>
      <c r="G4632" s="0" t="n">
        <v>17034</v>
      </c>
      <c r="H4632" s="6" t="s">
        <v>113</v>
      </c>
      <c r="I4632" s="6" t="n">
        <f aca="false">D4632*F4632</f>
        <v>7.4</v>
      </c>
      <c r="J4632" s="6" t="n">
        <f aca="false">HOUR(E4632)</f>
        <v>10</v>
      </c>
      <c r="K4632" s="6" t="n">
        <f aca="false">IF(COUNTIF($A$2:$A4632,A4632)=1,1,0)</f>
        <v>0</v>
      </c>
    </row>
    <row r="4633" customFormat="false" ht="15" hidden="false" customHeight="false" outlineLevel="0" collapsed="false">
      <c r="A4633" s="0" t="s">
        <v>955</v>
      </c>
      <c r="B4633" s="0" t="s">
        <v>79</v>
      </c>
      <c r="C4633" s="0" t="s">
        <v>80</v>
      </c>
      <c r="D4633" s="0" t="n">
        <v>2</v>
      </c>
      <c r="E4633" s="5" t="n">
        <v>46003.457025463</v>
      </c>
      <c r="F4633" s="0" t="n">
        <v>3.39</v>
      </c>
      <c r="G4633" s="0" t="n">
        <v>17034</v>
      </c>
      <c r="H4633" s="6" t="s">
        <v>113</v>
      </c>
      <c r="I4633" s="6" t="n">
        <f aca="false">D4633*F4633</f>
        <v>6.78</v>
      </c>
      <c r="J4633" s="6" t="n">
        <f aca="false">HOUR(E4633)</f>
        <v>10</v>
      </c>
      <c r="K4633" s="6" t="n">
        <f aca="false">IF(COUNTIF($A$2:$A4633,A4633)=1,1,0)</f>
        <v>0</v>
      </c>
    </row>
    <row r="4634" customFormat="false" ht="15" hidden="false" customHeight="false" outlineLevel="0" collapsed="false">
      <c r="A4634" s="0" t="s">
        <v>955</v>
      </c>
      <c r="B4634" s="0" t="s">
        <v>45</v>
      </c>
      <c r="C4634" s="0" t="s">
        <v>46</v>
      </c>
      <c r="D4634" s="0" t="n">
        <v>22</v>
      </c>
      <c r="E4634" s="5" t="n">
        <v>46003.457025463</v>
      </c>
      <c r="F4634" s="0" t="n">
        <v>2.1</v>
      </c>
      <c r="G4634" s="0" t="n">
        <v>17034</v>
      </c>
      <c r="H4634" s="6" t="s">
        <v>113</v>
      </c>
      <c r="I4634" s="6" t="n">
        <f aca="false">D4634*F4634</f>
        <v>46.2</v>
      </c>
      <c r="J4634" s="6" t="n">
        <f aca="false">HOUR(E4634)</f>
        <v>10</v>
      </c>
      <c r="K4634" s="6" t="n">
        <f aca="false">IF(COUNTIF($A$2:$A4634,A4634)=1,1,0)</f>
        <v>0</v>
      </c>
    </row>
    <row r="4635" customFormat="false" ht="15" hidden="false" customHeight="false" outlineLevel="0" collapsed="false">
      <c r="A4635" s="0" t="s">
        <v>955</v>
      </c>
      <c r="B4635" s="0" t="s">
        <v>121</v>
      </c>
      <c r="C4635" s="0" t="s">
        <v>122</v>
      </c>
      <c r="D4635" s="0" t="n">
        <v>17</v>
      </c>
      <c r="E4635" s="5" t="n">
        <v>46003.457025463</v>
      </c>
      <c r="F4635" s="0" t="n">
        <v>2.1</v>
      </c>
      <c r="G4635" s="0" t="n">
        <v>17034</v>
      </c>
      <c r="H4635" s="6" t="s">
        <v>113</v>
      </c>
      <c r="I4635" s="6" t="n">
        <f aca="false">D4635*F4635</f>
        <v>35.7</v>
      </c>
      <c r="J4635" s="6" t="n">
        <f aca="false">HOUR(E4635)</f>
        <v>10</v>
      </c>
      <c r="K4635" s="6" t="n">
        <f aca="false">IF(COUNTIF($A$2:$A4635,A4635)=1,1,0)</f>
        <v>0</v>
      </c>
    </row>
    <row r="4636" customFormat="false" ht="15" hidden="false" customHeight="false" outlineLevel="0" collapsed="false">
      <c r="A4636" s="0" t="s">
        <v>956</v>
      </c>
      <c r="B4636" s="0" t="s">
        <v>125</v>
      </c>
      <c r="C4636" s="0" t="s">
        <v>126</v>
      </c>
      <c r="D4636" s="0" t="n">
        <v>18</v>
      </c>
      <c r="E4636" s="5" t="n">
        <v>46003.4771064815</v>
      </c>
      <c r="F4636" s="0" t="n">
        <v>1.25</v>
      </c>
      <c r="G4636" s="0" t="n">
        <v>17251</v>
      </c>
      <c r="H4636" s="6" t="s">
        <v>74</v>
      </c>
      <c r="I4636" s="6" t="n">
        <f aca="false">D4636*F4636</f>
        <v>22.5</v>
      </c>
      <c r="J4636" s="6" t="n">
        <f aca="false">HOUR(E4636)</f>
        <v>11</v>
      </c>
      <c r="K4636" s="6" t="n">
        <f aca="false">IF(COUNTIF($A$2:$A4636,A4636)=1,1,0)</f>
        <v>1</v>
      </c>
    </row>
    <row r="4637" customFormat="false" ht="15" hidden="false" customHeight="false" outlineLevel="0" collapsed="false">
      <c r="A4637" s="0" t="s">
        <v>956</v>
      </c>
      <c r="B4637" s="0" t="s">
        <v>99</v>
      </c>
      <c r="C4637" s="0" t="s">
        <v>100</v>
      </c>
      <c r="D4637" s="0" t="n">
        <v>17</v>
      </c>
      <c r="E4637" s="5" t="n">
        <v>46003.4771064815</v>
      </c>
      <c r="F4637" s="0" t="n">
        <v>2.08</v>
      </c>
      <c r="G4637" s="0" t="n">
        <v>17251</v>
      </c>
      <c r="H4637" s="6" t="s">
        <v>74</v>
      </c>
      <c r="I4637" s="6" t="n">
        <f aca="false">D4637*F4637</f>
        <v>35.36</v>
      </c>
      <c r="J4637" s="6" t="n">
        <f aca="false">HOUR(E4637)</f>
        <v>11</v>
      </c>
      <c r="K4637" s="6" t="n">
        <f aca="false">IF(COUNTIF($A$2:$A4637,A4637)=1,1,0)</f>
        <v>0</v>
      </c>
    </row>
    <row r="4638" customFormat="false" ht="15" hidden="false" customHeight="false" outlineLevel="0" collapsed="false">
      <c r="A4638" s="0" t="s">
        <v>956</v>
      </c>
      <c r="B4638" s="0" t="s">
        <v>91</v>
      </c>
      <c r="C4638" s="0" t="s">
        <v>92</v>
      </c>
      <c r="D4638" s="0" t="n">
        <v>15</v>
      </c>
      <c r="E4638" s="5" t="n">
        <v>46003.4771064815</v>
      </c>
      <c r="F4638" s="0" t="n">
        <v>7.65</v>
      </c>
      <c r="G4638" s="0" t="n">
        <v>17251</v>
      </c>
      <c r="H4638" s="6" t="s">
        <v>74</v>
      </c>
      <c r="I4638" s="6" t="n">
        <f aca="false">D4638*F4638</f>
        <v>114.75</v>
      </c>
      <c r="J4638" s="6" t="n">
        <f aca="false">HOUR(E4638)</f>
        <v>11</v>
      </c>
      <c r="K4638" s="6" t="n">
        <f aca="false">IF(COUNTIF($A$2:$A4638,A4638)=1,1,0)</f>
        <v>0</v>
      </c>
    </row>
    <row r="4639" customFormat="false" ht="15" hidden="false" customHeight="false" outlineLevel="0" collapsed="false">
      <c r="A4639" s="0" t="s">
        <v>956</v>
      </c>
      <c r="B4639" s="0" t="s">
        <v>75</v>
      </c>
      <c r="C4639" s="0" t="s">
        <v>76</v>
      </c>
      <c r="D4639" s="0" t="n">
        <v>3</v>
      </c>
      <c r="E4639" s="5" t="n">
        <v>46003.4771064815</v>
      </c>
      <c r="F4639" s="0" t="n">
        <v>3.39</v>
      </c>
      <c r="G4639" s="0" t="n">
        <v>17251</v>
      </c>
      <c r="H4639" s="6" t="s">
        <v>74</v>
      </c>
      <c r="I4639" s="6" t="n">
        <f aca="false">D4639*F4639</f>
        <v>10.17</v>
      </c>
      <c r="J4639" s="6" t="n">
        <f aca="false">HOUR(E4639)</f>
        <v>11</v>
      </c>
      <c r="K4639" s="6" t="n">
        <f aca="false">IF(COUNTIF($A$2:$A4639,A4639)=1,1,0)</f>
        <v>0</v>
      </c>
    </row>
    <row r="4640" customFormat="false" ht="15" hidden="false" customHeight="false" outlineLevel="0" collapsed="false">
      <c r="A4640" s="0" t="s">
        <v>956</v>
      </c>
      <c r="B4640" s="0" t="s">
        <v>81</v>
      </c>
      <c r="C4640" s="0" t="s">
        <v>82</v>
      </c>
      <c r="D4640" s="0" t="n">
        <v>7</v>
      </c>
      <c r="E4640" s="5" t="n">
        <v>46003.4771064815</v>
      </c>
      <c r="F4640" s="0" t="n">
        <v>1.65</v>
      </c>
      <c r="G4640" s="0" t="n">
        <v>17251</v>
      </c>
      <c r="H4640" s="6" t="s">
        <v>74</v>
      </c>
      <c r="I4640" s="6" t="n">
        <f aca="false">D4640*F4640</f>
        <v>11.55</v>
      </c>
      <c r="J4640" s="6" t="n">
        <f aca="false">HOUR(E4640)</f>
        <v>11</v>
      </c>
      <c r="K4640" s="6" t="n">
        <f aca="false">IF(COUNTIF($A$2:$A4640,A4640)=1,1,0)</f>
        <v>0</v>
      </c>
    </row>
    <row r="4641" customFormat="false" ht="15" hidden="false" customHeight="false" outlineLevel="0" collapsed="false">
      <c r="A4641" s="0" t="s">
        <v>957</v>
      </c>
      <c r="B4641" s="0" t="s">
        <v>134</v>
      </c>
      <c r="C4641" s="0" t="s">
        <v>135</v>
      </c>
      <c r="D4641" s="0" t="n">
        <v>19</v>
      </c>
      <c r="E4641" s="5" t="n">
        <v>46003.4845486111</v>
      </c>
      <c r="F4641" s="0" t="n">
        <v>5.95</v>
      </c>
      <c r="G4641" s="0" t="n">
        <v>17093</v>
      </c>
      <c r="H4641" s="6" t="s">
        <v>74</v>
      </c>
      <c r="I4641" s="6" t="n">
        <f aca="false">D4641*F4641</f>
        <v>113.05</v>
      </c>
      <c r="J4641" s="6" t="n">
        <f aca="false">HOUR(E4641)</f>
        <v>11</v>
      </c>
      <c r="K4641" s="6" t="n">
        <f aca="false">IF(COUNTIF($A$2:$A4641,A4641)=1,1,0)</f>
        <v>1</v>
      </c>
    </row>
    <row r="4642" customFormat="false" ht="15" hidden="false" customHeight="false" outlineLevel="0" collapsed="false">
      <c r="A4642" s="0" t="s">
        <v>958</v>
      </c>
      <c r="B4642" s="0" t="s">
        <v>65</v>
      </c>
      <c r="C4642" s="0" t="s">
        <v>66</v>
      </c>
      <c r="D4642" s="0" t="n">
        <v>16</v>
      </c>
      <c r="E4642" s="5" t="n">
        <v>46003.4847800926</v>
      </c>
      <c r="F4642" s="0" t="n">
        <v>1.65</v>
      </c>
      <c r="G4642" s="0" t="n">
        <v>17025</v>
      </c>
      <c r="H4642" s="6" t="s">
        <v>74</v>
      </c>
      <c r="I4642" s="6" t="n">
        <f aca="false">D4642*F4642</f>
        <v>26.4</v>
      </c>
      <c r="J4642" s="6" t="n">
        <f aca="false">HOUR(E4642)</f>
        <v>11</v>
      </c>
      <c r="K4642" s="6" t="n">
        <f aca="false">IF(COUNTIF($A$2:$A4642,A4642)=1,1,0)</f>
        <v>1</v>
      </c>
    </row>
    <row r="4643" customFormat="false" ht="15" hidden="false" customHeight="false" outlineLevel="0" collapsed="false">
      <c r="A4643" s="0" t="s">
        <v>958</v>
      </c>
      <c r="B4643" s="0" t="s">
        <v>134</v>
      </c>
      <c r="C4643" s="0" t="s">
        <v>135</v>
      </c>
      <c r="D4643" s="0" t="n">
        <v>14</v>
      </c>
      <c r="E4643" s="5" t="n">
        <v>46003.4847800926</v>
      </c>
      <c r="F4643" s="0" t="n">
        <v>5.95</v>
      </c>
      <c r="G4643" s="0" t="n">
        <v>17025</v>
      </c>
      <c r="H4643" s="6" t="s">
        <v>74</v>
      </c>
      <c r="I4643" s="6" t="n">
        <f aca="false">D4643*F4643</f>
        <v>83.3</v>
      </c>
      <c r="J4643" s="6" t="n">
        <f aca="false">HOUR(E4643)</f>
        <v>11</v>
      </c>
      <c r="K4643" s="6" t="n">
        <f aca="false">IF(COUNTIF($A$2:$A4643,A4643)=1,1,0)</f>
        <v>0</v>
      </c>
    </row>
    <row r="4644" customFormat="false" ht="15" hidden="false" customHeight="false" outlineLevel="0" collapsed="false">
      <c r="A4644" s="0" t="s">
        <v>959</v>
      </c>
      <c r="B4644" s="0" t="s">
        <v>91</v>
      </c>
      <c r="C4644" s="0" t="s">
        <v>92</v>
      </c>
      <c r="D4644" s="0" t="n">
        <v>9</v>
      </c>
      <c r="E4644" s="5" t="n">
        <v>46003.5344097222</v>
      </c>
      <c r="F4644" s="0" t="n">
        <v>7.65</v>
      </c>
      <c r="G4644" s="0" t="n">
        <v>17121</v>
      </c>
      <c r="H4644" s="6" t="s">
        <v>74</v>
      </c>
      <c r="I4644" s="6" t="n">
        <f aca="false">D4644*F4644</f>
        <v>68.85</v>
      </c>
      <c r="J4644" s="6" t="n">
        <f aca="false">HOUR(E4644)</f>
        <v>12</v>
      </c>
      <c r="K4644" s="6" t="n">
        <f aca="false">IF(COUNTIF($A$2:$A4644,A4644)=1,1,0)</f>
        <v>1</v>
      </c>
    </row>
    <row r="4645" customFormat="false" ht="15" hidden="false" customHeight="false" outlineLevel="0" collapsed="false">
      <c r="A4645" s="0" t="s">
        <v>959</v>
      </c>
      <c r="B4645" s="0" t="s">
        <v>95</v>
      </c>
      <c r="C4645" s="0" t="s">
        <v>96</v>
      </c>
      <c r="D4645" s="0" t="n">
        <v>24</v>
      </c>
      <c r="E4645" s="5" t="n">
        <v>46003.5344097222</v>
      </c>
      <c r="F4645" s="0" t="n">
        <v>2.55</v>
      </c>
      <c r="G4645" s="0" t="n">
        <v>17121</v>
      </c>
      <c r="H4645" s="6" t="s">
        <v>74</v>
      </c>
      <c r="I4645" s="6" t="n">
        <f aca="false">D4645*F4645</f>
        <v>61.2</v>
      </c>
      <c r="J4645" s="6" t="n">
        <f aca="false">HOUR(E4645)</f>
        <v>12</v>
      </c>
      <c r="K4645" s="6" t="n">
        <f aca="false">IF(COUNTIF($A$2:$A4645,A4645)=1,1,0)</f>
        <v>0</v>
      </c>
    </row>
    <row r="4646" customFormat="false" ht="15" hidden="false" customHeight="false" outlineLevel="0" collapsed="false">
      <c r="A4646" s="0" t="s">
        <v>959</v>
      </c>
      <c r="B4646" s="0" t="s">
        <v>65</v>
      </c>
      <c r="C4646" s="0" t="s">
        <v>66</v>
      </c>
      <c r="D4646" s="0" t="n">
        <v>13</v>
      </c>
      <c r="E4646" s="5" t="n">
        <v>46003.5344097222</v>
      </c>
      <c r="F4646" s="0" t="n">
        <v>1.65</v>
      </c>
      <c r="G4646" s="0" t="n">
        <v>17121</v>
      </c>
      <c r="H4646" s="6" t="s">
        <v>74</v>
      </c>
      <c r="I4646" s="6" t="n">
        <f aca="false">D4646*F4646</f>
        <v>21.45</v>
      </c>
      <c r="J4646" s="6" t="n">
        <f aca="false">HOUR(E4646)</f>
        <v>12</v>
      </c>
      <c r="K4646" s="6" t="n">
        <f aca="false">IF(COUNTIF($A$2:$A4646,A4646)=1,1,0)</f>
        <v>0</v>
      </c>
    </row>
    <row r="4647" customFormat="false" ht="15" hidden="false" customHeight="false" outlineLevel="0" collapsed="false">
      <c r="A4647" s="0" t="s">
        <v>960</v>
      </c>
      <c r="B4647" s="0" t="s">
        <v>140</v>
      </c>
      <c r="C4647" s="0" t="s">
        <v>141</v>
      </c>
      <c r="D4647" s="0" t="n">
        <v>17</v>
      </c>
      <c r="E4647" s="5" t="n">
        <v>46003.5503009259</v>
      </c>
      <c r="F4647" s="0" t="n">
        <v>2.08</v>
      </c>
      <c r="G4647" s="0" t="n">
        <v>17198</v>
      </c>
      <c r="H4647" s="6" t="s">
        <v>42</v>
      </c>
      <c r="I4647" s="6" t="n">
        <f aca="false">D4647*F4647</f>
        <v>35.36</v>
      </c>
      <c r="J4647" s="6" t="n">
        <f aca="false">HOUR(E4647)</f>
        <v>13</v>
      </c>
      <c r="K4647" s="6" t="n">
        <f aca="false">IF(COUNTIF($A$2:$A4647,A4647)=1,1,0)</f>
        <v>1</v>
      </c>
    </row>
    <row r="4648" customFormat="false" ht="15" hidden="false" customHeight="false" outlineLevel="0" collapsed="false">
      <c r="A4648" s="0" t="s">
        <v>960</v>
      </c>
      <c r="B4648" s="0" t="s">
        <v>104</v>
      </c>
      <c r="C4648" s="0" t="s">
        <v>105</v>
      </c>
      <c r="D4648" s="0" t="n">
        <v>4</v>
      </c>
      <c r="E4648" s="5" t="n">
        <v>46003.5503009259</v>
      </c>
      <c r="F4648" s="0" t="n">
        <v>1.65</v>
      </c>
      <c r="G4648" s="0" t="n">
        <v>17198</v>
      </c>
      <c r="H4648" s="6" t="s">
        <v>42</v>
      </c>
      <c r="I4648" s="6" t="n">
        <f aca="false">D4648*F4648</f>
        <v>6.6</v>
      </c>
      <c r="J4648" s="6" t="n">
        <f aca="false">HOUR(E4648)</f>
        <v>13</v>
      </c>
      <c r="K4648" s="6" t="n">
        <f aca="false">IF(COUNTIF($A$2:$A4648,A4648)=1,1,0)</f>
        <v>0</v>
      </c>
    </row>
    <row r="4649" customFormat="false" ht="15" hidden="false" customHeight="false" outlineLevel="0" collapsed="false">
      <c r="A4649" s="0" t="s">
        <v>960</v>
      </c>
      <c r="B4649" s="0" t="s">
        <v>127</v>
      </c>
      <c r="C4649" s="0" t="s">
        <v>128</v>
      </c>
      <c r="D4649" s="0" t="n">
        <v>18</v>
      </c>
      <c r="E4649" s="5" t="n">
        <v>46003.5503009259</v>
      </c>
      <c r="F4649" s="0" t="n">
        <v>1.45</v>
      </c>
      <c r="G4649" s="0" t="n">
        <v>17198</v>
      </c>
      <c r="H4649" s="6" t="s">
        <v>42</v>
      </c>
      <c r="I4649" s="6" t="n">
        <f aca="false">D4649*F4649</f>
        <v>26.1</v>
      </c>
      <c r="J4649" s="6" t="n">
        <f aca="false">HOUR(E4649)</f>
        <v>13</v>
      </c>
      <c r="K4649" s="6" t="n">
        <f aca="false">IF(COUNTIF($A$2:$A4649,A4649)=1,1,0)</f>
        <v>0</v>
      </c>
    </row>
    <row r="4650" customFormat="false" ht="15" hidden="false" customHeight="false" outlineLevel="0" collapsed="false">
      <c r="A4650" s="0" t="s">
        <v>960</v>
      </c>
      <c r="B4650" s="0" t="s">
        <v>55</v>
      </c>
      <c r="C4650" s="0" t="s">
        <v>56</v>
      </c>
      <c r="D4650" s="0" t="n">
        <v>23</v>
      </c>
      <c r="E4650" s="5" t="n">
        <v>46003.5503009259</v>
      </c>
      <c r="F4650" s="0" t="n">
        <v>1.65</v>
      </c>
      <c r="G4650" s="0" t="n">
        <v>17198</v>
      </c>
      <c r="H4650" s="6" t="s">
        <v>42</v>
      </c>
      <c r="I4650" s="6" t="n">
        <f aca="false">D4650*F4650</f>
        <v>37.95</v>
      </c>
      <c r="J4650" s="6" t="n">
        <f aca="false">HOUR(E4650)</f>
        <v>13</v>
      </c>
      <c r="K4650" s="6" t="n">
        <f aca="false">IF(COUNTIF($A$2:$A4650,A4650)=1,1,0)</f>
        <v>0</v>
      </c>
    </row>
    <row r="4651" customFormat="false" ht="15" hidden="false" customHeight="false" outlineLevel="0" collapsed="false">
      <c r="A4651" s="0" t="s">
        <v>960</v>
      </c>
      <c r="B4651" s="0" t="s">
        <v>72</v>
      </c>
      <c r="C4651" s="0" t="s">
        <v>73</v>
      </c>
      <c r="D4651" s="0" t="n">
        <v>14</v>
      </c>
      <c r="E4651" s="5" t="n">
        <v>46003.5503009259</v>
      </c>
      <c r="F4651" s="0" t="n">
        <v>4.95</v>
      </c>
      <c r="G4651" s="0" t="n">
        <v>17198</v>
      </c>
      <c r="H4651" s="6" t="s">
        <v>42</v>
      </c>
      <c r="I4651" s="6" t="n">
        <f aca="false">D4651*F4651</f>
        <v>69.3</v>
      </c>
      <c r="J4651" s="6" t="n">
        <f aca="false">HOUR(E4651)</f>
        <v>13</v>
      </c>
      <c r="K4651" s="6" t="n">
        <f aca="false">IF(COUNTIF($A$2:$A4651,A4651)=1,1,0)</f>
        <v>0</v>
      </c>
    </row>
    <row r="4652" customFormat="false" ht="15" hidden="false" customHeight="false" outlineLevel="0" collapsed="false">
      <c r="A4652" s="0" t="s">
        <v>961</v>
      </c>
      <c r="B4652" s="0" t="s">
        <v>79</v>
      </c>
      <c r="C4652" s="0" t="s">
        <v>80</v>
      </c>
      <c r="D4652" s="0" t="n">
        <v>2</v>
      </c>
      <c r="E4652" s="5" t="n">
        <v>46003.6027199074</v>
      </c>
      <c r="F4652" s="0" t="n">
        <v>3.39</v>
      </c>
      <c r="G4652" s="0" t="n">
        <v>17061</v>
      </c>
      <c r="H4652" s="6" t="s">
        <v>188</v>
      </c>
      <c r="I4652" s="6" t="n">
        <f aca="false">D4652*F4652</f>
        <v>6.78</v>
      </c>
      <c r="J4652" s="6" t="n">
        <f aca="false">HOUR(E4652)</f>
        <v>14</v>
      </c>
      <c r="K4652" s="6" t="n">
        <f aca="false">IF(COUNTIF($A$2:$A4652,A4652)=1,1,0)</f>
        <v>1</v>
      </c>
    </row>
    <row r="4653" customFormat="false" ht="15" hidden="false" customHeight="false" outlineLevel="0" collapsed="false">
      <c r="A4653" s="0" t="s">
        <v>961</v>
      </c>
      <c r="B4653" s="0" t="s">
        <v>121</v>
      </c>
      <c r="C4653" s="0" t="s">
        <v>122</v>
      </c>
      <c r="D4653" s="0" t="n">
        <v>12</v>
      </c>
      <c r="E4653" s="5" t="n">
        <v>46003.6027199074</v>
      </c>
      <c r="F4653" s="0" t="n">
        <v>2.1</v>
      </c>
      <c r="G4653" s="0" t="n">
        <v>17061</v>
      </c>
      <c r="H4653" s="6" t="s">
        <v>188</v>
      </c>
      <c r="I4653" s="6" t="n">
        <f aca="false">D4653*F4653</f>
        <v>25.2</v>
      </c>
      <c r="J4653" s="6" t="n">
        <f aca="false">HOUR(E4653)</f>
        <v>14</v>
      </c>
      <c r="K4653" s="6" t="n">
        <f aca="false">IF(COUNTIF($A$2:$A4653,A4653)=1,1,0)</f>
        <v>0</v>
      </c>
    </row>
    <row r="4654" customFormat="false" ht="15" hidden="false" customHeight="false" outlineLevel="0" collapsed="false">
      <c r="A4654" s="0" t="s">
        <v>961</v>
      </c>
      <c r="B4654" s="0" t="s">
        <v>131</v>
      </c>
      <c r="C4654" s="0" t="s">
        <v>132</v>
      </c>
      <c r="D4654" s="0" t="n">
        <v>10</v>
      </c>
      <c r="E4654" s="5" t="n">
        <v>46003.6027199074</v>
      </c>
      <c r="F4654" s="0" t="n">
        <v>3.39</v>
      </c>
      <c r="G4654" s="0" t="n">
        <v>17061</v>
      </c>
      <c r="H4654" s="6" t="s">
        <v>188</v>
      </c>
      <c r="I4654" s="6" t="n">
        <f aca="false">D4654*F4654</f>
        <v>33.9</v>
      </c>
      <c r="J4654" s="6" t="n">
        <f aca="false">HOUR(E4654)</f>
        <v>14</v>
      </c>
      <c r="K4654" s="6" t="n">
        <f aca="false">IF(COUNTIF($A$2:$A4654,A4654)=1,1,0)</f>
        <v>0</v>
      </c>
    </row>
    <row r="4655" customFormat="false" ht="15" hidden="false" customHeight="false" outlineLevel="0" collapsed="false">
      <c r="A4655" s="0" t="s">
        <v>961</v>
      </c>
      <c r="B4655" s="0" t="s">
        <v>55</v>
      </c>
      <c r="C4655" s="0" t="s">
        <v>56</v>
      </c>
      <c r="D4655" s="0" t="n">
        <v>14</v>
      </c>
      <c r="E4655" s="5" t="n">
        <v>46003.6027199074</v>
      </c>
      <c r="F4655" s="0" t="n">
        <v>1.65</v>
      </c>
      <c r="G4655" s="0" t="n">
        <v>17061</v>
      </c>
      <c r="H4655" s="6" t="s">
        <v>188</v>
      </c>
      <c r="I4655" s="6" t="n">
        <f aca="false">D4655*F4655</f>
        <v>23.1</v>
      </c>
      <c r="J4655" s="6" t="n">
        <f aca="false">HOUR(E4655)</f>
        <v>14</v>
      </c>
      <c r="K4655" s="6" t="n">
        <f aca="false">IF(COUNTIF($A$2:$A4655,A4655)=1,1,0)</f>
        <v>0</v>
      </c>
    </row>
    <row r="4656" customFormat="false" ht="15" hidden="false" customHeight="false" outlineLevel="0" collapsed="false">
      <c r="A4656" s="0" t="s">
        <v>961</v>
      </c>
      <c r="B4656" s="0" t="s">
        <v>40</v>
      </c>
      <c r="C4656" s="0" t="s">
        <v>41</v>
      </c>
      <c r="D4656" s="0" t="n">
        <v>15</v>
      </c>
      <c r="E4656" s="5" t="n">
        <v>46003.6027199074</v>
      </c>
      <c r="F4656" s="0" t="n">
        <v>1.06</v>
      </c>
      <c r="G4656" s="0" t="n">
        <v>17061</v>
      </c>
      <c r="H4656" s="6" t="s">
        <v>188</v>
      </c>
      <c r="I4656" s="6" t="n">
        <f aca="false">D4656*F4656</f>
        <v>15.9</v>
      </c>
      <c r="J4656" s="6" t="n">
        <f aca="false">HOUR(E4656)</f>
        <v>14</v>
      </c>
      <c r="K4656" s="6" t="n">
        <f aca="false">IF(COUNTIF($A$2:$A4656,A4656)=1,1,0)</f>
        <v>0</v>
      </c>
    </row>
    <row r="4657" customFormat="false" ht="15" hidden="false" customHeight="false" outlineLevel="0" collapsed="false">
      <c r="A4657" s="0" t="s">
        <v>961</v>
      </c>
      <c r="B4657" s="0" t="s">
        <v>125</v>
      </c>
      <c r="C4657" s="0" t="s">
        <v>126</v>
      </c>
      <c r="D4657" s="0" t="n">
        <v>5</v>
      </c>
      <c r="E4657" s="5" t="n">
        <v>46003.6027199074</v>
      </c>
      <c r="F4657" s="0" t="n">
        <v>1.25</v>
      </c>
      <c r="G4657" s="0" t="n">
        <v>17061</v>
      </c>
      <c r="H4657" s="6" t="s">
        <v>188</v>
      </c>
      <c r="I4657" s="6" t="n">
        <f aca="false">D4657*F4657</f>
        <v>6.25</v>
      </c>
      <c r="J4657" s="6" t="n">
        <f aca="false">HOUR(E4657)</f>
        <v>14</v>
      </c>
      <c r="K4657" s="6" t="n">
        <f aca="false">IF(COUNTIF($A$2:$A4657,A4657)=1,1,0)</f>
        <v>0</v>
      </c>
    </row>
    <row r="4658" customFormat="false" ht="15" hidden="false" customHeight="false" outlineLevel="0" collapsed="false">
      <c r="A4658" s="0" t="s">
        <v>962</v>
      </c>
      <c r="B4658" s="0" t="s">
        <v>47</v>
      </c>
      <c r="C4658" s="0" t="s">
        <v>48</v>
      </c>
      <c r="D4658" s="0" t="n">
        <v>34</v>
      </c>
      <c r="E4658" s="5" t="n">
        <v>46003.733599537</v>
      </c>
      <c r="F4658" s="0" t="n">
        <v>12.75</v>
      </c>
      <c r="G4658" s="0" t="n">
        <v>17255</v>
      </c>
      <c r="H4658" s="6" t="s">
        <v>74</v>
      </c>
      <c r="I4658" s="6" t="n">
        <f aca="false">D4658*F4658</f>
        <v>433.5</v>
      </c>
      <c r="J4658" s="6" t="n">
        <f aca="false">HOUR(E4658)</f>
        <v>17</v>
      </c>
      <c r="K4658" s="6" t="n">
        <f aca="false">IF(COUNTIF($A$2:$A4658,A4658)=1,1,0)</f>
        <v>1</v>
      </c>
    </row>
    <row r="4659" customFormat="false" ht="15" hidden="false" customHeight="false" outlineLevel="0" collapsed="false">
      <c r="A4659" s="0" t="s">
        <v>962</v>
      </c>
      <c r="B4659" s="0" t="s">
        <v>45</v>
      </c>
      <c r="C4659" s="0" t="s">
        <v>46</v>
      </c>
      <c r="D4659" s="0" t="n">
        <v>20</v>
      </c>
      <c r="E4659" s="5" t="n">
        <v>46003.733599537</v>
      </c>
      <c r="F4659" s="0" t="n">
        <v>2.1</v>
      </c>
      <c r="G4659" s="0" t="n">
        <v>17255</v>
      </c>
      <c r="H4659" s="6" t="s">
        <v>74</v>
      </c>
      <c r="I4659" s="6" t="n">
        <f aca="false">D4659*F4659</f>
        <v>42</v>
      </c>
      <c r="J4659" s="6" t="n">
        <f aca="false">HOUR(E4659)</f>
        <v>17</v>
      </c>
      <c r="K4659" s="6" t="n">
        <f aca="false">IF(COUNTIF($A$2:$A4659,A4659)=1,1,0)</f>
        <v>0</v>
      </c>
    </row>
    <row r="4660" customFormat="false" ht="15" hidden="false" customHeight="false" outlineLevel="0" collapsed="false">
      <c r="A4660" s="0" t="s">
        <v>962</v>
      </c>
      <c r="B4660" s="0" t="s">
        <v>77</v>
      </c>
      <c r="C4660" s="0" t="s">
        <v>78</v>
      </c>
      <c r="D4660" s="0" t="n">
        <v>22</v>
      </c>
      <c r="E4660" s="5" t="n">
        <v>46003.733599537</v>
      </c>
      <c r="F4660" s="0" t="n">
        <v>1.65</v>
      </c>
      <c r="G4660" s="0" t="n">
        <v>17255</v>
      </c>
      <c r="H4660" s="6" t="s">
        <v>74</v>
      </c>
      <c r="I4660" s="6" t="n">
        <f aca="false">D4660*F4660</f>
        <v>36.3</v>
      </c>
      <c r="J4660" s="6" t="n">
        <f aca="false">HOUR(E4660)</f>
        <v>17</v>
      </c>
      <c r="K4660" s="6" t="n">
        <f aca="false">IF(COUNTIF($A$2:$A4660,A4660)=1,1,0)</f>
        <v>0</v>
      </c>
    </row>
    <row r="4661" customFormat="false" ht="15" hidden="false" customHeight="false" outlineLevel="0" collapsed="false">
      <c r="A4661" s="0" t="s">
        <v>963</v>
      </c>
      <c r="B4661" s="0" t="s">
        <v>91</v>
      </c>
      <c r="C4661" s="0" t="s">
        <v>92</v>
      </c>
      <c r="D4661" s="0" t="n">
        <v>7</v>
      </c>
      <c r="E4661" s="5" t="n">
        <v>46003.8190625</v>
      </c>
      <c r="F4661" s="0" t="n">
        <v>7.65</v>
      </c>
      <c r="G4661" s="0" t="n">
        <v>17075</v>
      </c>
      <c r="H4661" s="6" t="s">
        <v>42</v>
      </c>
      <c r="I4661" s="6" t="n">
        <f aca="false">D4661*F4661</f>
        <v>53.55</v>
      </c>
      <c r="J4661" s="6" t="n">
        <f aca="false">HOUR(E4661)</f>
        <v>19</v>
      </c>
      <c r="K4661" s="6" t="n">
        <f aca="false">IF(COUNTIF($A$2:$A4661,A4661)=1,1,0)</f>
        <v>1</v>
      </c>
    </row>
    <row r="4662" customFormat="false" ht="15" hidden="false" customHeight="false" outlineLevel="0" collapsed="false">
      <c r="A4662" s="0" t="s">
        <v>963</v>
      </c>
      <c r="B4662" s="0" t="s">
        <v>65</v>
      </c>
      <c r="C4662" s="0" t="s">
        <v>66</v>
      </c>
      <c r="D4662" s="0" t="n">
        <v>22</v>
      </c>
      <c r="E4662" s="5" t="n">
        <v>46003.8190625</v>
      </c>
      <c r="F4662" s="0" t="n">
        <v>1.65</v>
      </c>
      <c r="G4662" s="0" t="n">
        <v>17075</v>
      </c>
      <c r="H4662" s="6" t="s">
        <v>42</v>
      </c>
      <c r="I4662" s="6" t="n">
        <f aca="false">D4662*F4662</f>
        <v>36.3</v>
      </c>
      <c r="J4662" s="6" t="n">
        <f aca="false">HOUR(E4662)</f>
        <v>19</v>
      </c>
      <c r="K4662" s="6" t="n">
        <f aca="false">IF(COUNTIF($A$2:$A4662,A4662)=1,1,0)</f>
        <v>0</v>
      </c>
    </row>
    <row r="4663" customFormat="false" ht="15" hidden="false" customHeight="false" outlineLevel="0" collapsed="false">
      <c r="A4663" s="0" t="s">
        <v>963</v>
      </c>
      <c r="B4663" s="0" t="s">
        <v>93</v>
      </c>
      <c r="D4663" s="0" t="n">
        <v>16</v>
      </c>
      <c r="E4663" s="5" t="n">
        <v>46003.8190625</v>
      </c>
      <c r="F4663" s="0" t="n">
        <v>1.69</v>
      </c>
      <c r="G4663" s="0" t="n">
        <v>17075</v>
      </c>
      <c r="H4663" s="6" t="s">
        <v>42</v>
      </c>
      <c r="I4663" s="6" t="n">
        <f aca="false">D4663*F4663</f>
        <v>27.04</v>
      </c>
      <c r="J4663" s="6" t="n">
        <f aca="false">HOUR(E4663)</f>
        <v>19</v>
      </c>
      <c r="K4663" s="6" t="n">
        <f aca="false">IF(COUNTIF($A$2:$A4663,A4663)=1,1,0)</f>
        <v>0</v>
      </c>
    </row>
    <row r="4664" customFormat="false" ht="15" hidden="false" customHeight="false" outlineLevel="0" collapsed="false">
      <c r="A4664" s="0" t="s">
        <v>963</v>
      </c>
      <c r="B4664" s="0" t="s">
        <v>77</v>
      </c>
      <c r="C4664" s="0" t="s">
        <v>78</v>
      </c>
      <c r="D4664" s="0" t="n">
        <v>7</v>
      </c>
      <c r="E4664" s="5" t="n">
        <v>46003.8190625</v>
      </c>
      <c r="F4664" s="0" t="n">
        <v>1.65</v>
      </c>
      <c r="G4664" s="0" t="n">
        <v>17075</v>
      </c>
      <c r="H4664" s="6" t="s">
        <v>42</v>
      </c>
      <c r="I4664" s="6" t="n">
        <f aca="false">D4664*F4664</f>
        <v>11.55</v>
      </c>
      <c r="J4664" s="6" t="n">
        <f aca="false">HOUR(E4664)</f>
        <v>19</v>
      </c>
      <c r="K4664" s="6" t="n">
        <f aca="false">IF(COUNTIF($A$2:$A4664,A4664)=1,1,0)</f>
        <v>0</v>
      </c>
    </row>
    <row r="4665" customFormat="false" ht="15" hidden="false" customHeight="false" outlineLevel="0" collapsed="false">
      <c r="A4665" s="0" t="s">
        <v>963</v>
      </c>
      <c r="B4665" s="0" t="s">
        <v>47</v>
      </c>
      <c r="C4665" s="0" t="s">
        <v>48</v>
      </c>
      <c r="D4665" s="0" t="n">
        <v>46</v>
      </c>
      <c r="E4665" s="5" t="n">
        <v>46003.8190625</v>
      </c>
      <c r="F4665" s="0" t="n">
        <v>12.75</v>
      </c>
      <c r="G4665" s="0" t="n">
        <v>17075</v>
      </c>
      <c r="H4665" s="6" t="s">
        <v>42</v>
      </c>
      <c r="I4665" s="6" t="n">
        <f aca="false">D4665*F4665</f>
        <v>586.5</v>
      </c>
      <c r="J4665" s="6" t="n">
        <f aca="false">HOUR(E4665)</f>
        <v>19</v>
      </c>
      <c r="K4665" s="6" t="n">
        <f aca="false">IF(COUNTIF($A$2:$A4665,A4665)=1,1,0)</f>
        <v>0</v>
      </c>
    </row>
    <row r="4666" customFormat="false" ht="15" hidden="false" customHeight="false" outlineLevel="0" collapsed="false">
      <c r="A4666" s="0" t="s">
        <v>963</v>
      </c>
      <c r="B4666" s="0" t="s">
        <v>102</v>
      </c>
      <c r="C4666" s="0" t="s">
        <v>103</v>
      </c>
      <c r="D4666" s="0" t="n">
        <v>42</v>
      </c>
      <c r="E4666" s="5" t="n">
        <v>46003.8190625</v>
      </c>
      <c r="F4666" s="0" t="n">
        <v>8.5</v>
      </c>
      <c r="G4666" s="0" t="n">
        <v>17075</v>
      </c>
      <c r="H4666" s="6" t="s">
        <v>42</v>
      </c>
      <c r="I4666" s="6" t="n">
        <f aca="false">D4666*F4666</f>
        <v>357</v>
      </c>
      <c r="J4666" s="6" t="n">
        <f aca="false">HOUR(E4666)</f>
        <v>19</v>
      </c>
      <c r="K4666" s="6" t="n">
        <f aca="false">IF(COUNTIF($A$2:$A4666,A4666)=1,1,0)</f>
        <v>0</v>
      </c>
    </row>
    <row r="4667" customFormat="false" ht="15" hidden="false" customHeight="false" outlineLevel="0" collapsed="false">
      <c r="A4667" s="0" t="s">
        <v>963</v>
      </c>
      <c r="B4667" s="0" t="s">
        <v>127</v>
      </c>
      <c r="C4667" s="0" t="s">
        <v>128</v>
      </c>
      <c r="D4667" s="0" t="n">
        <v>4</v>
      </c>
      <c r="E4667" s="5" t="n">
        <v>46003.8190625</v>
      </c>
      <c r="F4667" s="0" t="n">
        <v>1.45</v>
      </c>
      <c r="G4667" s="0" t="n">
        <v>17075</v>
      </c>
      <c r="H4667" s="6" t="s">
        <v>42</v>
      </c>
      <c r="I4667" s="6" t="n">
        <f aca="false">D4667*F4667</f>
        <v>5.8</v>
      </c>
      <c r="J4667" s="6" t="n">
        <f aca="false">HOUR(E4667)</f>
        <v>19</v>
      </c>
      <c r="K4667" s="6" t="n">
        <f aca="false">IF(COUNTIF($A$2:$A4667,A4667)=1,1,0)</f>
        <v>0</v>
      </c>
    </row>
    <row r="4668" customFormat="false" ht="15" hidden="false" customHeight="false" outlineLevel="0" collapsed="false">
      <c r="A4668" s="0" t="s">
        <v>964</v>
      </c>
      <c r="B4668" s="0" t="s">
        <v>114</v>
      </c>
      <c r="C4668" s="0" t="s">
        <v>115</v>
      </c>
      <c r="D4668" s="0" t="n">
        <v>11</v>
      </c>
      <c r="E4668" s="5" t="n">
        <v>46003.8674305556</v>
      </c>
      <c r="F4668" s="0" t="n">
        <v>2.08</v>
      </c>
      <c r="G4668" s="0" t="n">
        <v>17210</v>
      </c>
      <c r="H4668" s="6" t="s">
        <v>42</v>
      </c>
      <c r="I4668" s="6" t="n">
        <f aca="false">D4668*F4668</f>
        <v>22.88</v>
      </c>
      <c r="J4668" s="6" t="n">
        <f aca="false">HOUR(E4668)</f>
        <v>20</v>
      </c>
      <c r="K4668" s="6" t="n">
        <f aca="false">IF(COUNTIF($A$2:$A4668,A4668)=1,1,0)</f>
        <v>1</v>
      </c>
    </row>
    <row r="4669" customFormat="false" ht="15" hidden="false" customHeight="false" outlineLevel="0" collapsed="false">
      <c r="A4669" s="0" t="s">
        <v>964</v>
      </c>
      <c r="B4669" s="0" t="s">
        <v>109</v>
      </c>
      <c r="C4669" s="0" t="s">
        <v>110</v>
      </c>
      <c r="D4669" s="0" t="n">
        <v>20</v>
      </c>
      <c r="E4669" s="5" t="n">
        <v>46003.8674305556</v>
      </c>
      <c r="F4669" s="0" t="n">
        <v>0.85</v>
      </c>
      <c r="G4669" s="0" t="n">
        <v>17210</v>
      </c>
      <c r="H4669" s="6" t="s">
        <v>42</v>
      </c>
      <c r="I4669" s="6" t="n">
        <f aca="false">D4669*F4669</f>
        <v>17</v>
      </c>
      <c r="J4669" s="6" t="n">
        <f aca="false">HOUR(E4669)</f>
        <v>20</v>
      </c>
      <c r="K4669" s="6" t="n">
        <f aca="false">IF(COUNTIF($A$2:$A4669,A4669)=1,1,0)</f>
        <v>0</v>
      </c>
    </row>
    <row r="4670" customFormat="false" ht="15" hidden="false" customHeight="false" outlineLevel="0" collapsed="false">
      <c r="A4670" s="0" t="s">
        <v>964</v>
      </c>
      <c r="B4670" s="0" t="s">
        <v>125</v>
      </c>
      <c r="C4670" s="0" t="s">
        <v>126</v>
      </c>
      <c r="D4670" s="0" t="n">
        <v>13</v>
      </c>
      <c r="E4670" s="5" t="n">
        <v>46003.8674305556</v>
      </c>
      <c r="F4670" s="0" t="n">
        <v>1.25</v>
      </c>
      <c r="G4670" s="0" t="n">
        <v>17210</v>
      </c>
      <c r="H4670" s="6" t="s">
        <v>42</v>
      </c>
      <c r="I4670" s="6" t="n">
        <f aca="false">D4670*F4670</f>
        <v>16.25</v>
      </c>
      <c r="J4670" s="6" t="n">
        <f aca="false">HOUR(E4670)</f>
        <v>20</v>
      </c>
      <c r="K4670" s="6" t="n">
        <f aca="false">IF(COUNTIF($A$2:$A4670,A4670)=1,1,0)</f>
        <v>0</v>
      </c>
    </row>
    <row r="4671" customFormat="false" ht="15" hidden="false" customHeight="false" outlineLevel="0" collapsed="false">
      <c r="A4671" s="0" t="s">
        <v>964</v>
      </c>
      <c r="B4671" s="0" t="s">
        <v>83</v>
      </c>
      <c r="C4671" s="0" t="s">
        <v>84</v>
      </c>
      <c r="D4671" s="0" t="n">
        <v>2</v>
      </c>
      <c r="E4671" s="5" t="n">
        <v>46003.8674305556</v>
      </c>
      <c r="F4671" s="0" t="n">
        <v>2.95</v>
      </c>
      <c r="G4671" s="0" t="n">
        <v>17210</v>
      </c>
      <c r="H4671" s="6" t="s">
        <v>42</v>
      </c>
      <c r="I4671" s="6" t="n">
        <f aca="false">D4671*F4671</f>
        <v>5.9</v>
      </c>
      <c r="J4671" s="6" t="n">
        <f aca="false">HOUR(E4671)</f>
        <v>20</v>
      </c>
      <c r="K4671" s="6" t="n">
        <f aca="false">IF(COUNTIF($A$2:$A4671,A4671)=1,1,0)</f>
        <v>0</v>
      </c>
    </row>
    <row r="4672" customFormat="false" ht="15" hidden="false" customHeight="false" outlineLevel="0" collapsed="false">
      <c r="A4672" s="0" t="s">
        <v>964</v>
      </c>
      <c r="B4672" s="0" t="s">
        <v>69</v>
      </c>
      <c r="C4672" s="0" t="s">
        <v>70</v>
      </c>
      <c r="D4672" s="0" t="n">
        <v>31</v>
      </c>
      <c r="E4672" s="5" t="n">
        <v>46003.8674305556</v>
      </c>
      <c r="F4672" s="0" t="n">
        <v>2.08</v>
      </c>
      <c r="G4672" s="0" t="n">
        <v>17210</v>
      </c>
      <c r="H4672" s="6" t="s">
        <v>42</v>
      </c>
      <c r="I4672" s="6" t="n">
        <f aca="false">D4672*F4672</f>
        <v>64.48</v>
      </c>
      <c r="J4672" s="6" t="n">
        <f aca="false">HOUR(E4672)</f>
        <v>20</v>
      </c>
      <c r="K4672" s="6" t="n">
        <f aca="false">IF(COUNTIF($A$2:$A4672,A4672)=1,1,0)</f>
        <v>0</v>
      </c>
    </row>
    <row r="4673" customFormat="false" ht="15" hidden="false" customHeight="false" outlineLevel="0" collapsed="false">
      <c r="A4673" s="0" t="s">
        <v>965</v>
      </c>
      <c r="B4673" s="0" t="s">
        <v>127</v>
      </c>
      <c r="C4673" s="0" t="s">
        <v>128</v>
      </c>
      <c r="D4673" s="0" t="n">
        <v>13</v>
      </c>
      <c r="E4673" s="5" t="n">
        <v>46003.9219444445</v>
      </c>
      <c r="F4673" s="0" t="n">
        <v>1.45</v>
      </c>
      <c r="G4673" s="0" t="n">
        <v>17066</v>
      </c>
      <c r="H4673" s="6" t="s">
        <v>74</v>
      </c>
      <c r="I4673" s="6" t="n">
        <f aca="false">D4673*F4673</f>
        <v>18.85</v>
      </c>
      <c r="J4673" s="6" t="n">
        <f aca="false">HOUR(E4673)</f>
        <v>22</v>
      </c>
      <c r="K4673" s="6" t="n">
        <f aca="false">IF(COUNTIF($A$2:$A4673,A4673)=1,1,0)</f>
        <v>1</v>
      </c>
    </row>
    <row r="4674" customFormat="false" ht="15" hidden="false" customHeight="false" outlineLevel="0" collapsed="false">
      <c r="A4674" s="0" t="s">
        <v>965</v>
      </c>
      <c r="B4674" s="0" t="s">
        <v>57</v>
      </c>
      <c r="C4674" s="0" t="s">
        <v>58</v>
      </c>
      <c r="D4674" s="0" t="n">
        <v>24</v>
      </c>
      <c r="E4674" s="5" t="n">
        <v>46003.9219444445</v>
      </c>
      <c r="F4674" s="0" t="n">
        <v>2.08</v>
      </c>
      <c r="G4674" s="0" t="n">
        <v>17066</v>
      </c>
      <c r="H4674" s="6" t="s">
        <v>74</v>
      </c>
      <c r="I4674" s="6" t="n">
        <f aca="false">D4674*F4674</f>
        <v>49.92</v>
      </c>
      <c r="J4674" s="6" t="n">
        <f aca="false">HOUR(E4674)</f>
        <v>22</v>
      </c>
      <c r="K4674" s="6" t="n">
        <f aca="false">IF(COUNTIF($A$2:$A4674,A4674)=1,1,0)</f>
        <v>0</v>
      </c>
    </row>
    <row r="4675" customFormat="false" ht="15" hidden="false" customHeight="false" outlineLevel="0" collapsed="false">
      <c r="A4675" s="0" t="s">
        <v>966</v>
      </c>
      <c r="B4675" s="0" t="s">
        <v>99</v>
      </c>
      <c r="C4675" s="0" t="s">
        <v>100</v>
      </c>
      <c r="D4675" s="0" t="n">
        <v>23</v>
      </c>
      <c r="E4675" s="5" t="n">
        <v>46004.3546296296</v>
      </c>
      <c r="F4675" s="0" t="n">
        <v>2.08</v>
      </c>
      <c r="G4675" s="0" t="n">
        <v>17192</v>
      </c>
      <c r="H4675" s="6" t="s">
        <v>42</v>
      </c>
      <c r="I4675" s="6" t="n">
        <f aca="false">D4675*F4675</f>
        <v>47.84</v>
      </c>
      <c r="J4675" s="6" t="n">
        <f aca="false">HOUR(E4675)</f>
        <v>8</v>
      </c>
      <c r="K4675" s="6" t="n">
        <f aca="false">IF(COUNTIF($A$2:$A4675,A4675)=1,1,0)</f>
        <v>1</v>
      </c>
    </row>
    <row r="4676" customFormat="false" ht="15" hidden="false" customHeight="false" outlineLevel="0" collapsed="false">
      <c r="A4676" s="0" t="s">
        <v>967</v>
      </c>
      <c r="B4676" s="0" t="s">
        <v>95</v>
      </c>
      <c r="C4676" s="0" t="s">
        <v>96</v>
      </c>
      <c r="D4676" s="0" t="n">
        <v>46</v>
      </c>
      <c r="E4676" s="5" t="n">
        <v>46004.3683449074</v>
      </c>
      <c r="F4676" s="0" t="n">
        <v>2.55</v>
      </c>
      <c r="G4676" s="0" t="n">
        <v>17081</v>
      </c>
      <c r="H4676" s="6" t="s">
        <v>151</v>
      </c>
      <c r="I4676" s="6" t="n">
        <f aca="false">D4676*F4676</f>
        <v>117.3</v>
      </c>
      <c r="J4676" s="6" t="n">
        <f aca="false">HOUR(E4676)</f>
        <v>8</v>
      </c>
      <c r="K4676" s="6" t="n">
        <f aca="false">IF(COUNTIF($A$2:$A4676,A4676)=1,1,0)</f>
        <v>1</v>
      </c>
    </row>
    <row r="4677" customFormat="false" ht="15" hidden="false" customHeight="false" outlineLevel="0" collapsed="false">
      <c r="A4677" s="0" t="s">
        <v>967</v>
      </c>
      <c r="B4677" s="0" t="s">
        <v>127</v>
      </c>
      <c r="C4677" s="0" t="s">
        <v>128</v>
      </c>
      <c r="D4677" s="0" t="n">
        <v>5</v>
      </c>
      <c r="E4677" s="5" t="n">
        <v>46004.3683449074</v>
      </c>
      <c r="F4677" s="0" t="n">
        <v>1.45</v>
      </c>
      <c r="G4677" s="0" t="n">
        <v>17081</v>
      </c>
      <c r="H4677" s="6" t="s">
        <v>151</v>
      </c>
      <c r="I4677" s="6" t="n">
        <f aca="false">D4677*F4677</f>
        <v>7.25</v>
      </c>
      <c r="J4677" s="6" t="n">
        <f aca="false">HOUR(E4677)</f>
        <v>8</v>
      </c>
      <c r="K4677" s="6" t="n">
        <f aca="false">IF(COUNTIF($A$2:$A4677,A4677)=1,1,0)</f>
        <v>0</v>
      </c>
    </row>
    <row r="4678" customFormat="false" ht="15" hidden="false" customHeight="false" outlineLevel="0" collapsed="false">
      <c r="A4678" s="0" t="s">
        <v>967</v>
      </c>
      <c r="B4678" s="0" t="s">
        <v>79</v>
      </c>
      <c r="C4678" s="0" t="s">
        <v>80</v>
      </c>
      <c r="D4678" s="0" t="n">
        <v>1</v>
      </c>
      <c r="E4678" s="5" t="n">
        <v>46004.3683449074</v>
      </c>
      <c r="F4678" s="0" t="n">
        <v>3.39</v>
      </c>
      <c r="G4678" s="0" t="n">
        <v>17081</v>
      </c>
      <c r="H4678" s="6" t="s">
        <v>151</v>
      </c>
      <c r="I4678" s="6" t="n">
        <f aca="false">D4678*F4678</f>
        <v>3.39</v>
      </c>
      <c r="J4678" s="6" t="n">
        <f aca="false">HOUR(E4678)</f>
        <v>8</v>
      </c>
      <c r="K4678" s="6" t="n">
        <f aca="false">IF(COUNTIF($A$2:$A4678,A4678)=1,1,0)</f>
        <v>0</v>
      </c>
    </row>
    <row r="4679" customFormat="false" ht="15" hidden="false" customHeight="false" outlineLevel="0" collapsed="false">
      <c r="A4679" s="0" t="s">
        <v>967</v>
      </c>
      <c r="B4679" s="0" t="s">
        <v>114</v>
      </c>
      <c r="C4679" s="0" t="s">
        <v>115</v>
      </c>
      <c r="D4679" s="0" t="n">
        <v>3</v>
      </c>
      <c r="E4679" s="5" t="n">
        <v>46004.3683449074</v>
      </c>
      <c r="F4679" s="0" t="n">
        <v>2.08</v>
      </c>
      <c r="G4679" s="0" t="n">
        <v>17081</v>
      </c>
      <c r="H4679" s="6" t="s">
        <v>151</v>
      </c>
      <c r="I4679" s="6" t="n">
        <f aca="false">D4679*F4679</f>
        <v>6.24</v>
      </c>
      <c r="J4679" s="6" t="n">
        <f aca="false">HOUR(E4679)</f>
        <v>8</v>
      </c>
      <c r="K4679" s="6" t="n">
        <f aca="false">IF(COUNTIF($A$2:$A4679,A4679)=1,1,0)</f>
        <v>0</v>
      </c>
    </row>
    <row r="4680" customFormat="false" ht="15" hidden="false" customHeight="false" outlineLevel="0" collapsed="false">
      <c r="A4680" s="0" t="s">
        <v>967</v>
      </c>
      <c r="B4680" s="0" t="s">
        <v>91</v>
      </c>
      <c r="C4680" s="0" t="s">
        <v>92</v>
      </c>
      <c r="D4680" s="0" t="n">
        <v>20</v>
      </c>
      <c r="E4680" s="5" t="n">
        <v>46004.3683449074</v>
      </c>
      <c r="F4680" s="0" t="n">
        <v>7.65</v>
      </c>
      <c r="G4680" s="0" t="n">
        <v>17081</v>
      </c>
      <c r="H4680" s="6" t="s">
        <v>151</v>
      </c>
      <c r="I4680" s="6" t="n">
        <f aca="false">D4680*F4680</f>
        <v>153</v>
      </c>
      <c r="J4680" s="6" t="n">
        <f aca="false">HOUR(E4680)</f>
        <v>8</v>
      </c>
      <c r="K4680" s="6" t="n">
        <f aca="false">IF(COUNTIF($A$2:$A4680,A4680)=1,1,0)</f>
        <v>0</v>
      </c>
    </row>
    <row r="4681" customFormat="false" ht="15" hidden="false" customHeight="false" outlineLevel="0" collapsed="false">
      <c r="A4681" s="0" t="s">
        <v>967</v>
      </c>
      <c r="B4681" s="0" t="s">
        <v>45</v>
      </c>
      <c r="C4681" s="0" t="s">
        <v>46</v>
      </c>
      <c r="D4681" s="0" t="n">
        <v>19</v>
      </c>
      <c r="E4681" s="5" t="n">
        <v>46004.3683449074</v>
      </c>
      <c r="F4681" s="0" t="n">
        <v>2.1</v>
      </c>
      <c r="G4681" s="0" t="n">
        <v>17081</v>
      </c>
      <c r="H4681" s="6" t="s">
        <v>151</v>
      </c>
      <c r="I4681" s="6" t="n">
        <f aca="false">D4681*F4681</f>
        <v>39.9</v>
      </c>
      <c r="J4681" s="6" t="n">
        <f aca="false">HOUR(E4681)</f>
        <v>8</v>
      </c>
      <c r="K4681" s="6" t="n">
        <f aca="false">IF(COUNTIF($A$2:$A4681,A4681)=1,1,0)</f>
        <v>0</v>
      </c>
    </row>
    <row r="4682" customFormat="false" ht="15" hidden="false" customHeight="false" outlineLevel="0" collapsed="false">
      <c r="A4682" s="0" t="s">
        <v>968</v>
      </c>
      <c r="B4682" s="0" t="s">
        <v>77</v>
      </c>
      <c r="C4682" s="0" t="s">
        <v>78</v>
      </c>
      <c r="D4682" s="0" t="n">
        <v>11</v>
      </c>
      <c r="E4682" s="5" t="n">
        <v>46004.5827083333</v>
      </c>
      <c r="F4682" s="0" t="n">
        <v>1.65</v>
      </c>
      <c r="G4682" s="0" t="n">
        <v>17167</v>
      </c>
      <c r="H4682" s="6" t="s">
        <v>74</v>
      </c>
      <c r="I4682" s="6" t="n">
        <f aca="false">D4682*F4682</f>
        <v>18.15</v>
      </c>
      <c r="J4682" s="6" t="n">
        <f aca="false">HOUR(E4682)</f>
        <v>13</v>
      </c>
      <c r="K4682" s="6" t="n">
        <f aca="false">IF(COUNTIF($A$2:$A4682,A4682)=1,1,0)</f>
        <v>1</v>
      </c>
    </row>
    <row r="4683" customFormat="false" ht="15" hidden="false" customHeight="false" outlineLevel="0" collapsed="false">
      <c r="A4683" s="0" t="s">
        <v>968</v>
      </c>
      <c r="B4683" s="0" t="s">
        <v>99</v>
      </c>
      <c r="C4683" s="0" t="s">
        <v>100</v>
      </c>
      <c r="D4683" s="0" t="n">
        <v>19</v>
      </c>
      <c r="E4683" s="5" t="n">
        <v>46004.5827083333</v>
      </c>
      <c r="F4683" s="0" t="n">
        <v>2.08</v>
      </c>
      <c r="G4683" s="0" t="n">
        <v>17167</v>
      </c>
      <c r="H4683" s="6" t="s">
        <v>74</v>
      </c>
      <c r="I4683" s="6" t="n">
        <f aca="false">D4683*F4683</f>
        <v>39.52</v>
      </c>
      <c r="J4683" s="6" t="n">
        <f aca="false">HOUR(E4683)</f>
        <v>13</v>
      </c>
      <c r="K4683" s="6" t="n">
        <f aca="false">IF(COUNTIF($A$2:$A4683,A4683)=1,1,0)</f>
        <v>0</v>
      </c>
    </row>
    <row r="4684" customFormat="false" ht="15" hidden="false" customHeight="false" outlineLevel="0" collapsed="false">
      <c r="A4684" s="0" t="s">
        <v>968</v>
      </c>
      <c r="B4684" s="0" t="s">
        <v>83</v>
      </c>
      <c r="C4684" s="0" t="s">
        <v>84</v>
      </c>
      <c r="D4684" s="0" t="n">
        <v>19</v>
      </c>
      <c r="E4684" s="5" t="n">
        <v>46004.5827083333</v>
      </c>
      <c r="F4684" s="0" t="n">
        <v>2.95</v>
      </c>
      <c r="G4684" s="0" t="n">
        <v>17167</v>
      </c>
      <c r="H4684" s="6" t="s">
        <v>74</v>
      </c>
      <c r="I4684" s="6" t="n">
        <f aca="false">D4684*F4684</f>
        <v>56.05</v>
      </c>
      <c r="J4684" s="6" t="n">
        <f aca="false">HOUR(E4684)</f>
        <v>13</v>
      </c>
      <c r="K4684" s="6" t="n">
        <f aca="false">IF(COUNTIF($A$2:$A4684,A4684)=1,1,0)</f>
        <v>0</v>
      </c>
    </row>
    <row r="4685" customFormat="false" ht="15" hidden="false" customHeight="false" outlineLevel="0" collapsed="false">
      <c r="A4685" s="0" t="s">
        <v>969</v>
      </c>
      <c r="B4685" s="0" t="s">
        <v>81</v>
      </c>
      <c r="C4685" s="0" t="s">
        <v>82</v>
      </c>
      <c r="D4685" s="0" t="n">
        <v>2</v>
      </c>
      <c r="E4685" s="5" t="n">
        <v>46004.5859027778</v>
      </c>
      <c r="F4685" s="0" t="n">
        <v>1.65</v>
      </c>
      <c r="G4685" s="0" t="n">
        <v>17146</v>
      </c>
      <c r="H4685" s="6" t="s">
        <v>263</v>
      </c>
      <c r="I4685" s="6" t="n">
        <f aca="false">D4685*F4685</f>
        <v>3.3</v>
      </c>
      <c r="J4685" s="6" t="n">
        <f aca="false">HOUR(E4685)</f>
        <v>14</v>
      </c>
      <c r="K4685" s="6" t="n">
        <f aca="false">IF(COUNTIF($A$2:$A4685,A4685)=1,1,0)</f>
        <v>1</v>
      </c>
    </row>
    <row r="4686" customFormat="false" ht="15" hidden="false" customHeight="false" outlineLevel="0" collapsed="false">
      <c r="A4686" s="0" t="s">
        <v>969</v>
      </c>
      <c r="B4686" s="0" t="s">
        <v>114</v>
      </c>
      <c r="C4686" s="0" t="s">
        <v>115</v>
      </c>
      <c r="D4686" s="0" t="n">
        <v>6</v>
      </c>
      <c r="E4686" s="5" t="n">
        <v>46004.5859027778</v>
      </c>
      <c r="F4686" s="0" t="n">
        <v>2.08</v>
      </c>
      <c r="G4686" s="0" t="n">
        <v>17146</v>
      </c>
      <c r="H4686" s="6" t="s">
        <v>263</v>
      </c>
      <c r="I4686" s="6" t="n">
        <f aca="false">D4686*F4686</f>
        <v>12.48</v>
      </c>
      <c r="J4686" s="6" t="n">
        <f aca="false">HOUR(E4686)</f>
        <v>14</v>
      </c>
      <c r="K4686" s="6" t="n">
        <f aca="false">IF(COUNTIF($A$2:$A4686,A4686)=1,1,0)</f>
        <v>0</v>
      </c>
    </row>
    <row r="4687" customFormat="false" ht="15" hidden="false" customHeight="false" outlineLevel="0" collapsed="false">
      <c r="A4687" s="0" t="s">
        <v>969</v>
      </c>
      <c r="B4687" s="0" t="s">
        <v>55</v>
      </c>
      <c r="C4687" s="0" t="s">
        <v>56</v>
      </c>
      <c r="D4687" s="0" t="n">
        <v>23</v>
      </c>
      <c r="E4687" s="5" t="n">
        <v>46004.5859027778</v>
      </c>
      <c r="F4687" s="0" t="n">
        <v>1.65</v>
      </c>
      <c r="G4687" s="0" t="n">
        <v>17146</v>
      </c>
      <c r="H4687" s="6" t="s">
        <v>263</v>
      </c>
      <c r="I4687" s="6" t="n">
        <f aca="false">D4687*F4687</f>
        <v>37.95</v>
      </c>
      <c r="J4687" s="6" t="n">
        <f aca="false">HOUR(E4687)</f>
        <v>14</v>
      </c>
      <c r="K4687" s="6" t="n">
        <f aca="false">IF(COUNTIF($A$2:$A4687,A4687)=1,1,0)</f>
        <v>0</v>
      </c>
    </row>
    <row r="4688" customFormat="false" ht="15" hidden="false" customHeight="false" outlineLevel="0" collapsed="false">
      <c r="A4688" s="0" t="s">
        <v>969</v>
      </c>
      <c r="B4688" s="0" t="s">
        <v>145</v>
      </c>
      <c r="D4688" s="0" t="n">
        <v>4</v>
      </c>
      <c r="E4688" s="5" t="n">
        <v>46004.5859027778</v>
      </c>
      <c r="F4688" s="0" t="n">
        <v>1.85</v>
      </c>
      <c r="G4688" s="0" t="n">
        <v>17146</v>
      </c>
      <c r="H4688" s="6" t="s">
        <v>263</v>
      </c>
      <c r="I4688" s="6" t="n">
        <f aca="false">D4688*F4688</f>
        <v>7.4</v>
      </c>
      <c r="J4688" s="6" t="n">
        <f aca="false">HOUR(E4688)</f>
        <v>14</v>
      </c>
      <c r="K4688" s="6" t="n">
        <f aca="false">IF(COUNTIF($A$2:$A4688,A4688)=1,1,0)</f>
        <v>0</v>
      </c>
    </row>
    <row r="4689" customFormat="false" ht="15" hidden="false" customHeight="false" outlineLevel="0" collapsed="false">
      <c r="A4689" s="0" t="s">
        <v>969</v>
      </c>
      <c r="B4689" s="0" t="s">
        <v>91</v>
      </c>
      <c r="C4689" s="0" t="s">
        <v>92</v>
      </c>
      <c r="D4689" s="0" t="n">
        <v>9</v>
      </c>
      <c r="E4689" s="5" t="n">
        <v>46004.5859027778</v>
      </c>
      <c r="F4689" s="0" t="n">
        <v>7.65</v>
      </c>
      <c r="G4689" s="0" t="n">
        <v>17146</v>
      </c>
      <c r="H4689" s="6" t="s">
        <v>263</v>
      </c>
      <c r="I4689" s="6" t="n">
        <f aca="false">D4689*F4689</f>
        <v>68.85</v>
      </c>
      <c r="J4689" s="6" t="n">
        <f aca="false">HOUR(E4689)</f>
        <v>14</v>
      </c>
      <c r="K4689" s="6" t="n">
        <f aca="false">IF(COUNTIF($A$2:$A4689,A4689)=1,1,0)</f>
        <v>0</v>
      </c>
    </row>
    <row r="4690" customFormat="false" ht="15" hidden="false" customHeight="false" outlineLevel="0" collapsed="false">
      <c r="A4690" s="0" t="s">
        <v>969</v>
      </c>
      <c r="B4690" s="0" t="s">
        <v>75</v>
      </c>
      <c r="C4690" s="0" t="s">
        <v>76</v>
      </c>
      <c r="D4690" s="0" t="n">
        <v>22</v>
      </c>
      <c r="E4690" s="5" t="n">
        <v>46004.5859027778</v>
      </c>
      <c r="F4690" s="0" t="n">
        <v>3.39</v>
      </c>
      <c r="G4690" s="0" t="n">
        <v>17146</v>
      </c>
      <c r="H4690" s="6" t="s">
        <v>263</v>
      </c>
      <c r="I4690" s="6" t="n">
        <f aca="false">D4690*F4690</f>
        <v>74.58</v>
      </c>
      <c r="J4690" s="6" t="n">
        <f aca="false">HOUR(E4690)</f>
        <v>14</v>
      </c>
      <c r="K4690" s="6" t="n">
        <f aca="false">IF(COUNTIF($A$2:$A4690,A4690)=1,1,0)</f>
        <v>0</v>
      </c>
    </row>
    <row r="4691" customFormat="false" ht="15" hidden="false" customHeight="false" outlineLevel="0" collapsed="false">
      <c r="A4691" s="0" t="s">
        <v>969</v>
      </c>
      <c r="B4691" s="0" t="s">
        <v>65</v>
      </c>
      <c r="C4691" s="0" t="s">
        <v>66</v>
      </c>
      <c r="D4691" s="0" t="n">
        <v>6</v>
      </c>
      <c r="E4691" s="5" t="n">
        <v>46004.5859027778</v>
      </c>
      <c r="F4691" s="0" t="n">
        <v>1.65</v>
      </c>
      <c r="G4691" s="0" t="n">
        <v>17146</v>
      </c>
      <c r="H4691" s="6" t="s">
        <v>263</v>
      </c>
      <c r="I4691" s="6" t="n">
        <f aca="false">D4691*F4691</f>
        <v>9.9</v>
      </c>
      <c r="J4691" s="6" t="n">
        <f aca="false">HOUR(E4691)</f>
        <v>14</v>
      </c>
      <c r="K4691" s="6" t="n">
        <f aca="false">IF(COUNTIF($A$2:$A4691,A4691)=1,1,0)</f>
        <v>0</v>
      </c>
    </row>
    <row r="4692" customFormat="false" ht="15" hidden="false" customHeight="false" outlineLevel="0" collapsed="false">
      <c r="A4692" s="0" t="s">
        <v>969</v>
      </c>
      <c r="B4692" s="0" t="s">
        <v>40</v>
      </c>
      <c r="C4692" s="0" t="s">
        <v>41</v>
      </c>
      <c r="D4692" s="0" t="n">
        <v>19</v>
      </c>
      <c r="E4692" s="5" t="n">
        <v>46004.5859027778</v>
      </c>
      <c r="F4692" s="0" t="n">
        <v>1.06</v>
      </c>
      <c r="G4692" s="0" t="n">
        <v>17146</v>
      </c>
      <c r="H4692" s="6" t="s">
        <v>263</v>
      </c>
      <c r="I4692" s="6" t="n">
        <f aca="false">D4692*F4692</f>
        <v>20.14</v>
      </c>
      <c r="J4692" s="6" t="n">
        <f aca="false">HOUR(E4692)</f>
        <v>14</v>
      </c>
      <c r="K4692" s="6" t="n">
        <f aca="false">IF(COUNTIF($A$2:$A4692,A4692)=1,1,0)</f>
        <v>0</v>
      </c>
    </row>
    <row r="4693" customFormat="false" ht="15" hidden="false" customHeight="false" outlineLevel="0" collapsed="false">
      <c r="A4693" s="0" t="s">
        <v>970</v>
      </c>
      <c r="B4693" s="0" t="s">
        <v>69</v>
      </c>
      <c r="C4693" s="0" t="s">
        <v>70</v>
      </c>
      <c r="D4693" s="0" t="n">
        <v>33</v>
      </c>
      <c r="E4693" s="5" t="n">
        <v>46004.6387847222</v>
      </c>
      <c r="F4693" s="0" t="n">
        <v>2.08</v>
      </c>
      <c r="G4693" s="0" t="n">
        <v>17128</v>
      </c>
      <c r="H4693" s="6" t="s">
        <v>42</v>
      </c>
      <c r="I4693" s="6" t="n">
        <f aca="false">D4693*F4693</f>
        <v>68.64</v>
      </c>
      <c r="J4693" s="6" t="n">
        <f aca="false">HOUR(E4693)</f>
        <v>15</v>
      </c>
      <c r="K4693" s="6" t="n">
        <f aca="false">IF(COUNTIF($A$2:$A4693,A4693)=1,1,0)</f>
        <v>1</v>
      </c>
    </row>
    <row r="4694" customFormat="false" ht="15" hidden="false" customHeight="false" outlineLevel="0" collapsed="false">
      <c r="A4694" s="0" t="s">
        <v>970</v>
      </c>
      <c r="B4694" s="0" t="s">
        <v>131</v>
      </c>
      <c r="C4694" s="0" t="s">
        <v>132</v>
      </c>
      <c r="D4694" s="0" t="n">
        <v>22</v>
      </c>
      <c r="E4694" s="5" t="n">
        <v>46004.6387847222</v>
      </c>
      <c r="F4694" s="0" t="n">
        <v>3.39</v>
      </c>
      <c r="G4694" s="0" t="n">
        <v>17128</v>
      </c>
      <c r="H4694" s="6" t="s">
        <v>42</v>
      </c>
      <c r="I4694" s="6" t="n">
        <f aca="false">D4694*F4694</f>
        <v>74.58</v>
      </c>
      <c r="J4694" s="6" t="n">
        <f aca="false">HOUR(E4694)</f>
        <v>15</v>
      </c>
      <c r="K4694" s="6" t="n">
        <f aca="false">IF(COUNTIF($A$2:$A4694,A4694)=1,1,0)</f>
        <v>0</v>
      </c>
    </row>
    <row r="4695" customFormat="false" ht="15" hidden="false" customHeight="false" outlineLevel="0" collapsed="false">
      <c r="A4695" s="0" t="s">
        <v>970</v>
      </c>
      <c r="B4695" s="0" t="s">
        <v>61</v>
      </c>
      <c r="C4695" s="0" t="s">
        <v>62</v>
      </c>
      <c r="D4695" s="0" t="n">
        <v>24</v>
      </c>
      <c r="E4695" s="5" t="n">
        <v>46004.6387847222</v>
      </c>
      <c r="F4695" s="0" t="n">
        <v>1.65</v>
      </c>
      <c r="G4695" s="0" t="n">
        <v>17128</v>
      </c>
      <c r="H4695" s="6" t="s">
        <v>42</v>
      </c>
      <c r="I4695" s="6" t="n">
        <f aca="false">D4695*F4695</f>
        <v>39.6</v>
      </c>
      <c r="J4695" s="6" t="n">
        <f aca="false">HOUR(E4695)</f>
        <v>15</v>
      </c>
      <c r="K4695" s="6" t="n">
        <f aca="false">IF(COUNTIF($A$2:$A4695,A4695)=1,1,0)</f>
        <v>0</v>
      </c>
    </row>
    <row r="4696" customFormat="false" ht="15" hidden="false" customHeight="false" outlineLevel="0" collapsed="false">
      <c r="A4696" s="0" t="s">
        <v>971</v>
      </c>
      <c r="B4696" s="0" t="s">
        <v>86</v>
      </c>
      <c r="C4696" s="0" t="s">
        <v>87</v>
      </c>
      <c r="D4696" s="0" t="n">
        <v>14</v>
      </c>
      <c r="E4696" s="5" t="n">
        <v>46004.6920138889</v>
      </c>
      <c r="F4696" s="0" t="n">
        <v>4.25</v>
      </c>
      <c r="G4696" s="0" t="n">
        <v>17097</v>
      </c>
      <c r="H4696" s="6" t="s">
        <v>113</v>
      </c>
      <c r="I4696" s="6" t="n">
        <f aca="false">D4696*F4696</f>
        <v>59.5</v>
      </c>
      <c r="J4696" s="6" t="n">
        <f aca="false">HOUR(E4696)</f>
        <v>16</v>
      </c>
      <c r="K4696" s="6" t="n">
        <f aca="false">IF(COUNTIF($A$2:$A4696,A4696)=1,1,0)</f>
        <v>1</v>
      </c>
    </row>
    <row r="4697" customFormat="false" ht="15" hidden="false" customHeight="false" outlineLevel="0" collapsed="false">
      <c r="A4697" s="0" t="s">
        <v>971</v>
      </c>
      <c r="B4697" s="0" t="s">
        <v>127</v>
      </c>
      <c r="C4697" s="0" t="s">
        <v>128</v>
      </c>
      <c r="D4697" s="0" t="n">
        <v>24</v>
      </c>
      <c r="E4697" s="5" t="n">
        <v>46004.6920138889</v>
      </c>
      <c r="F4697" s="0" t="n">
        <v>1.45</v>
      </c>
      <c r="G4697" s="0" t="n">
        <v>17097</v>
      </c>
      <c r="H4697" s="6" t="s">
        <v>113</v>
      </c>
      <c r="I4697" s="6" t="n">
        <f aca="false">D4697*F4697</f>
        <v>34.8</v>
      </c>
      <c r="J4697" s="6" t="n">
        <f aca="false">HOUR(E4697)</f>
        <v>16</v>
      </c>
      <c r="K4697" s="6" t="n">
        <f aca="false">IF(COUNTIF($A$2:$A4697,A4697)=1,1,0)</f>
        <v>0</v>
      </c>
    </row>
    <row r="4698" customFormat="false" ht="15" hidden="false" customHeight="false" outlineLevel="0" collapsed="false">
      <c r="A4698" s="0" t="s">
        <v>972</v>
      </c>
      <c r="B4698" s="0" t="s">
        <v>72</v>
      </c>
      <c r="C4698" s="0" t="s">
        <v>73</v>
      </c>
      <c r="D4698" s="0" t="n">
        <v>16</v>
      </c>
      <c r="E4698" s="5" t="n">
        <v>46004.7691666667</v>
      </c>
      <c r="F4698" s="0" t="n">
        <v>4.95</v>
      </c>
      <c r="G4698" s="0" t="n">
        <v>17058</v>
      </c>
      <c r="H4698" s="6" t="s">
        <v>98</v>
      </c>
      <c r="I4698" s="6" t="n">
        <f aca="false">D4698*F4698</f>
        <v>79.2</v>
      </c>
      <c r="J4698" s="6" t="n">
        <f aca="false">HOUR(E4698)</f>
        <v>18</v>
      </c>
      <c r="K4698" s="6" t="n">
        <f aca="false">IF(COUNTIF($A$2:$A4698,A4698)=1,1,0)</f>
        <v>1</v>
      </c>
    </row>
    <row r="4699" customFormat="false" ht="15" hidden="false" customHeight="false" outlineLevel="0" collapsed="false">
      <c r="A4699" s="0" t="s">
        <v>972</v>
      </c>
      <c r="B4699" s="0" t="s">
        <v>91</v>
      </c>
      <c r="C4699" s="0" t="s">
        <v>92</v>
      </c>
      <c r="D4699" s="0" t="n">
        <v>21</v>
      </c>
      <c r="E4699" s="5" t="n">
        <v>46004.7691666667</v>
      </c>
      <c r="F4699" s="0" t="n">
        <v>7.65</v>
      </c>
      <c r="G4699" s="0" t="n">
        <v>17058</v>
      </c>
      <c r="H4699" s="6" t="s">
        <v>98</v>
      </c>
      <c r="I4699" s="6" t="n">
        <f aca="false">D4699*F4699</f>
        <v>160.65</v>
      </c>
      <c r="J4699" s="6" t="n">
        <f aca="false">HOUR(E4699)</f>
        <v>18</v>
      </c>
      <c r="K4699" s="6" t="n">
        <f aca="false">IF(COUNTIF($A$2:$A4699,A4699)=1,1,0)</f>
        <v>0</v>
      </c>
    </row>
    <row r="4700" customFormat="false" ht="15" hidden="false" customHeight="false" outlineLevel="0" collapsed="false">
      <c r="A4700" s="0" t="s">
        <v>972</v>
      </c>
      <c r="B4700" s="0" t="s">
        <v>79</v>
      </c>
      <c r="C4700" s="0" t="s">
        <v>80</v>
      </c>
      <c r="D4700" s="0" t="n">
        <v>8</v>
      </c>
      <c r="E4700" s="5" t="n">
        <v>46004.7691666667</v>
      </c>
      <c r="F4700" s="0" t="n">
        <v>3.39</v>
      </c>
      <c r="G4700" s="0" t="n">
        <v>17058</v>
      </c>
      <c r="H4700" s="6" t="s">
        <v>98</v>
      </c>
      <c r="I4700" s="6" t="n">
        <f aca="false">D4700*F4700</f>
        <v>27.12</v>
      </c>
      <c r="J4700" s="6" t="n">
        <f aca="false">HOUR(E4700)</f>
        <v>18</v>
      </c>
      <c r="K4700" s="6" t="n">
        <f aca="false">IF(COUNTIF($A$2:$A4700,A4700)=1,1,0)</f>
        <v>0</v>
      </c>
    </row>
    <row r="4701" customFormat="false" ht="15" hidden="false" customHeight="false" outlineLevel="0" collapsed="false">
      <c r="A4701" s="0" t="s">
        <v>972</v>
      </c>
      <c r="B4701" s="0" t="s">
        <v>127</v>
      </c>
      <c r="C4701" s="0" t="s">
        <v>128</v>
      </c>
      <c r="D4701" s="0" t="n">
        <v>17</v>
      </c>
      <c r="E4701" s="5" t="n">
        <v>46004.7691666667</v>
      </c>
      <c r="F4701" s="0" t="n">
        <v>1.45</v>
      </c>
      <c r="G4701" s="0" t="n">
        <v>17058</v>
      </c>
      <c r="H4701" s="6" t="s">
        <v>98</v>
      </c>
      <c r="I4701" s="6" t="n">
        <f aca="false">D4701*F4701</f>
        <v>24.65</v>
      </c>
      <c r="J4701" s="6" t="n">
        <f aca="false">HOUR(E4701)</f>
        <v>18</v>
      </c>
      <c r="K4701" s="6" t="n">
        <f aca="false">IF(COUNTIF($A$2:$A4701,A4701)=1,1,0)</f>
        <v>0</v>
      </c>
    </row>
    <row r="4702" customFormat="false" ht="15" hidden="false" customHeight="false" outlineLevel="0" collapsed="false">
      <c r="A4702" s="0" t="s">
        <v>972</v>
      </c>
      <c r="B4702" s="0" t="s">
        <v>121</v>
      </c>
      <c r="C4702" s="0" t="s">
        <v>122</v>
      </c>
      <c r="D4702" s="0" t="n">
        <v>13</v>
      </c>
      <c r="E4702" s="5" t="n">
        <v>46004.7691666667</v>
      </c>
      <c r="F4702" s="0" t="n">
        <v>2.1</v>
      </c>
      <c r="G4702" s="0" t="n">
        <v>17058</v>
      </c>
      <c r="H4702" s="6" t="s">
        <v>98</v>
      </c>
      <c r="I4702" s="6" t="n">
        <f aca="false">D4702*F4702</f>
        <v>27.3</v>
      </c>
      <c r="J4702" s="6" t="n">
        <f aca="false">HOUR(E4702)</f>
        <v>18</v>
      </c>
      <c r="K4702" s="6" t="n">
        <f aca="false">IF(COUNTIF($A$2:$A4702,A4702)=1,1,0)</f>
        <v>0</v>
      </c>
    </row>
    <row r="4703" customFormat="false" ht="15" hidden="false" customHeight="false" outlineLevel="0" collapsed="false">
      <c r="A4703" s="0" t="s">
        <v>972</v>
      </c>
      <c r="B4703" s="0" t="s">
        <v>140</v>
      </c>
      <c r="C4703" s="0" t="s">
        <v>141</v>
      </c>
      <c r="D4703" s="0" t="n">
        <v>13</v>
      </c>
      <c r="E4703" s="5" t="n">
        <v>46004.7691666667</v>
      </c>
      <c r="F4703" s="0" t="n">
        <v>2.08</v>
      </c>
      <c r="G4703" s="0" t="n">
        <v>17058</v>
      </c>
      <c r="H4703" s="6" t="s">
        <v>98</v>
      </c>
      <c r="I4703" s="6" t="n">
        <f aca="false">D4703*F4703</f>
        <v>27.04</v>
      </c>
      <c r="J4703" s="6" t="n">
        <f aca="false">HOUR(E4703)</f>
        <v>18</v>
      </c>
      <c r="K4703" s="6" t="n">
        <f aca="false">IF(COUNTIF($A$2:$A4703,A4703)=1,1,0)</f>
        <v>0</v>
      </c>
    </row>
    <row r="4704" customFormat="false" ht="15" hidden="false" customHeight="false" outlineLevel="0" collapsed="false">
      <c r="A4704" s="0" t="s">
        <v>972</v>
      </c>
      <c r="B4704" s="0" t="s">
        <v>50</v>
      </c>
      <c r="C4704" s="0" t="s">
        <v>51</v>
      </c>
      <c r="D4704" s="0" t="n">
        <v>24</v>
      </c>
      <c r="E4704" s="5" t="n">
        <v>46004.7691666667</v>
      </c>
      <c r="F4704" s="0" t="n">
        <v>5.95</v>
      </c>
      <c r="G4704" s="0" t="n">
        <v>17058</v>
      </c>
      <c r="H4704" s="6" t="s">
        <v>98</v>
      </c>
      <c r="I4704" s="6" t="n">
        <f aca="false">D4704*F4704</f>
        <v>142.8</v>
      </c>
      <c r="J4704" s="6" t="n">
        <f aca="false">HOUR(E4704)</f>
        <v>18</v>
      </c>
      <c r="K4704" s="6" t="n">
        <f aca="false">IF(COUNTIF($A$2:$A4704,A4704)=1,1,0)</f>
        <v>0</v>
      </c>
    </row>
    <row r="4705" customFormat="false" ht="15" hidden="false" customHeight="false" outlineLevel="0" collapsed="false">
      <c r="A4705" s="0" t="s">
        <v>973</v>
      </c>
      <c r="B4705" s="0" t="s">
        <v>53</v>
      </c>
      <c r="C4705" s="0" t="s">
        <v>54</v>
      </c>
      <c r="D4705" s="0" t="n">
        <v>15</v>
      </c>
      <c r="E4705" s="5" t="n">
        <v>46004.8300578704</v>
      </c>
      <c r="F4705" s="0" t="n">
        <v>2.95</v>
      </c>
      <c r="G4705" s="0" t="n">
        <v>17143</v>
      </c>
      <c r="H4705" s="6" t="s">
        <v>208</v>
      </c>
      <c r="I4705" s="6" t="n">
        <f aca="false">D4705*F4705</f>
        <v>44.25</v>
      </c>
      <c r="J4705" s="6" t="n">
        <f aca="false">HOUR(E4705)</f>
        <v>19</v>
      </c>
      <c r="K4705" s="6" t="n">
        <f aca="false">IF(COUNTIF($A$2:$A4705,A4705)=1,1,0)</f>
        <v>1</v>
      </c>
    </row>
    <row r="4706" customFormat="false" ht="15" hidden="false" customHeight="false" outlineLevel="0" collapsed="false">
      <c r="A4706" s="0" t="s">
        <v>973</v>
      </c>
      <c r="B4706" s="0" t="s">
        <v>59</v>
      </c>
      <c r="C4706" s="0" t="s">
        <v>60</v>
      </c>
      <c r="D4706" s="0" t="n">
        <v>2</v>
      </c>
      <c r="E4706" s="5" t="n">
        <v>46004.8300578704</v>
      </c>
      <c r="F4706" s="0" t="n">
        <v>0.42</v>
      </c>
      <c r="G4706" s="0" t="n">
        <v>17143</v>
      </c>
      <c r="H4706" s="6" t="s">
        <v>208</v>
      </c>
      <c r="I4706" s="6" t="n">
        <f aca="false">D4706*F4706</f>
        <v>0.84</v>
      </c>
      <c r="J4706" s="6" t="n">
        <f aca="false">HOUR(E4706)</f>
        <v>19</v>
      </c>
      <c r="K4706" s="6" t="n">
        <f aca="false">IF(COUNTIF($A$2:$A4706,A4706)=1,1,0)</f>
        <v>0</v>
      </c>
    </row>
    <row r="4707" customFormat="false" ht="15" hidden="false" customHeight="false" outlineLevel="0" collapsed="false">
      <c r="A4707" s="0" t="s">
        <v>973</v>
      </c>
      <c r="B4707" s="0" t="s">
        <v>127</v>
      </c>
      <c r="C4707" s="0" t="s">
        <v>128</v>
      </c>
      <c r="D4707" s="0" t="n">
        <v>1</v>
      </c>
      <c r="E4707" s="5" t="n">
        <v>46004.8300578704</v>
      </c>
      <c r="F4707" s="0" t="n">
        <v>1.45</v>
      </c>
      <c r="G4707" s="0" t="n">
        <v>17143</v>
      </c>
      <c r="H4707" s="6" t="s">
        <v>208</v>
      </c>
      <c r="I4707" s="6" t="n">
        <f aca="false">D4707*F4707</f>
        <v>1.45</v>
      </c>
      <c r="J4707" s="6" t="n">
        <f aca="false">HOUR(E4707)</f>
        <v>19</v>
      </c>
      <c r="K4707" s="6" t="n">
        <f aca="false">IF(COUNTIF($A$2:$A4707,A4707)=1,1,0)</f>
        <v>0</v>
      </c>
    </row>
    <row r="4708" customFormat="false" ht="15" hidden="false" customHeight="false" outlineLevel="0" collapsed="false">
      <c r="A4708" s="0" t="s">
        <v>973</v>
      </c>
      <c r="B4708" s="0" t="s">
        <v>131</v>
      </c>
      <c r="C4708" s="0" t="s">
        <v>132</v>
      </c>
      <c r="D4708" s="0" t="n">
        <v>4</v>
      </c>
      <c r="E4708" s="5" t="n">
        <v>46004.8300578704</v>
      </c>
      <c r="F4708" s="0" t="n">
        <v>3.39</v>
      </c>
      <c r="G4708" s="0" t="n">
        <v>17143</v>
      </c>
      <c r="H4708" s="6" t="s">
        <v>208</v>
      </c>
      <c r="I4708" s="6" t="n">
        <f aca="false">D4708*F4708</f>
        <v>13.56</v>
      </c>
      <c r="J4708" s="6" t="n">
        <f aca="false">HOUR(E4708)</f>
        <v>19</v>
      </c>
      <c r="K4708" s="6" t="n">
        <f aca="false">IF(COUNTIF($A$2:$A4708,A4708)=1,1,0)</f>
        <v>0</v>
      </c>
    </row>
    <row r="4709" customFormat="false" ht="15" hidden="false" customHeight="false" outlineLevel="0" collapsed="false">
      <c r="A4709" s="0" t="s">
        <v>973</v>
      </c>
      <c r="B4709" s="0" t="s">
        <v>83</v>
      </c>
      <c r="D4709" s="0" t="n">
        <v>7</v>
      </c>
      <c r="E4709" s="5" t="n">
        <v>46004.8300578704</v>
      </c>
      <c r="F4709" s="0" t="n">
        <v>2.95</v>
      </c>
      <c r="G4709" s="0" t="n">
        <v>17143</v>
      </c>
      <c r="H4709" s="6" t="s">
        <v>208</v>
      </c>
      <c r="I4709" s="6" t="n">
        <f aca="false">D4709*F4709</f>
        <v>20.65</v>
      </c>
      <c r="J4709" s="6" t="n">
        <f aca="false">HOUR(E4709)</f>
        <v>19</v>
      </c>
      <c r="K4709" s="6" t="n">
        <f aca="false">IF(COUNTIF($A$2:$A4709,A4709)=1,1,0)</f>
        <v>0</v>
      </c>
    </row>
    <row r="4710" customFormat="false" ht="15" hidden="false" customHeight="false" outlineLevel="0" collapsed="false">
      <c r="A4710" s="0" t="s">
        <v>973</v>
      </c>
      <c r="B4710" s="0" t="s">
        <v>125</v>
      </c>
      <c r="C4710" s="0" t="s">
        <v>126</v>
      </c>
      <c r="D4710" s="0" t="n">
        <v>13</v>
      </c>
      <c r="E4710" s="5" t="n">
        <v>46004.8300578704</v>
      </c>
      <c r="F4710" s="0" t="n">
        <v>1.25</v>
      </c>
      <c r="G4710" s="0" t="n">
        <v>17143</v>
      </c>
      <c r="H4710" s="6" t="s">
        <v>208</v>
      </c>
      <c r="I4710" s="6" t="n">
        <f aca="false">D4710*F4710</f>
        <v>16.25</v>
      </c>
      <c r="J4710" s="6" t="n">
        <f aca="false">HOUR(E4710)</f>
        <v>19</v>
      </c>
      <c r="K4710" s="6" t="n">
        <f aca="false">IF(COUNTIF($A$2:$A4710,A4710)=1,1,0)</f>
        <v>0</v>
      </c>
    </row>
    <row r="4711" customFormat="false" ht="15" hidden="false" customHeight="false" outlineLevel="0" collapsed="false">
      <c r="A4711" s="0" t="s">
        <v>973</v>
      </c>
      <c r="B4711" s="0" t="s">
        <v>145</v>
      </c>
      <c r="C4711" s="0" t="s">
        <v>146</v>
      </c>
      <c r="D4711" s="0" t="n">
        <v>6</v>
      </c>
      <c r="E4711" s="5" t="n">
        <v>46004.8300578704</v>
      </c>
      <c r="F4711" s="0" t="n">
        <v>1.85</v>
      </c>
      <c r="G4711" s="0" t="n">
        <v>17143</v>
      </c>
      <c r="H4711" s="6" t="s">
        <v>208</v>
      </c>
      <c r="I4711" s="6" t="n">
        <f aca="false">D4711*F4711</f>
        <v>11.1</v>
      </c>
      <c r="J4711" s="6" t="n">
        <f aca="false">HOUR(E4711)</f>
        <v>19</v>
      </c>
      <c r="K4711" s="6" t="n">
        <f aca="false">IF(COUNTIF($A$2:$A4711,A4711)=1,1,0)</f>
        <v>0</v>
      </c>
    </row>
    <row r="4712" customFormat="false" ht="15" hidden="false" customHeight="false" outlineLevel="0" collapsed="false">
      <c r="A4712" s="0" t="s">
        <v>974</v>
      </c>
      <c r="B4712" s="0" t="s">
        <v>114</v>
      </c>
      <c r="C4712" s="0" t="s">
        <v>115</v>
      </c>
      <c r="D4712" s="0" t="n">
        <v>15</v>
      </c>
      <c r="E4712" s="5" t="n">
        <v>46004.9152662037</v>
      </c>
      <c r="F4712" s="0" t="n">
        <v>2.08</v>
      </c>
      <c r="G4712" s="0" t="n">
        <v>17085</v>
      </c>
      <c r="H4712" s="6" t="s">
        <v>74</v>
      </c>
      <c r="I4712" s="6" t="n">
        <f aca="false">D4712*F4712</f>
        <v>31.2</v>
      </c>
      <c r="J4712" s="6" t="n">
        <f aca="false">HOUR(E4712)</f>
        <v>21</v>
      </c>
      <c r="K4712" s="6" t="n">
        <f aca="false">IF(COUNTIF($A$2:$A4712,A4712)=1,1,0)</f>
        <v>1</v>
      </c>
    </row>
    <row r="4713" customFormat="false" ht="15" hidden="false" customHeight="false" outlineLevel="0" collapsed="false">
      <c r="A4713" s="0" t="s">
        <v>974</v>
      </c>
      <c r="B4713" s="0" t="s">
        <v>79</v>
      </c>
      <c r="C4713" s="0" t="s">
        <v>80</v>
      </c>
      <c r="D4713" s="0" t="n">
        <v>16</v>
      </c>
      <c r="E4713" s="5" t="n">
        <v>46004.9152662037</v>
      </c>
      <c r="F4713" s="0" t="n">
        <v>3.39</v>
      </c>
      <c r="G4713" s="0" t="n">
        <v>17085</v>
      </c>
      <c r="H4713" s="6" t="s">
        <v>74</v>
      </c>
      <c r="I4713" s="6" t="n">
        <f aca="false">D4713*F4713</f>
        <v>54.24</v>
      </c>
      <c r="J4713" s="6" t="n">
        <f aca="false">HOUR(E4713)</f>
        <v>21</v>
      </c>
      <c r="K4713" s="6" t="n">
        <f aca="false">IF(COUNTIF($A$2:$A4713,A4713)=1,1,0)</f>
        <v>0</v>
      </c>
    </row>
    <row r="4714" customFormat="false" ht="15" hidden="false" customHeight="false" outlineLevel="0" collapsed="false">
      <c r="A4714" s="0" t="s">
        <v>974</v>
      </c>
      <c r="B4714" s="0" t="s">
        <v>65</v>
      </c>
      <c r="C4714" s="0" t="s">
        <v>66</v>
      </c>
      <c r="D4714" s="0" t="n">
        <v>24</v>
      </c>
      <c r="E4714" s="5" t="n">
        <v>46004.9152662037</v>
      </c>
      <c r="F4714" s="0" t="n">
        <v>1.65</v>
      </c>
      <c r="G4714" s="0" t="n">
        <v>17085</v>
      </c>
      <c r="H4714" s="6" t="s">
        <v>74</v>
      </c>
      <c r="I4714" s="6" t="n">
        <f aca="false">D4714*F4714</f>
        <v>39.6</v>
      </c>
      <c r="J4714" s="6" t="n">
        <f aca="false">HOUR(E4714)</f>
        <v>21</v>
      </c>
      <c r="K4714" s="6" t="n">
        <f aca="false">IF(COUNTIF($A$2:$A4714,A4714)=1,1,0)</f>
        <v>0</v>
      </c>
    </row>
    <row r="4715" customFormat="false" ht="15" hidden="false" customHeight="false" outlineLevel="0" collapsed="false">
      <c r="A4715" s="0" t="s">
        <v>974</v>
      </c>
      <c r="B4715" s="0" t="s">
        <v>40</v>
      </c>
      <c r="C4715" s="0" t="s">
        <v>41</v>
      </c>
      <c r="D4715" s="0" t="n">
        <v>7</v>
      </c>
      <c r="E4715" s="5" t="n">
        <v>46004.9152662037</v>
      </c>
      <c r="F4715" s="0" t="n">
        <v>1.06</v>
      </c>
      <c r="G4715" s="0" t="n">
        <v>17085</v>
      </c>
      <c r="H4715" s="6" t="s">
        <v>74</v>
      </c>
      <c r="I4715" s="6" t="n">
        <f aca="false">D4715*F4715</f>
        <v>7.42</v>
      </c>
      <c r="J4715" s="6" t="n">
        <f aca="false">HOUR(E4715)</f>
        <v>21</v>
      </c>
      <c r="K4715" s="6" t="n">
        <f aca="false">IF(COUNTIF($A$2:$A4715,A4715)=1,1,0)</f>
        <v>0</v>
      </c>
    </row>
    <row r="4716" customFormat="false" ht="15" hidden="false" customHeight="false" outlineLevel="0" collapsed="false">
      <c r="A4716" s="0" t="s">
        <v>974</v>
      </c>
      <c r="B4716" s="0" t="s">
        <v>83</v>
      </c>
      <c r="C4716" s="0" t="s">
        <v>84</v>
      </c>
      <c r="D4716" s="0" t="n">
        <v>2</v>
      </c>
      <c r="E4716" s="5" t="n">
        <v>46004.9152662037</v>
      </c>
      <c r="F4716" s="0" t="n">
        <v>2.95</v>
      </c>
      <c r="G4716" s="0" t="n">
        <v>17085</v>
      </c>
      <c r="H4716" s="6" t="s">
        <v>74</v>
      </c>
      <c r="I4716" s="6" t="n">
        <f aca="false">D4716*F4716</f>
        <v>5.9</v>
      </c>
      <c r="J4716" s="6" t="n">
        <f aca="false">HOUR(E4716)</f>
        <v>21</v>
      </c>
      <c r="K4716" s="6" t="n">
        <f aca="false">IF(COUNTIF($A$2:$A4716,A4716)=1,1,0)</f>
        <v>0</v>
      </c>
    </row>
    <row r="4717" customFormat="false" ht="15" hidden="false" customHeight="false" outlineLevel="0" collapsed="false">
      <c r="A4717" s="0" t="s">
        <v>974</v>
      </c>
      <c r="B4717" s="0" t="s">
        <v>47</v>
      </c>
      <c r="C4717" s="0" t="s">
        <v>48</v>
      </c>
      <c r="D4717" s="0" t="n">
        <v>6</v>
      </c>
      <c r="E4717" s="5" t="n">
        <v>46004.9152662037</v>
      </c>
      <c r="F4717" s="0" t="n">
        <v>12.75</v>
      </c>
      <c r="G4717" s="0" t="n">
        <v>17085</v>
      </c>
      <c r="H4717" s="6" t="s">
        <v>74</v>
      </c>
      <c r="I4717" s="6" t="n">
        <f aca="false">D4717*F4717</f>
        <v>76.5</v>
      </c>
      <c r="J4717" s="6" t="n">
        <f aca="false">HOUR(E4717)</f>
        <v>21</v>
      </c>
      <c r="K4717" s="6" t="n">
        <f aca="false">IF(COUNTIF($A$2:$A4717,A4717)=1,1,0)</f>
        <v>0</v>
      </c>
    </row>
    <row r="4718" customFormat="false" ht="15" hidden="false" customHeight="false" outlineLevel="0" collapsed="false">
      <c r="A4718" s="0" t="s">
        <v>974</v>
      </c>
      <c r="B4718" s="0" t="s">
        <v>107</v>
      </c>
      <c r="C4718" s="0" t="s">
        <v>108</v>
      </c>
      <c r="D4718" s="0" t="n">
        <v>4</v>
      </c>
      <c r="E4718" s="5" t="n">
        <v>46004.9152662037</v>
      </c>
      <c r="F4718" s="0" t="n">
        <v>3.75</v>
      </c>
      <c r="G4718" s="0" t="n">
        <v>17085</v>
      </c>
      <c r="H4718" s="6" t="s">
        <v>74</v>
      </c>
      <c r="I4718" s="6" t="n">
        <f aca="false">D4718*F4718</f>
        <v>15</v>
      </c>
      <c r="J4718" s="6" t="n">
        <f aca="false">HOUR(E4718)</f>
        <v>21</v>
      </c>
      <c r="K4718" s="6" t="n">
        <f aca="false">IF(COUNTIF($A$2:$A4718,A4718)=1,1,0)</f>
        <v>0</v>
      </c>
    </row>
    <row r="4719" customFormat="false" ht="15" hidden="false" customHeight="false" outlineLevel="0" collapsed="false">
      <c r="A4719" s="0" t="s">
        <v>974</v>
      </c>
      <c r="B4719" s="0" t="s">
        <v>91</v>
      </c>
      <c r="C4719" s="0" t="s">
        <v>92</v>
      </c>
      <c r="D4719" s="0" t="n">
        <v>22</v>
      </c>
      <c r="E4719" s="5" t="n">
        <v>46004.9152662037</v>
      </c>
      <c r="F4719" s="0" t="n">
        <v>7.65</v>
      </c>
      <c r="G4719" s="0" t="n">
        <v>17085</v>
      </c>
      <c r="H4719" s="6" t="s">
        <v>74</v>
      </c>
      <c r="I4719" s="6" t="n">
        <f aca="false">D4719*F4719</f>
        <v>168.3</v>
      </c>
      <c r="J4719" s="6" t="n">
        <f aca="false">HOUR(E4719)</f>
        <v>21</v>
      </c>
      <c r="K4719" s="6" t="n">
        <f aca="false">IF(COUNTIF($A$2:$A4719,A4719)=1,1,0)</f>
        <v>0</v>
      </c>
    </row>
    <row r="4720" customFormat="false" ht="15" hidden="false" customHeight="false" outlineLevel="0" collapsed="false">
      <c r="A4720" s="0" t="s">
        <v>974</v>
      </c>
      <c r="B4720" s="0" t="s">
        <v>57</v>
      </c>
      <c r="C4720" s="0" t="s">
        <v>58</v>
      </c>
      <c r="D4720" s="0" t="n">
        <v>3</v>
      </c>
      <c r="E4720" s="5" t="n">
        <v>46004.9152662037</v>
      </c>
      <c r="F4720" s="0" t="n">
        <v>2.08</v>
      </c>
      <c r="G4720" s="0" t="n">
        <v>17085</v>
      </c>
      <c r="H4720" s="6" t="s">
        <v>74</v>
      </c>
      <c r="I4720" s="6" t="n">
        <f aca="false">D4720*F4720</f>
        <v>6.24</v>
      </c>
      <c r="J4720" s="6" t="n">
        <f aca="false">HOUR(E4720)</f>
        <v>21</v>
      </c>
      <c r="K4720" s="6" t="n">
        <f aca="false">IF(COUNTIF($A$2:$A4720,A4720)=1,1,0)</f>
        <v>0</v>
      </c>
    </row>
    <row r="4721" customFormat="false" ht="15" hidden="false" customHeight="false" outlineLevel="0" collapsed="false">
      <c r="A4721" s="0" t="s">
        <v>974</v>
      </c>
      <c r="B4721" s="0" t="s">
        <v>81</v>
      </c>
      <c r="C4721" s="0" t="s">
        <v>82</v>
      </c>
      <c r="D4721" s="0" t="n">
        <v>22</v>
      </c>
      <c r="E4721" s="5" t="n">
        <v>46004.9152662037</v>
      </c>
      <c r="F4721" s="0" t="n">
        <v>1.65</v>
      </c>
      <c r="G4721" s="0" t="n">
        <v>17085</v>
      </c>
      <c r="H4721" s="6" t="s">
        <v>74</v>
      </c>
      <c r="I4721" s="6" t="n">
        <f aca="false">D4721*F4721</f>
        <v>36.3</v>
      </c>
      <c r="J4721" s="6" t="n">
        <f aca="false">HOUR(E4721)</f>
        <v>21</v>
      </c>
      <c r="K4721" s="6" t="n">
        <f aca="false">IF(COUNTIF($A$2:$A4721,A4721)=1,1,0)</f>
        <v>0</v>
      </c>
    </row>
    <row r="4722" customFormat="false" ht="15" hidden="false" customHeight="false" outlineLevel="0" collapsed="false">
      <c r="A4722" s="0" t="s">
        <v>975</v>
      </c>
      <c r="B4722" s="0" t="s">
        <v>137</v>
      </c>
      <c r="C4722" s="0" t="s">
        <v>138</v>
      </c>
      <c r="D4722" s="0" t="n">
        <v>7</v>
      </c>
      <c r="E4722" s="5" t="n">
        <v>46004.9348726852</v>
      </c>
      <c r="F4722" s="0" t="n">
        <v>2.1</v>
      </c>
      <c r="H4722" s="6" t="s">
        <v>74</v>
      </c>
      <c r="I4722" s="6" t="n">
        <f aca="false">D4722*F4722</f>
        <v>14.7</v>
      </c>
      <c r="J4722" s="6" t="n">
        <f aca="false">HOUR(E4722)</f>
        <v>22</v>
      </c>
      <c r="K4722" s="6" t="n">
        <f aca="false">IF(COUNTIF($A$2:$A4722,A4722)=1,1,0)</f>
        <v>1</v>
      </c>
    </row>
    <row r="4723" customFormat="false" ht="15" hidden="false" customHeight="false" outlineLevel="0" collapsed="false">
      <c r="A4723" s="0" t="s">
        <v>975</v>
      </c>
      <c r="B4723" s="0" t="s">
        <v>95</v>
      </c>
      <c r="C4723" s="0" t="s">
        <v>96</v>
      </c>
      <c r="D4723" s="0" t="n">
        <v>30</v>
      </c>
      <c r="E4723" s="5" t="n">
        <v>46004.9348726852</v>
      </c>
      <c r="F4723" s="0" t="n">
        <v>2.55</v>
      </c>
      <c r="H4723" s="6" t="s">
        <v>74</v>
      </c>
      <c r="I4723" s="6" t="n">
        <f aca="false">D4723*F4723</f>
        <v>76.5</v>
      </c>
      <c r="J4723" s="6" t="n">
        <f aca="false">HOUR(E4723)</f>
        <v>22</v>
      </c>
      <c r="K4723" s="6" t="n">
        <f aca="false">IF(COUNTIF($A$2:$A4723,A4723)=1,1,0)</f>
        <v>0</v>
      </c>
    </row>
    <row r="4724" customFormat="false" ht="15" hidden="false" customHeight="false" outlineLevel="0" collapsed="false">
      <c r="A4724" s="0" t="s">
        <v>975</v>
      </c>
      <c r="B4724" s="0" t="s">
        <v>55</v>
      </c>
      <c r="C4724" s="0" t="s">
        <v>56</v>
      </c>
      <c r="D4724" s="0" t="n">
        <v>16</v>
      </c>
      <c r="E4724" s="5" t="n">
        <v>46004.9348726852</v>
      </c>
      <c r="F4724" s="0" t="n">
        <v>1.65</v>
      </c>
      <c r="H4724" s="6" t="s">
        <v>74</v>
      </c>
      <c r="I4724" s="6" t="n">
        <f aca="false">D4724*F4724</f>
        <v>26.4</v>
      </c>
      <c r="J4724" s="6" t="n">
        <f aca="false">HOUR(E4724)</f>
        <v>22</v>
      </c>
      <c r="K4724" s="6" t="n">
        <f aca="false">IF(COUNTIF($A$2:$A4724,A4724)=1,1,0)</f>
        <v>0</v>
      </c>
    </row>
    <row r="4725" customFormat="false" ht="15" hidden="false" customHeight="false" outlineLevel="0" collapsed="false">
      <c r="A4725" s="0" t="s">
        <v>975</v>
      </c>
      <c r="B4725" s="0" t="s">
        <v>57</v>
      </c>
      <c r="C4725" s="0" t="s">
        <v>58</v>
      </c>
      <c r="D4725" s="0" t="n">
        <v>4</v>
      </c>
      <c r="E4725" s="5" t="n">
        <v>46004.9348726852</v>
      </c>
      <c r="F4725" s="0" t="n">
        <v>2.08</v>
      </c>
      <c r="H4725" s="6" t="s">
        <v>74</v>
      </c>
      <c r="I4725" s="6" t="n">
        <f aca="false">D4725*F4725</f>
        <v>8.32</v>
      </c>
      <c r="J4725" s="6" t="n">
        <f aca="false">HOUR(E4725)</f>
        <v>22</v>
      </c>
      <c r="K4725" s="6" t="n">
        <f aca="false">IF(COUNTIF($A$2:$A4725,A4725)=1,1,0)</f>
        <v>0</v>
      </c>
    </row>
    <row r="4726" customFormat="false" ht="15" hidden="false" customHeight="false" outlineLevel="0" collapsed="false">
      <c r="A4726" s="0" t="s">
        <v>975</v>
      </c>
      <c r="B4726" s="0" t="s">
        <v>45</v>
      </c>
      <c r="D4726" s="0" t="n">
        <v>18</v>
      </c>
      <c r="E4726" s="5" t="n">
        <v>46004.9348726852</v>
      </c>
      <c r="F4726" s="0" t="n">
        <v>2.1</v>
      </c>
      <c r="H4726" s="6" t="s">
        <v>74</v>
      </c>
      <c r="I4726" s="6" t="n">
        <f aca="false">D4726*F4726</f>
        <v>37.8</v>
      </c>
      <c r="J4726" s="6" t="n">
        <f aca="false">HOUR(E4726)</f>
        <v>22</v>
      </c>
      <c r="K4726" s="6" t="n">
        <f aca="false">IF(COUNTIF($A$2:$A4726,A4726)=1,1,0)</f>
        <v>0</v>
      </c>
    </row>
    <row r="4727" customFormat="false" ht="15" hidden="false" customHeight="false" outlineLevel="0" collapsed="false">
      <c r="A4727" s="0" t="s">
        <v>975</v>
      </c>
      <c r="B4727" s="0" t="s">
        <v>102</v>
      </c>
      <c r="C4727" s="0" t="s">
        <v>103</v>
      </c>
      <c r="D4727" s="0" t="n">
        <v>47</v>
      </c>
      <c r="E4727" s="5" t="n">
        <v>46004.9348726852</v>
      </c>
      <c r="F4727" s="0" t="n">
        <v>8.5</v>
      </c>
      <c r="H4727" s="6" t="s">
        <v>74</v>
      </c>
      <c r="I4727" s="6" t="n">
        <f aca="false">D4727*F4727</f>
        <v>399.5</v>
      </c>
      <c r="J4727" s="6" t="n">
        <f aca="false">HOUR(E4727)</f>
        <v>22</v>
      </c>
      <c r="K4727" s="6" t="n">
        <f aca="false">IF(COUNTIF($A$2:$A4727,A4727)=1,1,0)</f>
        <v>0</v>
      </c>
    </row>
    <row r="4728" customFormat="false" ht="15" hidden="false" customHeight="false" outlineLevel="0" collapsed="false">
      <c r="A4728" s="0" t="s">
        <v>975</v>
      </c>
      <c r="B4728" s="0" t="s">
        <v>93</v>
      </c>
      <c r="C4728" s="0" t="s">
        <v>94</v>
      </c>
      <c r="D4728" s="0" t="n">
        <v>20</v>
      </c>
      <c r="E4728" s="5" t="n">
        <v>46004.9348726852</v>
      </c>
      <c r="F4728" s="0" t="n">
        <v>1.69</v>
      </c>
      <c r="H4728" s="6" t="s">
        <v>74</v>
      </c>
      <c r="I4728" s="6" t="n">
        <f aca="false">D4728*F4728</f>
        <v>33.8</v>
      </c>
      <c r="J4728" s="6" t="n">
        <f aca="false">HOUR(E4728)</f>
        <v>22</v>
      </c>
      <c r="K4728" s="6" t="n">
        <f aca="false">IF(COUNTIF($A$2:$A4728,A4728)=1,1,0)</f>
        <v>0</v>
      </c>
    </row>
    <row r="4729" customFormat="false" ht="15" hidden="false" customHeight="false" outlineLevel="0" collapsed="false">
      <c r="A4729" s="0" t="s">
        <v>975</v>
      </c>
      <c r="B4729" s="0" t="s">
        <v>61</v>
      </c>
      <c r="C4729" s="0" t="s">
        <v>62</v>
      </c>
      <c r="D4729" s="0" t="n">
        <v>17</v>
      </c>
      <c r="E4729" s="5" t="n">
        <v>46004.9348726852</v>
      </c>
      <c r="F4729" s="0" t="n">
        <v>1.65</v>
      </c>
      <c r="H4729" s="6" t="s">
        <v>74</v>
      </c>
      <c r="I4729" s="6" t="n">
        <f aca="false">D4729*F4729</f>
        <v>28.05</v>
      </c>
      <c r="J4729" s="6" t="n">
        <f aca="false">HOUR(E4729)</f>
        <v>22</v>
      </c>
      <c r="K4729" s="6" t="n">
        <f aca="false">IF(COUNTIF($A$2:$A4729,A4729)=1,1,0)</f>
        <v>0</v>
      </c>
    </row>
    <row r="4730" customFormat="false" ht="15" hidden="false" customHeight="false" outlineLevel="0" collapsed="false">
      <c r="A4730" s="0" t="s">
        <v>976</v>
      </c>
      <c r="B4730" s="0" t="s">
        <v>95</v>
      </c>
      <c r="C4730" s="0" t="s">
        <v>96</v>
      </c>
      <c r="D4730" s="0" t="n">
        <v>34</v>
      </c>
      <c r="E4730" s="5" t="n">
        <v>46005.3200810185</v>
      </c>
      <c r="F4730" s="0" t="n">
        <v>2.55</v>
      </c>
      <c r="G4730" s="0" t="n">
        <v>17054</v>
      </c>
      <c r="H4730" s="6" t="s">
        <v>151</v>
      </c>
      <c r="I4730" s="6" t="n">
        <f aca="false">D4730*F4730</f>
        <v>86.7</v>
      </c>
      <c r="J4730" s="6" t="n">
        <f aca="false">HOUR(E4730)</f>
        <v>7</v>
      </c>
      <c r="K4730" s="6" t="n">
        <f aca="false">IF(COUNTIF($A$2:$A4730,A4730)=1,1,0)</f>
        <v>1</v>
      </c>
    </row>
    <row r="4731" customFormat="false" ht="15" hidden="false" customHeight="false" outlineLevel="0" collapsed="false">
      <c r="A4731" s="0" t="s">
        <v>976</v>
      </c>
      <c r="B4731" s="0" t="s">
        <v>91</v>
      </c>
      <c r="C4731" s="0" t="s">
        <v>92</v>
      </c>
      <c r="D4731" s="0" t="n">
        <v>7</v>
      </c>
      <c r="E4731" s="5" t="n">
        <v>46005.3200810185</v>
      </c>
      <c r="F4731" s="0" t="n">
        <v>7.65</v>
      </c>
      <c r="G4731" s="0" t="n">
        <v>17054</v>
      </c>
      <c r="H4731" s="6" t="s">
        <v>151</v>
      </c>
      <c r="I4731" s="6" t="n">
        <f aca="false">D4731*F4731</f>
        <v>53.55</v>
      </c>
      <c r="J4731" s="6" t="n">
        <f aca="false">HOUR(E4731)</f>
        <v>7</v>
      </c>
      <c r="K4731" s="6" t="n">
        <f aca="false">IF(COUNTIF($A$2:$A4731,A4731)=1,1,0)</f>
        <v>0</v>
      </c>
    </row>
    <row r="4732" customFormat="false" ht="15" hidden="false" customHeight="false" outlineLevel="0" collapsed="false">
      <c r="A4732" s="0" t="s">
        <v>976</v>
      </c>
      <c r="B4732" s="0" t="s">
        <v>131</v>
      </c>
      <c r="C4732" s="0" t="s">
        <v>132</v>
      </c>
      <c r="D4732" s="0" t="n">
        <v>23</v>
      </c>
      <c r="E4732" s="5" t="n">
        <v>46005.3200810185</v>
      </c>
      <c r="F4732" s="0" t="n">
        <v>3.39</v>
      </c>
      <c r="G4732" s="0" t="n">
        <v>17054</v>
      </c>
      <c r="H4732" s="6" t="s">
        <v>151</v>
      </c>
      <c r="I4732" s="6" t="n">
        <f aca="false">D4732*F4732</f>
        <v>77.97</v>
      </c>
      <c r="J4732" s="6" t="n">
        <f aca="false">HOUR(E4732)</f>
        <v>7</v>
      </c>
      <c r="K4732" s="6" t="n">
        <f aca="false">IF(COUNTIF($A$2:$A4732,A4732)=1,1,0)</f>
        <v>0</v>
      </c>
    </row>
    <row r="4733" customFormat="false" ht="15" hidden="false" customHeight="false" outlineLevel="0" collapsed="false">
      <c r="A4733" s="0" t="s">
        <v>976</v>
      </c>
      <c r="B4733" s="0" t="s">
        <v>63</v>
      </c>
      <c r="C4733" s="0" t="s">
        <v>64</v>
      </c>
      <c r="D4733" s="0" t="n">
        <v>8</v>
      </c>
      <c r="E4733" s="5" t="n">
        <v>46005.3200810185</v>
      </c>
      <c r="F4733" s="0" t="n">
        <v>1.85</v>
      </c>
      <c r="G4733" s="0" t="n">
        <v>17054</v>
      </c>
      <c r="H4733" s="6" t="s">
        <v>151</v>
      </c>
      <c r="I4733" s="6" t="n">
        <f aca="false">D4733*F4733</f>
        <v>14.8</v>
      </c>
      <c r="J4733" s="6" t="n">
        <f aca="false">HOUR(E4733)</f>
        <v>7</v>
      </c>
      <c r="K4733" s="6" t="n">
        <f aca="false">IF(COUNTIF($A$2:$A4733,A4733)=1,1,0)</f>
        <v>0</v>
      </c>
    </row>
    <row r="4734" customFormat="false" ht="15" hidden="false" customHeight="false" outlineLevel="0" collapsed="false">
      <c r="A4734" s="0" t="s">
        <v>976</v>
      </c>
      <c r="B4734" s="0" t="s">
        <v>107</v>
      </c>
      <c r="C4734" s="0" t="s">
        <v>108</v>
      </c>
      <c r="D4734" s="0" t="n">
        <v>7</v>
      </c>
      <c r="E4734" s="5" t="n">
        <v>46005.3200810185</v>
      </c>
      <c r="F4734" s="0" t="n">
        <v>3.75</v>
      </c>
      <c r="G4734" s="0" t="n">
        <v>17054</v>
      </c>
      <c r="H4734" s="6" t="s">
        <v>151</v>
      </c>
      <c r="I4734" s="6" t="n">
        <f aca="false">D4734*F4734</f>
        <v>26.25</v>
      </c>
      <c r="J4734" s="6" t="n">
        <f aca="false">HOUR(E4734)</f>
        <v>7</v>
      </c>
      <c r="K4734" s="6" t="n">
        <f aca="false">IF(COUNTIF($A$2:$A4734,A4734)=1,1,0)</f>
        <v>0</v>
      </c>
    </row>
    <row r="4735" customFormat="false" ht="15" hidden="false" customHeight="false" outlineLevel="0" collapsed="false">
      <c r="A4735" s="0" t="s">
        <v>976</v>
      </c>
      <c r="B4735" s="0" t="s">
        <v>137</v>
      </c>
      <c r="C4735" s="0" t="s">
        <v>138</v>
      </c>
      <c r="D4735" s="0" t="n">
        <v>16</v>
      </c>
      <c r="E4735" s="5" t="n">
        <v>46005.3200810185</v>
      </c>
      <c r="F4735" s="0" t="n">
        <v>2.1</v>
      </c>
      <c r="G4735" s="0" t="n">
        <v>17054</v>
      </c>
      <c r="H4735" s="6" t="s">
        <v>151</v>
      </c>
      <c r="I4735" s="6" t="n">
        <f aca="false">D4735*F4735</f>
        <v>33.6</v>
      </c>
      <c r="J4735" s="6" t="n">
        <f aca="false">HOUR(E4735)</f>
        <v>7</v>
      </c>
      <c r="K4735" s="6" t="n">
        <f aca="false">IF(COUNTIF($A$2:$A4735,A4735)=1,1,0)</f>
        <v>0</v>
      </c>
    </row>
    <row r="4736" customFormat="false" ht="15" hidden="false" customHeight="false" outlineLevel="0" collapsed="false">
      <c r="A4736" s="0" t="s">
        <v>976</v>
      </c>
      <c r="B4736" s="0" t="s">
        <v>81</v>
      </c>
      <c r="C4736" s="0" t="s">
        <v>82</v>
      </c>
      <c r="D4736" s="0" t="n">
        <v>6</v>
      </c>
      <c r="E4736" s="5" t="n">
        <v>46005.3200810185</v>
      </c>
      <c r="F4736" s="0" t="n">
        <v>1.65</v>
      </c>
      <c r="G4736" s="0" t="n">
        <v>17054</v>
      </c>
      <c r="H4736" s="6" t="s">
        <v>151</v>
      </c>
      <c r="I4736" s="6" t="n">
        <f aca="false">D4736*F4736</f>
        <v>9.9</v>
      </c>
      <c r="J4736" s="6" t="n">
        <f aca="false">HOUR(E4736)</f>
        <v>7</v>
      </c>
      <c r="K4736" s="6" t="n">
        <f aca="false">IF(COUNTIF($A$2:$A4736,A4736)=1,1,0)</f>
        <v>0</v>
      </c>
    </row>
    <row r="4737" customFormat="false" ht="15" hidden="false" customHeight="false" outlineLevel="0" collapsed="false">
      <c r="A4737" s="0" t="s">
        <v>976</v>
      </c>
      <c r="B4737" s="0" t="s">
        <v>145</v>
      </c>
      <c r="C4737" s="0" t="s">
        <v>146</v>
      </c>
      <c r="D4737" s="0" t="n">
        <v>11</v>
      </c>
      <c r="E4737" s="5" t="n">
        <v>46005.3200810185</v>
      </c>
      <c r="F4737" s="0" t="n">
        <v>1.85</v>
      </c>
      <c r="G4737" s="0" t="n">
        <v>17054</v>
      </c>
      <c r="H4737" s="6" t="s">
        <v>151</v>
      </c>
      <c r="I4737" s="6" t="n">
        <f aca="false">D4737*F4737</f>
        <v>20.35</v>
      </c>
      <c r="J4737" s="6" t="n">
        <f aca="false">HOUR(E4737)</f>
        <v>7</v>
      </c>
      <c r="K4737" s="6" t="n">
        <f aca="false">IF(COUNTIF($A$2:$A4737,A4737)=1,1,0)</f>
        <v>0</v>
      </c>
    </row>
    <row r="4738" customFormat="false" ht="15" hidden="false" customHeight="false" outlineLevel="0" collapsed="false">
      <c r="A4738" s="0" t="s">
        <v>976</v>
      </c>
      <c r="B4738" s="0" t="s">
        <v>53</v>
      </c>
      <c r="C4738" s="0" t="s">
        <v>54</v>
      </c>
      <c r="D4738" s="0" t="n">
        <v>24</v>
      </c>
      <c r="E4738" s="5" t="n">
        <v>46005.3200810185</v>
      </c>
      <c r="F4738" s="0" t="n">
        <v>2.95</v>
      </c>
      <c r="G4738" s="0" t="n">
        <v>17054</v>
      </c>
      <c r="H4738" s="6" t="s">
        <v>151</v>
      </c>
      <c r="I4738" s="6" t="n">
        <f aca="false">D4738*F4738</f>
        <v>70.8</v>
      </c>
      <c r="J4738" s="6" t="n">
        <f aca="false">HOUR(E4738)</f>
        <v>7</v>
      </c>
      <c r="K4738" s="6" t="n">
        <f aca="false">IF(COUNTIF($A$2:$A4738,A4738)=1,1,0)</f>
        <v>0</v>
      </c>
    </row>
    <row r="4739" customFormat="false" ht="15" hidden="false" customHeight="false" outlineLevel="0" collapsed="false">
      <c r="A4739" s="0" t="s">
        <v>976</v>
      </c>
      <c r="B4739" s="0" t="s">
        <v>45</v>
      </c>
      <c r="C4739" s="0" t="s">
        <v>46</v>
      </c>
      <c r="D4739" s="0" t="n">
        <v>1</v>
      </c>
      <c r="E4739" s="5" t="n">
        <v>46005.3200810185</v>
      </c>
      <c r="F4739" s="0" t="n">
        <v>2.1</v>
      </c>
      <c r="G4739" s="0" t="n">
        <v>17054</v>
      </c>
      <c r="H4739" s="6" t="s">
        <v>151</v>
      </c>
      <c r="I4739" s="6" t="n">
        <f aca="false">D4739*F4739</f>
        <v>2.1</v>
      </c>
      <c r="J4739" s="6" t="n">
        <f aca="false">HOUR(E4739)</f>
        <v>7</v>
      </c>
      <c r="K4739" s="6" t="n">
        <f aca="false">IF(COUNTIF($A$2:$A4739,A4739)=1,1,0)</f>
        <v>0</v>
      </c>
    </row>
    <row r="4740" customFormat="false" ht="15" hidden="false" customHeight="false" outlineLevel="0" collapsed="false">
      <c r="A4740" s="0" t="s">
        <v>977</v>
      </c>
      <c r="B4740" s="0" t="s">
        <v>91</v>
      </c>
      <c r="C4740" s="0" t="s">
        <v>92</v>
      </c>
      <c r="D4740" s="0" t="n">
        <v>5</v>
      </c>
      <c r="E4740" s="5" t="n">
        <v>46005.3364583333</v>
      </c>
      <c r="F4740" s="0" t="n">
        <v>7.65</v>
      </c>
      <c r="H4740" s="6" t="s">
        <v>74</v>
      </c>
      <c r="I4740" s="6" t="n">
        <f aca="false">D4740*F4740</f>
        <v>38.25</v>
      </c>
      <c r="J4740" s="6" t="n">
        <f aca="false">HOUR(E4740)</f>
        <v>8</v>
      </c>
      <c r="K4740" s="6" t="n">
        <f aca="false">IF(COUNTIF($A$2:$A4740,A4740)=1,1,0)</f>
        <v>1</v>
      </c>
    </row>
    <row r="4741" customFormat="false" ht="15" hidden="false" customHeight="false" outlineLevel="0" collapsed="false">
      <c r="A4741" s="0" t="s">
        <v>977</v>
      </c>
      <c r="B4741" s="0" t="s">
        <v>104</v>
      </c>
      <c r="C4741" s="0" t="s">
        <v>105</v>
      </c>
      <c r="D4741" s="0" t="n">
        <v>23</v>
      </c>
      <c r="E4741" s="5" t="n">
        <v>46005.3364583333</v>
      </c>
      <c r="F4741" s="0" t="n">
        <v>1.65</v>
      </c>
      <c r="H4741" s="6" t="s">
        <v>74</v>
      </c>
      <c r="I4741" s="6" t="n">
        <f aca="false">D4741*F4741</f>
        <v>37.95</v>
      </c>
      <c r="J4741" s="6" t="n">
        <f aca="false">HOUR(E4741)</f>
        <v>8</v>
      </c>
      <c r="K4741" s="6" t="n">
        <f aca="false">IF(COUNTIF($A$2:$A4741,A4741)=1,1,0)</f>
        <v>0</v>
      </c>
    </row>
    <row r="4742" customFormat="false" ht="15" hidden="false" customHeight="false" outlineLevel="0" collapsed="false">
      <c r="A4742" s="0" t="s">
        <v>977</v>
      </c>
      <c r="B4742" s="0" t="s">
        <v>75</v>
      </c>
      <c r="C4742" s="0" t="s">
        <v>76</v>
      </c>
      <c r="D4742" s="0" t="n">
        <v>16</v>
      </c>
      <c r="E4742" s="5" t="n">
        <v>46005.3364583333</v>
      </c>
      <c r="F4742" s="0" t="n">
        <v>3.39</v>
      </c>
      <c r="H4742" s="6" t="s">
        <v>74</v>
      </c>
      <c r="I4742" s="6" t="n">
        <f aca="false">D4742*F4742</f>
        <v>54.24</v>
      </c>
      <c r="J4742" s="6" t="n">
        <f aca="false">HOUR(E4742)</f>
        <v>8</v>
      </c>
      <c r="K4742" s="6" t="n">
        <f aca="false">IF(COUNTIF($A$2:$A4742,A4742)=1,1,0)</f>
        <v>0</v>
      </c>
    </row>
    <row r="4743" customFormat="false" ht="15" hidden="false" customHeight="false" outlineLevel="0" collapsed="false">
      <c r="A4743" s="0" t="s">
        <v>977</v>
      </c>
      <c r="B4743" s="0" t="s">
        <v>95</v>
      </c>
      <c r="C4743" s="0" t="s">
        <v>96</v>
      </c>
      <c r="D4743" s="0" t="n">
        <v>34</v>
      </c>
      <c r="E4743" s="5" t="n">
        <v>46005.3364583333</v>
      </c>
      <c r="F4743" s="0" t="n">
        <v>2.55</v>
      </c>
      <c r="H4743" s="6" t="s">
        <v>74</v>
      </c>
      <c r="I4743" s="6" t="n">
        <f aca="false">D4743*F4743</f>
        <v>86.7</v>
      </c>
      <c r="J4743" s="6" t="n">
        <f aca="false">HOUR(E4743)</f>
        <v>8</v>
      </c>
      <c r="K4743" s="6" t="n">
        <f aca="false">IF(COUNTIF($A$2:$A4743,A4743)=1,1,0)</f>
        <v>0</v>
      </c>
    </row>
    <row r="4744" customFormat="false" ht="15" hidden="false" customHeight="false" outlineLevel="0" collapsed="false">
      <c r="A4744" s="0" t="s">
        <v>977</v>
      </c>
      <c r="B4744" s="0" t="s">
        <v>43</v>
      </c>
      <c r="C4744" s="0" t="s">
        <v>44</v>
      </c>
      <c r="D4744" s="0" t="n">
        <v>23</v>
      </c>
      <c r="E4744" s="5" t="n">
        <v>46005.3364583333</v>
      </c>
      <c r="F4744" s="0" t="n">
        <v>4.25</v>
      </c>
      <c r="H4744" s="6" t="s">
        <v>74</v>
      </c>
      <c r="I4744" s="6" t="n">
        <f aca="false">D4744*F4744</f>
        <v>97.75</v>
      </c>
      <c r="J4744" s="6" t="n">
        <f aca="false">HOUR(E4744)</f>
        <v>8</v>
      </c>
      <c r="K4744" s="6" t="n">
        <f aca="false">IF(COUNTIF($A$2:$A4744,A4744)=1,1,0)</f>
        <v>0</v>
      </c>
    </row>
    <row r="4745" customFormat="false" ht="15" hidden="false" customHeight="false" outlineLevel="0" collapsed="false">
      <c r="A4745" s="0" t="s">
        <v>977</v>
      </c>
      <c r="B4745" s="0" t="s">
        <v>93</v>
      </c>
      <c r="C4745" s="0" t="s">
        <v>94</v>
      </c>
      <c r="D4745" s="0" t="n">
        <v>6</v>
      </c>
      <c r="E4745" s="5" t="n">
        <v>46005.3364583333</v>
      </c>
      <c r="F4745" s="0" t="n">
        <v>1.69</v>
      </c>
      <c r="H4745" s="6" t="s">
        <v>74</v>
      </c>
      <c r="I4745" s="6" t="n">
        <f aca="false">D4745*F4745</f>
        <v>10.14</v>
      </c>
      <c r="J4745" s="6" t="n">
        <f aca="false">HOUR(E4745)</f>
        <v>8</v>
      </c>
      <c r="K4745" s="6" t="n">
        <f aca="false">IF(COUNTIF($A$2:$A4745,A4745)=1,1,0)</f>
        <v>0</v>
      </c>
    </row>
    <row r="4746" customFormat="false" ht="15" hidden="false" customHeight="false" outlineLevel="0" collapsed="false">
      <c r="A4746" s="0" t="s">
        <v>978</v>
      </c>
      <c r="B4746" s="0" t="s">
        <v>86</v>
      </c>
      <c r="C4746" s="0" t="s">
        <v>87</v>
      </c>
      <c r="D4746" s="0" t="n">
        <v>7</v>
      </c>
      <c r="E4746" s="5" t="n">
        <v>46005.4153356482</v>
      </c>
      <c r="F4746" s="0" t="n">
        <v>4.25</v>
      </c>
      <c r="G4746" s="0" t="n">
        <v>17181</v>
      </c>
      <c r="H4746" s="6" t="s">
        <v>74</v>
      </c>
      <c r="I4746" s="6" t="n">
        <f aca="false">D4746*F4746</f>
        <v>29.75</v>
      </c>
      <c r="J4746" s="6" t="n">
        <f aca="false">HOUR(E4746)</f>
        <v>9</v>
      </c>
      <c r="K4746" s="6" t="n">
        <f aca="false">IF(COUNTIF($A$2:$A4746,A4746)=1,1,0)</f>
        <v>1</v>
      </c>
    </row>
    <row r="4747" customFormat="false" ht="15" hidden="false" customHeight="false" outlineLevel="0" collapsed="false">
      <c r="A4747" s="0" t="s">
        <v>978</v>
      </c>
      <c r="B4747" s="0" t="s">
        <v>69</v>
      </c>
      <c r="C4747" s="0" t="s">
        <v>70</v>
      </c>
      <c r="D4747" s="0" t="n">
        <v>44</v>
      </c>
      <c r="E4747" s="5" t="n">
        <v>46005.4153356482</v>
      </c>
      <c r="F4747" s="0" t="n">
        <v>2.08</v>
      </c>
      <c r="G4747" s="0" t="n">
        <v>17181</v>
      </c>
      <c r="H4747" s="6" t="s">
        <v>74</v>
      </c>
      <c r="I4747" s="6" t="n">
        <f aca="false">D4747*F4747</f>
        <v>91.52</v>
      </c>
      <c r="J4747" s="6" t="n">
        <f aca="false">HOUR(E4747)</f>
        <v>9</v>
      </c>
      <c r="K4747" s="6" t="n">
        <f aca="false">IF(COUNTIF($A$2:$A4747,A4747)=1,1,0)</f>
        <v>0</v>
      </c>
    </row>
    <row r="4748" customFormat="false" ht="15" hidden="false" customHeight="false" outlineLevel="0" collapsed="false">
      <c r="A4748" s="0" t="s">
        <v>978</v>
      </c>
      <c r="B4748" s="0" t="s">
        <v>127</v>
      </c>
      <c r="C4748" s="0" t="s">
        <v>128</v>
      </c>
      <c r="D4748" s="0" t="n">
        <v>19</v>
      </c>
      <c r="E4748" s="5" t="n">
        <v>46005.4153356482</v>
      </c>
      <c r="F4748" s="0" t="n">
        <v>1.45</v>
      </c>
      <c r="G4748" s="0" t="n">
        <v>17181</v>
      </c>
      <c r="H4748" s="6" t="s">
        <v>74</v>
      </c>
      <c r="I4748" s="6" t="n">
        <f aca="false">D4748*F4748</f>
        <v>27.55</v>
      </c>
      <c r="J4748" s="6" t="n">
        <f aca="false">HOUR(E4748)</f>
        <v>9</v>
      </c>
      <c r="K4748" s="6" t="n">
        <f aca="false">IF(COUNTIF($A$2:$A4748,A4748)=1,1,0)</f>
        <v>0</v>
      </c>
    </row>
    <row r="4749" customFormat="false" ht="15" hidden="false" customHeight="false" outlineLevel="0" collapsed="false">
      <c r="A4749" s="0" t="s">
        <v>978</v>
      </c>
      <c r="B4749" s="0" t="s">
        <v>118</v>
      </c>
      <c r="C4749" s="0" t="s">
        <v>119</v>
      </c>
      <c r="D4749" s="0" t="n">
        <v>43</v>
      </c>
      <c r="E4749" s="5" t="n">
        <v>46005.4153356482</v>
      </c>
      <c r="F4749" s="0" t="n">
        <v>4.95</v>
      </c>
      <c r="G4749" s="0" t="n">
        <v>17181</v>
      </c>
      <c r="H4749" s="6" t="s">
        <v>74</v>
      </c>
      <c r="I4749" s="6" t="n">
        <f aca="false">D4749*F4749</f>
        <v>212.85</v>
      </c>
      <c r="J4749" s="6" t="n">
        <f aca="false">HOUR(E4749)</f>
        <v>9</v>
      </c>
      <c r="K4749" s="6" t="n">
        <f aca="false">IF(COUNTIF($A$2:$A4749,A4749)=1,1,0)</f>
        <v>0</v>
      </c>
    </row>
    <row r="4750" customFormat="false" ht="15" hidden="false" customHeight="false" outlineLevel="0" collapsed="false">
      <c r="A4750" s="0" t="s">
        <v>979</v>
      </c>
      <c r="B4750" s="0" t="s">
        <v>47</v>
      </c>
      <c r="C4750" s="0" t="s">
        <v>48</v>
      </c>
      <c r="D4750" s="0" t="n">
        <v>30</v>
      </c>
      <c r="E4750" s="5" t="n">
        <v>46005.4168518519</v>
      </c>
      <c r="F4750" s="0" t="n">
        <v>12.75</v>
      </c>
      <c r="G4750" s="0" t="n">
        <v>17207</v>
      </c>
      <c r="H4750" s="6" t="s">
        <v>42</v>
      </c>
      <c r="I4750" s="6" t="n">
        <f aca="false">D4750*F4750</f>
        <v>382.5</v>
      </c>
      <c r="J4750" s="6" t="n">
        <f aca="false">HOUR(E4750)</f>
        <v>10</v>
      </c>
      <c r="K4750" s="6" t="n">
        <f aca="false">IF(COUNTIF($A$2:$A4750,A4750)=1,1,0)</f>
        <v>1</v>
      </c>
    </row>
    <row r="4751" customFormat="false" ht="15" hidden="false" customHeight="false" outlineLevel="0" collapsed="false">
      <c r="A4751" s="0" t="s">
        <v>979</v>
      </c>
      <c r="B4751" s="0" t="s">
        <v>72</v>
      </c>
      <c r="C4751" s="0" t="s">
        <v>73</v>
      </c>
      <c r="D4751" s="0" t="n">
        <v>18</v>
      </c>
      <c r="E4751" s="5" t="n">
        <v>46005.4168518519</v>
      </c>
      <c r="F4751" s="0" t="n">
        <v>4.95</v>
      </c>
      <c r="G4751" s="0" t="n">
        <v>17207</v>
      </c>
      <c r="H4751" s="6" t="s">
        <v>42</v>
      </c>
      <c r="I4751" s="6" t="n">
        <f aca="false">D4751*F4751</f>
        <v>89.1</v>
      </c>
      <c r="J4751" s="6" t="n">
        <f aca="false">HOUR(E4751)</f>
        <v>10</v>
      </c>
      <c r="K4751" s="6" t="n">
        <f aca="false">IF(COUNTIF($A$2:$A4751,A4751)=1,1,0)</f>
        <v>0</v>
      </c>
    </row>
    <row r="4752" customFormat="false" ht="15" hidden="false" customHeight="false" outlineLevel="0" collapsed="false">
      <c r="A4752" s="0" t="s">
        <v>979</v>
      </c>
      <c r="B4752" s="0" t="s">
        <v>40</v>
      </c>
      <c r="C4752" s="0" t="s">
        <v>41</v>
      </c>
      <c r="D4752" s="0" t="n">
        <v>10</v>
      </c>
      <c r="E4752" s="5" t="n">
        <v>46005.4168518519</v>
      </c>
      <c r="F4752" s="0" t="n">
        <v>1.06</v>
      </c>
      <c r="G4752" s="0" t="n">
        <v>17207</v>
      </c>
      <c r="H4752" s="6" t="s">
        <v>42</v>
      </c>
      <c r="I4752" s="6" t="n">
        <f aca="false">D4752*F4752</f>
        <v>10.6</v>
      </c>
      <c r="J4752" s="6" t="n">
        <f aca="false">HOUR(E4752)</f>
        <v>10</v>
      </c>
      <c r="K4752" s="6" t="n">
        <f aca="false">IF(COUNTIF($A$2:$A4752,A4752)=1,1,0)</f>
        <v>0</v>
      </c>
    </row>
    <row r="4753" customFormat="false" ht="15" hidden="false" customHeight="false" outlineLevel="0" collapsed="false">
      <c r="A4753" s="0" t="s">
        <v>979</v>
      </c>
      <c r="B4753" s="0" t="s">
        <v>121</v>
      </c>
      <c r="C4753" s="0" t="s">
        <v>122</v>
      </c>
      <c r="D4753" s="0" t="n">
        <v>17</v>
      </c>
      <c r="E4753" s="5" t="n">
        <v>46005.4168518519</v>
      </c>
      <c r="F4753" s="0" t="n">
        <v>2.1</v>
      </c>
      <c r="G4753" s="0" t="n">
        <v>17207</v>
      </c>
      <c r="H4753" s="6" t="s">
        <v>42</v>
      </c>
      <c r="I4753" s="6" t="n">
        <f aca="false">D4753*F4753</f>
        <v>35.7</v>
      </c>
      <c r="J4753" s="6" t="n">
        <f aca="false">HOUR(E4753)</f>
        <v>10</v>
      </c>
      <c r="K4753" s="6" t="n">
        <f aca="false">IF(COUNTIF($A$2:$A4753,A4753)=1,1,0)</f>
        <v>0</v>
      </c>
    </row>
    <row r="4754" customFormat="false" ht="15" hidden="false" customHeight="false" outlineLevel="0" collapsed="false">
      <c r="A4754" s="0" t="s">
        <v>979</v>
      </c>
      <c r="B4754" s="0" t="s">
        <v>140</v>
      </c>
      <c r="C4754" s="0" t="s">
        <v>141</v>
      </c>
      <c r="D4754" s="0" t="n">
        <v>5</v>
      </c>
      <c r="E4754" s="5" t="n">
        <v>46005.4168518519</v>
      </c>
      <c r="F4754" s="0" t="n">
        <v>2.08</v>
      </c>
      <c r="G4754" s="0" t="n">
        <v>17207</v>
      </c>
      <c r="H4754" s="6" t="s">
        <v>42</v>
      </c>
      <c r="I4754" s="6" t="n">
        <f aca="false">D4754*F4754</f>
        <v>10.4</v>
      </c>
      <c r="J4754" s="6" t="n">
        <f aca="false">HOUR(E4754)</f>
        <v>10</v>
      </c>
      <c r="K4754" s="6" t="n">
        <f aca="false">IF(COUNTIF($A$2:$A4754,A4754)=1,1,0)</f>
        <v>0</v>
      </c>
    </row>
    <row r="4755" customFormat="false" ht="15" hidden="false" customHeight="false" outlineLevel="0" collapsed="false">
      <c r="A4755" s="0" t="s">
        <v>979</v>
      </c>
      <c r="B4755" s="0" t="s">
        <v>53</v>
      </c>
      <c r="C4755" s="0" t="s">
        <v>54</v>
      </c>
      <c r="D4755" s="0" t="n">
        <v>24</v>
      </c>
      <c r="E4755" s="5" t="n">
        <v>46005.4168518519</v>
      </c>
      <c r="F4755" s="0" t="n">
        <v>2.95</v>
      </c>
      <c r="G4755" s="0" t="n">
        <v>17207</v>
      </c>
      <c r="H4755" s="6" t="s">
        <v>42</v>
      </c>
      <c r="I4755" s="6" t="n">
        <f aca="false">D4755*F4755</f>
        <v>70.8</v>
      </c>
      <c r="J4755" s="6" t="n">
        <f aca="false">HOUR(E4755)</f>
        <v>10</v>
      </c>
      <c r="K4755" s="6" t="n">
        <f aca="false">IF(COUNTIF($A$2:$A4755,A4755)=1,1,0)</f>
        <v>0</v>
      </c>
    </row>
    <row r="4756" customFormat="false" ht="15" hidden="false" customHeight="false" outlineLevel="0" collapsed="false">
      <c r="A4756" s="0" t="s">
        <v>979</v>
      </c>
      <c r="B4756" s="0" t="s">
        <v>116</v>
      </c>
      <c r="C4756" s="0" t="s">
        <v>117</v>
      </c>
      <c r="D4756" s="0" t="n">
        <v>16</v>
      </c>
      <c r="E4756" s="5" t="n">
        <v>46005.4168518519</v>
      </c>
      <c r="F4756" s="0" t="n">
        <v>1.95</v>
      </c>
      <c r="G4756" s="0" t="n">
        <v>17207</v>
      </c>
      <c r="H4756" s="6" t="s">
        <v>42</v>
      </c>
      <c r="I4756" s="6" t="n">
        <f aca="false">D4756*F4756</f>
        <v>31.2</v>
      </c>
      <c r="J4756" s="6" t="n">
        <f aca="false">HOUR(E4756)</f>
        <v>10</v>
      </c>
      <c r="K4756" s="6" t="n">
        <f aca="false">IF(COUNTIF($A$2:$A4756,A4756)=1,1,0)</f>
        <v>0</v>
      </c>
    </row>
    <row r="4757" customFormat="false" ht="15" hidden="false" customHeight="false" outlineLevel="0" collapsed="false">
      <c r="A4757" s="0" t="s">
        <v>979</v>
      </c>
      <c r="B4757" s="0" t="s">
        <v>93</v>
      </c>
      <c r="D4757" s="0" t="n">
        <v>3</v>
      </c>
      <c r="E4757" s="5" t="n">
        <v>46005.4168518519</v>
      </c>
      <c r="F4757" s="0" t="n">
        <v>1.69</v>
      </c>
      <c r="G4757" s="0" t="n">
        <v>17207</v>
      </c>
      <c r="H4757" s="6" t="s">
        <v>42</v>
      </c>
      <c r="I4757" s="6" t="n">
        <f aca="false">D4757*F4757</f>
        <v>5.07</v>
      </c>
      <c r="J4757" s="6" t="n">
        <f aca="false">HOUR(E4757)</f>
        <v>10</v>
      </c>
      <c r="K4757" s="6" t="n">
        <f aca="false">IF(COUNTIF($A$2:$A4757,A4757)=1,1,0)</f>
        <v>0</v>
      </c>
    </row>
    <row r="4758" customFormat="false" ht="15" hidden="false" customHeight="false" outlineLevel="0" collapsed="false">
      <c r="A4758" s="0" t="s">
        <v>980</v>
      </c>
      <c r="B4758" s="0" t="s">
        <v>114</v>
      </c>
      <c r="C4758" s="0" t="s">
        <v>115</v>
      </c>
      <c r="D4758" s="0" t="n">
        <v>17</v>
      </c>
      <c r="E4758" s="5" t="n">
        <v>46005.4715509259</v>
      </c>
      <c r="F4758" s="0" t="n">
        <v>2.08</v>
      </c>
      <c r="G4758" s="0" t="n">
        <v>17021</v>
      </c>
      <c r="H4758" s="6" t="s">
        <v>98</v>
      </c>
      <c r="I4758" s="6" t="n">
        <f aca="false">D4758*F4758</f>
        <v>35.36</v>
      </c>
      <c r="J4758" s="6" t="n">
        <f aca="false">HOUR(E4758)</f>
        <v>11</v>
      </c>
      <c r="K4758" s="6" t="n">
        <f aca="false">IF(COUNTIF($A$2:$A4758,A4758)=1,1,0)</f>
        <v>1</v>
      </c>
    </row>
    <row r="4759" customFormat="false" ht="15" hidden="false" customHeight="false" outlineLevel="0" collapsed="false">
      <c r="A4759" s="0" t="s">
        <v>980</v>
      </c>
      <c r="B4759" s="0" t="s">
        <v>145</v>
      </c>
      <c r="C4759" s="0" t="s">
        <v>146</v>
      </c>
      <c r="D4759" s="0" t="n">
        <v>17</v>
      </c>
      <c r="E4759" s="5" t="n">
        <v>46005.4715509259</v>
      </c>
      <c r="F4759" s="0" t="n">
        <v>1.85</v>
      </c>
      <c r="G4759" s="0" t="n">
        <v>17021</v>
      </c>
      <c r="H4759" s="6" t="s">
        <v>98</v>
      </c>
      <c r="I4759" s="6" t="n">
        <f aca="false">D4759*F4759</f>
        <v>31.45</v>
      </c>
      <c r="J4759" s="6" t="n">
        <f aca="false">HOUR(E4759)</f>
        <v>11</v>
      </c>
      <c r="K4759" s="6" t="n">
        <f aca="false">IF(COUNTIF($A$2:$A4759,A4759)=1,1,0)</f>
        <v>0</v>
      </c>
    </row>
    <row r="4760" customFormat="false" ht="15" hidden="false" customHeight="false" outlineLevel="0" collapsed="false">
      <c r="A4760" s="0" t="s">
        <v>980</v>
      </c>
      <c r="B4760" s="0" t="s">
        <v>65</v>
      </c>
      <c r="C4760" s="0" t="s">
        <v>66</v>
      </c>
      <c r="D4760" s="0" t="n">
        <v>21</v>
      </c>
      <c r="E4760" s="5" t="n">
        <v>46005.4715509259</v>
      </c>
      <c r="F4760" s="0" t="n">
        <v>1.65</v>
      </c>
      <c r="G4760" s="0" t="n">
        <v>17021</v>
      </c>
      <c r="H4760" s="6" t="s">
        <v>98</v>
      </c>
      <c r="I4760" s="6" t="n">
        <f aca="false">D4760*F4760</f>
        <v>34.65</v>
      </c>
      <c r="J4760" s="6" t="n">
        <f aca="false">HOUR(E4760)</f>
        <v>11</v>
      </c>
      <c r="K4760" s="6" t="n">
        <f aca="false">IF(COUNTIF($A$2:$A4760,A4760)=1,1,0)</f>
        <v>0</v>
      </c>
    </row>
    <row r="4761" customFormat="false" ht="15" hidden="false" customHeight="false" outlineLevel="0" collapsed="false">
      <c r="A4761" s="0" t="s">
        <v>980</v>
      </c>
      <c r="B4761" s="0" t="s">
        <v>50</v>
      </c>
      <c r="C4761" s="0" t="s">
        <v>51</v>
      </c>
      <c r="D4761" s="0" t="n">
        <v>23</v>
      </c>
      <c r="E4761" s="5" t="n">
        <v>46005.4715509259</v>
      </c>
      <c r="F4761" s="0" t="n">
        <v>5.95</v>
      </c>
      <c r="G4761" s="0" t="n">
        <v>17021</v>
      </c>
      <c r="H4761" s="6" t="s">
        <v>98</v>
      </c>
      <c r="I4761" s="6" t="n">
        <f aca="false">D4761*F4761</f>
        <v>136.85</v>
      </c>
      <c r="J4761" s="6" t="n">
        <f aca="false">HOUR(E4761)</f>
        <v>11</v>
      </c>
      <c r="K4761" s="6" t="n">
        <f aca="false">IF(COUNTIF($A$2:$A4761,A4761)=1,1,0)</f>
        <v>0</v>
      </c>
    </row>
    <row r="4762" customFormat="false" ht="15" hidden="false" customHeight="false" outlineLevel="0" collapsed="false">
      <c r="A4762" s="0" t="s">
        <v>980</v>
      </c>
      <c r="B4762" s="0" t="s">
        <v>121</v>
      </c>
      <c r="C4762" s="0" t="s">
        <v>122</v>
      </c>
      <c r="D4762" s="0" t="n">
        <v>23</v>
      </c>
      <c r="E4762" s="5" t="n">
        <v>46005.4715509259</v>
      </c>
      <c r="F4762" s="0" t="n">
        <v>2.1</v>
      </c>
      <c r="G4762" s="0" t="n">
        <v>17021</v>
      </c>
      <c r="H4762" s="6" t="s">
        <v>98</v>
      </c>
      <c r="I4762" s="6" t="n">
        <f aca="false">D4762*F4762</f>
        <v>48.3</v>
      </c>
      <c r="J4762" s="6" t="n">
        <f aca="false">HOUR(E4762)</f>
        <v>11</v>
      </c>
      <c r="K4762" s="6" t="n">
        <f aca="false">IF(COUNTIF($A$2:$A4762,A4762)=1,1,0)</f>
        <v>0</v>
      </c>
    </row>
    <row r="4763" customFormat="false" ht="15" hidden="false" customHeight="false" outlineLevel="0" collapsed="false">
      <c r="A4763" s="0" t="s">
        <v>980</v>
      </c>
      <c r="B4763" s="0" t="s">
        <v>95</v>
      </c>
      <c r="C4763" s="0" t="s">
        <v>96</v>
      </c>
      <c r="D4763" s="0" t="n">
        <v>42</v>
      </c>
      <c r="E4763" s="5" t="n">
        <v>46005.4715509259</v>
      </c>
      <c r="F4763" s="0" t="n">
        <v>2.55</v>
      </c>
      <c r="G4763" s="0" t="n">
        <v>17021</v>
      </c>
      <c r="H4763" s="6" t="s">
        <v>98</v>
      </c>
      <c r="I4763" s="6" t="n">
        <f aca="false">D4763*F4763</f>
        <v>107.1</v>
      </c>
      <c r="J4763" s="6" t="n">
        <f aca="false">HOUR(E4763)</f>
        <v>11</v>
      </c>
      <c r="K4763" s="6" t="n">
        <f aca="false">IF(COUNTIF($A$2:$A4763,A4763)=1,1,0)</f>
        <v>0</v>
      </c>
    </row>
    <row r="4764" customFormat="false" ht="15" hidden="false" customHeight="false" outlineLevel="0" collapsed="false">
      <c r="A4764" s="0" t="s">
        <v>981</v>
      </c>
      <c r="B4764" s="0" t="s">
        <v>109</v>
      </c>
      <c r="C4764" s="0" t="s">
        <v>110</v>
      </c>
      <c r="D4764" s="0" t="n">
        <v>15</v>
      </c>
      <c r="E4764" s="5" t="n">
        <v>46005.5767013889</v>
      </c>
      <c r="F4764" s="0" t="n">
        <v>0.85</v>
      </c>
      <c r="G4764" s="0" t="n">
        <v>17126</v>
      </c>
      <c r="H4764" s="6" t="s">
        <v>74</v>
      </c>
      <c r="I4764" s="6" t="n">
        <f aca="false">D4764*F4764</f>
        <v>12.75</v>
      </c>
      <c r="J4764" s="6" t="n">
        <f aca="false">HOUR(E4764)</f>
        <v>13</v>
      </c>
      <c r="K4764" s="6" t="n">
        <f aca="false">IF(COUNTIF($A$2:$A4764,A4764)=1,1,0)</f>
        <v>1</v>
      </c>
    </row>
    <row r="4765" customFormat="false" ht="15" hidden="false" customHeight="false" outlineLevel="0" collapsed="false">
      <c r="A4765" s="0" t="s">
        <v>981</v>
      </c>
      <c r="B4765" s="0" t="s">
        <v>134</v>
      </c>
      <c r="C4765" s="0" t="s">
        <v>135</v>
      </c>
      <c r="D4765" s="0" t="n">
        <v>22</v>
      </c>
      <c r="E4765" s="5" t="n">
        <v>46005.5767013889</v>
      </c>
      <c r="F4765" s="0" t="n">
        <v>5.95</v>
      </c>
      <c r="G4765" s="0" t="n">
        <v>17126</v>
      </c>
      <c r="H4765" s="6" t="s">
        <v>74</v>
      </c>
      <c r="I4765" s="6" t="n">
        <f aca="false">D4765*F4765</f>
        <v>130.9</v>
      </c>
      <c r="J4765" s="6" t="n">
        <f aca="false">HOUR(E4765)</f>
        <v>13</v>
      </c>
      <c r="K4765" s="6" t="n">
        <f aca="false">IF(COUNTIF($A$2:$A4765,A4765)=1,1,0)</f>
        <v>0</v>
      </c>
    </row>
    <row r="4766" customFormat="false" ht="15" hidden="false" customHeight="false" outlineLevel="0" collapsed="false">
      <c r="A4766" s="0" t="s">
        <v>981</v>
      </c>
      <c r="B4766" s="0" t="s">
        <v>75</v>
      </c>
      <c r="C4766" s="0" t="s">
        <v>76</v>
      </c>
      <c r="D4766" s="0" t="n">
        <v>21</v>
      </c>
      <c r="E4766" s="5" t="n">
        <v>46005.5767013889</v>
      </c>
      <c r="F4766" s="0" t="n">
        <v>3.39</v>
      </c>
      <c r="G4766" s="0" t="n">
        <v>17126</v>
      </c>
      <c r="H4766" s="6" t="s">
        <v>74</v>
      </c>
      <c r="I4766" s="6" t="n">
        <f aca="false">D4766*F4766</f>
        <v>71.19</v>
      </c>
      <c r="J4766" s="6" t="n">
        <f aca="false">HOUR(E4766)</f>
        <v>13</v>
      </c>
      <c r="K4766" s="6" t="n">
        <f aca="false">IF(COUNTIF($A$2:$A4766,A4766)=1,1,0)</f>
        <v>0</v>
      </c>
    </row>
    <row r="4767" customFormat="false" ht="15" hidden="false" customHeight="false" outlineLevel="0" collapsed="false">
      <c r="A4767" s="0" t="s">
        <v>981</v>
      </c>
      <c r="B4767" s="0" t="s">
        <v>77</v>
      </c>
      <c r="C4767" s="0" t="s">
        <v>78</v>
      </c>
      <c r="D4767" s="0" t="n">
        <v>5</v>
      </c>
      <c r="E4767" s="5" t="n">
        <v>46005.5767013889</v>
      </c>
      <c r="F4767" s="0" t="n">
        <v>1.65</v>
      </c>
      <c r="G4767" s="0" t="n">
        <v>17126</v>
      </c>
      <c r="H4767" s="6" t="s">
        <v>74</v>
      </c>
      <c r="I4767" s="6" t="n">
        <f aca="false">D4767*F4767</f>
        <v>8.25</v>
      </c>
      <c r="J4767" s="6" t="n">
        <f aca="false">HOUR(E4767)</f>
        <v>13</v>
      </c>
      <c r="K4767" s="6" t="n">
        <f aca="false">IF(COUNTIF($A$2:$A4767,A4767)=1,1,0)</f>
        <v>0</v>
      </c>
    </row>
    <row r="4768" customFormat="false" ht="15" hidden="false" customHeight="false" outlineLevel="0" collapsed="false">
      <c r="A4768" s="0" t="s">
        <v>981</v>
      </c>
      <c r="B4768" s="0" t="s">
        <v>145</v>
      </c>
      <c r="C4768" s="0" t="s">
        <v>146</v>
      </c>
      <c r="D4768" s="0" t="n">
        <v>11</v>
      </c>
      <c r="E4768" s="5" t="n">
        <v>46005.5767013889</v>
      </c>
      <c r="F4768" s="0" t="n">
        <v>1.85</v>
      </c>
      <c r="G4768" s="0" t="n">
        <v>17126</v>
      </c>
      <c r="H4768" s="6" t="s">
        <v>74</v>
      </c>
      <c r="I4768" s="6" t="n">
        <f aca="false">D4768*F4768</f>
        <v>20.35</v>
      </c>
      <c r="J4768" s="6" t="n">
        <f aca="false">HOUR(E4768)</f>
        <v>13</v>
      </c>
      <c r="K4768" s="6" t="n">
        <f aca="false">IF(COUNTIF($A$2:$A4768,A4768)=1,1,0)</f>
        <v>0</v>
      </c>
    </row>
    <row r="4769" customFormat="false" ht="15" hidden="false" customHeight="false" outlineLevel="0" collapsed="false">
      <c r="A4769" s="0" t="s">
        <v>981</v>
      </c>
      <c r="B4769" s="0" t="s">
        <v>63</v>
      </c>
      <c r="C4769" s="0" t="s">
        <v>64</v>
      </c>
      <c r="D4769" s="0" t="n">
        <v>16</v>
      </c>
      <c r="E4769" s="5" t="n">
        <v>46005.5767013889</v>
      </c>
      <c r="F4769" s="0" t="n">
        <v>1.85</v>
      </c>
      <c r="G4769" s="0" t="n">
        <v>17126</v>
      </c>
      <c r="H4769" s="6" t="s">
        <v>74</v>
      </c>
      <c r="I4769" s="6" t="n">
        <f aca="false">D4769*F4769</f>
        <v>29.6</v>
      </c>
      <c r="J4769" s="6" t="n">
        <f aca="false">HOUR(E4769)</f>
        <v>13</v>
      </c>
      <c r="K4769" s="6" t="n">
        <f aca="false">IF(COUNTIF($A$2:$A4769,A4769)=1,1,0)</f>
        <v>0</v>
      </c>
    </row>
    <row r="4770" customFormat="false" ht="15" hidden="false" customHeight="false" outlineLevel="0" collapsed="false">
      <c r="A4770" s="0" t="s">
        <v>981</v>
      </c>
      <c r="B4770" s="0" t="s">
        <v>140</v>
      </c>
      <c r="C4770" s="0" t="s">
        <v>141</v>
      </c>
      <c r="D4770" s="0" t="n">
        <v>12</v>
      </c>
      <c r="E4770" s="5" t="n">
        <v>46005.5767013889</v>
      </c>
      <c r="F4770" s="0" t="n">
        <v>2.08</v>
      </c>
      <c r="G4770" s="0" t="n">
        <v>17126</v>
      </c>
      <c r="H4770" s="6" t="s">
        <v>74</v>
      </c>
      <c r="I4770" s="6" t="n">
        <f aca="false">D4770*F4770</f>
        <v>24.96</v>
      </c>
      <c r="J4770" s="6" t="n">
        <f aca="false">HOUR(E4770)</f>
        <v>13</v>
      </c>
      <c r="K4770" s="6" t="n">
        <f aca="false">IF(COUNTIF($A$2:$A4770,A4770)=1,1,0)</f>
        <v>0</v>
      </c>
    </row>
    <row r="4771" customFormat="false" ht="15" hidden="false" customHeight="false" outlineLevel="0" collapsed="false">
      <c r="A4771" s="0" t="s">
        <v>981</v>
      </c>
      <c r="B4771" s="0" t="s">
        <v>99</v>
      </c>
      <c r="C4771" s="0" t="s">
        <v>100</v>
      </c>
      <c r="D4771" s="0" t="n">
        <v>5</v>
      </c>
      <c r="E4771" s="5" t="n">
        <v>46005.5767013889</v>
      </c>
      <c r="F4771" s="0" t="n">
        <v>2.08</v>
      </c>
      <c r="G4771" s="0" t="n">
        <v>17126</v>
      </c>
      <c r="H4771" s="6" t="s">
        <v>74</v>
      </c>
      <c r="I4771" s="6" t="n">
        <f aca="false">D4771*F4771</f>
        <v>10.4</v>
      </c>
      <c r="J4771" s="6" t="n">
        <f aca="false">HOUR(E4771)</f>
        <v>13</v>
      </c>
      <c r="K4771" s="6" t="n">
        <f aca="false">IF(COUNTIF($A$2:$A4771,A4771)=1,1,0)</f>
        <v>0</v>
      </c>
    </row>
    <row r="4772" customFormat="false" ht="15" hidden="false" customHeight="false" outlineLevel="0" collapsed="false">
      <c r="A4772" s="0" t="s">
        <v>981</v>
      </c>
      <c r="B4772" s="0" t="s">
        <v>116</v>
      </c>
      <c r="C4772" s="0" t="s">
        <v>117</v>
      </c>
      <c r="D4772" s="0" t="n">
        <v>24</v>
      </c>
      <c r="E4772" s="5" t="n">
        <v>46005.5767013889</v>
      </c>
      <c r="F4772" s="0" t="n">
        <v>1.95</v>
      </c>
      <c r="G4772" s="0" t="n">
        <v>17126</v>
      </c>
      <c r="H4772" s="6" t="s">
        <v>74</v>
      </c>
      <c r="I4772" s="6" t="n">
        <f aca="false">D4772*F4772</f>
        <v>46.8</v>
      </c>
      <c r="J4772" s="6" t="n">
        <f aca="false">HOUR(E4772)</f>
        <v>13</v>
      </c>
      <c r="K4772" s="6" t="n">
        <f aca="false">IF(COUNTIF($A$2:$A4772,A4772)=1,1,0)</f>
        <v>0</v>
      </c>
    </row>
    <row r="4773" customFormat="false" ht="15" hidden="false" customHeight="false" outlineLevel="0" collapsed="false">
      <c r="A4773" s="0" t="s">
        <v>982</v>
      </c>
      <c r="B4773" s="0" t="s">
        <v>79</v>
      </c>
      <c r="C4773" s="0" t="s">
        <v>80</v>
      </c>
      <c r="D4773" s="0" t="n">
        <v>3</v>
      </c>
      <c r="E4773" s="5" t="n">
        <v>46005.7695023148</v>
      </c>
      <c r="F4773" s="0" t="n">
        <v>3.39</v>
      </c>
      <c r="G4773" s="0" t="n">
        <v>17023</v>
      </c>
      <c r="H4773" s="6" t="s">
        <v>151</v>
      </c>
      <c r="I4773" s="6" t="n">
        <f aca="false">D4773*F4773</f>
        <v>10.17</v>
      </c>
      <c r="J4773" s="6" t="n">
        <f aca="false">HOUR(E4773)</f>
        <v>18</v>
      </c>
      <c r="K4773" s="6" t="n">
        <f aca="false">IF(COUNTIF($A$2:$A4773,A4773)=1,1,0)</f>
        <v>1</v>
      </c>
    </row>
    <row r="4774" customFormat="false" ht="15" hidden="false" customHeight="false" outlineLevel="0" collapsed="false">
      <c r="A4774" s="0" t="s">
        <v>982</v>
      </c>
      <c r="B4774" s="0" t="s">
        <v>99</v>
      </c>
      <c r="C4774" s="0" t="s">
        <v>100</v>
      </c>
      <c r="D4774" s="0" t="n">
        <v>4</v>
      </c>
      <c r="E4774" s="5" t="n">
        <v>46005.7695023148</v>
      </c>
      <c r="F4774" s="0" t="n">
        <v>2.08</v>
      </c>
      <c r="G4774" s="0" t="n">
        <v>17023</v>
      </c>
      <c r="H4774" s="6" t="s">
        <v>151</v>
      </c>
      <c r="I4774" s="6" t="n">
        <f aca="false">D4774*F4774</f>
        <v>8.32</v>
      </c>
      <c r="J4774" s="6" t="n">
        <f aca="false">HOUR(E4774)</f>
        <v>18</v>
      </c>
      <c r="K4774" s="6" t="n">
        <f aca="false">IF(COUNTIF($A$2:$A4774,A4774)=1,1,0)</f>
        <v>0</v>
      </c>
    </row>
    <row r="4775" customFormat="false" ht="15" hidden="false" customHeight="false" outlineLevel="0" collapsed="false">
      <c r="A4775" s="0" t="s">
        <v>982</v>
      </c>
      <c r="B4775" s="0" t="s">
        <v>127</v>
      </c>
      <c r="C4775" s="0" t="s">
        <v>128</v>
      </c>
      <c r="D4775" s="0" t="n">
        <v>10</v>
      </c>
      <c r="E4775" s="5" t="n">
        <v>46005.7695023148</v>
      </c>
      <c r="F4775" s="0" t="n">
        <v>1.45</v>
      </c>
      <c r="G4775" s="0" t="n">
        <v>17023</v>
      </c>
      <c r="H4775" s="6" t="s">
        <v>151</v>
      </c>
      <c r="I4775" s="6" t="n">
        <f aca="false">D4775*F4775</f>
        <v>14.5</v>
      </c>
      <c r="J4775" s="6" t="n">
        <f aca="false">HOUR(E4775)</f>
        <v>18</v>
      </c>
      <c r="K4775" s="6" t="n">
        <f aca="false">IF(COUNTIF($A$2:$A4775,A4775)=1,1,0)</f>
        <v>0</v>
      </c>
    </row>
    <row r="4776" customFormat="false" ht="15" hidden="false" customHeight="false" outlineLevel="0" collapsed="false">
      <c r="A4776" s="0" t="s">
        <v>982</v>
      </c>
      <c r="B4776" s="0" t="s">
        <v>137</v>
      </c>
      <c r="C4776" s="0" t="s">
        <v>138</v>
      </c>
      <c r="D4776" s="0" t="n">
        <v>9</v>
      </c>
      <c r="E4776" s="5" t="n">
        <v>46005.7695023148</v>
      </c>
      <c r="F4776" s="0" t="n">
        <v>2.1</v>
      </c>
      <c r="G4776" s="0" t="n">
        <v>17023</v>
      </c>
      <c r="H4776" s="6" t="s">
        <v>151</v>
      </c>
      <c r="I4776" s="6" t="n">
        <f aca="false">D4776*F4776</f>
        <v>18.9</v>
      </c>
      <c r="J4776" s="6" t="n">
        <f aca="false">HOUR(E4776)</f>
        <v>18</v>
      </c>
      <c r="K4776" s="6" t="n">
        <f aca="false">IF(COUNTIF($A$2:$A4776,A4776)=1,1,0)</f>
        <v>0</v>
      </c>
    </row>
    <row r="4777" customFormat="false" ht="15" hidden="false" customHeight="false" outlineLevel="0" collapsed="false">
      <c r="A4777" s="0" t="s">
        <v>982</v>
      </c>
      <c r="B4777" s="0" t="s">
        <v>43</v>
      </c>
      <c r="C4777" s="0" t="s">
        <v>44</v>
      </c>
      <c r="D4777" s="0" t="n">
        <v>5</v>
      </c>
      <c r="E4777" s="5" t="n">
        <v>46005.7695023148</v>
      </c>
      <c r="F4777" s="0" t="n">
        <v>4.25</v>
      </c>
      <c r="G4777" s="0" t="n">
        <v>17023</v>
      </c>
      <c r="H4777" s="6" t="s">
        <v>151</v>
      </c>
      <c r="I4777" s="6" t="n">
        <f aca="false">D4777*F4777</f>
        <v>21.25</v>
      </c>
      <c r="J4777" s="6" t="n">
        <f aca="false">HOUR(E4777)</f>
        <v>18</v>
      </c>
      <c r="K4777" s="6" t="n">
        <f aca="false">IF(COUNTIF($A$2:$A4777,A4777)=1,1,0)</f>
        <v>0</v>
      </c>
    </row>
    <row r="4778" customFormat="false" ht="15" hidden="false" customHeight="false" outlineLevel="0" collapsed="false">
      <c r="A4778" s="0" t="s">
        <v>982</v>
      </c>
      <c r="B4778" s="0" t="s">
        <v>116</v>
      </c>
      <c r="C4778" s="0" t="s">
        <v>117</v>
      </c>
      <c r="D4778" s="0" t="n">
        <v>14</v>
      </c>
      <c r="E4778" s="5" t="n">
        <v>46005.7695023148</v>
      </c>
      <c r="F4778" s="0" t="n">
        <v>1.95</v>
      </c>
      <c r="G4778" s="0" t="n">
        <v>17023</v>
      </c>
      <c r="H4778" s="6" t="s">
        <v>151</v>
      </c>
      <c r="I4778" s="6" t="n">
        <f aca="false">D4778*F4778</f>
        <v>27.3</v>
      </c>
      <c r="J4778" s="6" t="n">
        <f aca="false">HOUR(E4778)</f>
        <v>18</v>
      </c>
      <c r="K4778" s="6" t="n">
        <f aca="false">IF(COUNTIF($A$2:$A4778,A4778)=1,1,0)</f>
        <v>0</v>
      </c>
    </row>
    <row r="4779" customFormat="false" ht="15" hidden="false" customHeight="false" outlineLevel="0" collapsed="false">
      <c r="A4779" s="0" t="s">
        <v>982</v>
      </c>
      <c r="B4779" s="0" t="s">
        <v>53</v>
      </c>
      <c r="C4779" s="0" t="s">
        <v>54</v>
      </c>
      <c r="D4779" s="0" t="n">
        <v>2</v>
      </c>
      <c r="E4779" s="5" t="n">
        <v>46005.7695023148</v>
      </c>
      <c r="F4779" s="0" t="n">
        <v>2.95</v>
      </c>
      <c r="G4779" s="0" t="n">
        <v>17023</v>
      </c>
      <c r="H4779" s="6" t="s">
        <v>151</v>
      </c>
      <c r="I4779" s="6" t="n">
        <f aca="false">D4779*F4779</f>
        <v>5.9</v>
      </c>
      <c r="J4779" s="6" t="n">
        <f aca="false">HOUR(E4779)</f>
        <v>18</v>
      </c>
      <c r="K4779" s="6" t="n">
        <f aca="false">IF(COUNTIF($A$2:$A4779,A4779)=1,1,0)</f>
        <v>0</v>
      </c>
    </row>
    <row r="4780" customFormat="false" ht="15" hidden="false" customHeight="false" outlineLevel="0" collapsed="false">
      <c r="A4780" s="0" t="s">
        <v>982</v>
      </c>
      <c r="B4780" s="0" t="s">
        <v>140</v>
      </c>
      <c r="C4780" s="0" t="s">
        <v>141</v>
      </c>
      <c r="D4780" s="0" t="n">
        <v>11</v>
      </c>
      <c r="E4780" s="5" t="n">
        <v>46005.7695023148</v>
      </c>
      <c r="F4780" s="0" t="n">
        <v>2.08</v>
      </c>
      <c r="G4780" s="0" t="n">
        <v>17023</v>
      </c>
      <c r="H4780" s="6" t="s">
        <v>151</v>
      </c>
      <c r="I4780" s="6" t="n">
        <f aca="false">D4780*F4780</f>
        <v>22.88</v>
      </c>
      <c r="J4780" s="6" t="n">
        <f aca="false">HOUR(E4780)</f>
        <v>18</v>
      </c>
      <c r="K4780" s="6" t="n">
        <f aca="false">IF(COUNTIF($A$2:$A4780,A4780)=1,1,0)</f>
        <v>0</v>
      </c>
    </row>
    <row r="4781" customFormat="false" ht="15" hidden="false" customHeight="false" outlineLevel="0" collapsed="false">
      <c r="A4781" s="0" t="s">
        <v>983</v>
      </c>
      <c r="B4781" s="0" t="s">
        <v>107</v>
      </c>
      <c r="C4781" s="0" t="s">
        <v>108</v>
      </c>
      <c r="D4781" s="0" t="n">
        <v>2</v>
      </c>
      <c r="E4781" s="5" t="n">
        <v>46005.7908101852</v>
      </c>
      <c r="F4781" s="0" t="n">
        <v>3.75</v>
      </c>
      <c r="G4781" s="0" t="n">
        <v>17168</v>
      </c>
      <c r="H4781" s="6" t="s">
        <v>98</v>
      </c>
      <c r="I4781" s="6" t="n">
        <f aca="false">D4781*F4781</f>
        <v>7.5</v>
      </c>
      <c r="J4781" s="6" t="n">
        <f aca="false">HOUR(E4781)</f>
        <v>18</v>
      </c>
      <c r="K4781" s="6" t="n">
        <f aca="false">IF(COUNTIF($A$2:$A4781,A4781)=1,1,0)</f>
        <v>1</v>
      </c>
    </row>
    <row r="4782" customFormat="false" ht="15" hidden="false" customHeight="false" outlineLevel="0" collapsed="false">
      <c r="A4782" s="0" t="s">
        <v>984</v>
      </c>
      <c r="B4782" s="0" t="s">
        <v>145</v>
      </c>
      <c r="C4782" s="0" t="s">
        <v>146</v>
      </c>
      <c r="D4782" s="0" t="n">
        <v>5</v>
      </c>
      <c r="E4782" s="5" t="n">
        <v>46005.9421875</v>
      </c>
      <c r="F4782" s="0" t="n">
        <v>1.85</v>
      </c>
      <c r="G4782" s="0" t="n">
        <v>17119</v>
      </c>
      <c r="H4782" s="6" t="s">
        <v>151</v>
      </c>
      <c r="I4782" s="6" t="n">
        <f aca="false">D4782*F4782</f>
        <v>9.25</v>
      </c>
      <c r="J4782" s="6" t="n">
        <f aca="false">HOUR(E4782)</f>
        <v>22</v>
      </c>
      <c r="K4782" s="6" t="n">
        <f aca="false">IF(COUNTIF($A$2:$A4782,A4782)=1,1,0)</f>
        <v>1</v>
      </c>
    </row>
    <row r="4783" customFormat="false" ht="15" hidden="false" customHeight="false" outlineLevel="0" collapsed="false">
      <c r="A4783" s="0" t="s">
        <v>984</v>
      </c>
      <c r="B4783" s="0" t="s">
        <v>53</v>
      </c>
      <c r="C4783" s="0" t="s">
        <v>54</v>
      </c>
      <c r="D4783" s="0" t="n">
        <v>14</v>
      </c>
      <c r="E4783" s="5" t="n">
        <v>46005.9421875</v>
      </c>
      <c r="F4783" s="0" t="n">
        <v>2.95</v>
      </c>
      <c r="G4783" s="0" t="n">
        <v>17119</v>
      </c>
      <c r="H4783" s="6" t="s">
        <v>151</v>
      </c>
      <c r="I4783" s="6" t="n">
        <f aca="false">D4783*F4783</f>
        <v>41.3</v>
      </c>
      <c r="J4783" s="6" t="n">
        <f aca="false">HOUR(E4783)</f>
        <v>22</v>
      </c>
      <c r="K4783" s="6" t="n">
        <f aca="false">IF(COUNTIF($A$2:$A4783,A4783)=1,1,0)</f>
        <v>0</v>
      </c>
    </row>
    <row r="4784" customFormat="false" ht="15" hidden="false" customHeight="false" outlineLevel="0" collapsed="false">
      <c r="A4784" s="0" t="s">
        <v>984</v>
      </c>
      <c r="B4784" s="0" t="s">
        <v>69</v>
      </c>
      <c r="C4784" s="0" t="s">
        <v>70</v>
      </c>
      <c r="D4784" s="0" t="n">
        <v>11</v>
      </c>
      <c r="E4784" s="5" t="n">
        <v>46005.9421875</v>
      </c>
      <c r="F4784" s="0" t="n">
        <v>2.08</v>
      </c>
      <c r="G4784" s="0" t="n">
        <v>17119</v>
      </c>
      <c r="H4784" s="6" t="s">
        <v>151</v>
      </c>
      <c r="I4784" s="6" t="n">
        <f aca="false">D4784*F4784</f>
        <v>22.88</v>
      </c>
      <c r="J4784" s="6" t="n">
        <f aca="false">HOUR(E4784)</f>
        <v>22</v>
      </c>
      <c r="K4784" s="6" t="n">
        <f aca="false">IF(COUNTIF($A$2:$A4784,A4784)=1,1,0)</f>
        <v>0</v>
      </c>
    </row>
    <row r="4785" customFormat="false" ht="15" hidden="false" customHeight="false" outlineLevel="0" collapsed="false">
      <c r="A4785" s="0" t="s">
        <v>984</v>
      </c>
      <c r="B4785" s="0" t="s">
        <v>57</v>
      </c>
      <c r="C4785" s="0" t="s">
        <v>58</v>
      </c>
      <c r="D4785" s="0" t="n">
        <v>4</v>
      </c>
      <c r="E4785" s="5" t="n">
        <v>46005.9421875</v>
      </c>
      <c r="F4785" s="0" t="n">
        <v>2.08</v>
      </c>
      <c r="G4785" s="0" t="n">
        <v>17119</v>
      </c>
      <c r="H4785" s="6" t="s">
        <v>151</v>
      </c>
      <c r="I4785" s="6" t="n">
        <f aca="false">D4785*F4785</f>
        <v>8.32</v>
      </c>
      <c r="J4785" s="6" t="n">
        <f aca="false">HOUR(E4785)</f>
        <v>22</v>
      </c>
      <c r="K4785" s="6" t="n">
        <f aca="false">IF(COUNTIF($A$2:$A4785,A4785)=1,1,0)</f>
        <v>0</v>
      </c>
    </row>
    <row r="4786" customFormat="false" ht="15" hidden="false" customHeight="false" outlineLevel="0" collapsed="false">
      <c r="A4786" s="0" t="s">
        <v>984</v>
      </c>
      <c r="B4786" s="0" t="s">
        <v>61</v>
      </c>
      <c r="C4786" s="0" t="s">
        <v>62</v>
      </c>
      <c r="D4786" s="0" t="n">
        <v>19</v>
      </c>
      <c r="E4786" s="5" t="n">
        <v>46005.9421875</v>
      </c>
      <c r="F4786" s="0" t="n">
        <v>1.65</v>
      </c>
      <c r="G4786" s="0" t="n">
        <v>17119</v>
      </c>
      <c r="H4786" s="6" t="s">
        <v>151</v>
      </c>
      <c r="I4786" s="6" t="n">
        <f aca="false">D4786*F4786</f>
        <v>31.35</v>
      </c>
      <c r="J4786" s="6" t="n">
        <f aca="false">HOUR(E4786)</f>
        <v>22</v>
      </c>
      <c r="K4786" s="6" t="n">
        <f aca="false">IF(COUNTIF($A$2:$A4786,A4786)=1,1,0)</f>
        <v>0</v>
      </c>
    </row>
    <row r="4787" customFormat="false" ht="15" hidden="false" customHeight="false" outlineLevel="0" collapsed="false">
      <c r="A4787" s="0" t="s">
        <v>984</v>
      </c>
      <c r="B4787" s="0" t="s">
        <v>125</v>
      </c>
      <c r="C4787" s="0" t="s">
        <v>126</v>
      </c>
      <c r="D4787" s="0" t="n">
        <v>12</v>
      </c>
      <c r="E4787" s="5" t="n">
        <v>46005.9421875</v>
      </c>
      <c r="F4787" s="0" t="n">
        <v>1.25</v>
      </c>
      <c r="G4787" s="0" t="n">
        <v>17119</v>
      </c>
      <c r="H4787" s="6" t="s">
        <v>151</v>
      </c>
      <c r="I4787" s="6" t="n">
        <f aca="false">D4787*F4787</f>
        <v>15</v>
      </c>
      <c r="J4787" s="6" t="n">
        <f aca="false">HOUR(E4787)</f>
        <v>22</v>
      </c>
      <c r="K4787" s="6" t="n">
        <f aca="false">IF(COUNTIF($A$2:$A4787,A4787)=1,1,0)</f>
        <v>0</v>
      </c>
    </row>
    <row r="4788" customFormat="false" ht="15" hidden="false" customHeight="false" outlineLevel="0" collapsed="false">
      <c r="A4788" s="0" t="s">
        <v>985</v>
      </c>
      <c r="B4788" s="0" t="s">
        <v>63</v>
      </c>
      <c r="C4788" s="0" t="s">
        <v>64</v>
      </c>
      <c r="D4788" s="0" t="n">
        <v>19</v>
      </c>
      <c r="E4788" s="5" t="n">
        <v>46006.3547569444</v>
      </c>
      <c r="F4788" s="0" t="n">
        <v>1.85</v>
      </c>
      <c r="G4788" s="0" t="n">
        <v>17194</v>
      </c>
      <c r="H4788" s="6" t="s">
        <v>113</v>
      </c>
      <c r="I4788" s="6" t="n">
        <f aca="false">D4788*F4788</f>
        <v>35.15</v>
      </c>
      <c r="J4788" s="6" t="n">
        <f aca="false">HOUR(E4788)</f>
        <v>8</v>
      </c>
      <c r="K4788" s="6" t="n">
        <f aca="false">IF(COUNTIF($A$2:$A4788,A4788)=1,1,0)</f>
        <v>1</v>
      </c>
    </row>
    <row r="4789" customFormat="false" ht="15" hidden="false" customHeight="false" outlineLevel="0" collapsed="false">
      <c r="A4789" s="0" t="s">
        <v>985</v>
      </c>
      <c r="B4789" s="0" t="s">
        <v>109</v>
      </c>
      <c r="C4789" s="0" t="s">
        <v>110</v>
      </c>
      <c r="D4789" s="0" t="n">
        <v>24</v>
      </c>
      <c r="E4789" s="5" t="n">
        <v>46006.3547569444</v>
      </c>
      <c r="F4789" s="0" t="n">
        <v>0.85</v>
      </c>
      <c r="G4789" s="0" t="n">
        <v>17194</v>
      </c>
      <c r="H4789" s="6" t="s">
        <v>113</v>
      </c>
      <c r="I4789" s="6" t="n">
        <f aca="false">D4789*F4789</f>
        <v>20.4</v>
      </c>
      <c r="J4789" s="6" t="n">
        <f aca="false">HOUR(E4789)</f>
        <v>8</v>
      </c>
      <c r="K4789" s="6" t="n">
        <f aca="false">IF(COUNTIF($A$2:$A4789,A4789)=1,1,0)</f>
        <v>0</v>
      </c>
    </row>
    <row r="4790" customFormat="false" ht="15" hidden="false" customHeight="false" outlineLevel="0" collapsed="false">
      <c r="A4790" s="0" t="s">
        <v>985</v>
      </c>
      <c r="B4790" s="0" t="s">
        <v>83</v>
      </c>
      <c r="C4790" s="0" t="s">
        <v>84</v>
      </c>
      <c r="D4790" s="0" t="n">
        <v>22</v>
      </c>
      <c r="E4790" s="5" t="n">
        <v>46006.3547569444</v>
      </c>
      <c r="F4790" s="0" t="n">
        <v>2.95</v>
      </c>
      <c r="G4790" s="0" t="n">
        <v>17194</v>
      </c>
      <c r="H4790" s="6" t="s">
        <v>113</v>
      </c>
      <c r="I4790" s="6" t="n">
        <f aca="false">D4790*F4790</f>
        <v>64.9</v>
      </c>
      <c r="J4790" s="6" t="n">
        <f aca="false">HOUR(E4790)</f>
        <v>8</v>
      </c>
      <c r="K4790" s="6" t="n">
        <f aca="false">IF(COUNTIF($A$2:$A4790,A4790)=1,1,0)</f>
        <v>0</v>
      </c>
    </row>
    <row r="4791" customFormat="false" ht="15" hidden="false" customHeight="false" outlineLevel="0" collapsed="false">
      <c r="A4791" s="0" t="s">
        <v>985</v>
      </c>
      <c r="B4791" s="0" t="s">
        <v>145</v>
      </c>
      <c r="C4791" s="0" t="s">
        <v>146</v>
      </c>
      <c r="D4791" s="0" t="n">
        <v>1</v>
      </c>
      <c r="E4791" s="5" t="n">
        <v>46006.3547569444</v>
      </c>
      <c r="F4791" s="0" t="n">
        <v>1.85</v>
      </c>
      <c r="G4791" s="0" t="n">
        <v>17194</v>
      </c>
      <c r="H4791" s="6" t="s">
        <v>113</v>
      </c>
      <c r="I4791" s="6" t="n">
        <f aca="false">D4791*F4791</f>
        <v>1.85</v>
      </c>
      <c r="J4791" s="6" t="n">
        <f aca="false">HOUR(E4791)</f>
        <v>8</v>
      </c>
      <c r="K4791" s="6" t="n">
        <f aca="false">IF(COUNTIF($A$2:$A4791,A4791)=1,1,0)</f>
        <v>0</v>
      </c>
    </row>
    <row r="4792" customFormat="false" ht="15" hidden="false" customHeight="false" outlineLevel="0" collapsed="false">
      <c r="A4792" s="0" t="s">
        <v>985</v>
      </c>
      <c r="B4792" s="0" t="s">
        <v>79</v>
      </c>
      <c r="C4792" s="0" t="s">
        <v>80</v>
      </c>
      <c r="D4792" s="0" t="n">
        <v>9</v>
      </c>
      <c r="E4792" s="5" t="n">
        <v>46006.3547569444</v>
      </c>
      <c r="F4792" s="0" t="n">
        <v>3.39</v>
      </c>
      <c r="G4792" s="0" t="n">
        <v>17194</v>
      </c>
      <c r="H4792" s="6" t="s">
        <v>113</v>
      </c>
      <c r="I4792" s="6" t="n">
        <f aca="false">D4792*F4792</f>
        <v>30.51</v>
      </c>
      <c r="J4792" s="6" t="n">
        <f aca="false">HOUR(E4792)</f>
        <v>8</v>
      </c>
      <c r="K4792" s="6" t="n">
        <f aca="false">IF(COUNTIF($A$2:$A4792,A4792)=1,1,0)</f>
        <v>0</v>
      </c>
    </row>
    <row r="4793" customFormat="false" ht="15" hidden="false" customHeight="false" outlineLevel="0" collapsed="false">
      <c r="A4793" s="0" t="s">
        <v>985</v>
      </c>
      <c r="B4793" s="0" t="s">
        <v>116</v>
      </c>
      <c r="C4793" s="0" t="s">
        <v>117</v>
      </c>
      <c r="D4793" s="0" t="n">
        <v>15</v>
      </c>
      <c r="E4793" s="5" t="n">
        <v>46006.3547569444</v>
      </c>
      <c r="F4793" s="0" t="n">
        <v>1.95</v>
      </c>
      <c r="G4793" s="0" t="n">
        <v>17194</v>
      </c>
      <c r="H4793" s="6" t="s">
        <v>113</v>
      </c>
      <c r="I4793" s="6" t="n">
        <f aca="false">D4793*F4793</f>
        <v>29.25</v>
      </c>
      <c r="J4793" s="6" t="n">
        <f aca="false">HOUR(E4793)</f>
        <v>8</v>
      </c>
      <c r="K4793" s="6" t="n">
        <f aca="false">IF(COUNTIF($A$2:$A4793,A4793)=1,1,0)</f>
        <v>0</v>
      </c>
    </row>
    <row r="4794" customFormat="false" ht="15" hidden="false" customHeight="false" outlineLevel="0" collapsed="false">
      <c r="A4794" s="0" t="s">
        <v>986</v>
      </c>
      <c r="B4794" s="0" t="s">
        <v>45</v>
      </c>
      <c r="C4794" s="0" t="s">
        <v>46</v>
      </c>
      <c r="D4794" s="0" t="n">
        <v>8</v>
      </c>
      <c r="E4794" s="5" t="n">
        <v>46006.4416319444</v>
      </c>
      <c r="F4794" s="0" t="n">
        <v>2.1</v>
      </c>
      <c r="G4794" s="0" t="n">
        <v>17094</v>
      </c>
      <c r="H4794" s="6" t="s">
        <v>74</v>
      </c>
      <c r="I4794" s="6" t="n">
        <f aca="false">D4794*F4794</f>
        <v>16.8</v>
      </c>
      <c r="J4794" s="6" t="n">
        <f aca="false">HOUR(E4794)</f>
        <v>10</v>
      </c>
      <c r="K4794" s="6" t="n">
        <f aca="false">IF(COUNTIF($A$2:$A4794,A4794)=1,1,0)</f>
        <v>1</v>
      </c>
    </row>
    <row r="4795" customFormat="false" ht="15" hidden="false" customHeight="false" outlineLevel="0" collapsed="false">
      <c r="A4795" s="0" t="s">
        <v>986</v>
      </c>
      <c r="B4795" s="0" t="s">
        <v>95</v>
      </c>
      <c r="C4795" s="0" t="s">
        <v>96</v>
      </c>
      <c r="D4795" s="0" t="n">
        <v>24</v>
      </c>
      <c r="E4795" s="5" t="n">
        <v>46006.4416319444</v>
      </c>
      <c r="F4795" s="0" t="n">
        <v>2.55</v>
      </c>
      <c r="G4795" s="0" t="n">
        <v>17094</v>
      </c>
      <c r="H4795" s="6" t="s">
        <v>74</v>
      </c>
      <c r="I4795" s="6" t="n">
        <f aca="false">D4795*F4795</f>
        <v>61.2</v>
      </c>
      <c r="J4795" s="6" t="n">
        <f aca="false">HOUR(E4795)</f>
        <v>10</v>
      </c>
      <c r="K4795" s="6" t="n">
        <f aca="false">IF(COUNTIF($A$2:$A4795,A4795)=1,1,0)</f>
        <v>0</v>
      </c>
    </row>
    <row r="4796" customFormat="false" ht="15" hidden="false" customHeight="false" outlineLevel="0" collapsed="false">
      <c r="A4796" s="0" t="s">
        <v>986</v>
      </c>
      <c r="B4796" s="0" t="s">
        <v>83</v>
      </c>
      <c r="C4796" s="0" t="s">
        <v>84</v>
      </c>
      <c r="D4796" s="0" t="n">
        <v>7</v>
      </c>
      <c r="E4796" s="5" t="n">
        <v>46006.4416319444</v>
      </c>
      <c r="F4796" s="0" t="n">
        <v>2.95</v>
      </c>
      <c r="G4796" s="0" t="n">
        <v>17094</v>
      </c>
      <c r="H4796" s="6" t="s">
        <v>74</v>
      </c>
      <c r="I4796" s="6" t="n">
        <f aca="false">D4796*F4796</f>
        <v>20.65</v>
      </c>
      <c r="J4796" s="6" t="n">
        <f aca="false">HOUR(E4796)</f>
        <v>10</v>
      </c>
      <c r="K4796" s="6" t="n">
        <f aca="false">IF(COUNTIF($A$2:$A4796,A4796)=1,1,0)</f>
        <v>0</v>
      </c>
    </row>
    <row r="4797" customFormat="false" ht="15" hidden="false" customHeight="false" outlineLevel="0" collapsed="false">
      <c r="A4797" s="0" t="s">
        <v>986</v>
      </c>
      <c r="B4797" s="0" t="s">
        <v>145</v>
      </c>
      <c r="C4797" s="0" t="s">
        <v>146</v>
      </c>
      <c r="D4797" s="0" t="n">
        <v>7</v>
      </c>
      <c r="E4797" s="5" t="n">
        <v>46006.4416319444</v>
      </c>
      <c r="F4797" s="0" t="n">
        <v>1.85</v>
      </c>
      <c r="G4797" s="0" t="n">
        <v>17094</v>
      </c>
      <c r="H4797" s="6" t="s">
        <v>74</v>
      </c>
      <c r="I4797" s="6" t="n">
        <f aca="false">D4797*F4797</f>
        <v>12.95</v>
      </c>
      <c r="J4797" s="6" t="n">
        <f aca="false">HOUR(E4797)</f>
        <v>10</v>
      </c>
      <c r="K4797" s="6" t="n">
        <f aca="false">IF(COUNTIF($A$2:$A4797,A4797)=1,1,0)</f>
        <v>0</v>
      </c>
    </row>
    <row r="4798" customFormat="false" ht="15" hidden="false" customHeight="false" outlineLevel="0" collapsed="false">
      <c r="A4798" s="0" t="s">
        <v>986</v>
      </c>
      <c r="B4798" s="0" t="s">
        <v>121</v>
      </c>
      <c r="C4798" s="0" t="s">
        <v>122</v>
      </c>
      <c r="D4798" s="0" t="n">
        <v>13</v>
      </c>
      <c r="E4798" s="5" t="n">
        <v>46006.4416319444</v>
      </c>
      <c r="F4798" s="0" t="n">
        <v>2.1</v>
      </c>
      <c r="G4798" s="0" t="n">
        <v>17094</v>
      </c>
      <c r="H4798" s="6" t="s">
        <v>74</v>
      </c>
      <c r="I4798" s="6" t="n">
        <f aca="false">D4798*F4798</f>
        <v>27.3</v>
      </c>
      <c r="J4798" s="6" t="n">
        <f aca="false">HOUR(E4798)</f>
        <v>10</v>
      </c>
      <c r="K4798" s="6" t="n">
        <f aca="false">IF(COUNTIF($A$2:$A4798,A4798)=1,1,0)</f>
        <v>0</v>
      </c>
    </row>
    <row r="4799" customFormat="false" ht="15" hidden="false" customHeight="false" outlineLevel="0" collapsed="false">
      <c r="A4799" s="0" t="s">
        <v>986</v>
      </c>
      <c r="B4799" s="0" t="s">
        <v>40</v>
      </c>
      <c r="C4799" s="0" t="s">
        <v>41</v>
      </c>
      <c r="D4799" s="0" t="n">
        <v>17</v>
      </c>
      <c r="E4799" s="5" t="n">
        <v>46006.4416319444</v>
      </c>
      <c r="F4799" s="0" t="n">
        <v>1.06</v>
      </c>
      <c r="G4799" s="0" t="n">
        <v>17094</v>
      </c>
      <c r="H4799" s="6" t="s">
        <v>74</v>
      </c>
      <c r="I4799" s="6" t="n">
        <f aca="false">D4799*F4799</f>
        <v>18.02</v>
      </c>
      <c r="J4799" s="6" t="n">
        <f aca="false">HOUR(E4799)</f>
        <v>10</v>
      </c>
      <c r="K4799" s="6" t="n">
        <f aca="false">IF(COUNTIF($A$2:$A4799,A4799)=1,1,0)</f>
        <v>0</v>
      </c>
    </row>
    <row r="4800" customFormat="false" ht="15" hidden="false" customHeight="false" outlineLevel="0" collapsed="false">
      <c r="A4800" s="0" t="s">
        <v>986</v>
      </c>
      <c r="B4800" s="0" t="s">
        <v>104</v>
      </c>
      <c r="C4800" s="0" t="s">
        <v>105</v>
      </c>
      <c r="D4800" s="0" t="n">
        <v>5</v>
      </c>
      <c r="E4800" s="5" t="n">
        <v>46006.4416319444</v>
      </c>
      <c r="F4800" s="0" t="n">
        <v>1.65</v>
      </c>
      <c r="G4800" s="0" t="n">
        <v>17094</v>
      </c>
      <c r="H4800" s="6" t="s">
        <v>74</v>
      </c>
      <c r="I4800" s="6" t="n">
        <f aca="false">D4800*F4800</f>
        <v>8.25</v>
      </c>
      <c r="J4800" s="6" t="n">
        <f aca="false">HOUR(E4800)</f>
        <v>10</v>
      </c>
      <c r="K4800" s="6" t="n">
        <f aca="false">IF(COUNTIF($A$2:$A4800,A4800)=1,1,0)</f>
        <v>0</v>
      </c>
    </row>
    <row r="4801" customFormat="false" ht="15" hidden="false" customHeight="false" outlineLevel="0" collapsed="false">
      <c r="A4801" s="0" t="s">
        <v>986</v>
      </c>
      <c r="B4801" s="0" t="s">
        <v>43</v>
      </c>
      <c r="C4801" s="0" t="s">
        <v>44</v>
      </c>
      <c r="D4801" s="0" t="n">
        <v>19</v>
      </c>
      <c r="E4801" s="5" t="n">
        <v>46006.4416319444</v>
      </c>
      <c r="F4801" s="0" t="n">
        <v>4.25</v>
      </c>
      <c r="G4801" s="0" t="n">
        <v>17094</v>
      </c>
      <c r="H4801" s="6" t="s">
        <v>74</v>
      </c>
      <c r="I4801" s="6" t="n">
        <f aca="false">D4801*F4801</f>
        <v>80.75</v>
      </c>
      <c r="J4801" s="6" t="n">
        <f aca="false">HOUR(E4801)</f>
        <v>10</v>
      </c>
      <c r="K4801" s="6" t="n">
        <f aca="false">IF(COUNTIF($A$2:$A4801,A4801)=1,1,0)</f>
        <v>0</v>
      </c>
    </row>
    <row r="4802" customFormat="false" ht="15" hidden="false" customHeight="false" outlineLevel="0" collapsed="false">
      <c r="A4802" s="0" t="s">
        <v>986</v>
      </c>
      <c r="B4802" s="0" t="s">
        <v>79</v>
      </c>
      <c r="C4802" s="0" t="s">
        <v>80</v>
      </c>
      <c r="D4802" s="0" t="n">
        <v>24</v>
      </c>
      <c r="E4802" s="5" t="n">
        <v>46006.4416319444</v>
      </c>
      <c r="F4802" s="0" t="n">
        <v>3.39</v>
      </c>
      <c r="G4802" s="0" t="n">
        <v>17094</v>
      </c>
      <c r="H4802" s="6" t="s">
        <v>74</v>
      </c>
      <c r="I4802" s="6" t="n">
        <f aca="false">D4802*F4802</f>
        <v>81.36</v>
      </c>
      <c r="J4802" s="6" t="n">
        <f aca="false">HOUR(E4802)</f>
        <v>10</v>
      </c>
      <c r="K4802" s="6" t="n">
        <f aca="false">IF(COUNTIF($A$2:$A4802,A4802)=1,1,0)</f>
        <v>0</v>
      </c>
    </row>
    <row r="4803" customFormat="false" ht="15" hidden="false" customHeight="false" outlineLevel="0" collapsed="false">
      <c r="A4803" s="0" t="s">
        <v>986</v>
      </c>
      <c r="B4803" s="0" t="s">
        <v>86</v>
      </c>
      <c r="C4803" s="0" t="s">
        <v>87</v>
      </c>
      <c r="D4803" s="0" t="n">
        <v>9</v>
      </c>
      <c r="E4803" s="5" t="n">
        <v>46006.4416319444</v>
      </c>
      <c r="F4803" s="0" t="n">
        <v>4.25</v>
      </c>
      <c r="G4803" s="0" t="n">
        <v>17094</v>
      </c>
      <c r="H4803" s="6" t="s">
        <v>74</v>
      </c>
      <c r="I4803" s="6" t="n">
        <f aca="false">D4803*F4803</f>
        <v>38.25</v>
      </c>
      <c r="J4803" s="6" t="n">
        <f aca="false">HOUR(E4803)</f>
        <v>10</v>
      </c>
      <c r="K4803" s="6" t="n">
        <f aca="false">IF(COUNTIF($A$2:$A4803,A4803)=1,1,0)</f>
        <v>0</v>
      </c>
    </row>
    <row r="4804" customFormat="false" ht="15" hidden="false" customHeight="false" outlineLevel="0" collapsed="false">
      <c r="A4804" s="0" t="s">
        <v>987</v>
      </c>
      <c r="B4804" s="0" t="s">
        <v>109</v>
      </c>
      <c r="C4804" s="0" t="s">
        <v>110</v>
      </c>
      <c r="D4804" s="0" t="n">
        <v>13</v>
      </c>
      <c r="E4804" s="5" t="n">
        <v>46006.4768171296</v>
      </c>
      <c r="F4804" s="0" t="n">
        <v>0.85</v>
      </c>
      <c r="G4804" s="0" t="n">
        <v>17153</v>
      </c>
      <c r="H4804" s="6" t="s">
        <v>98</v>
      </c>
      <c r="I4804" s="6" t="n">
        <f aca="false">D4804*F4804</f>
        <v>11.05</v>
      </c>
      <c r="J4804" s="6" t="n">
        <f aca="false">HOUR(E4804)</f>
        <v>11</v>
      </c>
      <c r="K4804" s="6" t="n">
        <f aca="false">IF(COUNTIF($A$2:$A4804,A4804)=1,1,0)</f>
        <v>1</v>
      </c>
    </row>
    <row r="4805" customFormat="false" ht="15" hidden="false" customHeight="false" outlineLevel="0" collapsed="false">
      <c r="A4805" s="0" t="s">
        <v>987</v>
      </c>
      <c r="B4805" s="0" t="s">
        <v>137</v>
      </c>
      <c r="C4805" s="0" t="s">
        <v>138</v>
      </c>
      <c r="D4805" s="0" t="n">
        <v>6</v>
      </c>
      <c r="E4805" s="5" t="n">
        <v>46006.4768171296</v>
      </c>
      <c r="F4805" s="0" t="n">
        <v>2.1</v>
      </c>
      <c r="G4805" s="0" t="n">
        <v>17153</v>
      </c>
      <c r="H4805" s="6" t="s">
        <v>98</v>
      </c>
      <c r="I4805" s="6" t="n">
        <f aca="false">D4805*F4805</f>
        <v>12.6</v>
      </c>
      <c r="J4805" s="6" t="n">
        <f aca="false">HOUR(E4805)</f>
        <v>11</v>
      </c>
      <c r="K4805" s="6" t="n">
        <f aca="false">IF(COUNTIF($A$2:$A4805,A4805)=1,1,0)</f>
        <v>0</v>
      </c>
    </row>
    <row r="4806" customFormat="false" ht="15" hidden="false" customHeight="false" outlineLevel="0" collapsed="false">
      <c r="A4806" s="0" t="s">
        <v>987</v>
      </c>
      <c r="B4806" s="0" t="s">
        <v>118</v>
      </c>
      <c r="C4806" s="0" t="s">
        <v>119</v>
      </c>
      <c r="D4806" s="0" t="n">
        <v>19</v>
      </c>
      <c r="E4806" s="5" t="n">
        <v>46006.4768171296</v>
      </c>
      <c r="F4806" s="0" t="n">
        <v>4.95</v>
      </c>
      <c r="G4806" s="0" t="n">
        <v>17153</v>
      </c>
      <c r="H4806" s="6" t="s">
        <v>98</v>
      </c>
      <c r="I4806" s="6" t="n">
        <f aca="false">D4806*F4806</f>
        <v>94.05</v>
      </c>
      <c r="J4806" s="6" t="n">
        <f aca="false">HOUR(E4806)</f>
        <v>11</v>
      </c>
      <c r="K4806" s="6" t="n">
        <f aca="false">IF(COUNTIF($A$2:$A4806,A4806)=1,1,0)</f>
        <v>0</v>
      </c>
    </row>
    <row r="4807" customFormat="false" ht="15" hidden="false" customHeight="false" outlineLevel="0" collapsed="false">
      <c r="A4807" s="0" t="s">
        <v>987</v>
      </c>
      <c r="B4807" s="0" t="s">
        <v>79</v>
      </c>
      <c r="C4807" s="0" t="s">
        <v>80</v>
      </c>
      <c r="D4807" s="0" t="n">
        <v>12</v>
      </c>
      <c r="E4807" s="5" t="n">
        <v>46006.4768171296</v>
      </c>
      <c r="F4807" s="0" t="n">
        <v>3.39</v>
      </c>
      <c r="G4807" s="0" t="n">
        <v>17153</v>
      </c>
      <c r="H4807" s="6" t="s">
        <v>98</v>
      </c>
      <c r="I4807" s="6" t="n">
        <f aca="false">D4807*F4807</f>
        <v>40.68</v>
      </c>
      <c r="J4807" s="6" t="n">
        <f aca="false">HOUR(E4807)</f>
        <v>11</v>
      </c>
      <c r="K4807" s="6" t="n">
        <f aca="false">IF(COUNTIF($A$2:$A4807,A4807)=1,1,0)</f>
        <v>0</v>
      </c>
    </row>
    <row r="4808" customFormat="false" ht="15" hidden="false" customHeight="false" outlineLevel="0" collapsed="false">
      <c r="A4808" s="0" t="s">
        <v>987</v>
      </c>
      <c r="B4808" s="0" t="s">
        <v>93</v>
      </c>
      <c r="C4808" s="0" t="s">
        <v>94</v>
      </c>
      <c r="D4808" s="0" t="n">
        <v>4</v>
      </c>
      <c r="E4808" s="5" t="n">
        <v>46006.4768171296</v>
      </c>
      <c r="F4808" s="0" t="n">
        <v>1.69</v>
      </c>
      <c r="G4808" s="0" t="n">
        <v>17153</v>
      </c>
      <c r="H4808" s="6" t="s">
        <v>98</v>
      </c>
      <c r="I4808" s="6" t="n">
        <f aca="false">D4808*F4808</f>
        <v>6.76</v>
      </c>
      <c r="J4808" s="6" t="n">
        <f aca="false">HOUR(E4808)</f>
        <v>11</v>
      </c>
      <c r="K4808" s="6" t="n">
        <f aca="false">IF(COUNTIF($A$2:$A4808,A4808)=1,1,0)</f>
        <v>0</v>
      </c>
    </row>
    <row r="4809" customFormat="false" ht="15" hidden="false" customHeight="false" outlineLevel="0" collapsed="false">
      <c r="A4809" s="0" t="s">
        <v>987</v>
      </c>
      <c r="B4809" s="0" t="s">
        <v>69</v>
      </c>
      <c r="C4809" s="0" t="s">
        <v>70</v>
      </c>
      <c r="D4809" s="0" t="n">
        <v>43</v>
      </c>
      <c r="E4809" s="5" t="n">
        <v>46006.4768171296</v>
      </c>
      <c r="F4809" s="0" t="n">
        <v>2.08</v>
      </c>
      <c r="G4809" s="0" t="n">
        <v>17153</v>
      </c>
      <c r="H4809" s="6" t="s">
        <v>98</v>
      </c>
      <c r="I4809" s="6" t="n">
        <f aca="false">D4809*F4809</f>
        <v>89.44</v>
      </c>
      <c r="J4809" s="6" t="n">
        <f aca="false">HOUR(E4809)</f>
        <v>11</v>
      </c>
      <c r="K4809" s="6" t="n">
        <f aca="false">IF(COUNTIF($A$2:$A4809,A4809)=1,1,0)</f>
        <v>0</v>
      </c>
    </row>
    <row r="4810" customFormat="false" ht="15" hidden="false" customHeight="false" outlineLevel="0" collapsed="false">
      <c r="A4810" s="0" t="s">
        <v>988</v>
      </c>
      <c r="B4810" s="0" t="s">
        <v>72</v>
      </c>
      <c r="C4810" s="0" t="s">
        <v>73</v>
      </c>
      <c r="D4810" s="0" t="n">
        <v>35</v>
      </c>
      <c r="E4810" s="5" t="n">
        <v>46006.4920486111</v>
      </c>
      <c r="F4810" s="0" t="n">
        <v>4.95</v>
      </c>
      <c r="G4810" s="0" t="n">
        <v>17159</v>
      </c>
      <c r="H4810" s="6" t="s">
        <v>74</v>
      </c>
      <c r="I4810" s="6" t="n">
        <f aca="false">D4810*F4810</f>
        <v>173.25</v>
      </c>
      <c r="J4810" s="6" t="n">
        <f aca="false">HOUR(E4810)</f>
        <v>11</v>
      </c>
      <c r="K4810" s="6" t="n">
        <f aca="false">IF(COUNTIF($A$2:$A4810,A4810)=1,1,0)</f>
        <v>1</v>
      </c>
    </row>
    <row r="4811" customFormat="false" ht="15" hidden="false" customHeight="false" outlineLevel="0" collapsed="false">
      <c r="A4811" s="0" t="s">
        <v>988</v>
      </c>
      <c r="B4811" s="0" t="s">
        <v>134</v>
      </c>
      <c r="C4811" s="0" t="s">
        <v>135</v>
      </c>
      <c r="D4811" s="0" t="n">
        <v>15</v>
      </c>
      <c r="E4811" s="5" t="n">
        <v>46006.4920486111</v>
      </c>
      <c r="F4811" s="0" t="n">
        <v>5.95</v>
      </c>
      <c r="G4811" s="0" t="n">
        <v>17159</v>
      </c>
      <c r="H4811" s="6" t="s">
        <v>74</v>
      </c>
      <c r="I4811" s="6" t="n">
        <f aca="false">D4811*F4811</f>
        <v>89.25</v>
      </c>
      <c r="J4811" s="6" t="n">
        <f aca="false">HOUR(E4811)</f>
        <v>11</v>
      </c>
      <c r="K4811" s="6" t="n">
        <f aca="false">IF(COUNTIF($A$2:$A4811,A4811)=1,1,0)</f>
        <v>0</v>
      </c>
    </row>
    <row r="4812" customFormat="false" ht="15" hidden="false" customHeight="false" outlineLevel="0" collapsed="false">
      <c r="A4812" s="0" t="s">
        <v>988</v>
      </c>
      <c r="B4812" s="0" t="s">
        <v>69</v>
      </c>
      <c r="C4812" s="0" t="s">
        <v>70</v>
      </c>
      <c r="D4812" s="0" t="n">
        <v>13</v>
      </c>
      <c r="E4812" s="5" t="n">
        <v>46006.4920486111</v>
      </c>
      <c r="F4812" s="0" t="n">
        <v>2.08</v>
      </c>
      <c r="G4812" s="0" t="n">
        <v>17159</v>
      </c>
      <c r="H4812" s="6" t="s">
        <v>74</v>
      </c>
      <c r="I4812" s="6" t="n">
        <f aca="false">D4812*F4812</f>
        <v>27.04</v>
      </c>
      <c r="J4812" s="6" t="n">
        <f aca="false">HOUR(E4812)</f>
        <v>11</v>
      </c>
      <c r="K4812" s="6" t="n">
        <f aca="false">IF(COUNTIF($A$2:$A4812,A4812)=1,1,0)</f>
        <v>0</v>
      </c>
    </row>
    <row r="4813" customFormat="false" ht="15" hidden="false" customHeight="false" outlineLevel="0" collapsed="false">
      <c r="A4813" s="0" t="s">
        <v>988</v>
      </c>
      <c r="B4813" s="0" t="s">
        <v>40</v>
      </c>
      <c r="C4813" s="0" t="s">
        <v>41</v>
      </c>
      <c r="D4813" s="0" t="n">
        <v>13</v>
      </c>
      <c r="E4813" s="5" t="n">
        <v>46006.4920486111</v>
      </c>
      <c r="F4813" s="0" t="n">
        <v>1.06</v>
      </c>
      <c r="G4813" s="0" t="n">
        <v>17159</v>
      </c>
      <c r="H4813" s="6" t="s">
        <v>74</v>
      </c>
      <c r="I4813" s="6" t="n">
        <f aca="false">D4813*F4813</f>
        <v>13.78</v>
      </c>
      <c r="J4813" s="6" t="n">
        <f aca="false">HOUR(E4813)</f>
        <v>11</v>
      </c>
      <c r="K4813" s="6" t="n">
        <f aca="false">IF(COUNTIF($A$2:$A4813,A4813)=1,1,0)</f>
        <v>0</v>
      </c>
    </row>
    <row r="4814" customFormat="false" ht="15" hidden="false" customHeight="false" outlineLevel="0" collapsed="false">
      <c r="A4814" s="0" t="s">
        <v>988</v>
      </c>
      <c r="B4814" s="0" t="s">
        <v>145</v>
      </c>
      <c r="C4814" s="0" t="s">
        <v>146</v>
      </c>
      <c r="D4814" s="0" t="n">
        <v>22</v>
      </c>
      <c r="E4814" s="5" t="n">
        <v>46006.4920486111</v>
      </c>
      <c r="F4814" s="0" t="n">
        <v>1.85</v>
      </c>
      <c r="G4814" s="0" t="n">
        <v>17159</v>
      </c>
      <c r="H4814" s="6" t="s">
        <v>74</v>
      </c>
      <c r="I4814" s="6" t="n">
        <f aca="false">D4814*F4814</f>
        <v>40.7</v>
      </c>
      <c r="J4814" s="6" t="n">
        <f aca="false">HOUR(E4814)</f>
        <v>11</v>
      </c>
      <c r="K4814" s="6" t="n">
        <f aca="false">IF(COUNTIF($A$2:$A4814,A4814)=1,1,0)</f>
        <v>0</v>
      </c>
    </row>
    <row r="4815" customFormat="false" ht="15" hidden="false" customHeight="false" outlineLevel="0" collapsed="false">
      <c r="A4815" s="0" t="s">
        <v>988</v>
      </c>
      <c r="B4815" s="0" t="s">
        <v>86</v>
      </c>
      <c r="C4815" s="0" t="s">
        <v>87</v>
      </c>
      <c r="D4815" s="0" t="n">
        <v>9</v>
      </c>
      <c r="E4815" s="5" t="n">
        <v>46006.4920486111</v>
      </c>
      <c r="F4815" s="0" t="n">
        <v>4.25</v>
      </c>
      <c r="G4815" s="0" t="n">
        <v>17159</v>
      </c>
      <c r="H4815" s="6" t="s">
        <v>74</v>
      </c>
      <c r="I4815" s="6" t="n">
        <f aca="false">D4815*F4815</f>
        <v>38.25</v>
      </c>
      <c r="J4815" s="6" t="n">
        <f aca="false">HOUR(E4815)</f>
        <v>11</v>
      </c>
      <c r="K4815" s="6" t="n">
        <f aca="false">IF(COUNTIF($A$2:$A4815,A4815)=1,1,0)</f>
        <v>0</v>
      </c>
    </row>
    <row r="4816" customFormat="false" ht="15" hidden="false" customHeight="false" outlineLevel="0" collapsed="false">
      <c r="A4816" s="0" t="s">
        <v>988</v>
      </c>
      <c r="B4816" s="0" t="s">
        <v>93</v>
      </c>
      <c r="C4816" s="0" t="s">
        <v>94</v>
      </c>
      <c r="D4816" s="0" t="n">
        <v>17</v>
      </c>
      <c r="E4816" s="5" t="n">
        <v>46006.4920486111</v>
      </c>
      <c r="F4816" s="0" t="n">
        <v>1.69</v>
      </c>
      <c r="G4816" s="0" t="n">
        <v>17159</v>
      </c>
      <c r="H4816" s="6" t="s">
        <v>74</v>
      </c>
      <c r="I4816" s="6" t="n">
        <f aca="false">D4816*F4816</f>
        <v>28.73</v>
      </c>
      <c r="J4816" s="6" t="n">
        <f aca="false">HOUR(E4816)</f>
        <v>11</v>
      </c>
      <c r="K4816" s="6" t="n">
        <f aca="false">IF(COUNTIF($A$2:$A4816,A4816)=1,1,0)</f>
        <v>0</v>
      </c>
    </row>
    <row r="4817" customFormat="false" ht="15" hidden="false" customHeight="false" outlineLevel="0" collapsed="false">
      <c r="A4817" s="0" t="s">
        <v>988</v>
      </c>
      <c r="B4817" s="0" t="s">
        <v>59</v>
      </c>
      <c r="C4817" s="0" t="s">
        <v>60</v>
      </c>
      <c r="D4817" s="0" t="n">
        <v>19</v>
      </c>
      <c r="E4817" s="5" t="n">
        <v>46006.4920486111</v>
      </c>
      <c r="F4817" s="0" t="n">
        <v>0.42</v>
      </c>
      <c r="G4817" s="0" t="n">
        <v>17159</v>
      </c>
      <c r="H4817" s="6" t="s">
        <v>74</v>
      </c>
      <c r="I4817" s="6" t="n">
        <f aca="false">D4817*F4817</f>
        <v>7.98</v>
      </c>
      <c r="J4817" s="6" t="n">
        <f aca="false">HOUR(E4817)</f>
        <v>11</v>
      </c>
      <c r="K4817" s="6" t="n">
        <f aca="false">IF(COUNTIF($A$2:$A4817,A4817)=1,1,0)</f>
        <v>0</v>
      </c>
    </row>
    <row r="4818" customFormat="false" ht="15" hidden="false" customHeight="false" outlineLevel="0" collapsed="false">
      <c r="A4818" s="0" t="s">
        <v>989</v>
      </c>
      <c r="B4818" s="0" t="s">
        <v>121</v>
      </c>
      <c r="C4818" s="0" t="s">
        <v>122</v>
      </c>
      <c r="D4818" s="0" t="n">
        <v>19</v>
      </c>
      <c r="E4818" s="5" t="n">
        <v>46006.5335185185</v>
      </c>
      <c r="F4818" s="0" t="n">
        <v>2.1</v>
      </c>
      <c r="H4818" s="6" t="s">
        <v>98</v>
      </c>
      <c r="I4818" s="6" t="n">
        <f aca="false">D4818*F4818</f>
        <v>39.9</v>
      </c>
      <c r="J4818" s="6" t="n">
        <f aca="false">HOUR(E4818)</f>
        <v>12</v>
      </c>
      <c r="K4818" s="6" t="n">
        <f aca="false">IF(COUNTIF($A$2:$A4818,A4818)=1,1,0)</f>
        <v>1</v>
      </c>
    </row>
    <row r="4819" customFormat="false" ht="15" hidden="false" customHeight="false" outlineLevel="0" collapsed="false">
      <c r="A4819" s="0" t="s">
        <v>989</v>
      </c>
      <c r="B4819" s="0" t="s">
        <v>104</v>
      </c>
      <c r="C4819" s="0" t="s">
        <v>105</v>
      </c>
      <c r="D4819" s="0" t="n">
        <v>20</v>
      </c>
      <c r="E4819" s="5" t="n">
        <v>46006.5335185185</v>
      </c>
      <c r="F4819" s="0" t="n">
        <v>1.65</v>
      </c>
      <c r="H4819" s="6" t="s">
        <v>98</v>
      </c>
      <c r="I4819" s="6" t="n">
        <f aca="false">D4819*F4819</f>
        <v>33</v>
      </c>
      <c r="J4819" s="6" t="n">
        <f aca="false">HOUR(E4819)</f>
        <v>12</v>
      </c>
      <c r="K4819" s="6" t="n">
        <f aca="false">IF(COUNTIF($A$2:$A4819,A4819)=1,1,0)</f>
        <v>0</v>
      </c>
    </row>
    <row r="4820" customFormat="false" ht="15" hidden="false" customHeight="false" outlineLevel="0" collapsed="false">
      <c r="A4820" s="0" t="s">
        <v>989</v>
      </c>
      <c r="B4820" s="0" t="s">
        <v>65</v>
      </c>
      <c r="D4820" s="0" t="n">
        <v>1</v>
      </c>
      <c r="E4820" s="5" t="n">
        <v>46006.5335185185</v>
      </c>
      <c r="F4820" s="0" t="n">
        <v>1.65</v>
      </c>
      <c r="H4820" s="6" t="s">
        <v>98</v>
      </c>
      <c r="I4820" s="6" t="n">
        <f aca="false">D4820*F4820</f>
        <v>1.65</v>
      </c>
      <c r="J4820" s="6" t="n">
        <f aca="false">HOUR(E4820)</f>
        <v>12</v>
      </c>
      <c r="K4820" s="6" t="n">
        <f aca="false">IF(COUNTIF($A$2:$A4820,A4820)=1,1,0)</f>
        <v>0</v>
      </c>
    </row>
    <row r="4821" customFormat="false" ht="15" hidden="false" customHeight="false" outlineLevel="0" collapsed="false">
      <c r="A4821" s="0" t="s">
        <v>990</v>
      </c>
      <c r="B4821" s="0" t="s">
        <v>59</v>
      </c>
      <c r="C4821" s="0" t="s">
        <v>60</v>
      </c>
      <c r="D4821" s="0" t="n">
        <v>1</v>
      </c>
      <c r="E4821" s="5" t="n">
        <v>46006.6632060185</v>
      </c>
      <c r="F4821" s="0" t="n">
        <v>0.42</v>
      </c>
      <c r="H4821" s="6" t="s">
        <v>74</v>
      </c>
      <c r="I4821" s="6" t="n">
        <f aca="false">D4821*F4821</f>
        <v>0.42</v>
      </c>
      <c r="J4821" s="6" t="n">
        <f aca="false">HOUR(E4821)</f>
        <v>15</v>
      </c>
      <c r="K4821" s="6" t="n">
        <f aca="false">IF(COUNTIF($A$2:$A4821,A4821)=1,1,0)</f>
        <v>1</v>
      </c>
    </row>
    <row r="4822" customFormat="false" ht="15" hidden="false" customHeight="false" outlineLevel="0" collapsed="false">
      <c r="A4822" s="0" t="s">
        <v>990</v>
      </c>
      <c r="B4822" s="0" t="s">
        <v>47</v>
      </c>
      <c r="C4822" s="0" t="s">
        <v>48</v>
      </c>
      <c r="D4822" s="0" t="n">
        <v>27</v>
      </c>
      <c r="E4822" s="5" t="n">
        <v>46006.6632060185</v>
      </c>
      <c r="F4822" s="0" t="n">
        <v>12.75</v>
      </c>
      <c r="H4822" s="6" t="s">
        <v>74</v>
      </c>
      <c r="I4822" s="6" t="n">
        <f aca="false">D4822*F4822</f>
        <v>344.25</v>
      </c>
      <c r="J4822" s="6" t="n">
        <f aca="false">HOUR(E4822)</f>
        <v>15</v>
      </c>
      <c r="K4822" s="6" t="n">
        <f aca="false">IF(COUNTIF($A$2:$A4822,A4822)=1,1,0)</f>
        <v>0</v>
      </c>
    </row>
    <row r="4823" customFormat="false" ht="15" hidden="false" customHeight="false" outlineLevel="0" collapsed="false">
      <c r="A4823" s="0" t="s">
        <v>990</v>
      </c>
      <c r="B4823" s="0" t="s">
        <v>43</v>
      </c>
      <c r="C4823" s="0" t="s">
        <v>44</v>
      </c>
      <c r="D4823" s="0" t="n">
        <v>3</v>
      </c>
      <c r="E4823" s="5" t="n">
        <v>46006.6632060185</v>
      </c>
      <c r="F4823" s="0" t="n">
        <v>4.25</v>
      </c>
      <c r="H4823" s="6" t="s">
        <v>74</v>
      </c>
      <c r="I4823" s="6" t="n">
        <f aca="false">D4823*F4823</f>
        <v>12.75</v>
      </c>
      <c r="J4823" s="6" t="n">
        <f aca="false">HOUR(E4823)</f>
        <v>15</v>
      </c>
      <c r="K4823" s="6" t="n">
        <f aca="false">IF(COUNTIF($A$2:$A4823,A4823)=1,1,0)</f>
        <v>0</v>
      </c>
    </row>
    <row r="4824" customFormat="false" ht="15" hidden="false" customHeight="false" outlineLevel="0" collapsed="false">
      <c r="A4824" s="0" t="s">
        <v>990</v>
      </c>
      <c r="B4824" s="0" t="s">
        <v>140</v>
      </c>
      <c r="C4824" s="0" t="s">
        <v>141</v>
      </c>
      <c r="D4824" s="0" t="n">
        <v>9</v>
      </c>
      <c r="E4824" s="5" t="n">
        <v>46006.6632060185</v>
      </c>
      <c r="F4824" s="0" t="n">
        <v>2.08</v>
      </c>
      <c r="H4824" s="6" t="s">
        <v>74</v>
      </c>
      <c r="I4824" s="6" t="n">
        <f aca="false">D4824*F4824</f>
        <v>18.72</v>
      </c>
      <c r="J4824" s="6" t="n">
        <f aca="false">HOUR(E4824)</f>
        <v>15</v>
      </c>
      <c r="K4824" s="6" t="n">
        <f aca="false">IF(COUNTIF($A$2:$A4824,A4824)=1,1,0)</f>
        <v>0</v>
      </c>
    </row>
    <row r="4825" customFormat="false" ht="15" hidden="false" customHeight="false" outlineLevel="0" collapsed="false">
      <c r="A4825" s="0" t="s">
        <v>991</v>
      </c>
      <c r="B4825" s="0" t="s">
        <v>79</v>
      </c>
      <c r="C4825" s="0" t="s">
        <v>80</v>
      </c>
      <c r="D4825" s="0" t="n">
        <v>12</v>
      </c>
      <c r="E4825" s="5" t="n">
        <v>46006.682650463</v>
      </c>
      <c r="F4825" s="0" t="n">
        <v>3.39</v>
      </c>
      <c r="G4825" s="0" t="n">
        <v>17222</v>
      </c>
      <c r="H4825" s="6" t="s">
        <v>74</v>
      </c>
      <c r="I4825" s="6" t="n">
        <f aca="false">D4825*F4825</f>
        <v>40.68</v>
      </c>
      <c r="J4825" s="6" t="n">
        <f aca="false">HOUR(E4825)</f>
        <v>16</v>
      </c>
      <c r="K4825" s="6" t="n">
        <f aca="false">IF(COUNTIF($A$2:$A4825,A4825)=1,1,0)</f>
        <v>1</v>
      </c>
    </row>
    <row r="4826" customFormat="false" ht="15" hidden="false" customHeight="false" outlineLevel="0" collapsed="false">
      <c r="A4826" s="0" t="s">
        <v>991</v>
      </c>
      <c r="B4826" s="0" t="s">
        <v>72</v>
      </c>
      <c r="C4826" s="0" t="s">
        <v>73</v>
      </c>
      <c r="D4826" s="0" t="n">
        <v>17</v>
      </c>
      <c r="E4826" s="5" t="n">
        <v>46006.682650463</v>
      </c>
      <c r="F4826" s="0" t="n">
        <v>4.95</v>
      </c>
      <c r="G4826" s="0" t="n">
        <v>17222</v>
      </c>
      <c r="H4826" s="6" t="s">
        <v>74</v>
      </c>
      <c r="I4826" s="6" t="n">
        <f aca="false">D4826*F4826</f>
        <v>84.15</v>
      </c>
      <c r="J4826" s="6" t="n">
        <f aca="false">HOUR(E4826)</f>
        <v>16</v>
      </c>
      <c r="K4826" s="6" t="n">
        <f aca="false">IF(COUNTIF($A$2:$A4826,A4826)=1,1,0)</f>
        <v>0</v>
      </c>
    </row>
    <row r="4827" customFormat="false" ht="15" hidden="false" customHeight="false" outlineLevel="0" collapsed="false">
      <c r="A4827" s="0" t="s">
        <v>991</v>
      </c>
      <c r="B4827" s="0" t="s">
        <v>109</v>
      </c>
      <c r="C4827" s="0" t="s">
        <v>110</v>
      </c>
      <c r="D4827" s="0" t="n">
        <v>6</v>
      </c>
      <c r="E4827" s="5" t="n">
        <v>46006.682650463</v>
      </c>
      <c r="F4827" s="0" t="n">
        <v>0.85</v>
      </c>
      <c r="G4827" s="0" t="n">
        <v>17222</v>
      </c>
      <c r="H4827" s="6" t="s">
        <v>74</v>
      </c>
      <c r="I4827" s="6" t="n">
        <f aca="false">D4827*F4827</f>
        <v>5.1</v>
      </c>
      <c r="J4827" s="6" t="n">
        <f aca="false">HOUR(E4827)</f>
        <v>16</v>
      </c>
      <c r="K4827" s="6" t="n">
        <f aca="false">IF(COUNTIF($A$2:$A4827,A4827)=1,1,0)</f>
        <v>0</v>
      </c>
    </row>
    <row r="4828" customFormat="false" ht="15" hidden="false" customHeight="false" outlineLevel="0" collapsed="false">
      <c r="A4828" s="0" t="s">
        <v>991</v>
      </c>
      <c r="B4828" s="0" t="s">
        <v>43</v>
      </c>
      <c r="C4828" s="0" t="s">
        <v>44</v>
      </c>
      <c r="D4828" s="0" t="n">
        <v>4</v>
      </c>
      <c r="E4828" s="5" t="n">
        <v>46006.682650463</v>
      </c>
      <c r="F4828" s="0" t="n">
        <v>4.25</v>
      </c>
      <c r="G4828" s="0" t="n">
        <v>17222</v>
      </c>
      <c r="H4828" s="6" t="s">
        <v>74</v>
      </c>
      <c r="I4828" s="6" t="n">
        <f aca="false">D4828*F4828</f>
        <v>17</v>
      </c>
      <c r="J4828" s="6" t="n">
        <f aca="false">HOUR(E4828)</f>
        <v>16</v>
      </c>
      <c r="K4828" s="6" t="n">
        <f aca="false">IF(COUNTIF($A$2:$A4828,A4828)=1,1,0)</f>
        <v>0</v>
      </c>
    </row>
    <row r="4829" customFormat="false" ht="15" hidden="false" customHeight="false" outlineLevel="0" collapsed="false">
      <c r="A4829" s="0" t="s">
        <v>991</v>
      </c>
      <c r="B4829" s="0" t="s">
        <v>95</v>
      </c>
      <c r="C4829" s="0" t="s">
        <v>96</v>
      </c>
      <c r="D4829" s="0" t="n">
        <v>6</v>
      </c>
      <c r="E4829" s="5" t="n">
        <v>46006.682650463</v>
      </c>
      <c r="F4829" s="0" t="n">
        <v>2.55</v>
      </c>
      <c r="G4829" s="0" t="n">
        <v>17222</v>
      </c>
      <c r="H4829" s="6" t="s">
        <v>74</v>
      </c>
      <c r="I4829" s="6" t="n">
        <f aca="false">D4829*F4829</f>
        <v>15.3</v>
      </c>
      <c r="J4829" s="6" t="n">
        <f aca="false">HOUR(E4829)</f>
        <v>16</v>
      </c>
      <c r="K4829" s="6" t="n">
        <f aca="false">IF(COUNTIF($A$2:$A4829,A4829)=1,1,0)</f>
        <v>0</v>
      </c>
    </row>
    <row r="4830" customFormat="false" ht="15" hidden="false" customHeight="false" outlineLevel="0" collapsed="false">
      <c r="A4830" s="0" t="s">
        <v>992</v>
      </c>
      <c r="B4830" s="0" t="s">
        <v>99</v>
      </c>
      <c r="C4830" s="0" t="s">
        <v>100</v>
      </c>
      <c r="D4830" s="0" t="n">
        <v>8</v>
      </c>
      <c r="E4830" s="5" t="n">
        <v>46006.8158796296</v>
      </c>
      <c r="F4830" s="0" t="n">
        <v>2.08</v>
      </c>
      <c r="G4830" s="0" t="n">
        <v>17214</v>
      </c>
      <c r="H4830" s="6" t="s">
        <v>151</v>
      </c>
      <c r="I4830" s="6" t="n">
        <f aca="false">D4830*F4830</f>
        <v>16.64</v>
      </c>
      <c r="J4830" s="6" t="n">
        <f aca="false">HOUR(E4830)</f>
        <v>19</v>
      </c>
      <c r="K4830" s="6" t="n">
        <f aca="false">IF(COUNTIF($A$2:$A4830,A4830)=1,1,0)</f>
        <v>1</v>
      </c>
    </row>
    <row r="4831" customFormat="false" ht="15" hidden="false" customHeight="false" outlineLevel="0" collapsed="false">
      <c r="A4831" s="0" t="s">
        <v>992</v>
      </c>
      <c r="B4831" s="0" t="s">
        <v>125</v>
      </c>
      <c r="C4831" s="0" t="s">
        <v>126</v>
      </c>
      <c r="D4831" s="0" t="n">
        <v>16</v>
      </c>
      <c r="E4831" s="5" t="n">
        <v>46006.8158796296</v>
      </c>
      <c r="F4831" s="0" t="n">
        <v>1.25</v>
      </c>
      <c r="G4831" s="0" t="n">
        <v>17214</v>
      </c>
      <c r="H4831" s="6" t="s">
        <v>151</v>
      </c>
      <c r="I4831" s="6" t="n">
        <f aca="false">D4831*F4831</f>
        <v>20</v>
      </c>
      <c r="J4831" s="6" t="n">
        <f aca="false">HOUR(E4831)</f>
        <v>19</v>
      </c>
      <c r="K4831" s="6" t="n">
        <f aca="false">IF(COUNTIF($A$2:$A4831,A4831)=1,1,0)</f>
        <v>0</v>
      </c>
    </row>
    <row r="4832" customFormat="false" ht="15" hidden="false" customHeight="false" outlineLevel="0" collapsed="false">
      <c r="A4832" s="0" t="s">
        <v>992</v>
      </c>
      <c r="B4832" s="0" t="s">
        <v>77</v>
      </c>
      <c r="C4832" s="0" t="s">
        <v>78</v>
      </c>
      <c r="D4832" s="0" t="n">
        <v>22</v>
      </c>
      <c r="E4832" s="5" t="n">
        <v>46006.8158796296</v>
      </c>
      <c r="F4832" s="0" t="n">
        <v>1.65</v>
      </c>
      <c r="G4832" s="0" t="n">
        <v>17214</v>
      </c>
      <c r="H4832" s="6" t="s">
        <v>151</v>
      </c>
      <c r="I4832" s="6" t="n">
        <f aca="false">D4832*F4832</f>
        <v>36.3</v>
      </c>
      <c r="J4832" s="6" t="n">
        <f aca="false">HOUR(E4832)</f>
        <v>19</v>
      </c>
      <c r="K4832" s="6" t="n">
        <f aca="false">IF(COUNTIF($A$2:$A4832,A4832)=1,1,0)</f>
        <v>0</v>
      </c>
    </row>
    <row r="4833" customFormat="false" ht="15" hidden="false" customHeight="false" outlineLevel="0" collapsed="false">
      <c r="A4833" s="0" t="s">
        <v>993</v>
      </c>
      <c r="B4833" s="0" t="s">
        <v>57</v>
      </c>
      <c r="C4833" s="0" t="s">
        <v>58</v>
      </c>
      <c r="D4833" s="0" t="n">
        <v>22</v>
      </c>
      <c r="E4833" s="5" t="n">
        <v>46007.1468402778</v>
      </c>
      <c r="F4833" s="0" t="n">
        <v>2.08</v>
      </c>
      <c r="G4833" s="0" t="n">
        <v>17110</v>
      </c>
      <c r="H4833" s="6" t="s">
        <v>74</v>
      </c>
      <c r="I4833" s="6" t="n">
        <f aca="false">D4833*F4833</f>
        <v>45.76</v>
      </c>
      <c r="J4833" s="6" t="n">
        <f aca="false">HOUR(E4833)</f>
        <v>3</v>
      </c>
      <c r="K4833" s="6" t="n">
        <f aca="false">IF(COUNTIF($A$2:$A4833,A4833)=1,1,0)</f>
        <v>1</v>
      </c>
    </row>
    <row r="4834" customFormat="false" ht="15" hidden="false" customHeight="false" outlineLevel="0" collapsed="false">
      <c r="A4834" s="0" t="s">
        <v>993</v>
      </c>
      <c r="B4834" s="0" t="s">
        <v>77</v>
      </c>
      <c r="C4834" s="0" t="s">
        <v>78</v>
      </c>
      <c r="D4834" s="0" t="n">
        <v>1</v>
      </c>
      <c r="E4834" s="5" t="n">
        <v>46007.1468402778</v>
      </c>
      <c r="F4834" s="0" t="n">
        <v>1.65</v>
      </c>
      <c r="G4834" s="0" t="n">
        <v>17110</v>
      </c>
      <c r="H4834" s="6" t="s">
        <v>74</v>
      </c>
      <c r="I4834" s="6" t="n">
        <f aca="false">D4834*F4834</f>
        <v>1.65</v>
      </c>
      <c r="J4834" s="6" t="n">
        <f aca="false">HOUR(E4834)</f>
        <v>3</v>
      </c>
      <c r="K4834" s="6" t="n">
        <f aca="false">IF(COUNTIF($A$2:$A4834,A4834)=1,1,0)</f>
        <v>0</v>
      </c>
    </row>
    <row r="4835" customFormat="false" ht="15" hidden="false" customHeight="false" outlineLevel="0" collapsed="false">
      <c r="A4835" s="0" t="s">
        <v>993</v>
      </c>
      <c r="B4835" s="0" t="s">
        <v>43</v>
      </c>
      <c r="C4835" s="0" t="s">
        <v>44</v>
      </c>
      <c r="D4835" s="0" t="n">
        <v>6</v>
      </c>
      <c r="E4835" s="5" t="n">
        <v>46007.1468402778</v>
      </c>
      <c r="F4835" s="0" t="n">
        <v>4.25</v>
      </c>
      <c r="G4835" s="0" t="n">
        <v>17110</v>
      </c>
      <c r="H4835" s="6" t="s">
        <v>74</v>
      </c>
      <c r="I4835" s="6" t="n">
        <f aca="false">D4835*F4835</f>
        <v>25.5</v>
      </c>
      <c r="J4835" s="6" t="n">
        <f aca="false">HOUR(E4835)</f>
        <v>3</v>
      </c>
      <c r="K4835" s="6" t="n">
        <f aca="false">IF(COUNTIF($A$2:$A4835,A4835)=1,1,0)</f>
        <v>0</v>
      </c>
    </row>
    <row r="4836" customFormat="false" ht="15" hidden="false" customHeight="false" outlineLevel="0" collapsed="false">
      <c r="A4836" s="0" t="s">
        <v>993</v>
      </c>
      <c r="B4836" s="0" t="s">
        <v>93</v>
      </c>
      <c r="C4836" s="0" t="s">
        <v>94</v>
      </c>
      <c r="D4836" s="0" t="n">
        <v>8</v>
      </c>
      <c r="E4836" s="5" t="n">
        <v>46007.1468402778</v>
      </c>
      <c r="F4836" s="0" t="n">
        <v>1.69</v>
      </c>
      <c r="G4836" s="0" t="n">
        <v>17110</v>
      </c>
      <c r="H4836" s="6" t="s">
        <v>74</v>
      </c>
      <c r="I4836" s="6" t="n">
        <f aca="false">D4836*F4836</f>
        <v>13.52</v>
      </c>
      <c r="J4836" s="6" t="n">
        <f aca="false">HOUR(E4836)</f>
        <v>3</v>
      </c>
      <c r="K4836" s="6" t="n">
        <f aca="false">IF(COUNTIF($A$2:$A4836,A4836)=1,1,0)</f>
        <v>0</v>
      </c>
    </row>
    <row r="4837" customFormat="false" ht="15" hidden="false" customHeight="false" outlineLevel="0" collapsed="false">
      <c r="A4837" s="0" t="s">
        <v>993</v>
      </c>
      <c r="B4837" s="0" t="s">
        <v>40</v>
      </c>
      <c r="C4837" s="0" t="s">
        <v>41</v>
      </c>
      <c r="D4837" s="0" t="n">
        <v>17</v>
      </c>
      <c r="E4837" s="5" t="n">
        <v>46007.1468402778</v>
      </c>
      <c r="F4837" s="0" t="n">
        <v>1.06</v>
      </c>
      <c r="G4837" s="0" t="n">
        <v>17110</v>
      </c>
      <c r="H4837" s="6" t="s">
        <v>74</v>
      </c>
      <c r="I4837" s="6" t="n">
        <f aca="false">D4837*F4837</f>
        <v>18.02</v>
      </c>
      <c r="J4837" s="6" t="n">
        <f aca="false">HOUR(E4837)</f>
        <v>3</v>
      </c>
      <c r="K4837" s="6" t="n">
        <f aca="false">IF(COUNTIF($A$2:$A4837,A4837)=1,1,0)</f>
        <v>0</v>
      </c>
    </row>
    <row r="4838" customFormat="false" ht="15" hidden="false" customHeight="false" outlineLevel="0" collapsed="false">
      <c r="A4838" s="0" t="s">
        <v>993</v>
      </c>
      <c r="B4838" s="0" t="s">
        <v>59</v>
      </c>
      <c r="C4838" s="0" t="s">
        <v>60</v>
      </c>
      <c r="D4838" s="0" t="n">
        <v>3</v>
      </c>
      <c r="E4838" s="5" t="n">
        <v>46007.1468402778</v>
      </c>
      <c r="F4838" s="0" t="n">
        <v>0.42</v>
      </c>
      <c r="G4838" s="0" t="n">
        <v>17110</v>
      </c>
      <c r="H4838" s="6" t="s">
        <v>74</v>
      </c>
      <c r="I4838" s="6" t="n">
        <f aca="false">D4838*F4838</f>
        <v>1.26</v>
      </c>
      <c r="J4838" s="6" t="n">
        <f aca="false">HOUR(E4838)</f>
        <v>3</v>
      </c>
      <c r="K4838" s="6" t="n">
        <f aca="false">IF(COUNTIF($A$2:$A4838,A4838)=1,1,0)</f>
        <v>0</v>
      </c>
    </row>
    <row r="4839" customFormat="false" ht="15" hidden="false" customHeight="false" outlineLevel="0" collapsed="false">
      <c r="A4839" s="0" t="s">
        <v>993</v>
      </c>
      <c r="B4839" s="0" t="s">
        <v>99</v>
      </c>
      <c r="C4839" s="0" t="s">
        <v>100</v>
      </c>
      <c r="D4839" s="0" t="n">
        <v>12</v>
      </c>
      <c r="E4839" s="5" t="n">
        <v>46007.1468402778</v>
      </c>
      <c r="F4839" s="0" t="n">
        <v>2.08</v>
      </c>
      <c r="G4839" s="0" t="n">
        <v>17110</v>
      </c>
      <c r="H4839" s="6" t="s">
        <v>74</v>
      </c>
      <c r="I4839" s="6" t="n">
        <f aca="false">D4839*F4839</f>
        <v>24.96</v>
      </c>
      <c r="J4839" s="6" t="n">
        <f aca="false">HOUR(E4839)</f>
        <v>3</v>
      </c>
      <c r="K4839" s="6" t="n">
        <f aca="false">IF(COUNTIF($A$2:$A4839,A4839)=1,1,0)</f>
        <v>0</v>
      </c>
    </row>
    <row r="4840" customFormat="false" ht="15" hidden="false" customHeight="false" outlineLevel="0" collapsed="false">
      <c r="A4840" s="0" t="s">
        <v>993</v>
      </c>
      <c r="B4840" s="0" t="s">
        <v>116</v>
      </c>
      <c r="C4840" s="0" t="s">
        <v>117</v>
      </c>
      <c r="D4840" s="0" t="n">
        <v>2</v>
      </c>
      <c r="E4840" s="5" t="n">
        <v>46007.1468402778</v>
      </c>
      <c r="F4840" s="0" t="n">
        <v>1.95</v>
      </c>
      <c r="G4840" s="0" t="n">
        <v>17110</v>
      </c>
      <c r="H4840" s="6" t="s">
        <v>74</v>
      </c>
      <c r="I4840" s="6" t="n">
        <f aca="false">D4840*F4840</f>
        <v>3.9</v>
      </c>
      <c r="J4840" s="6" t="n">
        <f aca="false">HOUR(E4840)</f>
        <v>3</v>
      </c>
      <c r="K4840" s="6" t="n">
        <f aca="false">IF(COUNTIF($A$2:$A4840,A4840)=1,1,0)</f>
        <v>0</v>
      </c>
    </row>
    <row r="4841" customFormat="false" ht="15" hidden="false" customHeight="false" outlineLevel="0" collapsed="false">
      <c r="A4841" s="0" t="s">
        <v>994</v>
      </c>
      <c r="B4841" s="0" t="s">
        <v>91</v>
      </c>
      <c r="C4841" s="0" t="s">
        <v>92</v>
      </c>
      <c r="D4841" s="0" t="n">
        <v>13</v>
      </c>
      <c r="E4841" s="5" t="n">
        <v>46007.2328819444</v>
      </c>
      <c r="F4841" s="0" t="n">
        <v>7.65</v>
      </c>
      <c r="H4841" s="6" t="s">
        <v>68</v>
      </c>
      <c r="I4841" s="6" t="n">
        <f aca="false">D4841*F4841</f>
        <v>99.45</v>
      </c>
      <c r="J4841" s="6" t="n">
        <f aca="false">HOUR(E4841)</f>
        <v>5</v>
      </c>
      <c r="K4841" s="6" t="n">
        <f aca="false">IF(COUNTIF($A$2:$A4841,A4841)=1,1,0)</f>
        <v>1</v>
      </c>
    </row>
    <row r="4842" customFormat="false" ht="15" hidden="false" customHeight="false" outlineLevel="0" collapsed="false">
      <c r="A4842" s="0" t="s">
        <v>994</v>
      </c>
      <c r="B4842" s="0" t="s">
        <v>99</v>
      </c>
      <c r="C4842" s="0" t="s">
        <v>100</v>
      </c>
      <c r="D4842" s="0" t="n">
        <v>14</v>
      </c>
      <c r="E4842" s="5" t="n">
        <v>46007.2328819444</v>
      </c>
      <c r="F4842" s="0" t="n">
        <v>2.08</v>
      </c>
      <c r="H4842" s="6" t="s">
        <v>68</v>
      </c>
      <c r="I4842" s="6" t="n">
        <f aca="false">D4842*F4842</f>
        <v>29.12</v>
      </c>
      <c r="J4842" s="6" t="n">
        <f aca="false">HOUR(E4842)</f>
        <v>5</v>
      </c>
      <c r="K4842" s="6" t="n">
        <f aca="false">IF(COUNTIF($A$2:$A4842,A4842)=1,1,0)</f>
        <v>0</v>
      </c>
    </row>
    <row r="4843" customFormat="false" ht="15" hidden="false" customHeight="false" outlineLevel="0" collapsed="false">
      <c r="A4843" s="0" t="s">
        <v>994</v>
      </c>
      <c r="B4843" s="0" t="s">
        <v>86</v>
      </c>
      <c r="C4843" s="0" t="s">
        <v>87</v>
      </c>
      <c r="D4843" s="0" t="n">
        <v>6</v>
      </c>
      <c r="E4843" s="5" t="n">
        <v>46007.2328819444</v>
      </c>
      <c r="F4843" s="0" t="n">
        <v>4.25</v>
      </c>
      <c r="H4843" s="6" t="s">
        <v>68</v>
      </c>
      <c r="I4843" s="6" t="n">
        <f aca="false">D4843*F4843</f>
        <v>25.5</v>
      </c>
      <c r="J4843" s="6" t="n">
        <f aca="false">HOUR(E4843)</f>
        <v>5</v>
      </c>
      <c r="K4843" s="6" t="n">
        <f aca="false">IF(COUNTIF($A$2:$A4843,A4843)=1,1,0)</f>
        <v>0</v>
      </c>
    </row>
    <row r="4844" customFormat="false" ht="15" hidden="false" customHeight="false" outlineLevel="0" collapsed="false">
      <c r="A4844" s="0" t="s">
        <v>994</v>
      </c>
      <c r="B4844" s="0" t="s">
        <v>121</v>
      </c>
      <c r="C4844" s="0" t="s">
        <v>122</v>
      </c>
      <c r="D4844" s="0" t="n">
        <v>10</v>
      </c>
      <c r="E4844" s="5" t="n">
        <v>46007.2328819444</v>
      </c>
      <c r="F4844" s="0" t="n">
        <v>2.1</v>
      </c>
      <c r="H4844" s="6" t="s">
        <v>68</v>
      </c>
      <c r="I4844" s="6" t="n">
        <f aca="false">D4844*F4844</f>
        <v>21</v>
      </c>
      <c r="J4844" s="6" t="n">
        <f aca="false">HOUR(E4844)</f>
        <v>5</v>
      </c>
      <c r="K4844" s="6" t="n">
        <f aca="false">IF(COUNTIF($A$2:$A4844,A4844)=1,1,0)</f>
        <v>0</v>
      </c>
    </row>
    <row r="4845" customFormat="false" ht="15" hidden="false" customHeight="false" outlineLevel="0" collapsed="false">
      <c r="A4845" s="0" t="s">
        <v>995</v>
      </c>
      <c r="B4845" s="0" t="s">
        <v>102</v>
      </c>
      <c r="C4845" s="0" t="s">
        <v>103</v>
      </c>
      <c r="D4845" s="0" t="n">
        <v>19</v>
      </c>
      <c r="E4845" s="5" t="n">
        <v>46007.3381018519</v>
      </c>
      <c r="F4845" s="0" t="n">
        <v>8.5</v>
      </c>
      <c r="G4845" s="0" t="n">
        <v>17031</v>
      </c>
      <c r="H4845" s="6" t="s">
        <v>113</v>
      </c>
      <c r="I4845" s="6" t="n">
        <f aca="false">D4845*F4845</f>
        <v>161.5</v>
      </c>
      <c r="J4845" s="6" t="n">
        <f aca="false">HOUR(E4845)</f>
        <v>8</v>
      </c>
      <c r="K4845" s="6" t="n">
        <f aca="false">IF(COUNTIF($A$2:$A4845,A4845)=1,1,0)</f>
        <v>1</v>
      </c>
    </row>
    <row r="4846" customFormat="false" ht="15" hidden="false" customHeight="false" outlineLevel="0" collapsed="false">
      <c r="A4846" s="0" t="s">
        <v>995</v>
      </c>
      <c r="B4846" s="0" t="s">
        <v>40</v>
      </c>
      <c r="C4846" s="0" t="s">
        <v>41</v>
      </c>
      <c r="D4846" s="0" t="n">
        <v>18</v>
      </c>
      <c r="E4846" s="5" t="n">
        <v>46007.3381018519</v>
      </c>
      <c r="F4846" s="0" t="n">
        <v>1.06</v>
      </c>
      <c r="G4846" s="0" t="n">
        <v>17031</v>
      </c>
      <c r="H4846" s="6" t="s">
        <v>113</v>
      </c>
      <c r="I4846" s="6" t="n">
        <f aca="false">D4846*F4846</f>
        <v>19.08</v>
      </c>
      <c r="J4846" s="6" t="n">
        <f aca="false">HOUR(E4846)</f>
        <v>8</v>
      </c>
      <c r="K4846" s="6" t="n">
        <f aca="false">IF(COUNTIF($A$2:$A4846,A4846)=1,1,0)</f>
        <v>0</v>
      </c>
    </row>
    <row r="4847" customFormat="false" ht="15" hidden="false" customHeight="false" outlineLevel="0" collapsed="false">
      <c r="A4847" s="0" t="s">
        <v>996</v>
      </c>
      <c r="B4847" s="0" t="s">
        <v>83</v>
      </c>
      <c r="C4847" s="0" t="s">
        <v>84</v>
      </c>
      <c r="D4847" s="0" t="n">
        <v>15</v>
      </c>
      <c r="E4847" s="5" t="n">
        <v>46007.3770833333</v>
      </c>
      <c r="F4847" s="0" t="n">
        <v>2.95</v>
      </c>
      <c r="G4847" s="0" t="n">
        <v>17094</v>
      </c>
      <c r="H4847" s="6" t="s">
        <v>74</v>
      </c>
      <c r="I4847" s="6" t="n">
        <f aca="false">D4847*F4847</f>
        <v>44.25</v>
      </c>
      <c r="J4847" s="6" t="n">
        <f aca="false">HOUR(E4847)</f>
        <v>9</v>
      </c>
      <c r="K4847" s="6" t="n">
        <f aca="false">IF(COUNTIF($A$2:$A4847,A4847)=1,1,0)</f>
        <v>1</v>
      </c>
    </row>
    <row r="4848" customFormat="false" ht="15" hidden="false" customHeight="false" outlineLevel="0" collapsed="false">
      <c r="A4848" s="0" t="s">
        <v>996</v>
      </c>
      <c r="B4848" s="0" t="s">
        <v>75</v>
      </c>
      <c r="C4848" s="0" t="s">
        <v>76</v>
      </c>
      <c r="D4848" s="0" t="n">
        <v>21</v>
      </c>
      <c r="E4848" s="5" t="n">
        <v>46007.3770833333</v>
      </c>
      <c r="F4848" s="0" t="n">
        <v>3.39</v>
      </c>
      <c r="G4848" s="0" t="n">
        <v>17094</v>
      </c>
      <c r="H4848" s="6" t="s">
        <v>74</v>
      </c>
      <c r="I4848" s="6" t="n">
        <f aca="false">D4848*F4848</f>
        <v>71.19</v>
      </c>
      <c r="J4848" s="6" t="n">
        <f aca="false">HOUR(E4848)</f>
        <v>9</v>
      </c>
      <c r="K4848" s="6" t="n">
        <f aca="false">IF(COUNTIF($A$2:$A4848,A4848)=1,1,0)</f>
        <v>0</v>
      </c>
    </row>
    <row r="4849" customFormat="false" ht="15" hidden="false" customHeight="false" outlineLevel="0" collapsed="false">
      <c r="A4849" s="0" t="s">
        <v>997</v>
      </c>
      <c r="B4849" s="0" t="s">
        <v>40</v>
      </c>
      <c r="C4849" s="0" t="s">
        <v>41</v>
      </c>
      <c r="D4849" s="0" t="n">
        <v>20</v>
      </c>
      <c r="E4849" s="5" t="n">
        <v>46007.3991666667</v>
      </c>
      <c r="F4849" s="0" t="n">
        <v>1.06</v>
      </c>
      <c r="G4849" s="0" t="n">
        <v>17160</v>
      </c>
      <c r="H4849" s="6" t="s">
        <v>74</v>
      </c>
      <c r="I4849" s="6" t="n">
        <f aca="false">D4849*F4849</f>
        <v>21.2</v>
      </c>
      <c r="J4849" s="6" t="n">
        <f aca="false">HOUR(E4849)</f>
        <v>9</v>
      </c>
      <c r="K4849" s="6" t="n">
        <f aca="false">IF(COUNTIF($A$2:$A4849,A4849)=1,1,0)</f>
        <v>1</v>
      </c>
    </row>
    <row r="4850" customFormat="false" ht="15" hidden="false" customHeight="false" outlineLevel="0" collapsed="false">
      <c r="A4850" s="0" t="s">
        <v>997</v>
      </c>
      <c r="B4850" s="0" t="s">
        <v>86</v>
      </c>
      <c r="C4850" s="0" t="s">
        <v>87</v>
      </c>
      <c r="D4850" s="0" t="n">
        <v>1</v>
      </c>
      <c r="E4850" s="5" t="n">
        <v>46007.3991666667</v>
      </c>
      <c r="F4850" s="0" t="n">
        <v>4.25</v>
      </c>
      <c r="G4850" s="0" t="n">
        <v>17160</v>
      </c>
      <c r="H4850" s="6" t="s">
        <v>74</v>
      </c>
      <c r="I4850" s="6" t="n">
        <f aca="false">D4850*F4850</f>
        <v>4.25</v>
      </c>
      <c r="J4850" s="6" t="n">
        <f aca="false">HOUR(E4850)</f>
        <v>9</v>
      </c>
      <c r="K4850" s="6" t="n">
        <f aca="false">IF(COUNTIF($A$2:$A4850,A4850)=1,1,0)</f>
        <v>0</v>
      </c>
    </row>
    <row r="4851" customFormat="false" ht="15" hidden="false" customHeight="false" outlineLevel="0" collapsed="false">
      <c r="A4851" s="0" t="s">
        <v>997</v>
      </c>
      <c r="B4851" s="0" t="s">
        <v>43</v>
      </c>
      <c r="C4851" s="0" t="s">
        <v>44</v>
      </c>
      <c r="D4851" s="0" t="n">
        <v>11</v>
      </c>
      <c r="E4851" s="5" t="n">
        <v>46007.3991666667</v>
      </c>
      <c r="F4851" s="0" t="n">
        <v>4.25</v>
      </c>
      <c r="G4851" s="0" t="n">
        <v>17160</v>
      </c>
      <c r="H4851" s="6" t="s">
        <v>74</v>
      </c>
      <c r="I4851" s="6" t="n">
        <f aca="false">D4851*F4851</f>
        <v>46.75</v>
      </c>
      <c r="J4851" s="6" t="n">
        <f aca="false">HOUR(E4851)</f>
        <v>9</v>
      </c>
      <c r="K4851" s="6" t="n">
        <f aca="false">IF(COUNTIF($A$2:$A4851,A4851)=1,1,0)</f>
        <v>0</v>
      </c>
    </row>
    <row r="4852" customFormat="false" ht="15" hidden="false" customHeight="false" outlineLevel="0" collapsed="false">
      <c r="A4852" s="0" t="s">
        <v>997</v>
      </c>
      <c r="B4852" s="0" t="s">
        <v>145</v>
      </c>
      <c r="C4852" s="0" t="s">
        <v>146</v>
      </c>
      <c r="D4852" s="0" t="n">
        <v>2</v>
      </c>
      <c r="E4852" s="5" t="n">
        <v>46007.3991666667</v>
      </c>
      <c r="F4852" s="0" t="n">
        <v>1.85</v>
      </c>
      <c r="G4852" s="0" t="n">
        <v>17160</v>
      </c>
      <c r="H4852" s="6" t="s">
        <v>74</v>
      </c>
      <c r="I4852" s="6" t="n">
        <f aca="false">D4852*F4852</f>
        <v>3.7</v>
      </c>
      <c r="J4852" s="6" t="n">
        <f aca="false">HOUR(E4852)</f>
        <v>9</v>
      </c>
      <c r="K4852" s="6" t="n">
        <f aca="false">IF(COUNTIF($A$2:$A4852,A4852)=1,1,0)</f>
        <v>0</v>
      </c>
    </row>
    <row r="4853" customFormat="false" ht="15" hidden="false" customHeight="false" outlineLevel="0" collapsed="false">
      <c r="A4853" s="0" t="s">
        <v>998</v>
      </c>
      <c r="B4853" s="0" t="s">
        <v>81</v>
      </c>
      <c r="C4853" s="0" t="s">
        <v>82</v>
      </c>
      <c r="D4853" s="0" t="n">
        <v>7</v>
      </c>
      <c r="E4853" s="5" t="n">
        <v>46007.4359027778</v>
      </c>
      <c r="F4853" s="0" t="n">
        <v>1.65</v>
      </c>
      <c r="G4853" s="0" t="n">
        <v>17071</v>
      </c>
      <c r="H4853" s="6" t="s">
        <v>144</v>
      </c>
      <c r="I4853" s="6" t="n">
        <f aca="false">D4853*F4853</f>
        <v>11.55</v>
      </c>
      <c r="J4853" s="6" t="n">
        <f aca="false">HOUR(E4853)</f>
        <v>10</v>
      </c>
      <c r="K4853" s="6" t="n">
        <f aca="false">IF(COUNTIF($A$2:$A4853,A4853)=1,1,0)</f>
        <v>1</v>
      </c>
    </row>
    <row r="4854" customFormat="false" ht="15" hidden="false" customHeight="false" outlineLevel="0" collapsed="false">
      <c r="A4854" s="0" t="s">
        <v>998</v>
      </c>
      <c r="B4854" s="0" t="s">
        <v>107</v>
      </c>
      <c r="C4854" s="0" t="s">
        <v>108</v>
      </c>
      <c r="D4854" s="0" t="n">
        <v>15</v>
      </c>
      <c r="E4854" s="5" t="n">
        <v>46007.4359027778</v>
      </c>
      <c r="F4854" s="0" t="n">
        <v>3.75</v>
      </c>
      <c r="G4854" s="0" t="n">
        <v>17071</v>
      </c>
      <c r="H4854" s="6" t="s">
        <v>144</v>
      </c>
      <c r="I4854" s="6" t="n">
        <f aca="false">D4854*F4854</f>
        <v>56.25</v>
      </c>
      <c r="J4854" s="6" t="n">
        <f aca="false">HOUR(E4854)</f>
        <v>10</v>
      </c>
      <c r="K4854" s="6" t="n">
        <f aca="false">IF(COUNTIF($A$2:$A4854,A4854)=1,1,0)</f>
        <v>0</v>
      </c>
    </row>
    <row r="4855" customFormat="false" ht="15" hidden="false" customHeight="false" outlineLevel="0" collapsed="false">
      <c r="A4855" s="0" t="s">
        <v>998</v>
      </c>
      <c r="B4855" s="0" t="s">
        <v>140</v>
      </c>
      <c r="C4855" s="0" t="s">
        <v>141</v>
      </c>
      <c r="D4855" s="0" t="n">
        <v>21</v>
      </c>
      <c r="E4855" s="5" t="n">
        <v>46007.4359027778</v>
      </c>
      <c r="F4855" s="0" t="n">
        <v>2.08</v>
      </c>
      <c r="G4855" s="0" t="n">
        <v>17071</v>
      </c>
      <c r="H4855" s="6" t="s">
        <v>144</v>
      </c>
      <c r="I4855" s="6" t="n">
        <f aca="false">D4855*F4855</f>
        <v>43.68</v>
      </c>
      <c r="J4855" s="6" t="n">
        <f aca="false">HOUR(E4855)</f>
        <v>10</v>
      </c>
      <c r="K4855" s="6" t="n">
        <f aca="false">IF(COUNTIF($A$2:$A4855,A4855)=1,1,0)</f>
        <v>0</v>
      </c>
    </row>
    <row r="4856" customFormat="false" ht="15" hidden="false" customHeight="false" outlineLevel="0" collapsed="false">
      <c r="A4856" s="0" t="s">
        <v>998</v>
      </c>
      <c r="B4856" s="0" t="s">
        <v>77</v>
      </c>
      <c r="C4856" s="0" t="s">
        <v>78</v>
      </c>
      <c r="D4856" s="0" t="n">
        <v>10</v>
      </c>
      <c r="E4856" s="5" t="n">
        <v>46007.4359027778</v>
      </c>
      <c r="F4856" s="0" t="n">
        <v>1.65</v>
      </c>
      <c r="G4856" s="0" t="n">
        <v>17071</v>
      </c>
      <c r="H4856" s="6" t="s">
        <v>144</v>
      </c>
      <c r="I4856" s="6" t="n">
        <f aca="false">D4856*F4856</f>
        <v>16.5</v>
      </c>
      <c r="J4856" s="6" t="n">
        <f aca="false">HOUR(E4856)</f>
        <v>10</v>
      </c>
      <c r="K4856" s="6" t="n">
        <f aca="false">IF(COUNTIF($A$2:$A4856,A4856)=1,1,0)</f>
        <v>0</v>
      </c>
    </row>
    <row r="4857" customFormat="false" ht="15" hidden="false" customHeight="false" outlineLevel="0" collapsed="false">
      <c r="A4857" s="0" t="s">
        <v>998</v>
      </c>
      <c r="B4857" s="0" t="s">
        <v>72</v>
      </c>
      <c r="C4857" s="0" t="s">
        <v>73</v>
      </c>
      <c r="D4857" s="0" t="n">
        <v>13</v>
      </c>
      <c r="E4857" s="5" t="n">
        <v>46007.4359027778</v>
      </c>
      <c r="F4857" s="0" t="n">
        <v>4.95</v>
      </c>
      <c r="G4857" s="0" t="n">
        <v>17071</v>
      </c>
      <c r="H4857" s="6" t="s">
        <v>144</v>
      </c>
      <c r="I4857" s="6" t="n">
        <f aca="false">D4857*F4857</f>
        <v>64.35</v>
      </c>
      <c r="J4857" s="6" t="n">
        <f aca="false">HOUR(E4857)</f>
        <v>10</v>
      </c>
      <c r="K4857" s="6" t="n">
        <f aca="false">IF(COUNTIF($A$2:$A4857,A4857)=1,1,0)</f>
        <v>0</v>
      </c>
    </row>
    <row r="4858" customFormat="false" ht="15" hidden="false" customHeight="false" outlineLevel="0" collapsed="false">
      <c r="A4858" s="0" t="s">
        <v>999</v>
      </c>
      <c r="B4858" s="0" t="s">
        <v>57</v>
      </c>
      <c r="C4858" s="0" t="s">
        <v>58</v>
      </c>
      <c r="D4858" s="0" t="n">
        <v>10</v>
      </c>
      <c r="E4858" s="5" t="n">
        <v>46007.4696412037</v>
      </c>
      <c r="F4858" s="0" t="n">
        <v>2.08</v>
      </c>
      <c r="G4858" s="0" t="n">
        <v>17045</v>
      </c>
      <c r="H4858" s="6" t="s">
        <v>144</v>
      </c>
      <c r="I4858" s="6" t="n">
        <f aca="false">D4858*F4858</f>
        <v>20.8</v>
      </c>
      <c r="J4858" s="6" t="n">
        <f aca="false">HOUR(E4858)</f>
        <v>11</v>
      </c>
      <c r="K4858" s="6" t="n">
        <f aca="false">IF(COUNTIF($A$2:$A4858,A4858)=1,1,0)</f>
        <v>1</v>
      </c>
    </row>
    <row r="4859" customFormat="false" ht="15" hidden="false" customHeight="false" outlineLevel="0" collapsed="false">
      <c r="A4859" s="0" t="s">
        <v>999</v>
      </c>
      <c r="B4859" s="0" t="s">
        <v>107</v>
      </c>
      <c r="C4859" s="0" t="s">
        <v>108</v>
      </c>
      <c r="D4859" s="0" t="n">
        <v>6</v>
      </c>
      <c r="E4859" s="5" t="n">
        <v>46007.4696412037</v>
      </c>
      <c r="F4859" s="0" t="n">
        <v>3.75</v>
      </c>
      <c r="G4859" s="0" t="n">
        <v>17045</v>
      </c>
      <c r="H4859" s="6" t="s">
        <v>144</v>
      </c>
      <c r="I4859" s="6" t="n">
        <f aca="false">D4859*F4859</f>
        <v>22.5</v>
      </c>
      <c r="J4859" s="6" t="n">
        <f aca="false">HOUR(E4859)</f>
        <v>11</v>
      </c>
      <c r="K4859" s="6" t="n">
        <f aca="false">IF(COUNTIF($A$2:$A4859,A4859)=1,1,0)</f>
        <v>0</v>
      </c>
    </row>
    <row r="4860" customFormat="false" ht="15" hidden="false" customHeight="false" outlineLevel="0" collapsed="false">
      <c r="A4860" s="0" t="s">
        <v>999</v>
      </c>
      <c r="B4860" s="0" t="s">
        <v>93</v>
      </c>
      <c r="C4860" s="0" t="s">
        <v>94</v>
      </c>
      <c r="D4860" s="0" t="n">
        <v>18</v>
      </c>
      <c r="E4860" s="5" t="n">
        <v>46007.4696412037</v>
      </c>
      <c r="F4860" s="0" t="n">
        <v>1.69</v>
      </c>
      <c r="G4860" s="0" t="n">
        <v>17045</v>
      </c>
      <c r="H4860" s="6" t="s">
        <v>144</v>
      </c>
      <c r="I4860" s="6" t="n">
        <f aca="false">D4860*F4860</f>
        <v>30.42</v>
      </c>
      <c r="J4860" s="6" t="n">
        <f aca="false">HOUR(E4860)</f>
        <v>11</v>
      </c>
      <c r="K4860" s="6" t="n">
        <f aca="false">IF(COUNTIF($A$2:$A4860,A4860)=1,1,0)</f>
        <v>0</v>
      </c>
    </row>
    <row r="4861" customFormat="false" ht="15" hidden="false" customHeight="false" outlineLevel="0" collapsed="false">
      <c r="A4861" s="0" t="s">
        <v>999</v>
      </c>
      <c r="B4861" s="0" t="s">
        <v>83</v>
      </c>
      <c r="C4861" s="0" t="s">
        <v>84</v>
      </c>
      <c r="D4861" s="0" t="n">
        <v>13</v>
      </c>
      <c r="E4861" s="5" t="n">
        <v>46007.4696412037</v>
      </c>
      <c r="F4861" s="0" t="n">
        <v>2.95</v>
      </c>
      <c r="G4861" s="0" t="n">
        <v>17045</v>
      </c>
      <c r="H4861" s="6" t="s">
        <v>144</v>
      </c>
      <c r="I4861" s="6" t="n">
        <f aca="false">D4861*F4861</f>
        <v>38.35</v>
      </c>
      <c r="J4861" s="6" t="n">
        <f aca="false">HOUR(E4861)</f>
        <v>11</v>
      </c>
      <c r="K4861" s="6" t="n">
        <f aca="false">IF(COUNTIF($A$2:$A4861,A4861)=1,1,0)</f>
        <v>0</v>
      </c>
    </row>
    <row r="4862" customFormat="false" ht="15" hidden="false" customHeight="false" outlineLevel="0" collapsed="false">
      <c r="A4862" s="0" t="s">
        <v>999</v>
      </c>
      <c r="B4862" s="0" t="s">
        <v>40</v>
      </c>
      <c r="C4862" s="0" t="s">
        <v>41</v>
      </c>
      <c r="D4862" s="0" t="n">
        <v>2</v>
      </c>
      <c r="E4862" s="5" t="n">
        <v>46007.4696412037</v>
      </c>
      <c r="F4862" s="0" t="n">
        <v>1.06</v>
      </c>
      <c r="G4862" s="0" t="n">
        <v>17045</v>
      </c>
      <c r="H4862" s="6" t="s">
        <v>144</v>
      </c>
      <c r="I4862" s="6" t="n">
        <f aca="false">D4862*F4862</f>
        <v>2.12</v>
      </c>
      <c r="J4862" s="6" t="n">
        <f aca="false">HOUR(E4862)</f>
        <v>11</v>
      </c>
      <c r="K4862" s="6" t="n">
        <f aca="false">IF(COUNTIF($A$2:$A4862,A4862)=1,1,0)</f>
        <v>0</v>
      </c>
    </row>
    <row r="4863" customFormat="false" ht="15" hidden="false" customHeight="false" outlineLevel="0" collapsed="false">
      <c r="A4863" s="0" t="s">
        <v>999</v>
      </c>
      <c r="B4863" s="0" t="s">
        <v>77</v>
      </c>
      <c r="C4863" s="0" t="s">
        <v>78</v>
      </c>
      <c r="D4863" s="0" t="n">
        <v>24</v>
      </c>
      <c r="E4863" s="5" t="n">
        <v>46007.4696412037</v>
      </c>
      <c r="F4863" s="0" t="n">
        <v>1.65</v>
      </c>
      <c r="G4863" s="0" t="n">
        <v>17045</v>
      </c>
      <c r="H4863" s="6" t="s">
        <v>144</v>
      </c>
      <c r="I4863" s="6" t="n">
        <f aca="false">D4863*F4863</f>
        <v>39.6</v>
      </c>
      <c r="J4863" s="6" t="n">
        <f aca="false">HOUR(E4863)</f>
        <v>11</v>
      </c>
      <c r="K4863" s="6" t="n">
        <f aca="false">IF(COUNTIF($A$2:$A4863,A4863)=1,1,0)</f>
        <v>0</v>
      </c>
    </row>
    <row r="4864" customFormat="false" ht="15" hidden="false" customHeight="false" outlineLevel="0" collapsed="false">
      <c r="A4864" s="0" t="s">
        <v>999</v>
      </c>
      <c r="B4864" s="0" t="s">
        <v>79</v>
      </c>
      <c r="C4864" s="0" t="s">
        <v>80</v>
      </c>
      <c r="D4864" s="0" t="n">
        <v>2</v>
      </c>
      <c r="E4864" s="5" t="n">
        <v>46007.4696412037</v>
      </c>
      <c r="F4864" s="0" t="n">
        <v>3.39</v>
      </c>
      <c r="G4864" s="0" t="n">
        <v>17045</v>
      </c>
      <c r="H4864" s="6" t="s">
        <v>144</v>
      </c>
      <c r="I4864" s="6" t="n">
        <f aca="false">D4864*F4864</f>
        <v>6.78</v>
      </c>
      <c r="J4864" s="6" t="n">
        <f aca="false">HOUR(E4864)</f>
        <v>11</v>
      </c>
      <c r="K4864" s="6" t="n">
        <f aca="false">IF(COUNTIF($A$2:$A4864,A4864)=1,1,0)</f>
        <v>0</v>
      </c>
    </row>
    <row r="4865" customFormat="false" ht="15" hidden="false" customHeight="false" outlineLevel="0" collapsed="false">
      <c r="A4865" s="0" t="s">
        <v>999</v>
      </c>
      <c r="B4865" s="0" t="s">
        <v>75</v>
      </c>
      <c r="C4865" s="0" t="s">
        <v>76</v>
      </c>
      <c r="D4865" s="0" t="n">
        <v>5</v>
      </c>
      <c r="E4865" s="5" t="n">
        <v>46007.4696412037</v>
      </c>
      <c r="F4865" s="0" t="n">
        <v>3.39</v>
      </c>
      <c r="G4865" s="0" t="n">
        <v>17045</v>
      </c>
      <c r="H4865" s="6" t="s">
        <v>144</v>
      </c>
      <c r="I4865" s="6" t="n">
        <f aca="false">D4865*F4865</f>
        <v>16.95</v>
      </c>
      <c r="J4865" s="6" t="n">
        <f aca="false">HOUR(E4865)</f>
        <v>11</v>
      </c>
      <c r="K4865" s="6" t="n">
        <f aca="false">IF(COUNTIF($A$2:$A4865,A4865)=1,1,0)</f>
        <v>0</v>
      </c>
    </row>
    <row r="4866" customFormat="false" ht="15" hidden="false" customHeight="false" outlineLevel="0" collapsed="false">
      <c r="A4866" s="0" t="s">
        <v>999</v>
      </c>
      <c r="B4866" s="0" t="s">
        <v>45</v>
      </c>
      <c r="C4866" s="0" t="s">
        <v>46</v>
      </c>
      <c r="D4866" s="0" t="n">
        <v>8</v>
      </c>
      <c r="E4866" s="5" t="n">
        <v>46007.4696412037</v>
      </c>
      <c r="F4866" s="0" t="n">
        <v>2.1</v>
      </c>
      <c r="G4866" s="0" t="n">
        <v>17045</v>
      </c>
      <c r="H4866" s="6" t="s">
        <v>144</v>
      </c>
      <c r="I4866" s="6" t="n">
        <f aca="false">D4866*F4866</f>
        <v>16.8</v>
      </c>
      <c r="J4866" s="6" t="n">
        <f aca="false">HOUR(E4866)</f>
        <v>11</v>
      </c>
      <c r="K4866" s="6" t="n">
        <f aca="false">IF(COUNTIF($A$2:$A4866,A4866)=1,1,0)</f>
        <v>0</v>
      </c>
    </row>
    <row r="4867" customFormat="false" ht="15" hidden="false" customHeight="false" outlineLevel="0" collapsed="false">
      <c r="A4867" s="0" t="s">
        <v>999</v>
      </c>
      <c r="B4867" s="0" t="s">
        <v>91</v>
      </c>
      <c r="C4867" s="0" t="s">
        <v>92</v>
      </c>
      <c r="D4867" s="0" t="n">
        <v>9</v>
      </c>
      <c r="E4867" s="5" t="n">
        <v>46007.4696412037</v>
      </c>
      <c r="F4867" s="0" t="n">
        <v>7.65</v>
      </c>
      <c r="G4867" s="0" t="n">
        <v>17045</v>
      </c>
      <c r="H4867" s="6" t="s">
        <v>144</v>
      </c>
      <c r="I4867" s="6" t="n">
        <f aca="false">D4867*F4867</f>
        <v>68.85</v>
      </c>
      <c r="J4867" s="6" t="n">
        <f aca="false">HOUR(E4867)</f>
        <v>11</v>
      </c>
      <c r="K4867" s="6" t="n">
        <f aca="false">IF(COUNTIF($A$2:$A4867,A4867)=1,1,0)</f>
        <v>0</v>
      </c>
    </row>
    <row r="4868" customFormat="false" ht="15" hidden="false" customHeight="false" outlineLevel="0" collapsed="false">
      <c r="A4868" s="0" t="s">
        <v>1000</v>
      </c>
      <c r="B4868" s="0" t="s">
        <v>59</v>
      </c>
      <c r="C4868" s="0" t="s">
        <v>60</v>
      </c>
      <c r="D4868" s="0" t="n">
        <v>16</v>
      </c>
      <c r="E4868" s="5" t="n">
        <v>46007.4814583333</v>
      </c>
      <c r="F4868" s="0" t="n">
        <v>0.42</v>
      </c>
      <c r="G4868" s="0" t="n">
        <v>17058</v>
      </c>
      <c r="H4868" s="6" t="s">
        <v>151</v>
      </c>
      <c r="I4868" s="6" t="n">
        <f aca="false">D4868*F4868</f>
        <v>6.72</v>
      </c>
      <c r="J4868" s="6" t="n">
        <f aca="false">HOUR(E4868)</f>
        <v>11</v>
      </c>
      <c r="K4868" s="6" t="n">
        <f aca="false">IF(COUNTIF($A$2:$A4868,A4868)=1,1,0)</f>
        <v>1</v>
      </c>
    </row>
    <row r="4869" customFormat="false" ht="15" hidden="false" customHeight="false" outlineLevel="0" collapsed="false">
      <c r="A4869" s="0" t="s">
        <v>1000</v>
      </c>
      <c r="B4869" s="0" t="s">
        <v>81</v>
      </c>
      <c r="C4869" s="0" t="s">
        <v>82</v>
      </c>
      <c r="D4869" s="0" t="n">
        <v>18</v>
      </c>
      <c r="E4869" s="5" t="n">
        <v>46007.4814583333</v>
      </c>
      <c r="F4869" s="0" t="n">
        <v>1.65</v>
      </c>
      <c r="G4869" s="0" t="n">
        <v>17058</v>
      </c>
      <c r="H4869" s="6" t="s">
        <v>151</v>
      </c>
      <c r="I4869" s="6" t="n">
        <f aca="false">D4869*F4869</f>
        <v>29.7</v>
      </c>
      <c r="J4869" s="6" t="n">
        <f aca="false">HOUR(E4869)</f>
        <v>11</v>
      </c>
      <c r="K4869" s="6" t="n">
        <f aca="false">IF(COUNTIF($A$2:$A4869,A4869)=1,1,0)</f>
        <v>0</v>
      </c>
    </row>
    <row r="4870" customFormat="false" ht="15" hidden="false" customHeight="false" outlineLevel="0" collapsed="false">
      <c r="A4870" s="0" t="s">
        <v>1000</v>
      </c>
      <c r="B4870" s="0" t="s">
        <v>118</v>
      </c>
      <c r="C4870" s="0" t="s">
        <v>119</v>
      </c>
      <c r="D4870" s="0" t="n">
        <v>9</v>
      </c>
      <c r="E4870" s="5" t="n">
        <v>46007.4814583333</v>
      </c>
      <c r="F4870" s="0" t="n">
        <v>4.95</v>
      </c>
      <c r="G4870" s="0" t="n">
        <v>17058</v>
      </c>
      <c r="H4870" s="6" t="s">
        <v>151</v>
      </c>
      <c r="I4870" s="6" t="n">
        <f aca="false">D4870*F4870</f>
        <v>44.55</v>
      </c>
      <c r="J4870" s="6" t="n">
        <f aca="false">HOUR(E4870)</f>
        <v>11</v>
      </c>
      <c r="K4870" s="6" t="n">
        <f aca="false">IF(COUNTIF($A$2:$A4870,A4870)=1,1,0)</f>
        <v>0</v>
      </c>
    </row>
    <row r="4871" customFormat="false" ht="15" hidden="false" customHeight="false" outlineLevel="0" collapsed="false">
      <c r="A4871" s="0" t="s">
        <v>1000</v>
      </c>
      <c r="B4871" s="0" t="s">
        <v>43</v>
      </c>
      <c r="C4871" s="0" t="s">
        <v>44</v>
      </c>
      <c r="D4871" s="0" t="n">
        <v>3</v>
      </c>
      <c r="E4871" s="5" t="n">
        <v>46007.4814583333</v>
      </c>
      <c r="F4871" s="0" t="n">
        <v>4.25</v>
      </c>
      <c r="G4871" s="0" t="n">
        <v>17058</v>
      </c>
      <c r="H4871" s="6" t="s">
        <v>151</v>
      </c>
      <c r="I4871" s="6" t="n">
        <f aca="false">D4871*F4871</f>
        <v>12.75</v>
      </c>
      <c r="J4871" s="6" t="n">
        <f aca="false">HOUR(E4871)</f>
        <v>11</v>
      </c>
      <c r="K4871" s="6" t="n">
        <f aca="false">IF(COUNTIF($A$2:$A4871,A4871)=1,1,0)</f>
        <v>0</v>
      </c>
    </row>
    <row r="4872" customFormat="false" ht="15" hidden="false" customHeight="false" outlineLevel="0" collapsed="false">
      <c r="A4872" s="0" t="s">
        <v>1000</v>
      </c>
      <c r="B4872" s="0" t="s">
        <v>45</v>
      </c>
      <c r="C4872" s="0" t="s">
        <v>46</v>
      </c>
      <c r="D4872" s="0" t="n">
        <v>11</v>
      </c>
      <c r="E4872" s="5" t="n">
        <v>46007.4814583333</v>
      </c>
      <c r="F4872" s="0" t="n">
        <v>2.1</v>
      </c>
      <c r="G4872" s="0" t="n">
        <v>17058</v>
      </c>
      <c r="H4872" s="6" t="s">
        <v>151</v>
      </c>
      <c r="I4872" s="6" t="n">
        <f aca="false">D4872*F4872</f>
        <v>23.1</v>
      </c>
      <c r="J4872" s="6" t="n">
        <f aca="false">HOUR(E4872)</f>
        <v>11</v>
      </c>
      <c r="K4872" s="6" t="n">
        <f aca="false">IF(COUNTIF($A$2:$A4872,A4872)=1,1,0)</f>
        <v>0</v>
      </c>
    </row>
    <row r="4873" customFormat="false" ht="15" hidden="false" customHeight="false" outlineLevel="0" collapsed="false">
      <c r="A4873" s="0" t="s">
        <v>1000</v>
      </c>
      <c r="B4873" s="0" t="s">
        <v>99</v>
      </c>
      <c r="C4873" s="0" t="s">
        <v>100</v>
      </c>
      <c r="D4873" s="0" t="n">
        <v>4</v>
      </c>
      <c r="E4873" s="5" t="n">
        <v>46007.4814583333</v>
      </c>
      <c r="F4873" s="0" t="n">
        <v>2.08</v>
      </c>
      <c r="G4873" s="0" t="n">
        <v>17058</v>
      </c>
      <c r="H4873" s="6" t="s">
        <v>151</v>
      </c>
      <c r="I4873" s="6" t="n">
        <f aca="false">D4873*F4873</f>
        <v>8.32</v>
      </c>
      <c r="J4873" s="6" t="n">
        <f aca="false">HOUR(E4873)</f>
        <v>11</v>
      </c>
      <c r="K4873" s="6" t="n">
        <f aca="false">IF(COUNTIF($A$2:$A4873,A4873)=1,1,0)</f>
        <v>0</v>
      </c>
    </row>
    <row r="4874" customFormat="false" ht="15" hidden="false" customHeight="false" outlineLevel="0" collapsed="false">
      <c r="A4874" s="0" t="s">
        <v>1000</v>
      </c>
      <c r="B4874" s="0" t="s">
        <v>134</v>
      </c>
      <c r="C4874" s="0" t="s">
        <v>135</v>
      </c>
      <c r="D4874" s="0" t="n">
        <v>5</v>
      </c>
      <c r="E4874" s="5" t="n">
        <v>46007.4814583333</v>
      </c>
      <c r="F4874" s="0" t="n">
        <v>5.95</v>
      </c>
      <c r="G4874" s="0" t="n">
        <v>17058</v>
      </c>
      <c r="H4874" s="6" t="s">
        <v>151</v>
      </c>
      <c r="I4874" s="6" t="n">
        <f aca="false">D4874*F4874</f>
        <v>29.75</v>
      </c>
      <c r="J4874" s="6" t="n">
        <f aca="false">HOUR(E4874)</f>
        <v>11</v>
      </c>
      <c r="K4874" s="6" t="n">
        <f aca="false">IF(COUNTIF($A$2:$A4874,A4874)=1,1,0)</f>
        <v>0</v>
      </c>
    </row>
    <row r="4875" customFormat="false" ht="15" hidden="false" customHeight="false" outlineLevel="0" collapsed="false">
      <c r="A4875" s="0" t="s">
        <v>1000</v>
      </c>
      <c r="B4875" s="0" t="s">
        <v>127</v>
      </c>
      <c r="C4875" s="0" t="s">
        <v>128</v>
      </c>
      <c r="D4875" s="0" t="n">
        <v>22</v>
      </c>
      <c r="E4875" s="5" t="n">
        <v>46007.4814583333</v>
      </c>
      <c r="F4875" s="0" t="n">
        <v>1.45</v>
      </c>
      <c r="G4875" s="0" t="n">
        <v>17058</v>
      </c>
      <c r="H4875" s="6" t="s">
        <v>151</v>
      </c>
      <c r="I4875" s="6" t="n">
        <f aca="false">D4875*F4875</f>
        <v>31.9</v>
      </c>
      <c r="J4875" s="6" t="n">
        <f aca="false">HOUR(E4875)</f>
        <v>11</v>
      </c>
      <c r="K4875" s="6" t="n">
        <f aca="false">IF(COUNTIF($A$2:$A4875,A4875)=1,1,0)</f>
        <v>0</v>
      </c>
    </row>
    <row r="4876" customFormat="false" ht="15" hidden="false" customHeight="false" outlineLevel="0" collapsed="false">
      <c r="A4876" s="0" t="s">
        <v>1000</v>
      </c>
      <c r="B4876" s="0" t="s">
        <v>50</v>
      </c>
      <c r="C4876" s="0" t="s">
        <v>51</v>
      </c>
      <c r="D4876" s="0" t="n">
        <v>12</v>
      </c>
      <c r="E4876" s="5" t="n">
        <v>46007.4814583333</v>
      </c>
      <c r="F4876" s="0" t="n">
        <v>5.95</v>
      </c>
      <c r="G4876" s="0" t="n">
        <v>17058</v>
      </c>
      <c r="H4876" s="6" t="s">
        <v>151</v>
      </c>
      <c r="I4876" s="6" t="n">
        <f aca="false">D4876*F4876</f>
        <v>71.4</v>
      </c>
      <c r="J4876" s="6" t="n">
        <f aca="false">HOUR(E4876)</f>
        <v>11</v>
      </c>
      <c r="K4876" s="6" t="n">
        <f aca="false">IF(COUNTIF($A$2:$A4876,A4876)=1,1,0)</f>
        <v>0</v>
      </c>
    </row>
    <row r="4877" customFormat="false" ht="15" hidden="false" customHeight="false" outlineLevel="0" collapsed="false">
      <c r="A4877" s="0" t="s">
        <v>1001</v>
      </c>
      <c r="B4877" s="0" t="s">
        <v>93</v>
      </c>
      <c r="C4877" s="0" t="s">
        <v>94</v>
      </c>
      <c r="D4877" s="0" t="n">
        <v>5</v>
      </c>
      <c r="E4877" s="5" t="n">
        <v>46007.5065162037</v>
      </c>
      <c r="F4877" s="0" t="n">
        <v>1.69</v>
      </c>
      <c r="G4877" s="0" t="n">
        <v>17046</v>
      </c>
      <c r="H4877" s="6" t="s">
        <v>74</v>
      </c>
      <c r="I4877" s="6" t="n">
        <f aca="false">D4877*F4877</f>
        <v>8.45</v>
      </c>
      <c r="J4877" s="6" t="n">
        <f aca="false">HOUR(E4877)</f>
        <v>12</v>
      </c>
      <c r="K4877" s="6" t="n">
        <f aca="false">IF(COUNTIF($A$2:$A4877,A4877)=1,1,0)</f>
        <v>1</v>
      </c>
    </row>
    <row r="4878" customFormat="false" ht="15" hidden="false" customHeight="false" outlineLevel="0" collapsed="false">
      <c r="A4878" s="0" t="s">
        <v>1001</v>
      </c>
      <c r="B4878" s="0" t="s">
        <v>99</v>
      </c>
      <c r="C4878" s="0" t="s">
        <v>100</v>
      </c>
      <c r="D4878" s="0" t="n">
        <v>18</v>
      </c>
      <c r="E4878" s="5" t="n">
        <v>46007.5065162037</v>
      </c>
      <c r="F4878" s="0" t="n">
        <v>2.08</v>
      </c>
      <c r="G4878" s="0" t="n">
        <v>17046</v>
      </c>
      <c r="H4878" s="6" t="s">
        <v>74</v>
      </c>
      <c r="I4878" s="6" t="n">
        <f aca="false">D4878*F4878</f>
        <v>37.44</v>
      </c>
      <c r="J4878" s="6" t="n">
        <f aca="false">HOUR(E4878)</f>
        <v>12</v>
      </c>
      <c r="K4878" s="6" t="n">
        <f aca="false">IF(COUNTIF($A$2:$A4878,A4878)=1,1,0)</f>
        <v>0</v>
      </c>
    </row>
    <row r="4879" customFormat="false" ht="15" hidden="false" customHeight="false" outlineLevel="0" collapsed="false">
      <c r="A4879" s="0" t="s">
        <v>1001</v>
      </c>
      <c r="B4879" s="0" t="s">
        <v>131</v>
      </c>
      <c r="C4879" s="0" t="s">
        <v>132</v>
      </c>
      <c r="D4879" s="0" t="n">
        <v>12</v>
      </c>
      <c r="E4879" s="5" t="n">
        <v>46007.5065162037</v>
      </c>
      <c r="F4879" s="0" t="n">
        <v>3.39</v>
      </c>
      <c r="G4879" s="0" t="n">
        <v>17046</v>
      </c>
      <c r="H4879" s="6" t="s">
        <v>74</v>
      </c>
      <c r="I4879" s="6" t="n">
        <f aca="false">D4879*F4879</f>
        <v>40.68</v>
      </c>
      <c r="J4879" s="6" t="n">
        <f aca="false">HOUR(E4879)</f>
        <v>12</v>
      </c>
      <c r="K4879" s="6" t="n">
        <f aca="false">IF(COUNTIF($A$2:$A4879,A4879)=1,1,0)</f>
        <v>0</v>
      </c>
    </row>
    <row r="4880" customFormat="false" ht="15" hidden="false" customHeight="false" outlineLevel="0" collapsed="false">
      <c r="A4880" s="0" t="s">
        <v>1001</v>
      </c>
      <c r="B4880" s="0" t="s">
        <v>114</v>
      </c>
      <c r="C4880" s="0" t="s">
        <v>115</v>
      </c>
      <c r="D4880" s="0" t="n">
        <v>15</v>
      </c>
      <c r="E4880" s="5" t="n">
        <v>46007.5065162037</v>
      </c>
      <c r="F4880" s="0" t="n">
        <v>2.08</v>
      </c>
      <c r="G4880" s="0" t="n">
        <v>17046</v>
      </c>
      <c r="H4880" s="6" t="s">
        <v>74</v>
      </c>
      <c r="I4880" s="6" t="n">
        <f aca="false">D4880*F4880</f>
        <v>31.2</v>
      </c>
      <c r="J4880" s="6" t="n">
        <f aca="false">HOUR(E4880)</f>
        <v>12</v>
      </c>
      <c r="K4880" s="6" t="n">
        <f aca="false">IF(COUNTIF($A$2:$A4880,A4880)=1,1,0)</f>
        <v>0</v>
      </c>
    </row>
    <row r="4881" customFormat="false" ht="15" hidden="false" customHeight="false" outlineLevel="0" collapsed="false">
      <c r="A4881" s="0" t="s">
        <v>1001</v>
      </c>
      <c r="B4881" s="0" t="s">
        <v>47</v>
      </c>
      <c r="C4881" s="0" t="s">
        <v>48</v>
      </c>
      <c r="D4881" s="0" t="n">
        <v>30</v>
      </c>
      <c r="E4881" s="5" t="n">
        <v>46007.5065162037</v>
      </c>
      <c r="F4881" s="0" t="n">
        <v>12.75</v>
      </c>
      <c r="G4881" s="0" t="n">
        <v>17046</v>
      </c>
      <c r="H4881" s="6" t="s">
        <v>74</v>
      </c>
      <c r="I4881" s="6" t="n">
        <f aca="false">D4881*F4881</f>
        <v>382.5</v>
      </c>
      <c r="J4881" s="6" t="n">
        <f aca="false">HOUR(E4881)</f>
        <v>12</v>
      </c>
      <c r="K4881" s="6" t="n">
        <f aca="false">IF(COUNTIF($A$2:$A4881,A4881)=1,1,0)</f>
        <v>0</v>
      </c>
    </row>
    <row r="4882" customFormat="false" ht="15" hidden="false" customHeight="false" outlineLevel="0" collapsed="false">
      <c r="A4882" s="0" t="s">
        <v>1001</v>
      </c>
      <c r="B4882" s="0" t="s">
        <v>109</v>
      </c>
      <c r="C4882" s="0" t="s">
        <v>110</v>
      </c>
      <c r="D4882" s="0" t="n">
        <v>7</v>
      </c>
      <c r="E4882" s="5" t="n">
        <v>46007.5065162037</v>
      </c>
      <c r="F4882" s="0" t="n">
        <v>0.85</v>
      </c>
      <c r="G4882" s="0" t="n">
        <v>17046</v>
      </c>
      <c r="H4882" s="6" t="s">
        <v>74</v>
      </c>
      <c r="I4882" s="6" t="n">
        <f aca="false">D4882*F4882</f>
        <v>5.95</v>
      </c>
      <c r="J4882" s="6" t="n">
        <f aca="false">HOUR(E4882)</f>
        <v>12</v>
      </c>
      <c r="K4882" s="6" t="n">
        <f aca="false">IF(COUNTIF($A$2:$A4882,A4882)=1,1,0)</f>
        <v>0</v>
      </c>
    </row>
    <row r="4883" customFormat="false" ht="15" hidden="false" customHeight="false" outlineLevel="0" collapsed="false">
      <c r="A4883" s="0" t="s">
        <v>1001</v>
      </c>
      <c r="B4883" s="0" t="s">
        <v>86</v>
      </c>
      <c r="C4883" s="0" t="s">
        <v>87</v>
      </c>
      <c r="D4883" s="0" t="n">
        <v>15</v>
      </c>
      <c r="E4883" s="5" t="n">
        <v>46007.5065162037</v>
      </c>
      <c r="F4883" s="0" t="n">
        <v>4.25</v>
      </c>
      <c r="G4883" s="0" t="n">
        <v>17046</v>
      </c>
      <c r="H4883" s="6" t="s">
        <v>74</v>
      </c>
      <c r="I4883" s="6" t="n">
        <f aca="false">D4883*F4883</f>
        <v>63.75</v>
      </c>
      <c r="J4883" s="6" t="n">
        <f aca="false">HOUR(E4883)</f>
        <v>12</v>
      </c>
      <c r="K4883" s="6" t="n">
        <f aca="false">IF(COUNTIF($A$2:$A4883,A4883)=1,1,0)</f>
        <v>0</v>
      </c>
    </row>
    <row r="4884" customFormat="false" ht="15" hidden="false" customHeight="false" outlineLevel="0" collapsed="false">
      <c r="A4884" s="0" t="s">
        <v>1001</v>
      </c>
      <c r="B4884" s="0" t="s">
        <v>145</v>
      </c>
      <c r="C4884" s="0" t="s">
        <v>146</v>
      </c>
      <c r="D4884" s="0" t="n">
        <v>18</v>
      </c>
      <c r="E4884" s="5" t="n">
        <v>46007.5065162037</v>
      </c>
      <c r="F4884" s="0" t="n">
        <v>1.85</v>
      </c>
      <c r="G4884" s="0" t="n">
        <v>17046</v>
      </c>
      <c r="H4884" s="6" t="s">
        <v>74</v>
      </c>
      <c r="I4884" s="6" t="n">
        <f aca="false">D4884*F4884</f>
        <v>33.3</v>
      </c>
      <c r="J4884" s="6" t="n">
        <f aca="false">HOUR(E4884)</f>
        <v>12</v>
      </c>
      <c r="K4884" s="6" t="n">
        <f aca="false">IF(COUNTIF($A$2:$A4884,A4884)=1,1,0)</f>
        <v>0</v>
      </c>
    </row>
    <row r="4885" customFormat="false" ht="15" hidden="false" customHeight="false" outlineLevel="0" collapsed="false">
      <c r="A4885" s="0" t="s">
        <v>1001</v>
      </c>
      <c r="B4885" s="0" t="s">
        <v>63</v>
      </c>
      <c r="C4885" s="0" t="s">
        <v>64</v>
      </c>
      <c r="D4885" s="0" t="n">
        <v>18</v>
      </c>
      <c r="E4885" s="5" t="n">
        <v>46007.5065162037</v>
      </c>
      <c r="F4885" s="0" t="n">
        <v>1.85</v>
      </c>
      <c r="G4885" s="0" t="n">
        <v>17046</v>
      </c>
      <c r="H4885" s="6" t="s">
        <v>74</v>
      </c>
      <c r="I4885" s="6" t="n">
        <f aca="false">D4885*F4885</f>
        <v>33.3</v>
      </c>
      <c r="J4885" s="6" t="n">
        <f aca="false">HOUR(E4885)</f>
        <v>12</v>
      </c>
      <c r="K4885" s="6" t="n">
        <f aca="false">IF(COUNTIF($A$2:$A4885,A4885)=1,1,0)</f>
        <v>0</v>
      </c>
    </row>
    <row r="4886" customFormat="false" ht="15" hidden="false" customHeight="false" outlineLevel="0" collapsed="false">
      <c r="A4886" s="0" t="s">
        <v>1001</v>
      </c>
      <c r="B4886" s="0" t="s">
        <v>77</v>
      </c>
      <c r="C4886" s="0" t="s">
        <v>78</v>
      </c>
      <c r="D4886" s="0" t="n">
        <v>2</v>
      </c>
      <c r="E4886" s="5" t="n">
        <v>46007.5065162037</v>
      </c>
      <c r="F4886" s="0" t="n">
        <v>1.65</v>
      </c>
      <c r="G4886" s="0" t="n">
        <v>17046</v>
      </c>
      <c r="H4886" s="6" t="s">
        <v>74</v>
      </c>
      <c r="I4886" s="6" t="n">
        <f aca="false">D4886*F4886</f>
        <v>3.3</v>
      </c>
      <c r="J4886" s="6" t="n">
        <f aca="false">HOUR(E4886)</f>
        <v>12</v>
      </c>
      <c r="K4886" s="6" t="n">
        <f aca="false">IF(COUNTIF($A$2:$A4886,A4886)=1,1,0)</f>
        <v>0</v>
      </c>
    </row>
    <row r="4887" customFormat="false" ht="15" hidden="false" customHeight="false" outlineLevel="0" collapsed="false">
      <c r="A4887" s="0" t="s">
        <v>1002</v>
      </c>
      <c r="B4887" s="0" t="s">
        <v>116</v>
      </c>
      <c r="C4887" s="0" t="s">
        <v>117</v>
      </c>
      <c r="D4887" s="0" t="n">
        <v>1</v>
      </c>
      <c r="E4887" s="5" t="n">
        <v>46007.512037037</v>
      </c>
      <c r="F4887" s="0" t="n">
        <v>1.95</v>
      </c>
      <c r="G4887" s="0" t="n">
        <v>17162</v>
      </c>
      <c r="H4887" s="6" t="s">
        <v>151</v>
      </c>
      <c r="I4887" s="6" t="n">
        <f aca="false">D4887*F4887</f>
        <v>1.95</v>
      </c>
      <c r="J4887" s="6" t="n">
        <f aca="false">HOUR(E4887)</f>
        <v>12</v>
      </c>
      <c r="K4887" s="6" t="n">
        <f aca="false">IF(COUNTIF($A$2:$A4887,A4887)=1,1,0)</f>
        <v>1</v>
      </c>
    </row>
    <row r="4888" customFormat="false" ht="15" hidden="false" customHeight="false" outlineLevel="0" collapsed="false">
      <c r="A4888" s="0" t="s">
        <v>1002</v>
      </c>
      <c r="B4888" s="0" t="s">
        <v>102</v>
      </c>
      <c r="C4888" s="0" t="s">
        <v>103</v>
      </c>
      <c r="D4888" s="0" t="n">
        <v>43</v>
      </c>
      <c r="E4888" s="5" t="n">
        <v>46007.512037037</v>
      </c>
      <c r="F4888" s="0" t="n">
        <v>8.5</v>
      </c>
      <c r="G4888" s="0" t="n">
        <v>17162</v>
      </c>
      <c r="H4888" s="6" t="s">
        <v>151</v>
      </c>
      <c r="I4888" s="6" t="n">
        <f aca="false">D4888*F4888</f>
        <v>365.5</v>
      </c>
      <c r="J4888" s="6" t="n">
        <f aca="false">HOUR(E4888)</f>
        <v>12</v>
      </c>
      <c r="K4888" s="6" t="n">
        <f aca="false">IF(COUNTIF($A$2:$A4888,A4888)=1,1,0)</f>
        <v>0</v>
      </c>
    </row>
    <row r="4889" customFormat="false" ht="15" hidden="false" customHeight="false" outlineLevel="0" collapsed="false">
      <c r="A4889" s="0" t="s">
        <v>1002</v>
      </c>
      <c r="B4889" s="0" t="s">
        <v>59</v>
      </c>
      <c r="C4889" s="0" t="s">
        <v>60</v>
      </c>
      <c r="D4889" s="0" t="n">
        <v>22</v>
      </c>
      <c r="E4889" s="5" t="n">
        <v>46007.512037037</v>
      </c>
      <c r="F4889" s="0" t="n">
        <v>0.42</v>
      </c>
      <c r="G4889" s="0" t="n">
        <v>17162</v>
      </c>
      <c r="H4889" s="6" t="s">
        <v>151</v>
      </c>
      <c r="I4889" s="6" t="n">
        <f aca="false">D4889*F4889</f>
        <v>9.24</v>
      </c>
      <c r="J4889" s="6" t="n">
        <f aca="false">HOUR(E4889)</f>
        <v>12</v>
      </c>
      <c r="K4889" s="6" t="n">
        <f aca="false">IF(COUNTIF($A$2:$A4889,A4889)=1,1,0)</f>
        <v>0</v>
      </c>
    </row>
    <row r="4890" customFormat="false" ht="15" hidden="false" customHeight="false" outlineLevel="0" collapsed="false">
      <c r="A4890" s="0" t="s">
        <v>1002</v>
      </c>
      <c r="B4890" s="0" t="s">
        <v>118</v>
      </c>
      <c r="C4890" s="0" t="s">
        <v>119</v>
      </c>
      <c r="D4890" s="0" t="n">
        <v>35</v>
      </c>
      <c r="E4890" s="5" t="n">
        <v>46007.512037037</v>
      </c>
      <c r="F4890" s="0" t="n">
        <v>4.95</v>
      </c>
      <c r="G4890" s="0" t="n">
        <v>17162</v>
      </c>
      <c r="H4890" s="6" t="s">
        <v>151</v>
      </c>
      <c r="I4890" s="6" t="n">
        <f aca="false">D4890*F4890</f>
        <v>173.25</v>
      </c>
      <c r="J4890" s="6" t="n">
        <f aca="false">HOUR(E4890)</f>
        <v>12</v>
      </c>
      <c r="K4890" s="6" t="n">
        <f aca="false">IF(COUNTIF($A$2:$A4890,A4890)=1,1,0)</f>
        <v>0</v>
      </c>
    </row>
    <row r="4891" customFormat="false" ht="15" hidden="false" customHeight="false" outlineLevel="0" collapsed="false">
      <c r="A4891" s="0" t="s">
        <v>1002</v>
      </c>
      <c r="B4891" s="0" t="s">
        <v>109</v>
      </c>
      <c r="C4891" s="0" t="s">
        <v>110</v>
      </c>
      <c r="D4891" s="0" t="n">
        <v>14</v>
      </c>
      <c r="E4891" s="5" t="n">
        <v>46007.512037037</v>
      </c>
      <c r="F4891" s="0" t="n">
        <v>0.85</v>
      </c>
      <c r="G4891" s="0" t="n">
        <v>17162</v>
      </c>
      <c r="H4891" s="6" t="s">
        <v>151</v>
      </c>
      <c r="I4891" s="6" t="n">
        <f aca="false">D4891*F4891</f>
        <v>11.9</v>
      </c>
      <c r="J4891" s="6" t="n">
        <f aca="false">HOUR(E4891)</f>
        <v>12</v>
      </c>
      <c r="K4891" s="6" t="n">
        <f aca="false">IF(COUNTIF($A$2:$A4891,A4891)=1,1,0)</f>
        <v>0</v>
      </c>
    </row>
    <row r="4892" customFormat="false" ht="15" hidden="false" customHeight="false" outlineLevel="0" collapsed="false">
      <c r="A4892" s="0" t="s">
        <v>1002</v>
      </c>
      <c r="B4892" s="0" t="s">
        <v>50</v>
      </c>
      <c r="C4892" s="0" t="s">
        <v>51</v>
      </c>
      <c r="D4892" s="0" t="n">
        <v>21</v>
      </c>
      <c r="E4892" s="5" t="n">
        <v>46007.512037037</v>
      </c>
      <c r="F4892" s="0" t="n">
        <v>5.95</v>
      </c>
      <c r="G4892" s="0" t="n">
        <v>17162</v>
      </c>
      <c r="H4892" s="6" t="s">
        <v>151</v>
      </c>
      <c r="I4892" s="6" t="n">
        <f aca="false">D4892*F4892</f>
        <v>124.95</v>
      </c>
      <c r="J4892" s="6" t="n">
        <f aca="false">HOUR(E4892)</f>
        <v>12</v>
      </c>
      <c r="K4892" s="6" t="n">
        <f aca="false">IF(COUNTIF($A$2:$A4892,A4892)=1,1,0)</f>
        <v>0</v>
      </c>
    </row>
    <row r="4893" customFormat="false" ht="15" hidden="false" customHeight="false" outlineLevel="0" collapsed="false">
      <c r="A4893" s="0" t="s">
        <v>1002</v>
      </c>
      <c r="B4893" s="0" t="s">
        <v>61</v>
      </c>
      <c r="C4893" s="0" t="s">
        <v>62</v>
      </c>
      <c r="D4893" s="0" t="n">
        <v>8</v>
      </c>
      <c r="E4893" s="5" t="n">
        <v>46007.512037037</v>
      </c>
      <c r="F4893" s="0" t="n">
        <v>1.65</v>
      </c>
      <c r="G4893" s="0" t="n">
        <v>17162</v>
      </c>
      <c r="H4893" s="6" t="s">
        <v>151</v>
      </c>
      <c r="I4893" s="6" t="n">
        <f aca="false">D4893*F4893</f>
        <v>13.2</v>
      </c>
      <c r="J4893" s="6" t="n">
        <f aca="false">HOUR(E4893)</f>
        <v>12</v>
      </c>
      <c r="K4893" s="6" t="n">
        <f aca="false">IF(COUNTIF($A$2:$A4893,A4893)=1,1,0)</f>
        <v>0</v>
      </c>
    </row>
    <row r="4894" customFormat="false" ht="15" hidden="false" customHeight="false" outlineLevel="0" collapsed="false">
      <c r="A4894" s="0" t="s">
        <v>1002</v>
      </c>
      <c r="B4894" s="0" t="s">
        <v>134</v>
      </c>
      <c r="C4894" s="0" t="s">
        <v>135</v>
      </c>
      <c r="D4894" s="0" t="n">
        <v>20</v>
      </c>
      <c r="E4894" s="5" t="n">
        <v>46007.512037037</v>
      </c>
      <c r="F4894" s="0" t="n">
        <v>5.95</v>
      </c>
      <c r="G4894" s="0" t="n">
        <v>17162</v>
      </c>
      <c r="H4894" s="6" t="s">
        <v>151</v>
      </c>
      <c r="I4894" s="6" t="n">
        <f aca="false">D4894*F4894</f>
        <v>119</v>
      </c>
      <c r="J4894" s="6" t="n">
        <f aca="false">HOUR(E4894)</f>
        <v>12</v>
      </c>
      <c r="K4894" s="6" t="n">
        <f aca="false">IF(COUNTIF($A$2:$A4894,A4894)=1,1,0)</f>
        <v>0</v>
      </c>
    </row>
    <row r="4895" customFormat="false" ht="15" hidden="false" customHeight="false" outlineLevel="0" collapsed="false">
      <c r="A4895" s="0" t="s">
        <v>1002</v>
      </c>
      <c r="B4895" s="0" t="s">
        <v>77</v>
      </c>
      <c r="C4895" s="0" t="s">
        <v>78</v>
      </c>
      <c r="D4895" s="0" t="n">
        <v>6</v>
      </c>
      <c r="E4895" s="5" t="n">
        <v>46007.512037037</v>
      </c>
      <c r="F4895" s="0" t="n">
        <v>1.65</v>
      </c>
      <c r="G4895" s="0" t="n">
        <v>17162</v>
      </c>
      <c r="H4895" s="6" t="s">
        <v>151</v>
      </c>
      <c r="I4895" s="6" t="n">
        <f aca="false">D4895*F4895</f>
        <v>9.9</v>
      </c>
      <c r="J4895" s="6" t="n">
        <f aca="false">HOUR(E4895)</f>
        <v>12</v>
      </c>
      <c r="K4895" s="6" t="n">
        <f aca="false">IF(COUNTIF($A$2:$A4895,A4895)=1,1,0)</f>
        <v>0</v>
      </c>
    </row>
    <row r="4896" customFormat="false" ht="15" hidden="false" customHeight="false" outlineLevel="0" collapsed="false">
      <c r="A4896" s="0" t="s">
        <v>1003</v>
      </c>
      <c r="B4896" s="0" t="s">
        <v>72</v>
      </c>
      <c r="C4896" s="0" t="s">
        <v>73</v>
      </c>
      <c r="D4896" s="0" t="n">
        <v>13</v>
      </c>
      <c r="E4896" s="5" t="n">
        <v>46007.5325694445</v>
      </c>
      <c r="F4896" s="0" t="n">
        <v>4.95</v>
      </c>
      <c r="G4896" s="0" t="n">
        <v>17010</v>
      </c>
      <c r="H4896" s="6" t="s">
        <v>113</v>
      </c>
      <c r="I4896" s="6" t="n">
        <f aca="false">D4896*F4896</f>
        <v>64.35</v>
      </c>
      <c r="J4896" s="6" t="n">
        <f aca="false">HOUR(E4896)</f>
        <v>12</v>
      </c>
      <c r="K4896" s="6" t="n">
        <f aca="false">IF(COUNTIF($A$2:$A4896,A4896)=1,1,0)</f>
        <v>1</v>
      </c>
    </row>
    <row r="4897" customFormat="false" ht="15" hidden="false" customHeight="false" outlineLevel="0" collapsed="false">
      <c r="A4897" s="0" t="s">
        <v>1003</v>
      </c>
      <c r="B4897" s="0" t="s">
        <v>83</v>
      </c>
      <c r="C4897" s="0" t="s">
        <v>84</v>
      </c>
      <c r="D4897" s="0" t="n">
        <v>6</v>
      </c>
      <c r="E4897" s="5" t="n">
        <v>46007.5325694445</v>
      </c>
      <c r="F4897" s="0" t="n">
        <v>2.95</v>
      </c>
      <c r="G4897" s="0" t="n">
        <v>17010</v>
      </c>
      <c r="H4897" s="6" t="s">
        <v>113</v>
      </c>
      <c r="I4897" s="6" t="n">
        <f aca="false">D4897*F4897</f>
        <v>17.7</v>
      </c>
      <c r="J4897" s="6" t="n">
        <f aca="false">HOUR(E4897)</f>
        <v>12</v>
      </c>
      <c r="K4897" s="6" t="n">
        <f aca="false">IF(COUNTIF($A$2:$A4897,A4897)=1,1,0)</f>
        <v>0</v>
      </c>
    </row>
    <row r="4898" customFormat="false" ht="15" hidden="false" customHeight="false" outlineLevel="0" collapsed="false">
      <c r="A4898" s="0" t="s">
        <v>1003</v>
      </c>
      <c r="B4898" s="0" t="s">
        <v>109</v>
      </c>
      <c r="D4898" s="0" t="n">
        <v>18</v>
      </c>
      <c r="E4898" s="5" t="n">
        <v>46007.5325694445</v>
      </c>
      <c r="F4898" s="0" t="n">
        <v>0.85</v>
      </c>
      <c r="G4898" s="0" t="n">
        <v>17010</v>
      </c>
      <c r="H4898" s="6" t="s">
        <v>113</v>
      </c>
      <c r="I4898" s="6" t="n">
        <f aca="false">D4898*F4898</f>
        <v>15.3</v>
      </c>
      <c r="J4898" s="6" t="n">
        <f aca="false">HOUR(E4898)</f>
        <v>12</v>
      </c>
      <c r="K4898" s="6" t="n">
        <f aca="false">IF(COUNTIF($A$2:$A4898,A4898)=1,1,0)</f>
        <v>0</v>
      </c>
    </row>
    <row r="4899" customFormat="false" ht="15" hidden="false" customHeight="false" outlineLevel="0" collapsed="false">
      <c r="A4899" s="0" t="s">
        <v>1003</v>
      </c>
      <c r="B4899" s="0" t="s">
        <v>69</v>
      </c>
      <c r="C4899" s="0" t="s">
        <v>70</v>
      </c>
      <c r="D4899" s="0" t="n">
        <v>23</v>
      </c>
      <c r="E4899" s="5" t="n">
        <v>46007.5325694445</v>
      </c>
      <c r="F4899" s="0" t="n">
        <v>2.08</v>
      </c>
      <c r="G4899" s="0" t="n">
        <v>17010</v>
      </c>
      <c r="H4899" s="6" t="s">
        <v>113</v>
      </c>
      <c r="I4899" s="6" t="n">
        <f aca="false">D4899*F4899</f>
        <v>47.84</v>
      </c>
      <c r="J4899" s="6" t="n">
        <f aca="false">HOUR(E4899)</f>
        <v>12</v>
      </c>
      <c r="K4899" s="6" t="n">
        <f aca="false">IF(COUNTIF($A$2:$A4899,A4899)=1,1,0)</f>
        <v>0</v>
      </c>
    </row>
    <row r="4900" customFormat="false" ht="15" hidden="false" customHeight="false" outlineLevel="0" collapsed="false">
      <c r="A4900" s="0" t="s">
        <v>1003</v>
      </c>
      <c r="B4900" s="0" t="s">
        <v>86</v>
      </c>
      <c r="C4900" s="0" t="s">
        <v>87</v>
      </c>
      <c r="D4900" s="0" t="n">
        <v>3</v>
      </c>
      <c r="E4900" s="5" t="n">
        <v>46007.5325694445</v>
      </c>
      <c r="F4900" s="0" t="n">
        <v>4.25</v>
      </c>
      <c r="G4900" s="0" t="n">
        <v>17010</v>
      </c>
      <c r="H4900" s="6" t="s">
        <v>113</v>
      </c>
      <c r="I4900" s="6" t="n">
        <f aca="false">D4900*F4900</f>
        <v>12.75</v>
      </c>
      <c r="J4900" s="6" t="n">
        <f aca="false">HOUR(E4900)</f>
        <v>12</v>
      </c>
      <c r="K4900" s="6" t="n">
        <f aca="false">IF(COUNTIF($A$2:$A4900,A4900)=1,1,0)</f>
        <v>0</v>
      </c>
    </row>
    <row r="4901" customFormat="false" ht="15" hidden="false" customHeight="false" outlineLevel="0" collapsed="false">
      <c r="A4901" s="0" t="s">
        <v>1003</v>
      </c>
      <c r="B4901" s="0" t="s">
        <v>127</v>
      </c>
      <c r="C4901" s="0" t="s">
        <v>128</v>
      </c>
      <c r="D4901" s="0" t="n">
        <v>14</v>
      </c>
      <c r="E4901" s="5" t="n">
        <v>46007.5325694445</v>
      </c>
      <c r="F4901" s="0" t="n">
        <v>1.45</v>
      </c>
      <c r="G4901" s="0" t="n">
        <v>17010</v>
      </c>
      <c r="H4901" s="6" t="s">
        <v>113</v>
      </c>
      <c r="I4901" s="6" t="n">
        <f aca="false">D4901*F4901</f>
        <v>20.3</v>
      </c>
      <c r="J4901" s="6" t="n">
        <f aca="false">HOUR(E4901)</f>
        <v>12</v>
      </c>
      <c r="K4901" s="6" t="n">
        <f aca="false">IF(COUNTIF($A$2:$A4901,A4901)=1,1,0)</f>
        <v>0</v>
      </c>
    </row>
    <row r="4902" customFormat="false" ht="15" hidden="false" customHeight="false" outlineLevel="0" collapsed="false">
      <c r="A4902" s="0" t="s">
        <v>1003</v>
      </c>
      <c r="B4902" s="0" t="s">
        <v>88</v>
      </c>
      <c r="C4902" s="0" t="s">
        <v>89</v>
      </c>
      <c r="D4902" s="0" t="n">
        <v>15</v>
      </c>
      <c r="E4902" s="5" t="n">
        <v>46007.5325694445</v>
      </c>
      <c r="F4902" s="0" t="n">
        <v>2.75</v>
      </c>
      <c r="G4902" s="0" t="n">
        <v>17010</v>
      </c>
      <c r="H4902" s="6" t="s">
        <v>113</v>
      </c>
      <c r="I4902" s="6" t="n">
        <f aca="false">D4902*F4902</f>
        <v>41.25</v>
      </c>
      <c r="J4902" s="6" t="n">
        <f aca="false">HOUR(E4902)</f>
        <v>12</v>
      </c>
      <c r="K4902" s="6" t="n">
        <f aca="false">IF(COUNTIF($A$2:$A4902,A4902)=1,1,0)</f>
        <v>0</v>
      </c>
    </row>
    <row r="4903" customFormat="false" ht="15" hidden="false" customHeight="false" outlineLevel="0" collapsed="false">
      <c r="A4903" s="0" t="s">
        <v>1004</v>
      </c>
      <c r="B4903" s="0" t="s">
        <v>45</v>
      </c>
      <c r="C4903" s="0" t="s">
        <v>46</v>
      </c>
      <c r="D4903" s="0" t="n">
        <v>17</v>
      </c>
      <c r="E4903" s="5" t="n">
        <v>46007.9177430556</v>
      </c>
      <c r="F4903" s="0" t="n">
        <v>2.1</v>
      </c>
      <c r="H4903" s="6" t="s">
        <v>74</v>
      </c>
      <c r="I4903" s="6" t="n">
        <f aca="false">D4903*F4903</f>
        <v>35.7</v>
      </c>
      <c r="J4903" s="6" t="n">
        <f aca="false">HOUR(E4903)</f>
        <v>22</v>
      </c>
      <c r="K4903" s="6" t="n">
        <f aca="false">IF(COUNTIF($A$2:$A4903,A4903)=1,1,0)</f>
        <v>1</v>
      </c>
    </row>
    <row r="4904" customFormat="false" ht="15" hidden="false" customHeight="false" outlineLevel="0" collapsed="false">
      <c r="A4904" s="0" t="s">
        <v>1004</v>
      </c>
      <c r="B4904" s="0" t="s">
        <v>65</v>
      </c>
      <c r="C4904" s="0" t="s">
        <v>66</v>
      </c>
      <c r="D4904" s="0" t="n">
        <v>5</v>
      </c>
      <c r="E4904" s="5" t="n">
        <v>46007.9177430556</v>
      </c>
      <c r="F4904" s="0" t="n">
        <v>1.65</v>
      </c>
      <c r="H4904" s="6" t="s">
        <v>74</v>
      </c>
      <c r="I4904" s="6" t="n">
        <f aca="false">D4904*F4904</f>
        <v>8.25</v>
      </c>
      <c r="J4904" s="6" t="n">
        <f aca="false">HOUR(E4904)</f>
        <v>22</v>
      </c>
      <c r="K4904" s="6" t="n">
        <f aca="false">IF(COUNTIF($A$2:$A4904,A4904)=1,1,0)</f>
        <v>0</v>
      </c>
    </row>
    <row r="4905" customFormat="false" ht="15" hidden="false" customHeight="false" outlineLevel="0" collapsed="false">
      <c r="A4905" s="0" t="s">
        <v>1004</v>
      </c>
      <c r="B4905" s="0" t="s">
        <v>79</v>
      </c>
      <c r="C4905" s="0" t="s">
        <v>80</v>
      </c>
      <c r="D4905" s="0" t="n">
        <v>2</v>
      </c>
      <c r="E4905" s="5" t="n">
        <v>46007.9177430556</v>
      </c>
      <c r="F4905" s="0" t="n">
        <v>3.39</v>
      </c>
      <c r="H4905" s="6" t="s">
        <v>74</v>
      </c>
      <c r="I4905" s="6" t="n">
        <f aca="false">D4905*F4905</f>
        <v>6.78</v>
      </c>
      <c r="J4905" s="6" t="n">
        <f aca="false">HOUR(E4905)</f>
        <v>22</v>
      </c>
      <c r="K4905" s="6" t="n">
        <f aca="false">IF(COUNTIF($A$2:$A4905,A4905)=1,1,0)</f>
        <v>0</v>
      </c>
    </row>
    <row r="4906" customFormat="false" ht="15" hidden="false" customHeight="false" outlineLevel="0" collapsed="false">
      <c r="A4906" s="0" t="s">
        <v>1004</v>
      </c>
      <c r="B4906" s="0" t="s">
        <v>140</v>
      </c>
      <c r="C4906" s="0" t="s">
        <v>141</v>
      </c>
      <c r="D4906" s="0" t="n">
        <v>19</v>
      </c>
      <c r="E4906" s="5" t="n">
        <v>46007.9177430556</v>
      </c>
      <c r="F4906" s="0" t="n">
        <v>2.08</v>
      </c>
      <c r="H4906" s="6" t="s">
        <v>74</v>
      </c>
      <c r="I4906" s="6" t="n">
        <f aca="false">D4906*F4906</f>
        <v>39.52</v>
      </c>
      <c r="J4906" s="6" t="n">
        <f aca="false">HOUR(E4906)</f>
        <v>22</v>
      </c>
      <c r="K4906" s="6" t="n">
        <f aca="false">IF(COUNTIF($A$2:$A4906,A4906)=1,1,0)</f>
        <v>0</v>
      </c>
    </row>
    <row r="4907" customFormat="false" ht="15" hidden="false" customHeight="false" outlineLevel="0" collapsed="false">
      <c r="A4907" s="0" t="s">
        <v>1005</v>
      </c>
      <c r="B4907" s="0" t="s">
        <v>57</v>
      </c>
      <c r="C4907" s="0" t="s">
        <v>58</v>
      </c>
      <c r="D4907" s="0" t="n">
        <v>23</v>
      </c>
      <c r="E4907" s="5" t="n">
        <v>46008.3382175926</v>
      </c>
      <c r="F4907" s="0" t="n">
        <v>2.08</v>
      </c>
      <c r="G4907" s="0" t="n">
        <v>17098</v>
      </c>
      <c r="H4907" s="6" t="s">
        <v>98</v>
      </c>
      <c r="I4907" s="6" t="n">
        <f aca="false">D4907*F4907</f>
        <v>47.84</v>
      </c>
      <c r="J4907" s="6" t="n">
        <f aca="false">HOUR(E4907)</f>
        <v>8</v>
      </c>
      <c r="K4907" s="6" t="n">
        <f aca="false">IF(COUNTIF($A$2:$A4907,A4907)=1,1,0)</f>
        <v>1</v>
      </c>
    </row>
    <row r="4908" customFormat="false" ht="15" hidden="false" customHeight="false" outlineLevel="0" collapsed="false">
      <c r="A4908" s="0" t="s">
        <v>1005</v>
      </c>
      <c r="B4908" s="0" t="s">
        <v>83</v>
      </c>
      <c r="C4908" s="0" t="s">
        <v>84</v>
      </c>
      <c r="D4908" s="0" t="n">
        <v>14</v>
      </c>
      <c r="E4908" s="5" t="n">
        <v>46008.3382175926</v>
      </c>
      <c r="F4908" s="0" t="n">
        <v>2.95</v>
      </c>
      <c r="G4908" s="0" t="n">
        <v>17098</v>
      </c>
      <c r="H4908" s="6" t="s">
        <v>98</v>
      </c>
      <c r="I4908" s="6" t="n">
        <f aca="false">D4908*F4908</f>
        <v>41.3</v>
      </c>
      <c r="J4908" s="6" t="n">
        <f aca="false">HOUR(E4908)</f>
        <v>8</v>
      </c>
      <c r="K4908" s="6" t="n">
        <f aca="false">IF(COUNTIF($A$2:$A4908,A4908)=1,1,0)</f>
        <v>0</v>
      </c>
    </row>
    <row r="4909" customFormat="false" ht="15" hidden="false" customHeight="false" outlineLevel="0" collapsed="false">
      <c r="A4909" s="0" t="s">
        <v>1005</v>
      </c>
      <c r="B4909" s="0" t="s">
        <v>107</v>
      </c>
      <c r="C4909" s="0" t="s">
        <v>108</v>
      </c>
      <c r="D4909" s="0" t="n">
        <v>14</v>
      </c>
      <c r="E4909" s="5" t="n">
        <v>46008.3382175926</v>
      </c>
      <c r="F4909" s="0" t="n">
        <v>3.75</v>
      </c>
      <c r="G4909" s="0" t="n">
        <v>17098</v>
      </c>
      <c r="H4909" s="6" t="s">
        <v>98</v>
      </c>
      <c r="I4909" s="6" t="n">
        <f aca="false">D4909*F4909</f>
        <v>52.5</v>
      </c>
      <c r="J4909" s="6" t="n">
        <f aca="false">HOUR(E4909)</f>
        <v>8</v>
      </c>
      <c r="K4909" s="6" t="n">
        <f aca="false">IF(COUNTIF($A$2:$A4909,A4909)=1,1,0)</f>
        <v>0</v>
      </c>
    </row>
    <row r="4910" customFormat="false" ht="15" hidden="false" customHeight="false" outlineLevel="0" collapsed="false">
      <c r="A4910" s="0" t="s">
        <v>1005</v>
      </c>
      <c r="B4910" s="0" t="s">
        <v>99</v>
      </c>
      <c r="C4910" s="0" t="s">
        <v>100</v>
      </c>
      <c r="D4910" s="0" t="n">
        <v>12</v>
      </c>
      <c r="E4910" s="5" t="n">
        <v>46008.3382175926</v>
      </c>
      <c r="F4910" s="0" t="n">
        <v>2.08</v>
      </c>
      <c r="G4910" s="0" t="n">
        <v>17098</v>
      </c>
      <c r="H4910" s="6" t="s">
        <v>98</v>
      </c>
      <c r="I4910" s="6" t="n">
        <f aca="false">D4910*F4910</f>
        <v>24.96</v>
      </c>
      <c r="J4910" s="6" t="n">
        <f aca="false">HOUR(E4910)</f>
        <v>8</v>
      </c>
      <c r="K4910" s="6" t="n">
        <f aca="false">IF(COUNTIF($A$2:$A4910,A4910)=1,1,0)</f>
        <v>0</v>
      </c>
    </row>
    <row r="4911" customFormat="false" ht="15" hidden="false" customHeight="false" outlineLevel="0" collapsed="false">
      <c r="A4911" s="0" t="s">
        <v>1005</v>
      </c>
      <c r="B4911" s="0" t="s">
        <v>77</v>
      </c>
      <c r="C4911" s="0" t="s">
        <v>78</v>
      </c>
      <c r="D4911" s="0" t="n">
        <v>18</v>
      </c>
      <c r="E4911" s="5" t="n">
        <v>46008.3382175926</v>
      </c>
      <c r="F4911" s="0" t="n">
        <v>1.65</v>
      </c>
      <c r="G4911" s="0" t="n">
        <v>17098</v>
      </c>
      <c r="H4911" s="6" t="s">
        <v>98</v>
      </c>
      <c r="I4911" s="6" t="n">
        <f aca="false">D4911*F4911</f>
        <v>29.7</v>
      </c>
      <c r="J4911" s="6" t="n">
        <f aca="false">HOUR(E4911)</f>
        <v>8</v>
      </c>
      <c r="K4911" s="6" t="n">
        <f aca="false">IF(COUNTIF($A$2:$A4911,A4911)=1,1,0)</f>
        <v>0</v>
      </c>
    </row>
    <row r="4912" customFormat="false" ht="15" hidden="false" customHeight="false" outlineLevel="0" collapsed="false">
      <c r="A4912" s="0" t="s">
        <v>1005</v>
      </c>
      <c r="B4912" s="0" t="s">
        <v>75</v>
      </c>
      <c r="C4912" s="0" t="s">
        <v>76</v>
      </c>
      <c r="D4912" s="0" t="n">
        <v>23</v>
      </c>
      <c r="E4912" s="5" t="n">
        <v>46008.3382175926</v>
      </c>
      <c r="F4912" s="0" t="n">
        <v>3.39</v>
      </c>
      <c r="G4912" s="0" t="n">
        <v>17098</v>
      </c>
      <c r="H4912" s="6" t="s">
        <v>98</v>
      </c>
      <c r="I4912" s="6" t="n">
        <f aca="false">D4912*F4912</f>
        <v>77.97</v>
      </c>
      <c r="J4912" s="6" t="n">
        <f aca="false">HOUR(E4912)</f>
        <v>8</v>
      </c>
      <c r="K4912" s="6" t="n">
        <f aca="false">IF(COUNTIF($A$2:$A4912,A4912)=1,1,0)</f>
        <v>0</v>
      </c>
    </row>
    <row r="4913" customFormat="false" ht="15" hidden="false" customHeight="false" outlineLevel="0" collapsed="false">
      <c r="A4913" s="0" t="s">
        <v>1005</v>
      </c>
      <c r="B4913" s="0" t="s">
        <v>86</v>
      </c>
      <c r="C4913" s="0" t="s">
        <v>87</v>
      </c>
      <c r="D4913" s="0" t="n">
        <v>7</v>
      </c>
      <c r="E4913" s="5" t="n">
        <v>46008.3382175926</v>
      </c>
      <c r="F4913" s="0" t="n">
        <v>4.25</v>
      </c>
      <c r="G4913" s="0" t="n">
        <v>17098</v>
      </c>
      <c r="H4913" s="6" t="s">
        <v>98</v>
      </c>
      <c r="I4913" s="6" t="n">
        <f aca="false">D4913*F4913</f>
        <v>29.75</v>
      </c>
      <c r="J4913" s="6" t="n">
        <f aca="false">HOUR(E4913)</f>
        <v>8</v>
      </c>
      <c r="K4913" s="6" t="n">
        <f aca="false">IF(COUNTIF($A$2:$A4913,A4913)=1,1,0)</f>
        <v>0</v>
      </c>
    </row>
    <row r="4914" customFormat="false" ht="15" hidden="false" customHeight="false" outlineLevel="0" collapsed="false">
      <c r="A4914" s="0" t="s">
        <v>1005</v>
      </c>
      <c r="B4914" s="0" t="s">
        <v>93</v>
      </c>
      <c r="C4914" s="0" t="s">
        <v>94</v>
      </c>
      <c r="D4914" s="0" t="n">
        <v>17</v>
      </c>
      <c r="E4914" s="5" t="n">
        <v>46008.3382175926</v>
      </c>
      <c r="F4914" s="0" t="n">
        <v>1.69</v>
      </c>
      <c r="G4914" s="0" t="n">
        <v>17098</v>
      </c>
      <c r="H4914" s="6" t="s">
        <v>98</v>
      </c>
      <c r="I4914" s="6" t="n">
        <f aca="false">D4914*F4914</f>
        <v>28.73</v>
      </c>
      <c r="J4914" s="6" t="n">
        <f aca="false">HOUR(E4914)</f>
        <v>8</v>
      </c>
      <c r="K4914" s="6" t="n">
        <f aca="false">IF(COUNTIF($A$2:$A4914,A4914)=1,1,0)</f>
        <v>0</v>
      </c>
    </row>
    <row r="4915" customFormat="false" ht="15" hidden="false" customHeight="false" outlineLevel="0" collapsed="false">
      <c r="A4915" s="0" t="s">
        <v>1006</v>
      </c>
      <c r="B4915" s="0" t="s">
        <v>79</v>
      </c>
      <c r="C4915" s="0" t="s">
        <v>80</v>
      </c>
      <c r="D4915" s="0" t="n">
        <v>3</v>
      </c>
      <c r="E4915" s="5" t="n">
        <v>46008.4869444444</v>
      </c>
      <c r="F4915" s="0" t="n">
        <v>3.39</v>
      </c>
      <c r="G4915" s="0" t="n">
        <v>17142</v>
      </c>
      <c r="H4915" s="6" t="s">
        <v>74</v>
      </c>
      <c r="I4915" s="6" t="n">
        <f aca="false">D4915*F4915</f>
        <v>10.17</v>
      </c>
      <c r="J4915" s="6" t="n">
        <f aca="false">HOUR(E4915)</f>
        <v>11</v>
      </c>
      <c r="K4915" s="6" t="n">
        <f aca="false">IF(COUNTIF($A$2:$A4915,A4915)=1,1,0)</f>
        <v>1</v>
      </c>
    </row>
    <row r="4916" customFormat="false" ht="15" hidden="false" customHeight="false" outlineLevel="0" collapsed="false">
      <c r="A4916" s="0" t="s">
        <v>1006</v>
      </c>
      <c r="B4916" s="0" t="s">
        <v>134</v>
      </c>
      <c r="C4916" s="0" t="s">
        <v>135</v>
      </c>
      <c r="D4916" s="0" t="n">
        <v>17</v>
      </c>
      <c r="E4916" s="5" t="n">
        <v>46008.4869444444</v>
      </c>
      <c r="F4916" s="0" t="n">
        <v>5.95</v>
      </c>
      <c r="G4916" s="0" t="n">
        <v>17142</v>
      </c>
      <c r="H4916" s="6" t="s">
        <v>74</v>
      </c>
      <c r="I4916" s="6" t="n">
        <f aca="false">D4916*F4916</f>
        <v>101.15</v>
      </c>
      <c r="J4916" s="6" t="n">
        <f aca="false">HOUR(E4916)</f>
        <v>11</v>
      </c>
      <c r="K4916" s="6" t="n">
        <f aca="false">IF(COUNTIF($A$2:$A4916,A4916)=1,1,0)</f>
        <v>0</v>
      </c>
    </row>
    <row r="4917" customFormat="false" ht="15" hidden="false" customHeight="false" outlineLevel="0" collapsed="false">
      <c r="A4917" s="0" t="s">
        <v>1006</v>
      </c>
      <c r="B4917" s="0" t="s">
        <v>77</v>
      </c>
      <c r="C4917" s="0" t="s">
        <v>78</v>
      </c>
      <c r="D4917" s="0" t="n">
        <v>11</v>
      </c>
      <c r="E4917" s="5" t="n">
        <v>46008.4869444444</v>
      </c>
      <c r="F4917" s="0" t="n">
        <v>1.65</v>
      </c>
      <c r="G4917" s="0" t="n">
        <v>17142</v>
      </c>
      <c r="H4917" s="6" t="s">
        <v>74</v>
      </c>
      <c r="I4917" s="6" t="n">
        <f aca="false">D4917*F4917</f>
        <v>18.15</v>
      </c>
      <c r="J4917" s="6" t="n">
        <f aca="false">HOUR(E4917)</f>
        <v>11</v>
      </c>
      <c r="K4917" s="6" t="n">
        <f aca="false">IF(COUNTIF($A$2:$A4917,A4917)=1,1,0)</f>
        <v>0</v>
      </c>
    </row>
    <row r="4918" customFormat="false" ht="15" hidden="false" customHeight="false" outlineLevel="0" collapsed="false">
      <c r="A4918" s="0" t="s">
        <v>1006</v>
      </c>
      <c r="B4918" s="0" t="s">
        <v>91</v>
      </c>
      <c r="C4918" s="0" t="s">
        <v>92</v>
      </c>
      <c r="D4918" s="0" t="n">
        <v>13</v>
      </c>
      <c r="E4918" s="5" t="n">
        <v>46008.4869444444</v>
      </c>
      <c r="F4918" s="0" t="n">
        <v>7.65</v>
      </c>
      <c r="G4918" s="0" t="n">
        <v>17142</v>
      </c>
      <c r="H4918" s="6" t="s">
        <v>74</v>
      </c>
      <c r="I4918" s="6" t="n">
        <f aca="false">D4918*F4918</f>
        <v>99.45</v>
      </c>
      <c r="J4918" s="6" t="n">
        <f aca="false">HOUR(E4918)</f>
        <v>11</v>
      </c>
      <c r="K4918" s="6" t="n">
        <f aca="false">IF(COUNTIF($A$2:$A4918,A4918)=1,1,0)</f>
        <v>0</v>
      </c>
    </row>
    <row r="4919" customFormat="false" ht="15" hidden="false" customHeight="false" outlineLevel="0" collapsed="false">
      <c r="A4919" s="0" t="s">
        <v>1007</v>
      </c>
      <c r="B4919" s="0" t="s">
        <v>59</v>
      </c>
      <c r="C4919" s="0" t="s">
        <v>60</v>
      </c>
      <c r="D4919" s="0" t="n">
        <v>16</v>
      </c>
      <c r="E4919" s="5" t="n">
        <v>46008.5501736111</v>
      </c>
      <c r="F4919" s="0" t="n">
        <v>0.42</v>
      </c>
      <c r="G4919" s="0" t="n">
        <v>17252</v>
      </c>
      <c r="H4919" s="6" t="s">
        <v>151</v>
      </c>
      <c r="I4919" s="6" t="n">
        <f aca="false">D4919*F4919</f>
        <v>6.72</v>
      </c>
      <c r="J4919" s="6" t="n">
        <f aca="false">HOUR(E4919)</f>
        <v>13</v>
      </c>
      <c r="K4919" s="6" t="n">
        <f aca="false">IF(COUNTIF($A$2:$A4919,A4919)=1,1,0)</f>
        <v>1</v>
      </c>
    </row>
    <row r="4920" customFormat="false" ht="15" hidden="false" customHeight="false" outlineLevel="0" collapsed="false">
      <c r="A4920" s="0" t="s">
        <v>1007</v>
      </c>
      <c r="B4920" s="0" t="s">
        <v>140</v>
      </c>
      <c r="C4920" s="0" t="s">
        <v>141</v>
      </c>
      <c r="D4920" s="0" t="n">
        <v>20</v>
      </c>
      <c r="E4920" s="5" t="n">
        <v>46008.5501736111</v>
      </c>
      <c r="F4920" s="0" t="n">
        <v>2.08</v>
      </c>
      <c r="G4920" s="0" t="n">
        <v>17252</v>
      </c>
      <c r="H4920" s="6" t="s">
        <v>151</v>
      </c>
      <c r="I4920" s="6" t="n">
        <f aca="false">D4920*F4920</f>
        <v>41.6</v>
      </c>
      <c r="J4920" s="6" t="n">
        <f aca="false">HOUR(E4920)</f>
        <v>13</v>
      </c>
      <c r="K4920" s="6" t="n">
        <f aca="false">IF(COUNTIF($A$2:$A4920,A4920)=1,1,0)</f>
        <v>0</v>
      </c>
    </row>
    <row r="4921" customFormat="false" ht="15" hidden="false" customHeight="false" outlineLevel="0" collapsed="false">
      <c r="A4921" s="0" t="s">
        <v>1007</v>
      </c>
      <c r="B4921" s="0" t="s">
        <v>145</v>
      </c>
      <c r="C4921" s="0" t="s">
        <v>146</v>
      </c>
      <c r="D4921" s="0" t="n">
        <v>14</v>
      </c>
      <c r="E4921" s="5" t="n">
        <v>46008.5501736111</v>
      </c>
      <c r="F4921" s="0" t="n">
        <v>1.85</v>
      </c>
      <c r="G4921" s="0" t="n">
        <v>17252</v>
      </c>
      <c r="H4921" s="6" t="s">
        <v>151</v>
      </c>
      <c r="I4921" s="6" t="n">
        <f aca="false">D4921*F4921</f>
        <v>25.9</v>
      </c>
      <c r="J4921" s="6" t="n">
        <f aca="false">HOUR(E4921)</f>
        <v>13</v>
      </c>
      <c r="K4921" s="6" t="n">
        <f aca="false">IF(COUNTIF($A$2:$A4921,A4921)=1,1,0)</f>
        <v>0</v>
      </c>
    </row>
    <row r="4922" customFormat="false" ht="15" hidden="false" customHeight="false" outlineLevel="0" collapsed="false">
      <c r="A4922" s="0" t="s">
        <v>1007</v>
      </c>
      <c r="B4922" s="0" t="s">
        <v>118</v>
      </c>
      <c r="C4922" s="0" t="s">
        <v>119</v>
      </c>
      <c r="D4922" s="0" t="n">
        <v>10</v>
      </c>
      <c r="E4922" s="5" t="n">
        <v>46008.5501736111</v>
      </c>
      <c r="F4922" s="0" t="n">
        <v>4.95</v>
      </c>
      <c r="G4922" s="0" t="n">
        <v>17252</v>
      </c>
      <c r="H4922" s="6" t="s">
        <v>151</v>
      </c>
      <c r="I4922" s="6" t="n">
        <f aca="false">D4922*F4922</f>
        <v>49.5</v>
      </c>
      <c r="J4922" s="6" t="n">
        <f aca="false">HOUR(E4922)</f>
        <v>13</v>
      </c>
      <c r="K4922" s="6" t="n">
        <f aca="false">IF(COUNTIF($A$2:$A4922,A4922)=1,1,0)</f>
        <v>0</v>
      </c>
    </row>
    <row r="4923" customFormat="false" ht="15" hidden="false" customHeight="false" outlineLevel="0" collapsed="false">
      <c r="A4923" s="0" t="s">
        <v>1008</v>
      </c>
      <c r="B4923" s="0" t="s">
        <v>43</v>
      </c>
      <c r="C4923" s="0" t="s">
        <v>44</v>
      </c>
      <c r="D4923" s="0" t="n">
        <v>19</v>
      </c>
      <c r="E4923" s="5" t="n">
        <v>46008.5943634259</v>
      </c>
      <c r="F4923" s="0" t="n">
        <v>4.25</v>
      </c>
      <c r="G4923" s="0" t="n">
        <v>17230</v>
      </c>
      <c r="H4923" s="6" t="s">
        <v>74</v>
      </c>
      <c r="I4923" s="6" t="n">
        <f aca="false">D4923*F4923</f>
        <v>80.75</v>
      </c>
      <c r="J4923" s="6" t="n">
        <f aca="false">HOUR(E4923)</f>
        <v>14</v>
      </c>
      <c r="K4923" s="6" t="n">
        <f aca="false">IF(COUNTIF($A$2:$A4923,A4923)=1,1,0)</f>
        <v>1</v>
      </c>
    </row>
    <row r="4924" customFormat="false" ht="15" hidden="false" customHeight="false" outlineLevel="0" collapsed="false">
      <c r="A4924" s="0" t="s">
        <v>1008</v>
      </c>
      <c r="B4924" s="0" t="s">
        <v>65</v>
      </c>
      <c r="C4924" s="0" t="s">
        <v>66</v>
      </c>
      <c r="D4924" s="0" t="n">
        <v>5</v>
      </c>
      <c r="E4924" s="5" t="n">
        <v>46008.5943634259</v>
      </c>
      <c r="F4924" s="0" t="n">
        <v>1.65</v>
      </c>
      <c r="G4924" s="0" t="n">
        <v>17230</v>
      </c>
      <c r="H4924" s="6" t="s">
        <v>74</v>
      </c>
      <c r="I4924" s="6" t="n">
        <f aca="false">D4924*F4924</f>
        <v>8.25</v>
      </c>
      <c r="J4924" s="6" t="n">
        <f aca="false">HOUR(E4924)</f>
        <v>14</v>
      </c>
      <c r="K4924" s="6" t="n">
        <f aca="false">IF(COUNTIF($A$2:$A4924,A4924)=1,1,0)</f>
        <v>0</v>
      </c>
    </row>
    <row r="4925" customFormat="false" ht="15" hidden="false" customHeight="false" outlineLevel="0" collapsed="false">
      <c r="A4925" s="0" t="s">
        <v>1008</v>
      </c>
      <c r="B4925" s="0" t="s">
        <v>125</v>
      </c>
      <c r="C4925" s="0" t="s">
        <v>126</v>
      </c>
      <c r="D4925" s="0" t="n">
        <v>23</v>
      </c>
      <c r="E4925" s="5" t="n">
        <v>46008.5943634259</v>
      </c>
      <c r="F4925" s="0" t="n">
        <v>1.25</v>
      </c>
      <c r="G4925" s="0" t="n">
        <v>17230</v>
      </c>
      <c r="H4925" s="6" t="s">
        <v>74</v>
      </c>
      <c r="I4925" s="6" t="n">
        <f aca="false">D4925*F4925</f>
        <v>28.75</v>
      </c>
      <c r="J4925" s="6" t="n">
        <f aca="false">HOUR(E4925)</f>
        <v>14</v>
      </c>
      <c r="K4925" s="6" t="n">
        <f aca="false">IF(COUNTIF($A$2:$A4925,A4925)=1,1,0)</f>
        <v>0</v>
      </c>
    </row>
    <row r="4926" customFormat="false" ht="15" hidden="false" customHeight="false" outlineLevel="0" collapsed="false">
      <c r="A4926" s="0" t="s">
        <v>1008</v>
      </c>
      <c r="B4926" s="0" t="s">
        <v>59</v>
      </c>
      <c r="D4926" s="0" t="n">
        <v>22</v>
      </c>
      <c r="E4926" s="5" t="n">
        <v>46008.5943634259</v>
      </c>
      <c r="F4926" s="0" t="n">
        <v>0.42</v>
      </c>
      <c r="G4926" s="0" t="n">
        <v>17230</v>
      </c>
      <c r="H4926" s="6" t="s">
        <v>74</v>
      </c>
      <c r="I4926" s="6" t="n">
        <f aca="false">D4926*F4926</f>
        <v>9.24</v>
      </c>
      <c r="J4926" s="6" t="n">
        <f aca="false">HOUR(E4926)</f>
        <v>14</v>
      </c>
      <c r="K4926" s="6" t="n">
        <f aca="false">IF(COUNTIF($A$2:$A4926,A4926)=1,1,0)</f>
        <v>0</v>
      </c>
    </row>
    <row r="4927" customFormat="false" ht="15" hidden="false" customHeight="false" outlineLevel="0" collapsed="false">
      <c r="A4927" s="0" t="s">
        <v>1008</v>
      </c>
      <c r="B4927" s="0" t="s">
        <v>55</v>
      </c>
      <c r="C4927" s="0" t="s">
        <v>56</v>
      </c>
      <c r="D4927" s="0" t="n">
        <v>14</v>
      </c>
      <c r="E4927" s="5" t="n">
        <v>46008.5943634259</v>
      </c>
      <c r="F4927" s="0" t="n">
        <v>1.65</v>
      </c>
      <c r="G4927" s="0" t="n">
        <v>17230</v>
      </c>
      <c r="H4927" s="6" t="s">
        <v>74</v>
      </c>
      <c r="I4927" s="6" t="n">
        <f aca="false">D4927*F4927</f>
        <v>23.1</v>
      </c>
      <c r="J4927" s="6" t="n">
        <f aca="false">HOUR(E4927)</f>
        <v>14</v>
      </c>
      <c r="K4927" s="6" t="n">
        <f aca="false">IF(COUNTIF($A$2:$A4927,A4927)=1,1,0)</f>
        <v>0</v>
      </c>
    </row>
    <row r="4928" customFormat="false" ht="15" hidden="false" customHeight="false" outlineLevel="0" collapsed="false">
      <c r="A4928" s="0" t="s">
        <v>1009</v>
      </c>
      <c r="B4928" s="0" t="s">
        <v>88</v>
      </c>
      <c r="C4928" s="0" t="s">
        <v>89</v>
      </c>
      <c r="D4928" s="0" t="n">
        <v>7</v>
      </c>
      <c r="E4928" s="5" t="n">
        <v>46008.5985300926</v>
      </c>
      <c r="F4928" s="0" t="n">
        <v>2.75</v>
      </c>
      <c r="G4928" s="0" t="n">
        <v>17014</v>
      </c>
      <c r="H4928" s="6" t="s">
        <v>74</v>
      </c>
      <c r="I4928" s="6" t="n">
        <f aca="false">D4928*F4928</f>
        <v>19.25</v>
      </c>
      <c r="J4928" s="6" t="n">
        <f aca="false">HOUR(E4928)</f>
        <v>14</v>
      </c>
      <c r="K4928" s="6" t="n">
        <f aca="false">IF(COUNTIF($A$2:$A4928,A4928)=1,1,0)</f>
        <v>1</v>
      </c>
    </row>
    <row r="4929" customFormat="false" ht="15" hidden="false" customHeight="false" outlineLevel="0" collapsed="false">
      <c r="A4929" s="0" t="s">
        <v>1009</v>
      </c>
      <c r="B4929" s="0" t="s">
        <v>125</v>
      </c>
      <c r="C4929" s="0" t="s">
        <v>126</v>
      </c>
      <c r="D4929" s="0" t="n">
        <v>14</v>
      </c>
      <c r="E4929" s="5" t="n">
        <v>46008.5985300926</v>
      </c>
      <c r="F4929" s="0" t="n">
        <v>1.25</v>
      </c>
      <c r="G4929" s="0" t="n">
        <v>17014</v>
      </c>
      <c r="H4929" s="6" t="s">
        <v>74</v>
      </c>
      <c r="I4929" s="6" t="n">
        <f aca="false">D4929*F4929</f>
        <v>17.5</v>
      </c>
      <c r="J4929" s="6" t="n">
        <f aca="false">HOUR(E4929)</f>
        <v>14</v>
      </c>
      <c r="K4929" s="6" t="n">
        <f aca="false">IF(COUNTIF($A$2:$A4929,A4929)=1,1,0)</f>
        <v>0</v>
      </c>
    </row>
    <row r="4930" customFormat="false" ht="15" hidden="false" customHeight="false" outlineLevel="0" collapsed="false">
      <c r="A4930" s="0" t="s">
        <v>1010</v>
      </c>
      <c r="B4930" s="0" t="s">
        <v>121</v>
      </c>
      <c r="C4930" s="0" t="s">
        <v>122</v>
      </c>
      <c r="D4930" s="0" t="n">
        <v>16</v>
      </c>
      <c r="E4930" s="5" t="n">
        <v>46008.6537615741</v>
      </c>
      <c r="F4930" s="0" t="n">
        <v>2.1</v>
      </c>
      <c r="G4930" s="0" t="n">
        <v>17185</v>
      </c>
      <c r="H4930" s="6" t="s">
        <v>113</v>
      </c>
      <c r="I4930" s="6" t="n">
        <f aca="false">D4930*F4930</f>
        <v>33.6</v>
      </c>
      <c r="J4930" s="6" t="n">
        <f aca="false">HOUR(E4930)</f>
        <v>15</v>
      </c>
      <c r="K4930" s="6" t="n">
        <f aca="false">IF(COUNTIF($A$2:$A4930,A4930)=1,1,0)</f>
        <v>1</v>
      </c>
    </row>
    <row r="4931" customFormat="false" ht="15" hidden="false" customHeight="false" outlineLevel="0" collapsed="false">
      <c r="A4931" s="0" t="s">
        <v>1010</v>
      </c>
      <c r="B4931" s="0" t="s">
        <v>55</v>
      </c>
      <c r="C4931" s="0" t="s">
        <v>56</v>
      </c>
      <c r="D4931" s="0" t="n">
        <v>21</v>
      </c>
      <c r="E4931" s="5" t="n">
        <v>46008.6537615741</v>
      </c>
      <c r="F4931" s="0" t="n">
        <v>1.65</v>
      </c>
      <c r="G4931" s="0" t="n">
        <v>17185</v>
      </c>
      <c r="H4931" s="6" t="s">
        <v>113</v>
      </c>
      <c r="I4931" s="6" t="n">
        <f aca="false">D4931*F4931</f>
        <v>34.65</v>
      </c>
      <c r="J4931" s="6" t="n">
        <f aca="false">HOUR(E4931)</f>
        <v>15</v>
      </c>
      <c r="K4931" s="6" t="n">
        <f aca="false">IF(COUNTIF($A$2:$A4931,A4931)=1,1,0)</f>
        <v>0</v>
      </c>
    </row>
    <row r="4932" customFormat="false" ht="15" hidden="false" customHeight="false" outlineLevel="0" collapsed="false">
      <c r="A4932" s="0" t="s">
        <v>1010</v>
      </c>
      <c r="B4932" s="0" t="s">
        <v>79</v>
      </c>
      <c r="C4932" s="0" t="s">
        <v>80</v>
      </c>
      <c r="D4932" s="0" t="n">
        <v>17</v>
      </c>
      <c r="E4932" s="5" t="n">
        <v>46008.6537615741</v>
      </c>
      <c r="F4932" s="0" t="n">
        <v>3.39</v>
      </c>
      <c r="G4932" s="0" t="n">
        <v>17185</v>
      </c>
      <c r="H4932" s="6" t="s">
        <v>113</v>
      </c>
      <c r="I4932" s="6" t="n">
        <f aca="false">D4932*F4932</f>
        <v>57.63</v>
      </c>
      <c r="J4932" s="6" t="n">
        <f aca="false">HOUR(E4932)</f>
        <v>15</v>
      </c>
      <c r="K4932" s="6" t="n">
        <f aca="false">IF(COUNTIF($A$2:$A4932,A4932)=1,1,0)</f>
        <v>0</v>
      </c>
    </row>
    <row r="4933" customFormat="false" ht="15" hidden="false" customHeight="false" outlineLevel="0" collapsed="false">
      <c r="A4933" s="0" t="s">
        <v>1010</v>
      </c>
      <c r="B4933" s="0" t="s">
        <v>137</v>
      </c>
      <c r="C4933" s="0" t="s">
        <v>138</v>
      </c>
      <c r="D4933" s="0" t="n">
        <v>1</v>
      </c>
      <c r="E4933" s="5" t="n">
        <v>46008.6537615741</v>
      </c>
      <c r="F4933" s="0" t="n">
        <v>2.1</v>
      </c>
      <c r="G4933" s="0" t="n">
        <v>17185</v>
      </c>
      <c r="H4933" s="6" t="s">
        <v>113</v>
      </c>
      <c r="I4933" s="6" t="n">
        <f aca="false">D4933*F4933</f>
        <v>2.1</v>
      </c>
      <c r="J4933" s="6" t="n">
        <f aca="false">HOUR(E4933)</f>
        <v>15</v>
      </c>
      <c r="K4933" s="6" t="n">
        <f aca="false">IF(COUNTIF($A$2:$A4933,A4933)=1,1,0)</f>
        <v>0</v>
      </c>
    </row>
    <row r="4934" customFormat="false" ht="15" hidden="false" customHeight="false" outlineLevel="0" collapsed="false">
      <c r="A4934" s="0" t="s">
        <v>1010</v>
      </c>
      <c r="B4934" s="0" t="s">
        <v>83</v>
      </c>
      <c r="C4934" s="0" t="s">
        <v>84</v>
      </c>
      <c r="D4934" s="0" t="n">
        <v>13</v>
      </c>
      <c r="E4934" s="5" t="n">
        <v>46008.6537615741</v>
      </c>
      <c r="F4934" s="0" t="n">
        <v>2.95</v>
      </c>
      <c r="G4934" s="0" t="n">
        <v>17185</v>
      </c>
      <c r="H4934" s="6" t="s">
        <v>113</v>
      </c>
      <c r="I4934" s="6" t="n">
        <f aca="false">D4934*F4934</f>
        <v>38.35</v>
      </c>
      <c r="J4934" s="6" t="n">
        <f aca="false">HOUR(E4934)</f>
        <v>15</v>
      </c>
      <c r="K4934" s="6" t="n">
        <f aca="false">IF(COUNTIF($A$2:$A4934,A4934)=1,1,0)</f>
        <v>0</v>
      </c>
    </row>
    <row r="4935" customFormat="false" ht="15" hidden="false" customHeight="false" outlineLevel="0" collapsed="false">
      <c r="A4935" s="0" t="s">
        <v>1010</v>
      </c>
      <c r="B4935" s="0" t="s">
        <v>145</v>
      </c>
      <c r="C4935" s="0" t="s">
        <v>146</v>
      </c>
      <c r="D4935" s="0" t="n">
        <v>3</v>
      </c>
      <c r="E4935" s="5" t="n">
        <v>46008.6537615741</v>
      </c>
      <c r="F4935" s="0" t="n">
        <v>1.85</v>
      </c>
      <c r="G4935" s="0" t="n">
        <v>17185</v>
      </c>
      <c r="H4935" s="6" t="s">
        <v>113</v>
      </c>
      <c r="I4935" s="6" t="n">
        <f aca="false">D4935*F4935</f>
        <v>5.55</v>
      </c>
      <c r="J4935" s="6" t="n">
        <f aca="false">HOUR(E4935)</f>
        <v>15</v>
      </c>
      <c r="K4935" s="6" t="n">
        <f aca="false">IF(COUNTIF($A$2:$A4935,A4935)=1,1,0)</f>
        <v>0</v>
      </c>
    </row>
    <row r="4936" customFormat="false" ht="15" hidden="false" customHeight="false" outlineLevel="0" collapsed="false">
      <c r="A4936" s="0" t="s">
        <v>1010</v>
      </c>
      <c r="B4936" s="0" t="s">
        <v>104</v>
      </c>
      <c r="C4936" s="0" t="s">
        <v>105</v>
      </c>
      <c r="D4936" s="0" t="n">
        <v>20</v>
      </c>
      <c r="E4936" s="5" t="n">
        <v>46008.6537615741</v>
      </c>
      <c r="F4936" s="0" t="n">
        <v>1.65</v>
      </c>
      <c r="G4936" s="0" t="n">
        <v>17185</v>
      </c>
      <c r="H4936" s="6" t="s">
        <v>113</v>
      </c>
      <c r="I4936" s="6" t="n">
        <f aca="false">D4936*F4936</f>
        <v>33</v>
      </c>
      <c r="J4936" s="6" t="n">
        <f aca="false">HOUR(E4936)</f>
        <v>15</v>
      </c>
      <c r="K4936" s="6" t="n">
        <f aca="false">IF(COUNTIF($A$2:$A4936,A4936)=1,1,0)</f>
        <v>0</v>
      </c>
    </row>
    <row r="4937" customFormat="false" ht="15" hidden="false" customHeight="false" outlineLevel="0" collapsed="false">
      <c r="A4937" s="0" t="s">
        <v>1010</v>
      </c>
      <c r="B4937" s="0" t="s">
        <v>134</v>
      </c>
      <c r="C4937" s="0" t="s">
        <v>135</v>
      </c>
      <c r="D4937" s="0" t="n">
        <v>6</v>
      </c>
      <c r="E4937" s="5" t="n">
        <v>46008.6537615741</v>
      </c>
      <c r="F4937" s="0" t="n">
        <v>5.95</v>
      </c>
      <c r="G4937" s="0" t="n">
        <v>17185</v>
      </c>
      <c r="H4937" s="6" t="s">
        <v>113</v>
      </c>
      <c r="I4937" s="6" t="n">
        <f aca="false">D4937*F4937</f>
        <v>35.7</v>
      </c>
      <c r="J4937" s="6" t="n">
        <f aca="false">HOUR(E4937)</f>
        <v>15</v>
      </c>
      <c r="K4937" s="6" t="n">
        <f aca="false">IF(COUNTIF($A$2:$A4937,A4937)=1,1,0)</f>
        <v>0</v>
      </c>
    </row>
    <row r="4938" customFormat="false" ht="15" hidden="false" customHeight="false" outlineLevel="0" collapsed="false">
      <c r="A4938" s="0" t="s">
        <v>1010</v>
      </c>
      <c r="B4938" s="0" t="s">
        <v>53</v>
      </c>
      <c r="C4938" s="0" t="s">
        <v>54</v>
      </c>
      <c r="D4938" s="0" t="n">
        <v>24</v>
      </c>
      <c r="E4938" s="5" t="n">
        <v>46008.6537615741</v>
      </c>
      <c r="F4938" s="0" t="n">
        <v>2.95</v>
      </c>
      <c r="G4938" s="0" t="n">
        <v>17185</v>
      </c>
      <c r="H4938" s="6" t="s">
        <v>113</v>
      </c>
      <c r="I4938" s="6" t="n">
        <f aca="false">D4938*F4938</f>
        <v>70.8</v>
      </c>
      <c r="J4938" s="6" t="n">
        <f aca="false">HOUR(E4938)</f>
        <v>15</v>
      </c>
      <c r="K4938" s="6" t="n">
        <f aca="false">IF(COUNTIF($A$2:$A4938,A4938)=1,1,0)</f>
        <v>0</v>
      </c>
    </row>
    <row r="4939" customFormat="false" ht="15" hidden="false" customHeight="false" outlineLevel="0" collapsed="false">
      <c r="A4939" s="0" t="s">
        <v>1010</v>
      </c>
      <c r="B4939" s="0" t="s">
        <v>43</v>
      </c>
      <c r="C4939" s="0" t="s">
        <v>44</v>
      </c>
      <c r="D4939" s="0" t="n">
        <v>4</v>
      </c>
      <c r="E4939" s="5" t="n">
        <v>46008.6537615741</v>
      </c>
      <c r="F4939" s="0" t="n">
        <v>4.25</v>
      </c>
      <c r="G4939" s="0" t="n">
        <v>17185</v>
      </c>
      <c r="H4939" s="6" t="s">
        <v>113</v>
      </c>
      <c r="I4939" s="6" t="n">
        <f aca="false">D4939*F4939</f>
        <v>17</v>
      </c>
      <c r="J4939" s="6" t="n">
        <f aca="false">HOUR(E4939)</f>
        <v>15</v>
      </c>
      <c r="K4939" s="6" t="n">
        <f aca="false">IF(COUNTIF($A$2:$A4939,A4939)=1,1,0)</f>
        <v>0</v>
      </c>
    </row>
    <row r="4940" customFormat="false" ht="15" hidden="false" customHeight="false" outlineLevel="0" collapsed="false">
      <c r="A4940" s="0" t="s">
        <v>1011</v>
      </c>
      <c r="B4940" s="0" t="s">
        <v>55</v>
      </c>
      <c r="C4940" s="0" t="s">
        <v>56</v>
      </c>
      <c r="D4940" s="0" t="n">
        <v>13</v>
      </c>
      <c r="E4940" s="5" t="n">
        <v>46008.8994560185</v>
      </c>
      <c r="F4940" s="0" t="n">
        <v>1.65</v>
      </c>
      <c r="G4940" s="0" t="n">
        <v>17216</v>
      </c>
      <c r="H4940" s="6" t="s">
        <v>74</v>
      </c>
      <c r="I4940" s="6" t="n">
        <f aca="false">D4940*F4940</f>
        <v>21.45</v>
      </c>
      <c r="J4940" s="6" t="n">
        <f aca="false">HOUR(E4940)</f>
        <v>21</v>
      </c>
      <c r="K4940" s="6" t="n">
        <f aca="false">IF(COUNTIF($A$2:$A4940,A4940)=1,1,0)</f>
        <v>1</v>
      </c>
    </row>
    <row r="4941" customFormat="false" ht="15" hidden="false" customHeight="false" outlineLevel="0" collapsed="false">
      <c r="A4941" s="0" t="s">
        <v>1011</v>
      </c>
      <c r="B4941" s="0" t="s">
        <v>81</v>
      </c>
      <c r="C4941" s="0" t="s">
        <v>82</v>
      </c>
      <c r="D4941" s="0" t="n">
        <v>21</v>
      </c>
      <c r="E4941" s="5" t="n">
        <v>46008.8994560185</v>
      </c>
      <c r="F4941" s="0" t="n">
        <v>1.65</v>
      </c>
      <c r="G4941" s="0" t="n">
        <v>17216</v>
      </c>
      <c r="H4941" s="6" t="s">
        <v>74</v>
      </c>
      <c r="I4941" s="6" t="n">
        <f aca="false">D4941*F4941</f>
        <v>34.65</v>
      </c>
      <c r="J4941" s="6" t="n">
        <f aca="false">HOUR(E4941)</f>
        <v>21</v>
      </c>
      <c r="K4941" s="6" t="n">
        <f aca="false">IF(COUNTIF($A$2:$A4941,A4941)=1,1,0)</f>
        <v>0</v>
      </c>
    </row>
    <row r="4942" customFormat="false" ht="15" hidden="false" customHeight="false" outlineLevel="0" collapsed="false">
      <c r="A4942" s="0" t="s">
        <v>1012</v>
      </c>
      <c r="B4942" s="0" t="s">
        <v>99</v>
      </c>
      <c r="C4942" s="0" t="s">
        <v>100</v>
      </c>
      <c r="D4942" s="0" t="n">
        <v>21</v>
      </c>
      <c r="E4942" s="5" t="n">
        <v>46009.3704861111</v>
      </c>
      <c r="F4942" s="0" t="n">
        <v>2.08</v>
      </c>
      <c r="G4942" s="0" t="n">
        <v>17030</v>
      </c>
      <c r="H4942" s="6" t="s">
        <v>68</v>
      </c>
      <c r="I4942" s="6" t="n">
        <f aca="false">D4942*F4942</f>
        <v>43.68</v>
      </c>
      <c r="J4942" s="6" t="n">
        <f aca="false">HOUR(E4942)</f>
        <v>8</v>
      </c>
      <c r="K4942" s="6" t="n">
        <f aca="false">IF(COUNTIF($A$2:$A4942,A4942)=1,1,0)</f>
        <v>1</v>
      </c>
    </row>
    <row r="4943" customFormat="false" ht="15" hidden="false" customHeight="false" outlineLevel="0" collapsed="false">
      <c r="A4943" s="0" t="s">
        <v>1012</v>
      </c>
      <c r="B4943" s="0" t="s">
        <v>57</v>
      </c>
      <c r="C4943" s="0" t="s">
        <v>58</v>
      </c>
      <c r="D4943" s="0" t="n">
        <v>18</v>
      </c>
      <c r="E4943" s="5" t="n">
        <v>46009.3704861111</v>
      </c>
      <c r="F4943" s="0" t="n">
        <v>2.08</v>
      </c>
      <c r="G4943" s="0" t="n">
        <v>17030</v>
      </c>
      <c r="H4943" s="6" t="s">
        <v>68</v>
      </c>
      <c r="I4943" s="6" t="n">
        <f aca="false">D4943*F4943</f>
        <v>37.44</v>
      </c>
      <c r="J4943" s="6" t="n">
        <f aca="false">HOUR(E4943)</f>
        <v>8</v>
      </c>
      <c r="K4943" s="6" t="n">
        <f aca="false">IF(COUNTIF($A$2:$A4943,A4943)=1,1,0)</f>
        <v>0</v>
      </c>
    </row>
    <row r="4944" customFormat="false" ht="15" hidden="false" customHeight="false" outlineLevel="0" collapsed="false">
      <c r="A4944" s="0" t="s">
        <v>1012</v>
      </c>
      <c r="B4944" s="0" t="s">
        <v>43</v>
      </c>
      <c r="C4944" s="0" t="s">
        <v>44</v>
      </c>
      <c r="D4944" s="0" t="n">
        <v>18</v>
      </c>
      <c r="E4944" s="5" t="n">
        <v>46009.3704861111</v>
      </c>
      <c r="F4944" s="0" t="n">
        <v>4.25</v>
      </c>
      <c r="G4944" s="0" t="n">
        <v>17030</v>
      </c>
      <c r="H4944" s="6" t="s">
        <v>68</v>
      </c>
      <c r="I4944" s="6" t="n">
        <f aca="false">D4944*F4944</f>
        <v>76.5</v>
      </c>
      <c r="J4944" s="6" t="n">
        <f aca="false">HOUR(E4944)</f>
        <v>8</v>
      </c>
      <c r="K4944" s="6" t="n">
        <f aca="false">IF(COUNTIF($A$2:$A4944,A4944)=1,1,0)</f>
        <v>0</v>
      </c>
    </row>
    <row r="4945" customFormat="false" ht="15" hidden="false" customHeight="false" outlineLevel="0" collapsed="false">
      <c r="A4945" s="0" t="s">
        <v>1012</v>
      </c>
      <c r="B4945" s="0" t="s">
        <v>114</v>
      </c>
      <c r="C4945" s="0" t="s">
        <v>115</v>
      </c>
      <c r="D4945" s="0" t="n">
        <v>3</v>
      </c>
      <c r="E4945" s="5" t="n">
        <v>46009.3704861111</v>
      </c>
      <c r="F4945" s="0" t="n">
        <v>2.08</v>
      </c>
      <c r="G4945" s="0" t="n">
        <v>17030</v>
      </c>
      <c r="H4945" s="6" t="s">
        <v>68</v>
      </c>
      <c r="I4945" s="6" t="n">
        <f aca="false">D4945*F4945</f>
        <v>6.24</v>
      </c>
      <c r="J4945" s="6" t="n">
        <f aca="false">HOUR(E4945)</f>
        <v>8</v>
      </c>
      <c r="K4945" s="6" t="n">
        <f aca="false">IF(COUNTIF($A$2:$A4945,A4945)=1,1,0)</f>
        <v>0</v>
      </c>
    </row>
    <row r="4946" customFormat="false" ht="15" hidden="false" customHeight="false" outlineLevel="0" collapsed="false">
      <c r="A4946" s="0" t="s">
        <v>1012</v>
      </c>
      <c r="B4946" s="0" t="s">
        <v>140</v>
      </c>
      <c r="C4946" s="0" t="s">
        <v>141</v>
      </c>
      <c r="D4946" s="0" t="n">
        <v>24</v>
      </c>
      <c r="E4946" s="5" t="n">
        <v>46009.3704861111</v>
      </c>
      <c r="F4946" s="0" t="n">
        <v>2.08</v>
      </c>
      <c r="G4946" s="0" t="n">
        <v>17030</v>
      </c>
      <c r="H4946" s="6" t="s">
        <v>68</v>
      </c>
      <c r="I4946" s="6" t="n">
        <f aca="false">D4946*F4946</f>
        <v>49.92</v>
      </c>
      <c r="J4946" s="6" t="n">
        <f aca="false">HOUR(E4946)</f>
        <v>8</v>
      </c>
      <c r="K4946" s="6" t="n">
        <f aca="false">IF(COUNTIF($A$2:$A4946,A4946)=1,1,0)</f>
        <v>0</v>
      </c>
    </row>
    <row r="4947" customFormat="false" ht="15" hidden="false" customHeight="false" outlineLevel="0" collapsed="false">
      <c r="A4947" s="0" t="s">
        <v>1012</v>
      </c>
      <c r="B4947" s="0" t="s">
        <v>55</v>
      </c>
      <c r="C4947" s="0" t="s">
        <v>56</v>
      </c>
      <c r="D4947" s="0" t="n">
        <v>9</v>
      </c>
      <c r="E4947" s="5" t="n">
        <v>46009.3704861111</v>
      </c>
      <c r="F4947" s="0" t="n">
        <v>1.65</v>
      </c>
      <c r="G4947" s="0" t="n">
        <v>17030</v>
      </c>
      <c r="H4947" s="6" t="s">
        <v>68</v>
      </c>
      <c r="I4947" s="6" t="n">
        <f aca="false">D4947*F4947</f>
        <v>14.85</v>
      </c>
      <c r="J4947" s="6" t="n">
        <f aca="false">HOUR(E4947)</f>
        <v>8</v>
      </c>
      <c r="K4947" s="6" t="n">
        <f aca="false">IF(COUNTIF($A$2:$A4947,A4947)=1,1,0)</f>
        <v>0</v>
      </c>
    </row>
    <row r="4948" customFormat="false" ht="15" hidden="false" customHeight="false" outlineLevel="0" collapsed="false">
      <c r="A4948" s="0" t="s">
        <v>1012</v>
      </c>
      <c r="B4948" s="0" t="s">
        <v>93</v>
      </c>
      <c r="C4948" s="0" t="s">
        <v>94</v>
      </c>
      <c r="D4948" s="0" t="n">
        <v>15</v>
      </c>
      <c r="E4948" s="5" t="n">
        <v>46009.3704861111</v>
      </c>
      <c r="F4948" s="0" t="n">
        <v>1.69</v>
      </c>
      <c r="G4948" s="0" t="n">
        <v>17030</v>
      </c>
      <c r="H4948" s="6" t="s">
        <v>68</v>
      </c>
      <c r="I4948" s="6" t="n">
        <f aca="false">D4948*F4948</f>
        <v>25.35</v>
      </c>
      <c r="J4948" s="6" t="n">
        <f aca="false">HOUR(E4948)</f>
        <v>8</v>
      </c>
      <c r="K4948" s="6" t="n">
        <f aca="false">IF(COUNTIF($A$2:$A4948,A4948)=1,1,0)</f>
        <v>0</v>
      </c>
    </row>
    <row r="4949" customFormat="false" ht="15" hidden="false" customHeight="false" outlineLevel="0" collapsed="false">
      <c r="A4949" s="0" t="s">
        <v>1012</v>
      </c>
      <c r="B4949" s="0" t="s">
        <v>88</v>
      </c>
      <c r="C4949" s="0" t="s">
        <v>89</v>
      </c>
      <c r="D4949" s="0" t="n">
        <v>17</v>
      </c>
      <c r="E4949" s="5" t="n">
        <v>46009.3704861111</v>
      </c>
      <c r="F4949" s="0" t="n">
        <v>2.75</v>
      </c>
      <c r="G4949" s="0" t="n">
        <v>17030</v>
      </c>
      <c r="H4949" s="6" t="s">
        <v>68</v>
      </c>
      <c r="I4949" s="6" t="n">
        <f aca="false">D4949*F4949</f>
        <v>46.75</v>
      </c>
      <c r="J4949" s="6" t="n">
        <f aca="false">HOUR(E4949)</f>
        <v>8</v>
      </c>
      <c r="K4949" s="6" t="n">
        <f aca="false">IF(COUNTIF($A$2:$A4949,A4949)=1,1,0)</f>
        <v>0</v>
      </c>
    </row>
    <row r="4950" customFormat="false" ht="15" hidden="false" customHeight="false" outlineLevel="0" collapsed="false">
      <c r="A4950" s="0" t="s">
        <v>1013</v>
      </c>
      <c r="B4950" s="0" t="s">
        <v>137</v>
      </c>
      <c r="C4950" s="0" t="s">
        <v>138</v>
      </c>
      <c r="D4950" s="0" t="n">
        <v>20</v>
      </c>
      <c r="E4950" s="5" t="n">
        <v>46009.432962963</v>
      </c>
      <c r="F4950" s="0" t="n">
        <v>2.1</v>
      </c>
      <c r="G4950" s="0" t="n">
        <v>17021</v>
      </c>
      <c r="H4950" s="6" t="s">
        <v>113</v>
      </c>
      <c r="I4950" s="6" t="n">
        <f aca="false">D4950*F4950</f>
        <v>42</v>
      </c>
      <c r="J4950" s="6" t="n">
        <f aca="false">HOUR(E4950)</f>
        <v>10</v>
      </c>
      <c r="K4950" s="6" t="n">
        <f aca="false">IF(COUNTIF($A$2:$A4950,A4950)=1,1,0)</f>
        <v>1</v>
      </c>
    </row>
    <row r="4951" customFormat="false" ht="15" hidden="false" customHeight="false" outlineLevel="0" collapsed="false">
      <c r="A4951" s="0" t="s">
        <v>1013</v>
      </c>
      <c r="B4951" s="0" t="s">
        <v>95</v>
      </c>
      <c r="C4951" s="0" t="s">
        <v>96</v>
      </c>
      <c r="D4951" s="0" t="n">
        <v>46</v>
      </c>
      <c r="E4951" s="5" t="n">
        <v>46009.432962963</v>
      </c>
      <c r="F4951" s="0" t="n">
        <v>2.55</v>
      </c>
      <c r="G4951" s="0" t="n">
        <v>17021</v>
      </c>
      <c r="H4951" s="6" t="s">
        <v>113</v>
      </c>
      <c r="I4951" s="6" t="n">
        <f aca="false">D4951*F4951</f>
        <v>117.3</v>
      </c>
      <c r="J4951" s="6" t="n">
        <f aca="false">HOUR(E4951)</f>
        <v>10</v>
      </c>
      <c r="K4951" s="6" t="n">
        <f aca="false">IF(COUNTIF($A$2:$A4951,A4951)=1,1,0)</f>
        <v>0</v>
      </c>
    </row>
    <row r="4952" customFormat="false" ht="15" hidden="false" customHeight="false" outlineLevel="0" collapsed="false">
      <c r="A4952" s="0" t="s">
        <v>1013</v>
      </c>
      <c r="B4952" s="0" t="s">
        <v>88</v>
      </c>
      <c r="C4952" s="0" t="s">
        <v>89</v>
      </c>
      <c r="D4952" s="0" t="n">
        <v>17</v>
      </c>
      <c r="E4952" s="5" t="n">
        <v>46009.432962963</v>
      </c>
      <c r="F4952" s="0" t="n">
        <v>2.75</v>
      </c>
      <c r="G4952" s="0" t="n">
        <v>17021</v>
      </c>
      <c r="H4952" s="6" t="s">
        <v>113</v>
      </c>
      <c r="I4952" s="6" t="n">
        <f aca="false">D4952*F4952</f>
        <v>46.75</v>
      </c>
      <c r="J4952" s="6" t="n">
        <f aca="false">HOUR(E4952)</f>
        <v>10</v>
      </c>
      <c r="K4952" s="6" t="n">
        <f aca="false">IF(COUNTIF($A$2:$A4952,A4952)=1,1,0)</f>
        <v>0</v>
      </c>
    </row>
    <row r="4953" customFormat="false" ht="15" hidden="false" customHeight="false" outlineLevel="0" collapsed="false">
      <c r="A4953" s="0" t="s">
        <v>1013</v>
      </c>
      <c r="B4953" s="0" t="s">
        <v>140</v>
      </c>
      <c r="C4953" s="0" t="s">
        <v>141</v>
      </c>
      <c r="D4953" s="0" t="n">
        <v>5</v>
      </c>
      <c r="E4953" s="5" t="n">
        <v>46009.432962963</v>
      </c>
      <c r="F4953" s="0" t="n">
        <v>2.08</v>
      </c>
      <c r="G4953" s="0" t="n">
        <v>17021</v>
      </c>
      <c r="H4953" s="6" t="s">
        <v>113</v>
      </c>
      <c r="I4953" s="6" t="n">
        <f aca="false">D4953*F4953</f>
        <v>10.4</v>
      </c>
      <c r="J4953" s="6" t="n">
        <f aca="false">HOUR(E4953)</f>
        <v>10</v>
      </c>
      <c r="K4953" s="6" t="n">
        <f aca="false">IF(COUNTIF($A$2:$A4953,A4953)=1,1,0)</f>
        <v>0</v>
      </c>
    </row>
    <row r="4954" customFormat="false" ht="15" hidden="false" customHeight="false" outlineLevel="0" collapsed="false">
      <c r="A4954" s="0" t="s">
        <v>1013</v>
      </c>
      <c r="B4954" s="0" t="s">
        <v>45</v>
      </c>
      <c r="C4954" s="0" t="s">
        <v>46</v>
      </c>
      <c r="D4954" s="0" t="n">
        <v>2</v>
      </c>
      <c r="E4954" s="5" t="n">
        <v>46009.432962963</v>
      </c>
      <c r="F4954" s="0" t="n">
        <v>2.1</v>
      </c>
      <c r="G4954" s="0" t="n">
        <v>17021</v>
      </c>
      <c r="H4954" s="6" t="s">
        <v>113</v>
      </c>
      <c r="I4954" s="6" t="n">
        <f aca="false">D4954*F4954</f>
        <v>4.2</v>
      </c>
      <c r="J4954" s="6" t="n">
        <f aca="false">HOUR(E4954)</f>
        <v>10</v>
      </c>
      <c r="K4954" s="6" t="n">
        <f aca="false">IF(COUNTIF($A$2:$A4954,A4954)=1,1,0)</f>
        <v>0</v>
      </c>
    </row>
    <row r="4955" customFormat="false" ht="15" hidden="false" customHeight="false" outlineLevel="0" collapsed="false">
      <c r="A4955" s="0" t="s">
        <v>1013</v>
      </c>
      <c r="B4955" s="0" t="s">
        <v>107</v>
      </c>
      <c r="C4955" s="0" t="s">
        <v>108</v>
      </c>
      <c r="D4955" s="0" t="n">
        <v>7</v>
      </c>
      <c r="E4955" s="5" t="n">
        <v>46009.432962963</v>
      </c>
      <c r="F4955" s="0" t="n">
        <v>3.75</v>
      </c>
      <c r="G4955" s="0" t="n">
        <v>17021</v>
      </c>
      <c r="H4955" s="6" t="s">
        <v>113</v>
      </c>
      <c r="I4955" s="6" t="n">
        <f aca="false">D4955*F4955</f>
        <v>26.25</v>
      </c>
      <c r="J4955" s="6" t="n">
        <f aca="false">HOUR(E4955)</f>
        <v>10</v>
      </c>
      <c r="K4955" s="6" t="n">
        <f aca="false">IF(COUNTIF($A$2:$A4955,A4955)=1,1,0)</f>
        <v>0</v>
      </c>
    </row>
    <row r="4956" customFormat="false" ht="15" hidden="false" customHeight="false" outlineLevel="0" collapsed="false">
      <c r="A4956" s="0" t="s">
        <v>1013</v>
      </c>
      <c r="B4956" s="0" t="s">
        <v>55</v>
      </c>
      <c r="C4956" s="0" t="s">
        <v>56</v>
      </c>
      <c r="D4956" s="0" t="n">
        <v>3</v>
      </c>
      <c r="E4956" s="5" t="n">
        <v>46009.432962963</v>
      </c>
      <c r="F4956" s="0" t="n">
        <v>1.65</v>
      </c>
      <c r="G4956" s="0" t="n">
        <v>17021</v>
      </c>
      <c r="H4956" s="6" t="s">
        <v>113</v>
      </c>
      <c r="I4956" s="6" t="n">
        <f aca="false">D4956*F4956</f>
        <v>4.95</v>
      </c>
      <c r="J4956" s="6" t="n">
        <f aca="false">HOUR(E4956)</f>
        <v>10</v>
      </c>
      <c r="K4956" s="6" t="n">
        <f aca="false">IF(COUNTIF($A$2:$A4956,A4956)=1,1,0)</f>
        <v>0</v>
      </c>
    </row>
    <row r="4957" customFormat="false" ht="15" hidden="false" customHeight="false" outlineLevel="0" collapsed="false">
      <c r="A4957" s="0" t="s">
        <v>1013</v>
      </c>
      <c r="B4957" s="0" t="s">
        <v>93</v>
      </c>
      <c r="C4957" s="0" t="s">
        <v>94</v>
      </c>
      <c r="D4957" s="0" t="n">
        <v>22</v>
      </c>
      <c r="E4957" s="5" t="n">
        <v>46009.432962963</v>
      </c>
      <c r="F4957" s="0" t="n">
        <v>1.69</v>
      </c>
      <c r="G4957" s="0" t="n">
        <v>17021</v>
      </c>
      <c r="H4957" s="6" t="s">
        <v>113</v>
      </c>
      <c r="I4957" s="6" t="n">
        <f aca="false">D4957*F4957</f>
        <v>37.18</v>
      </c>
      <c r="J4957" s="6" t="n">
        <f aca="false">HOUR(E4957)</f>
        <v>10</v>
      </c>
      <c r="K4957" s="6" t="n">
        <f aca="false">IF(COUNTIF($A$2:$A4957,A4957)=1,1,0)</f>
        <v>0</v>
      </c>
    </row>
    <row r="4958" customFormat="false" ht="15" hidden="false" customHeight="false" outlineLevel="0" collapsed="false">
      <c r="A4958" s="0" t="s">
        <v>1013</v>
      </c>
      <c r="B4958" s="0" t="s">
        <v>99</v>
      </c>
      <c r="C4958" s="0" t="s">
        <v>100</v>
      </c>
      <c r="D4958" s="0" t="n">
        <v>1</v>
      </c>
      <c r="E4958" s="5" t="n">
        <v>46009.432962963</v>
      </c>
      <c r="F4958" s="0" t="n">
        <v>2.08</v>
      </c>
      <c r="G4958" s="0" t="n">
        <v>17021</v>
      </c>
      <c r="H4958" s="6" t="s">
        <v>113</v>
      </c>
      <c r="I4958" s="6" t="n">
        <f aca="false">D4958*F4958</f>
        <v>2.08</v>
      </c>
      <c r="J4958" s="6" t="n">
        <f aca="false">HOUR(E4958)</f>
        <v>10</v>
      </c>
      <c r="K4958" s="6" t="n">
        <f aca="false">IF(COUNTIF($A$2:$A4958,A4958)=1,1,0)</f>
        <v>0</v>
      </c>
    </row>
    <row r="4959" customFormat="false" ht="15" hidden="false" customHeight="false" outlineLevel="0" collapsed="false">
      <c r="A4959" s="0" t="s">
        <v>1014</v>
      </c>
      <c r="B4959" s="0" t="s">
        <v>63</v>
      </c>
      <c r="C4959" s="0" t="s">
        <v>64</v>
      </c>
      <c r="D4959" s="0" t="n">
        <v>7</v>
      </c>
      <c r="E4959" s="5" t="n">
        <v>46009.4548148148</v>
      </c>
      <c r="F4959" s="0" t="n">
        <v>1.85</v>
      </c>
      <c r="G4959" s="0" t="n">
        <v>17254</v>
      </c>
      <c r="H4959" s="6" t="s">
        <v>74</v>
      </c>
      <c r="I4959" s="6" t="n">
        <f aca="false">D4959*F4959</f>
        <v>12.95</v>
      </c>
      <c r="J4959" s="6" t="n">
        <f aca="false">HOUR(E4959)</f>
        <v>10</v>
      </c>
      <c r="K4959" s="6" t="n">
        <f aca="false">IF(COUNTIF($A$2:$A4959,A4959)=1,1,0)</f>
        <v>1</v>
      </c>
    </row>
    <row r="4960" customFormat="false" ht="15" hidden="false" customHeight="false" outlineLevel="0" collapsed="false">
      <c r="A4960" s="0" t="s">
        <v>1015</v>
      </c>
      <c r="B4960" s="0" t="s">
        <v>99</v>
      </c>
      <c r="C4960" s="0" t="s">
        <v>100</v>
      </c>
      <c r="D4960" s="0" t="n">
        <v>-20</v>
      </c>
      <c r="E4960" s="5" t="n">
        <v>46009.4745486111</v>
      </c>
      <c r="F4960" s="0" t="n">
        <v>2.08</v>
      </c>
      <c r="G4960" s="0" t="n">
        <v>17256</v>
      </c>
      <c r="H4960" s="6" t="s">
        <v>113</v>
      </c>
      <c r="I4960" s="6" t="n">
        <f aca="false">D4960*F4960</f>
        <v>-41.6</v>
      </c>
      <c r="J4960" s="6" t="n">
        <f aca="false">HOUR(E4960)</f>
        <v>11</v>
      </c>
      <c r="K4960" s="6" t="n">
        <f aca="false">IF(COUNTIF($A$2:$A4960,A4960)=1,1,0)</f>
        <v>1</v>
      </c>
    </row>
    <row r="4961" customFormat="false" ht="15" hidden="false" customHeight="false" outlineLevel="0" collapsed="false">
      <c r="A4961" s="0" t="s">
        <v>1015</v>
      </c>
      <c r="B4961" s="0" t="s">
        <v>93</v>
      </c>
      <c r="C4961" s="0" t="s">
        <v>94</v>
      </c>
      <c r="D4961" s="0" t="n">
        <v>-19</v>
      </c>
      <c r="E4961" s="5" t="n">
        <v>46009.4745486111</v>
      </c>
      <c r="F4961" s="0" t="n">
        <v>1.69</v>
      </c>
      <c r="G4961" s="0" t="n">
        <v>17256</v>
      </c>
      <c r="H4961" s="6" t="s">
        <v>113</v>
      </c>
      <c r="I4961" s="6" t="n">
        <f aca="false">D4961*F4961</f>
        <v>-32.11</v>
      </c>
      <c r="J4961" s="6" t="n">
        <f aca="false">HOUR(E4961)</f>
        <v>11</v>
      </c>
      <c r="K4961" s="6" t="n">
        <f aca="false">IF(COUNTIF($A$2:$A4961,A4961)=1,1,0)</f>
        <v>0</v>
      </c>
    </row>
    <row r="4962" customFormat="false" ht="15" hidden="false" customHeight="false" outlineLevel="0" collapsed="false">
      <c r="A4962" s="0" t="s">
        <v>1015</v>
      </c>
      <c r="B4962" s="0" t="s">
        <v>40</v>
      </c>
      <c r="C4962" s="0" t="s">
        <v>41</v>
      </c>
      <c r="D4962" s="0" t="n">
        <v>-24</v>
      </c>
      <c r="E4962" s="5" t="n">
        <v>46009.4745486111</v>
      </c>
      <c r="F4962" s="0" t="n">
        <v>1.06</v>
      </c>
      <c r="G4962" s="0" t="n">
        <v>17256</v>
      </c>
      <c r="H4962" s="6" t="s">
        <v>113</v>
      </c>
      <c r="I4962" s="6" t="n">
        <f aca="false">D4962*F4962</f>
        <v>-25.44</v>
      </c>
      <c r="J4962" s="6" t="n">
        <f aca="false">HOUR(E4962)</f>
        <v>11</v>
      </c>
      <c r="K4962" s="6" t="n">
        <f aca="false">IF(COUNTIF($A$2:$A4962,A4962)=1,1,0)</f>
        <v>0</v>
      </c>
    </row>
    <row r="4963" customFormat="false" ht="15" hidden="false" customHeight="false" outlineLevel="0" collapsed="false">
      <c r="A4963" s="0" t="s">
        <v>1015</v>
      </c>
      <c r="B4963" s="0" t="s">
        <v>45</v>
      </c>
      <c r="C4963" s="0" t="s">
        <v>46</v>
      </c>
      <c r="D4963" s="0" t="n">
        <v>-13</v>
      </c>
      <c r="E4963" s="5" t="n">
        <v>46009.4745486111</v>
      </c>
      <c r="F4963" s="0" t="n">
        <v>2.1</v>
      </c>
      <c r="G4963" s="0" t="n">
        <v>17256</v>
      </c>
      <c r="H4963" s="6" t="s">
        <v>113</v>
      </c>
      <c r="I4963" s="6" t="n">
        <f aca="false">D4963*F4963</f>
        <v>-27.3</v>
      </c>
      <c r="J4963" s="6" t="n">
        <f aca="false">HOUR(E4963)</f>
        <v>11</v>
      </c>
      <c r="K4963" s="6" t="n">
        <f aca="false">IF(COUNTIF($A$2:$A4963,A4963)=1,1,0)</f>
        <v>0</v>
      </c>
    </row>
    <row r="4964" customFormat="false" ht="15" hidden="false" customHeight="false" outlineLevel="0" collapsed="false">
      <c r="A4964" s="0" t="s">
        <v>1016</v>
      </c>
      <c r="B4964" s="0" t="s">
        <v>77</v>
      </c>
      <c r="C4964" s="0" t="s">
        <v>78</v>
      </c>
      <c r="D4964" s="0" t="n">
        <v>1</v>
      </c>
      <c r="E4964" s="5" t="n">
        <v>46009.4753240741</v>
      </c>
      <c r="F4964" s="0" t="n">
        <v>1.65</v>
      </c>
      <c r="G4964" s="0" t="n">
        <v>17128</v>
      </c>
      <c r="H4964" s="6" t="s">
        <v>74</v>
      </c>
      <c r="I4964" s="6" t="n">
        <f aca="false">D4964*F4964</f>
        <v>1.65</v>
      </c>
      <c r="J4964" s="6" t="n">
        <f aca="false">HOUR(E4964)</f>
        <v>11</v>
      </c>
      <c r="K4964" s="6" t="n">
        <f aca="false">IF(COUNTIF($A$2:$A4964,A4964)=1,1,0)</f>
        <v>1</v>
      </c>
    </row>
    <row r="4965" customFormat="false" ht="15" hidden="false" customHeight="false" outlineLevel="0" collapsed="false">
      <c r="A4965" s="0" t="s">
        <v>1016</v>
      </c>
      <c r="B4965" s="0" t="s">
        <v>50</v>
      </c>
      <c r="C4965" s="0" t="s">
        <v>51</v>
      </c>
      <c r="D4965" s="0" t="n">
        <v>10</v>
      </c>
      <c r="E4965" s="5" t="n">
        <v>46009.4753240741</v>
      </c>
      <c r="F4965" s="0" t="n">
        <v>5.95</v>
      </c>
      <c r="G4965" s="0" t="n">
        <v>17128</v>
      </c>
      <c r="H4965" s="6" t="s">
        <v>74</v>
      </c>
      <c r="I4965" s="6" t="n">
        <f aca="false">D4965*F4965</f>
        <v>59.5</v>
      </c>
      <c r="J4965" s="6" t="n">
        <f aca="false">HOUR(E4965)</f>
        <v>11</v>
      </c>
      <c r="K4965" s="6" t="n">
        <f aca="false">IF(COUNTIF($A$2:$A4965,A4965)=1,1,0)</f>
        <v>0</v>
      </c>
    </row>
    <row r="4966" customFormat="false" ht="15" hidden="false" customHeight="false" outlineLevel="0" collapsed="false">
      <c r="A4966" s="0" t="s">
        <v>1016</v>
      </c>
      <c r="B4966" s="0" t="s">
        <v>83</v>
      </c>
      <c r="C4966" s="0" t="s">
        <v>84</v>
      </c>
      <c r="D4966" s="0" t="n">
        <v>6</v>
      </c>
      <c r="E4966" s="5" t="n">
        <v>46009.4753240741</v>
      </c>
      <c r="F4966" s="0" t="n">
        <v>2.95</v>
      </c>
      <c r="G4966" s="0" t="n">
        <v>17128</v>
      </c>
      <c r="H4966" s="6" t="s">
        <v>74</v>
      </c>
      <c r="I4966" s="6" t="n">
        <f aca="false">D4966*F4966</f>
        <v>17.7</v>
      </c>
      <c r="J4966" s="6" t="n">
        <f aca="false">HOUR(E4966)</f>
        <v>11</v>
      </c>
      <c r="K4966" s="6" t="n">
        <f aca="false">IF(COUNTIF($A$2:$A4966,A4966)=1,1,0)</f>
        <v>0</v>
      </c>
    </row>
    <row r="4967" customFormat="false" ht="15" hidden="false" customHeight="false" outlineLevel="0" collapsed="false">
      <c r="A4967" s="0" t="s">
        <v>1016</v>
      </c>
      <c r="B4967" s="0" t="s">
        <v>72</v>
      </c>
      <c r="C4967" s="0" t="s">
        <v>73</v>
      </c>
      <c r="D4967" s="0" t="n">
        <v>15</v>
      </c>
      <c r="E4967" s="5" t="n">
        <v>46009.4753240741</v>
      </c>
      <c r="F4967" s="0" t="n">
        <v>4.95</v>
      </c>
      <c r="G4967" s="0" t="n">
        <v>17128</v>
      </c>
      <c r="H4967" s="6" t="s">
        <v>74</v>
      </c>
      <c r="I4967" s="6" t="n">
        <f aca="false">D4967*F4967</f>
        <v>74.25</v>
      </c>
      <c r="J4967" s="6" t="n">
        <f aca="false">HOUR(E4967)</f>
        <v>11</v>
      </c>
      <c r="K4967" s="6" t="n">
        <f aca="false">IF(COUNTIF($A$2:$A4967,A4967)=1,1,0)</f>
        <v>0</v>
      </c>
    </row>
    <row r="4968" customFormat="false" ht="15" hidden="false" customHeight="false" outlineLevel="0" collapsed="false">
      <c r="A4968" s="0" t="s">
        <v>1016</v>
      </c>
      <c r="B4968" s="0" t="s">
        <v>93</v>
      </c>
      <c r="C4968" s="0" t="s">
        <v>94</v>
      </c>
      <c r="D4968" s="0" t="n">
        <v>13</v>
      </c>
      <c r="E4968" s="5" t="n">
        <v>46009.4753240741</v>
      </c>
      <c r="F4968" s="0" t="n">
        <v>1.69</v>
      </c>
      <c r="G4968" s="0" t="n">
        <v>17128</v>
      </c>
      <c r="H4968" s="6" t="s">
        <v>74</v>
      </c>
      <c r="I4968" s="6" t="n">
        <f aca="false">D4968*F4968</f>
        <v>21.97</v>
      </c>
      <c r="J4968" s="6" t="n">
        <f aca="false">HOUR(E4968)</f>
        <v>11</v>
      </c>
      <c r="K4968" s="6" t="n">
        <f aca="false">IF(COUNTIF($A$2:$A4968,A4968)=1,1,0)</f>
        <v>0</v>
      </c>
    </row>
    <row r="4969" customFormat="false" ht="15" hidden="false" customHeight="false" outlineLevel="0" collapsed="false">
      <c r="A4969" s="0" t="s">
        <v>1016</v>
      </c>
      <c r="B4969" s="0" t="s">
        <v>116</v>
      </c>
      <c r="C4969" s="0" t="s">
        <v>117</v>
      </c>
      <c r="D4969" s="0" t="n">
        <v>6</v>
      </c>
      <c r="E4969" s="5" t="n">
        <v>46009.4753240741</v>
      </c>
      <c r="F4969" s="0" t="n">
        <v>1.95</v>
      </c>
      <c r="G4969" s="0" t="n">
        <v>17128</v>
      </c>
      <c r="H4969" s="6" t="s">
        <v>74</v>
      </c>
      <c r="I4969" s="6" t="n">
        <f aca="false">D4969*F4969</f>
        <v>11.7</v>
      </c>
      <c r="J4969" s="6" t="n">
        <f aca="false">HOUR(E4969)</f>
        <v>11</v>
      </c>
      <c r="K4969" s="6" t="n">
        <f aca="false">IF(COUNTIF($A$2:$A4969,A4969)=1,1,0)</f>
        <v>0</v>
      </c>
    </row>
    <row r="4970" customFormat="false" ht="15" hidden="false" customHeight="false" outlineLevel="0" collapsed="false">
      <c r="A4970" s="0" t="s">
        <v>1017</v>
      </c>
      <c r="B4970" s="0" t="s">
        <v>50</v>
      </c>
      <c r="C4970" s="0" t="s">
        <v>51</v>
      </c>
      <c r="D4970" s="0" t="n">
        <v>9</v>
      </c>
      <c r="E4970" s="5" t="n">
        <v>46009.5742476852</v>
      </c>
      <c r="F4970" s="0" t="n">
        <v>5.95</v>
      </c>
      <c r="G4970" s="0" t="n">
        <v>17020</v>
      </c>
      <c r="H4970" s="6" t="s">
        <v>74</v>
      </c>
      <c r="I4970" s="6" t="n">
        <f aca="false">D4970*F4970</f>
        <v>53.55</v>
      </c>
      <c r="J4970" s="6" t="n">
        <f aca="false">HOUR(E4970)</f>
        <v>13</v>
      </c>
      <c r="K4970" s="6" t="n">
        <f aca="false">IF(COUNTIF($A$2:$A4970,A4970)=1,1,0)</f>
        <v>1</v>
      </c>
    </row>
    <row r="4971" customFormat="false" ht="15" hidden="false" customHeight="false" outlineLevel="0" collapsed="false">
      <c r="A4971" s="0" t="s">
        <v>1017</v>
      </c>
      <c r="B4971" s="0" t="s">
        <v>109</v>
      </c>
      <c r="C4971" s="0" t="s">
        <v>110</v>
      </c>
      <c r="D4971" s="0" t="n">
        <v>20</v>
      </c>
      <c r="E4971" s="5" t="n">
        <v>46009.5742476852</v>
      </c>
      <c r="F4971" s="0" t="n">
        <v>0.85</v>
      </c>
      <c r="G4971" s="0" t="n">
        <v>17020</v>
      </c>
      <c r="H4971" s="6" t="s">
        <v>74</v>
      </c>
      <c r="I4971" s="6" t="n">
        <f aca="false">D4971*F4971</f>
        <v>17</v>
      </c>
      <c r="J4971" s="6" t="n">
        <f aca="false">HOUR(E4971)</f>
        <v>13</v>
      </c>
      <c r="K4971" s="6" t="n">
        <f aca="false">IF(COUNTIF($A$2:$A4971,A4971)=1,1,0)</f>
        <v>0</v>
      </c>
    </row>
    <row r="4972" customFormat="false" ht="15" hidden="false" customHeight="false" outlineLevel="0" collapsed="false">
      <c r="A4972" s="0" t="s">
        <v>1018</v>
      </c>
      <c r="B4972" s="0" t="s">
        <v>116</v>
      </c>
      <c r="C4972" s="0" t="s">
        <v>117</v>
      </c>
      <c r="D4972" s="0" t="n">
        <v>10</v>
      </c>
      <c r="E4972" s="5" t="n">
        <v>46009.6011226852</v>
      </c>
      <c r="F4972" s="0" t="n">
        <v>1.95</v>
      </c>
      <c r="G4972" s="0" t="n">
        <v>17088</v>
      </c>
      <c r="H4972" s="6" t="s">
        <v>74</v>
      </c>
      <c r="I4972" s="6" t="n">
        <f aca="false">D4972*F4972</f>
        <v>19.5</v>
      </c>
      <c r="J4972" s="6" t="n">
        <f aca="false">HOUR(E4972)</f>
        <v>14</v>
      </c>
      <c r="K4972" s="6" t="n">
        <f aca="false">IF(COUNTIF($A$2:$A4972,A4972)=1,1,0)</f>
        <v>1</v>
      </c>
    </row>
    <row r="4973" customFormat="false" ht="15" hidden="false" customHeight="false" outlineLevel="0" collapsed="false">
      <c r="A4973" s="0" t="s">
        <v>1018</v>
      </c>
      <c r="B4973" s="0" t="s">
        <v>102</v>
      </c>
      <c r="C4973" s="0" t="s">
        <v>103</v>
      </c>
      <c r="D4973" s="0" t="n">
        <v>15</v>
      </c>
      <c r="E4973" s="5" t="n">
        <v>46009.6011226852</v>
      </c>
      <c r="F4973" s="0" t="n">
        <v>8.5</v>
      </c>
      <c r="G4973" s="0" t="n">
        <v>17088</v>
      </c>
      <c r="H4973" s="6" t="s">
        <v>74</v>
      </c>
      <c r="I4973" s="6" t="n">
        <f aca="false">D4973*F4973</f>
        <v>127.5</v>
      </c>
      <c r="J4973" s="6" t="n">
        <f aca="false">HOUR(E4973)</f>
        <v>14</v>
      </c>
      <c r="K4973" s="6" t="n">
        <f aca="false">IF(COUNTIF($A$2:$A4973,A4973)=1,1,0)</f>
        <v>0</v>
      </c>
    </row>
    <row r="4974" customFormat="false" ht="15" hidden="false" customHeight="false" outlineLevel="0" collapsed="false">
      <c r="A4974" s="0" t="s">
        <v>1018</v>
      </c>
      <c r="B4974" s="0" t="s">
        <v>91</v>
      </c>
      <c r="C4974" s="0" t="s">
        <v>92</v>
      </c>
      <c r="D4974" s="0" t="n">
        <v>14</v>
      </c>
      <c r="E4974" s="5" t="n">
        <v>46009.6011226852</v>
      </c>
      <c r="F4974" s="0" t="n">
        <v>7.65</v>
      </c>
      <c r="G4974" s="0" t="n">
        <v>17088</v>
      </c>
      <c r="H4974" s="6" t="s">
        <v>74</v>
      </c>
      <c r="I4974" s="6" t="n">
        <f aca="false">D4974*F4974</f>
        <v>107.1</v>
      </c>
      <c r="J4974" s="6" t="n">
        <f aca="false">HOUR(E4974)</f>
        <v>14</v>
      </c>
      <c r="K4974" s="6" t="n">
        <f aca="false">IF(COUNTIF($A$2:$A4974,A4974)=1,1,0)</f>
        <v>0</v>
      </c>
    </row>
    <row r="4975" customFormat="false" ht="15" hidden="false" customHeight="false" outlineLevel="0" collapsed="false">
      <c r="A4975" s="0" t="s">
        <v>1018</v>
      </c>
      <c r="B4975" s="0" t="s">
        <v>140</v>
      </c>
      <c r="C4975" s="0" t="s">
        <v>141</v>
      </c>
      <c r="D4975" s="0" t="n">
        <v>6</v>
      </c>
      <c r="E4975" s="5" t="n">
        <v>46009.6011226852</v>
      </c>
      <c r="F4975" s="0" t="n">
        <v>2.08</v>
      </c>
      <c r="G4975" s="0" t="n">
        <v>17088</v>
      </c>
      <c r="H4975" s="6" t="s">
        <v>74</v>
      </c>
      <c r="I4975" s="6" t="n">
        <f aca="false">D4975*F4975</f>
        <v>12.48</v>
      </c>
      <c r="J4975" s="6" t="n">
        <f aca="false">HOUR(E4975)</f>
        <v>14</v>
      </c>
      <c r="K4975" s="6" t="n">
        <f aca="false">IF(COUNTIF($A$2:$A4975,A4975)=1,1,0)</f>
        <v>0</v>
      </c>
    </row>
    <row r="4976" customFormat="false" ht="15" hidden="false" customHeight="false" outlineLevel="0" collapsed="false">
      <c r="A4976" s="0" t="s">
        <v>1018</v>
      </c>
      <c r="B4976" s="0" t="s">
        <v>145</v>
      </c>
      <c r="C4976" s="0" t="s">
        <v>146</v>
      </c>
      <c r="D4976" s="0" t="n">
        <v>19</v>
      </c>
      <c r="E4976" s="5" t="n">
        <v>46009.6011226852</v>
      </c>
      <c r="F4976" s="0" t="n">
        <v>1.85</v>
      </c>
      <c r="G4976" s="0" t="n">
        <v>17088</v>
      </c>
      <c r="H4976" s="6" t="s">
        <v>74</v>
      </c>
      <c r="I4976" s="6" t="n">
        <f aca="false">D4976*F4976</f>
        <v>35.15</v>
      </c>
      <c r="J4976" s="6" t="n">
        <f aca="false">HOUR(E4976)</f>
        <v>14</v>
      </c>
      <c r="K4976" s="6" t="n">
        <f aca="false">IF(COUNTIF($A$2:$A4976,A4976)=1,1,0)</f>
        <v>0</v>
      </c>
    </row>
    <row r="4977" customFormat="false" ht="15" hidden="false" customHeight="false" outlineLevel="0" collapsed="false">
      <c r="A4977" s="0" t="s">
        <v>1019</v>
      </c>
      <c r="B4977" s="0" t="s">
        <v>121</v>
      </c>
      <c r="C4977" s="0" t="s">
        <v>122</v>
      </c>
      <c r="D4977" s="0" t="n">
        <v>13</v>
      </c>
      <c r="E4977" s="5" t="n">
        <v>46009.7191203704</v>
      </c>
      <c r="F4977" s="0" t="n">
        <v>2.1</v>
      </c>
      <c r="G4977" s="0" t="n">
        <v>17007</v>
      </c>
      <c r="H4977" s="6" t="s">
        <v>74</v>
      </c>
      <c r="I4977" s="6" t="n">
        <f aca="false">D4977*F4977</f>
        <v>27.3</v>
      </c>
      <c r="J4977" s="6" t="n">
        <f aca="false">HOUR(E4977)</f>
        <v>17</v>
      </c>
      <c r="K4977" s="6" t="n">
        <f aca="false">IF(COUNTIF($A$2:$A4977,A4977)=1,1,0)</f>
        <v>1</v>
      </c>
    </row>
    <row r="4978" customFormat="false" ht="15" hidden="false" customHeight="false" outlineLevel="0" collapsed="false">
      <c r="A4978" s="0" t="s">
        <v>1019</v>
      </c>
      <c r="B4978" s="0" t="s">
        <v>77</v>
      </c>
      <c r="C4978" s="0" t="s">
        <v>78</v>
      </c>
      <c r="D4978" s="0" t="n">
        <v>17</v>
      </c>
      <c r="E4978" s="5" t="n">
        <v>46009.7191203704</v>
      </c>
      <c r="F4978" s="0" t="n">
        <v>1.65</v>
      </c>
      <c r="G4978" s="0" t="n">
        <v>17007</v>
      </c>
      <c r="H4978" s="6" t="s">
        <v>74</v>
      </c>
      <c r="I4978" s="6" t="n">
        <f aca="false">D4978*F4978</f>
        <v>28.05</v>
      </c>
      <c r="J4978" s="6" t="n">
        <f aca="false">HOUR(E4978)</f>
        <v>17</v>
      </c>
      <c r="K4978" s="6" t="n">
        <f aca="false">IF(COUNTIF($A$2:$A4978,A4978)=1,1,0)</f>
        <v>0</v>
      </c>
    </row>
    <row r="4979" customFormat="false" ht="15" hidden="false" customHeight="false" outlineLevel="0" collapsed="false">
      <c r="A4979" s="0" t="s">
        <v>1019</v>
      </c>
      <c r="B4979" s="0" t="s">
        <v>116</v>
      </c>
      <c r="C4979" s="0" t="s">
        <v>117</v>
      </c>
      <c r="D4979" s="0" t="n">
        <v>16</v>
      </c>
      <c r="E4979" s="5" t="n">
        <v>46009.7191203704</v>
      </c>
      <c r="F4979" s="0" t="n">
        <v>1.95</v>
      </c>
      <c r="G4979" s="0" t="n">
        <v>17007</v>
      </c>
      <c r="H4979" s="6" t="s">
        <v>74</v>
      </c>
      <c r="I4979" s="6" t="n">
        <f aca="false">D4979*F4979</f>
        <v>31.2</v>
      </c>
      <c r="J4979" s="6" t="n">
        <f aca="false">HOUR(E4979)</f>
        <v>17</v>
      </c>
      <c r="K4979" s="6" t="n">
        <f aca="false">IF(COUNTIF($A$2:$A4979,A4979)=1,1,0)</f>
        <v>0</v>
      </c>
    </row>
    <row r="4980" customFormat="false" ht="15" hidden="false" customHeight="false" outlineLevel="0" collapsed="false">
      <c r="A4980" s="0" t="s">
        <v>1019</v>
      </c>
      <c r="B4980" s="0" t="s">
        <v>83</v>
      </c>
      <c r="C4980" s="0" t="s">
        <v>84</v>
      </c>
      <c r="D4980" s="0" t="n">
        <v>23</v>
      </c>
      <c r="E4980" s="5" t="n">
        <v>46009.7191203704</v>
      </c>
      <c r="F4980" s="0" t="n">
        <v>2.95</v>
      </c>
      <c r="G4980" s="0" t="n">
        <v>17007</v>
      </c>
      <c r="H4980" s="6" t="s">
        <v>74</v>
      </c>
      <c r="I4980" s="6" t="n">
        <f aca="false">D4980*F4980</f>
        <v>67.85</v>
      </c>
      <c r="J4980" s="6" t="n">
        <f aca="false">HOUR(E4980)</f>
        <v>17</v>
      </c>
      <c r="K4980" s="6" t="n">
        <f aca="false">IF(COUNTIF($A$2:$A4980,A4980)=1,1,0)</f>
        <v>0</v>
      </c>
    </row>
    <row r="4981" customFormat="false" ht="15" hidden="false" customHeight="false" outlineLevel="0" collapsed="false">
      <c r="A4981" s="0" t="s">
        <v>1019</v>
      </c>
      <c r="B4981" s="0" t="s">
        <v>95</v>
      </c>
      <c r="C4981" s="0" t="s">
        <v>96</v>
      </c>
      <c r="D4981" s="0" t="n">
        <v>26</v>
      </c>
      <c r="E4981" s="5" t="n">
        <v>46009.7191203704</v>
      </c>
      <c r="F4981" s="0" t="n">
        <v>2.55</v>
      </c>
      <c r="G4981" s="0" t="n">
        <v>17007</v>
      </c>
      <c r="H4981" s="6" t="s">
        <v>74</v>
      </c>
      <c r="I4981" s="6" t="n">
        <f aca="false">D4981*F4981</f>
        <v>66.3</v>
      </c>
      <c r="J4981" s="6" t="n">
        <f aca="false">HOUR(E4981)</f>
        <v>17</v>
      </c>
      <c r="K4981" s="6" t="n">
        <f aca="false">IF(COUNTIF($A$2:$A4981,A4981)=1,1,0)</f>
        <v>0</v>
      </c>
    </row>
    <row r="4982" customFormat="false" ht="15" hidden="false" customHeight="false" outlineLevel="0" collapsed="false">
      <c r="A4982" s="0" t="s">
        <v>1019</v>
      </c>
      <c r="B4982" s="0" t="s">
        <v>61</v>
      </c>
      <c r="C4982" s="0" t="s">
        <v>62</v>
      </c>
      <c r="D4982" s="0" t="n">
        <v>6</v>
      </c>
      <c r="E4982" s="5" t="n">
        <v>46009.7191203704</v>
      </c>
      <c r="F4982" s="0" t="n">
        <v>1.65</v>
      </c>
      <c r="G4982" s="0" t="n">
        <v>17007</v>
      </c>
      <c r="H4982" s="6" t="s">
        <v>74</v>
      </c>
      <c r="I4982" s="6" t="n">
        <f aca="false">D4982*F4982</f>
        <v>9.9</v>
      </c>
      <c r="J4982" s="6" t="n">
        <f aca="false">HOUR(E4982)</f>
        <v>17</v>
      </c>
      <c r="K4982" s="6" t="n">
        <f aca="false">IF(COUNTIF($A$2:$A4982,A4982)=1,1,0)</f>
        <v>0</v>
      </c>
    </row>
    <row r="4983" customFormat="false" ht="15" hidden="false" customHeight="false" outlineLevel="0" collapsed="false">
      <c r="A4983" s="0" t="s">
        <v>1019</v>
      </c>
      <c r="B4983" s="0" t="s">
        <v>107</v>
      </c>
      <c r="C4983" s="0" t="s">
        <v>108</v>
      </c>
      <c r="D4983" s="0" t="n">
        <v>22</v>
      </c>
      <c r="E4983" s="5" t="n">
        <v>46009.7191203704</v>
      </c>
      <c r="F4983" s="0" t="n">
        <v>3.75</v>
      </c>
      <c r="G4983" s="0" t="n">
        <v>17007</v>
      </c>
      <c r="H4983" s="6" t="s">
        <v>74</v>
      </c>
      <c r="I4983" s="6" t="n">
        <f aca="false">D4983*F4983</f>
        <v>82.5</v>
      </c>
      <c r="J4983" s="6" t="n">
        <f aca="false">HOUR(E4983)</f>
        <v>17</v>
      </c>
      <c r="K4983" s="6" t="n">
        <f aca="false">IF(COUNTIF($A$2:$A4983,A4983)=1,1,0)</f>
        <v>0</v>
      </c>
    </row>
    <row r="4984" customFormat="false" ht="15" hidden="false" customHeight="false" outlineLevel="0" collapsed="false">
      <c r="A4984" s="0" t="s">
        <v>1019</v>
      </c>
      <c r="B4984" s="0" t="s">
        <v>45</v>
      </c>
      <c r="C4984" s="0" t="s">
        <v>46</v>
      </c>
      <c r="D4984" s="0" t="n">
        <v>19</v>
      </c>
      <c r="E4984" s="5" t="n">
        <v>46009.7191203704</v>
      </c>
      <c r="F4984" s="0" t="n">
        <v>2.1</v>
      </c>
      <c r="G4984" s="0" t="n">
        <v>17007</v>
      </c>
      <c r="H4984" s="6" t="s">
        <v>74</v>
      </c>
      <c r="I4984" s="6" t="n">
        <f aca="false">D4984*F4984</f>
        <v>39.9</v>
      </c>
      <c r="J4984" s="6" t="n">
        <f aca="false">HOUR(E4984)</f>
        <v>17</v>
      </c>
      <c r="K4984" s="6" t="n">
        <f aca="false">IF(COUNTIF($A$2:$A4984,A4984)=1,1,0)</f>
        <v>0</v>
      </c>
    </row>
    <row r="4985" customFormat="false" ht="15" hidden="false" customHeight="false" outlineLevel="0" collapsed="false">
      <c r="A4985" s="0" t="s">
        <v>1019</v>
      </c>
      <c r="B4985" s="0" t="s">
        <v>86</v>
      </c>
      <c r="C4985" s="0" t="s">
        <v>87</v>
      </c>
      <c r="D4985" s="0" t="n">
        <v>4</v>
      </c>
      <c r="E4985" s="5" t="n">
        <v>46009.7191203704</v>
      </c>
      <c r="F4985" s="0" t="n">
        <v>4.25</v>
      </c>
      <c r="G4985" s="0" t="n">
        <v>17007</v>
      </c>
      <c r="H4985" s="6" t="s">
        <v>74</v>
      </c>
      <c r="I4985" s="6" t="n">
        <f aca="false">D4985*F4985</f>
        <v>17</v>
      </c>
      <c r="J4985" s="6" t="n">
        <f aca="false">HOUR(E4985)</f>
        <v>17</v>
      </c>
      <c r="K4985" s="6" t="n">
        <f aca="false">IF(COUNTIF($A$2:$A4985,A4985)=1,1,0)</f>
        <v>0</v>
      </c>
    </row>
    <row r="4986" customFormat="false" ht="15" hidden="false" customHeight="false" outlineLevel="0" collapsed="false">
      <c r="A4986" s="0" t="s">
        <v>1020</v>
      </c>
      <c r="B4986" s="0" t="s">
        <v>125</v>
      </c>
      <c r="C4986" s="0" t="s">
        <v>126</v>
      </c>
      <c r="D4986" s="0" t="n">
        <v>9</v>
      </c>
      <c r="E4986" s="5" t="n">
        <v>46009.7780902778</v>
      </c>
      <c r="F4986" s="0" t="n">
        <v>1.25</v>
      </c>
      <c r="G4986" s="0" t="n">
        <v>17105</v>
      </c>
      <c r="H4986" s="6" t="s">
        <v>74</v>
      </c>
      <c r="I4986" s="6" t="n">
        <f aca="false">D4986*F4986</f>
        <v>11.25</v>
      </c>
      <c r="J4986" s="6" t="n">
        <f aca="false">HOUR(E4986)</f>
        <v>18</v>
      </c>
      <c r="K4986" s="6" t="n">
        <f aca="false">IF(COUNTIF($A$2:$A4986,A4986)=1,1,0)</f>
        <v>1</v>
      </c>
    </row>
    <row r="4987" customFormat="false" ht="15" hidden="false" customHeight="false" outlineLevel="0" collapsed="false">
      <c r="A4987" s="0" t="s">
        <v>1021</v>
      </c>
      <c r="B4987" s="0" t="s">
        <v>65</v>
      </c>
      <c r="C4987" s="0" t="s">
        <v>66</v>
      </c>
      <c r="D4987" s="0" t="n">
        <v>23</v>
      </c>
      <c r="E4987" s="5" t="n">
        <v>46009.793587963</v>
      </c>
      <c r="F4987" s="0" t="n">
        <v>1.65</v>
      </c>
      <c r="G4987" s="0" t="n">
        <v>17003</v>
      </c>
      <c r="H4987" s="6" t="s">
        <v>113</v>
      </c>
      <c r="I4987" s="6" t="n">
        <f aca="false">D4987*F4987</f>
        <v>37.95</v>
      </c>
      <c r="J4987" s="6" t="n">
        <f aca="false">HOUR(E4987)</f>
        <v>19</v>
      </c>
      <c r="K4987" s="6" t="n">
        <f aca="false">IF(COUNTIF($A$2:$A4987,A4987)=1,1,0)</f>
        <v>1</v>
      </c>
    </row>
    <row r="4988" customFormat="false" ht="15" hidden="false" customHeight="false" outlineLevel="0" collapsed="false">
      <c r="A4988" s="0" t="s">
        <v>1021</v>
      </c>
      <c r="B4988" s="0" t="s">
        <v>75</v>
      </c>
      <c r="C4988" s="0" t="s">
        <v>76</v>
      </c>
      <c r="D4988" s="0" t="n">
        <v>19</v>
      </c>
      <c r="E4988" s="5" t="n">
        <v>46009.793587963</v>
      </c>
      <c r="F4988" s="0" t="n">
        <v>3.39</v>
      </c>
      <c r="G4988" s="0" t="n">
        <v>17003</v>
      </c>
      <c r="H4988" s="6" t="s">
        <v>113</v>
      </c>
      <c r="I4988" s="6" t="n">
        <f aca="false">D4988*F4988</f>
        <v>64.41</v>
      </c>
      <c r="J4988" s="6" t="n">
        <f aca="false">HOUR(E4988)</f>
        <v>19</v>
      </c>
      <c r="K4988" s="6" t="n">
        <f aca="false">IF(COUNTIF($A$2:$A4988,A4988)=1,1,0)</f>
        <v>0</v>
      </c>
    </row>
    <row r="4989" customFormat="false" ht="15" hidden="false" customHeight="false" outlineLevel="0" collapsed="false">
      <c r="A4989" s="0" t="s">
        <v>1021</v>
      </c>
      <c r="B4989" s="0" t="s">
        <v>79</v>
      </c>
      <c r="C4989" s="0" t="s">
        <v>80</v>
      </c>
      <c r="D4989" s="0" t="n">
        <v>9</v>
      </c>
      <c r="E4989" s="5" t="n">
        <v>46009.793587963</v>
      </c>
      <c r="F4989" s="0" t="n">
        <v>3.39</v>
      </c>
      <c r="G4989" s="0" t="n">
        <v>17003</v>
      </c>
      <c r="H4989" s="6" t="s">
        <v>113</v>
      </c>
      <c r="I4989" s="6" t="n">
        <f aca="false">D4989*F4989</f>
        <v>30.51</v>
      </c>
      <c r="J4989" s="6" t="n">
        <f aca="false">HOUR(E4989)</f>
        <v>19</v>
      </c>
      <c r="K4989" s="6" t="n">
        <f aca="false">IF(COUNTIF($A$2:$A4989,A4989)=1,1,0)</f>
        <v>0</v>
      </c>
    </row>
    <row r="4990" customFormat="false" ht="15" hidden="false" customHeight="false" outlineLevel="0" collapsed="false">
      <c r="A4990" s="0" t="s">
        <v>1021</v>
      </c>
      <c r="B4990" s="0" t="s">
        <v>131</v>
      </c>
      <c r="C4990" s="0" t="s">
        <v>132</v>
      </c>
      <c r="D4990" s="0" t="n">
        <v>8</v>
      </c>
      <c r="E4990" s="5" t="n">
        <v>46009.793587963</v>
      </c>
      <c r="F4990" s="0" t="n">
        <v>3.39</v>
      </c>
      <c r="G4990" s="0" t="n">
        <v>17003</v>
      </c>
      <c r="H4990" s="6" t="s">
        <v>113</v>
      </c>
      <c r="I4990" s="6" t="n">
        <f aca="false">D4990*F4990</f>
        <v>27.12</v>
      </c>
      <c r="J4990" s="6" t="n">
        <f aca="false">HOUR(E4990)</f>
        <v>19</v>
      </c>
      <c r="K4990" s="6" t="n">
        <f aca="false">IF(COUNTIF($A$2:$A4990,A4990)=1,1,0)</f>
        <v>0</v>
      </c>
    </row>
    <row r="4991" customFormat="false" ht="15" hidden="false" customHeight="false" outlineLevel="0" collapsed="false">
      <c r="A4991" s="0" t="s">
        <v>1021</v>
      </c>
      <c r="B4991" s="0" t="s">
        <v>109</v>
      </c>
      <c r="C4991" s="0" t="s">
        <v>110</v>
      </c>
      <c r="D4991" s="0" t="n">
        <v>21</v>
      </c>
      <c r="E4991" s="5" t="n">
        <v>46009.793587963</v>
      </c>
      <c r="F4991" s="0" t="n">
        <v>0.85</v>
      </c>
      <c r="G4991" s="0" t="n">
        <v>17003</v>
      </c>
      <c r="H4991" s="6" t="s">
        <v>113</v>
      </c>
      <c r="I4991" s="6" t="n">
        <f aca="false">D4991*F4991</f>
        <v>17.85</v>
      </c>
      <c r="J4991" s="6" t="n">
        <f aca="false">HOUR(E4991)</f>
        <v>19</v>
      </c>
      <c r="K4991" s="6" t="n">
        <f aca="false">IF(COUNTIF($A$2:$A4991,A4991)=1,1,0)</f>
        <v>0</v>
      </c>
    </row>
    <row r="4992" customFormat="false" ht="15" hidden="false" customHeight="false" outlineLevel="0" collapsed="false">
      <c r="A4992" s="0" t="s">
        <v>1022</v>
      </c>
      <c r="B4992" s="0" t="s">
        <v>69</v>
      </c>
      <c r="C4992" s="0" t="s">
        <v>70</v>
      </c>
      <c r="D4992" s="0" t="n">
        <v>21</v>
      </c>
      <c r="E4992" s="5" t="n">
        <v>46009.8252777778</v>
      </c>
      <c r="F4992" s="0" t="n">
        <v>2.08</v>
      </c>
      <c r="G4992" s="0" t="n">
        <v>17251</v>
      </c>
      <c r="H4992" s="6" t="s">
        <v>208</v>
      </c>
      <c r="I4992" s="6" t="n">
        <f aca="false">D4992*F4992</f>
        <v>43.68</v>
      </c>
      <c r="J4992" s="6" t="n">
        <f aca="false">HOUR(E4992)</f>
        <v>19</v>
      </c>
      <c r="K4992" s="6" t="n">
        <f aca="false">IF(COUNTIF($A$2:$A4992,A4992)=1,1,0)</f>
        <v>1</v>
      </c>
    </row>
    <row r="4993" customFormat="false" ht="15" hidden="false" customHeight="false" outlineLevel="0" collapsed="false">
      <c r="A4993" s="0" t="s">
        <v>1022</v>
      </c>
      <c r="B4993" s="0" t="s">
        <v>40</v>
      </c>
      <c r="C4993" s="0" t="s">
        <v>41</v>
      </c>
      <c r="D4993" s="0" t="n">
        <v>11</v>
      </c>
      <c r="E4993" s="5" t="n">
        <v>46009.8252777778</v>
      </c>
      <c r="F4993" s="0" t="n">
        <v>1.06</v>
      </c>
      <c r="G4993" s="0" t="n">
        <v>17251</v>
      </c>
      <c r="H4993" s="6" t="s">
        <v>208</v>
      </c>
      <c r="I4993" s="6" t="n">
        <f aca="false">D4993*F4993</f>
        <v>11.66</v>
      </c>
      <c r="J4993" s="6" t="n">
        <f aca="false">HOUR(E4993)</f>
        <v>19</v>
      </c>
      <c r="K4993" s="6" t="n">
        <f aca="false">IF(COUNTIF($A$2:$A4993,A4993)=1,1,0)</f>
        <v>0</v>
      </c>
    </row>
    <row r="4994" customFormat="false" ht="15" hidden="false" customHeight="false" outlineLevel="0" collapsed="false">
      <c r="A4994" s="0" t="s">
        <v>1022</v>
      </c>
      <c r="B4994" s="0" t="s">
        <v>109</v>
      </c>
      <c r="C4994" s="0" t="s">
        <v>110</v>
      </c>
      <c r="D4994" s="0" t="n">
        <v>13</v>
      </c>
      <c r="E4994" s="5" t="n">
        <v>46009.8252777778</v>
      </c>
      <c r="F4994" s="0" t="n">
        <v>0.85</v>
      </c>
      <c r="G4994" s="0" t="n">
        <v>17251</v>
      </c>
      <c r="H4994" s="6" t="s">
        <v>208</v>
      </c>
      <c r="I4994" s="6" t="n">
        <f aca="false">D4994*F4994</f>
        <v>11.05</v>
      </c>
      <c r="J4994" s="6" t="n">
        <f aca="false">HOUR(E4994)</f>
        <v>19</v>
      </c>
      <c r="K4994" s="6" t="n">
        <f aca="false">IF(COUNTIF($A$2:$A4994,A4994)=1,1,0)</f>
        <v>0</v>
      </c>
    </row>
    <row r="4995" customFormat="false" ht="15" hidden="false" customHeight="false" outlineLevel="0" collapsed="false">
      <c r="A4995" s="0" t="s">
        <v>1022</v>
      </c>
      <c r="B4995" s="0" t="s">
        <v>140</v>
      </c>
      <c r="C4995" s="0" t="s">
        <v>141</v>
      </c>
      <c r="D4995" s="0" t="n">
        <v>20</v>
      </c>
      <c r="E4995" s="5" t="n">
        <v>46009.8252777778</v>
      </c>
      <c r="F4995" s="0" t="n">
        <v>2.08</v>
      </c>
      <c r="G4995" s="0" t="n">
        <v>17251</v>
      </c>
      <c r="H4995" s="6" t="s">
        <v>208</v>
      </c>
      <c r="I4995" s="6" t="n">
        <f aca="false">D4995*F4995</f>
        <v>41.6</v>
      </c>
      <c r="J4995" s="6" t="n">
        <f aca="false">HOUR(E4995)</f>
        <v>19</v>
      </c>
      <c r="K4995" s="6" t="n">
        <f aca="false">IF(COUNTIF($A$2:$A4995,A4995)=1,1,0)</f>
        <v>0</v>
      </c>
    </row>
    <row r="4996" customFormat="false" ht="15" hidden="false" customHeight="false" outlineLevel="0" collapsed="false">
      <c r="A4996" s="0" t="s">
        <v>1022</v>
      </c>
      <c r="B4996" s="0" t="s">
        <v>99</v>
      </c>
      <c r="C4996" s="0" t="s">
        <v>100</v>
      </c>
      <c r="D4996" s="0" t="n">
        <v>5</v>
      </c>
      <c r="E4996" s="5" t="n">
        <v>46009.8252777778</v>
      </c>
      <c r="F4996" s="0" t="n">
        <v>2.08</v>
      </c>
      <c r="G4996" s="0" t="n">
        <v>17251</v>
      </c>
      <c r="H4996" s="6" t="s">
        <v>208</v>
      </c>
      <c r="I4996" s="6" t="n">
        <f aca="false">D4996*F4996</f>
        <v>10.4</v>
      </c>
      <c r="J4996" s="6" t="n">
        <f aca="false">HOUR(E4996)</f>
        <v>19</v>
      </c>
      <c r="K4996" s="6" t="n">
        <f aca="false">IF(COUNTIF($A$2:$A4996,A4996)=1,1,0)</f>
        <v>0</v>
      </c>
    </row>
    <row r="4997" customFormat="false" ht="15" hidden="false" customHeight="false" outlineLevel="0" collapsed="false">
      <c r="A4997" s="0" t="s">
        <v>1022</v>
      </c>
      <c r="B4997" s="0" t="s">
        <v>79</v>
      </c>
      <c r="C4997" s="0" t="s">
        <v>80</v>
      </c>
      <c r="D4997" s="0" t="n">
        <v>22</v>
      </c>
      <c r="E4997" s="5" t="n">
        <v>46009.8252777778</v>
      </c>
      <c r="F4997" s="0" t="n">
        <v>3.39</v>
      </c>
      <c r="G4997" s="0" t="n">
        <v>17251</v>
      </c>
      <c r="H4997" s="6" t="s">
        <v>208</v>
      </c>
      <c r="I4997" s="6" t="n">
        <f aca="false">D4997*F4997</f>
        <v>74.58</v>
      </c>
      <c r="J4997" s="6" t="n">
        <f aca="false">HOUR(E4997)</f>
        <v>19</v>
      </c>
      <c r="K4997" s="6" t="n">
        <f aca="false">IF(COUNTIF($A$2:$A4997,A4997)=1,1,0)</f>
        <v>0</v>
      </c>
    </row>
    <row r="4998" customFormat="false" ht="15" hidden="false" customHeight="false" outlineLevel="0" collapsed="false">
      <c r="A4998" s="0" t="s">
        <v>1022</v>
      </c>
      <c r="B4998" s="0" t="s">
        <v>53</v>
      </c>
      <c r="C4998" s="0" t="s">
        <v>54</v>
      </c>
      <c r="D4998" s="0" t="n">
        <v>20</v>
      </c>
      <c r="E4998" s="5" t="n">
        <v>46009.8252777778</v>
      </c>
      <c r="F4998" s="0" t="n">
        <v>2.95</v>
      </c>
      <c r="G4998" s="0" t="n">
        <v>17251</v>
      </c>
      <c r="H4998" s="6" t="s">
        <v>208</v>
      </c>
      <c r="I4998" s="6" t="n">
        <f aca="false">D4998*F4998</f>
        <v>59</v>
      </c>
      <c r="J4998" s="6" t="n">
        <f aca="false">HOUR(E4998)</f>
        <v>19</v>
      </c>
      <c r="K4998" s="6" t="n">
        <f aca="false">IF(COUNTIF($A$2:$A4998,A4998)=1,1,0)</f>
        <v>0</v>
      </c>
    </row>
    <row r="4999" customFormat="false" ht="15" hidden="false" customHeight="false" outlineLevel="0" collapsed="false">
      <c r="A4999" s="0" t="s">
        <v>1023</v>
      </c>
      <c r="B4999" s="0" t="s">
        <v>65</v>
      </c>
      <c r="C4999" s="0" t="s">
        <v>66</v>
      </c>
      <c r="D4999" s="0" t="n">
        <v>24</v>
      </c>
      <c r="E4999" s="5" t="n">
        <v>46010.3130208333</v>
      </c>
      <c r="F4999" s="0" t="n">
        <v>1.65</v>
      </c>
      <c r="G4999" s="0" t="n">
        <v>17073</v>
      </c>
      <c r="H4999" s="6" t="s">
        <v>74</v>
      </c>
      <c r="I4999" s="6" t="n">
        <f aca="false">D4999*F4999</f>
        <v>39.6</v>
      </c>
      <c r="J4999" s="6" t="n">
        <f aca="false">HOUR(E4999)</f>
        <v>7</v>
      </c>
      <c r="K4999" s="6" t="n">
        <f aca="false">IF(COUNTIF($A$2:$A4999,A4999)=1,1,0)</f>
        <v>1</v>
      </c>
    </row>
    <row r="5000" customFormat="false" ht="15" hidden="false" customHeight="false" outlineLevel="0" collapsed="false">
      <c r="A5000" s="0" t="s">
        <v>1023</v>
      </c>
      <c r="B5000" s="0" t="s">
        <v>50</v>
      </c>
      <c r="C5000" s="0" t="s">
        <v>51</v>
      </c>
      <c r="D5000" s="0" t="n">
        <v>13</v>
      </c>
      <c r="E5000" s="5" t="n">
        <v>46010.3130208333</v>
      </c>
      <c r="F5000" s="0" t="n">
        <v>5.95</v>
      </c>
      <c r="G5000" s="0" t="n">
        <v>17073</v>
      </c>
      <c r="H5000" s="6" t="s">
        <v>74</v>
      </c>
      <c r="I5000" s="6" t="n">
        <f aca="false">D5000*F5000</f>
        <v>77.35</v>
      </c>
      <c r="J5000" s="6" t="n">
        <f aca="false">HOUR(E5000)</f>
        <v>7</v>
      </c>
      <c r="K5000" s="6" t="n">
        <f aca="false">IF(COUNTIF($A$2:$A5000,A5000)=1,1,0)</f>
        <v>0</v>
      </c>
    </row>
    <row r="5001" customFormat="false" ht="15" hidden="false" customHeight="false" outlineLevel="0" collapsed="false">
      <c r="A5001" s="0" t="s">
        <v>1023</v>
      </c>
      <c r="B5001" s="0" t="s">
        <v>77</v>
      </c>
      <c r="C5001" s="0" t="s">
        <v>78</v>
      </c>
      <c r="D5001" s="0" t="n">
        <v>16</v>
      </c>
      <c r="E5001" s="5" t="n">
        <v>46010.3130208333</v>
      </c>
      <c r="F5001" s="0" t="n">
        <v>1.65</v>
      </c>
      <c r="G5001" s="0" t="n">
        <v>17073</v>
      </c>
      <c r="H5001" s="6" t="s">
        <v>74</v>
      </c>
      <c r="I5001" s="6" t="n">
        <f aca="false">D5001*F5001</f>
        <v>26.4</v>
      </c>
      <c r="J5001" s="6" t="n">
        <f aca="false">HOUR(E5001)</f>
        <v>7</v>
      </c>
      <c r="K5001" s="6" t="n">
        <f aca="false">IF(COUNTIF($A$2:$A5001,A5001)=1,1,0)</f>
        <v>0</v>
      </c>
    </row>
    <row r="5002" customFormat="false" ht="15" hidden="false" customHeight="false" outlineLevel="0" collapsed="false">
      <c r="A5002" s="0" t="s">
        <v>1024</v>
      </c>
      <c r="B5002" s="0" t="s">
        <v>69</v>
      </c>
      <c r="C5002" s="0" t="s">
        <v>70</v>
      </c>
      <c r="D5002" s="0" t="n">
        <v>12</v>
      </c>
      <c r="E5002" s="5" t="n">
        <v>46010.5336342593</v>
      </c>
      <c r="F5002" s="0" t="n">
        <v>2.08</v>
      </c>
      <c r="G5002" s="0" t="n">
        <v>17005</v>
      </c>
      <c r="H5002" s="6" t="s">
        <v>151</v>
      </c>
      <c r="I5002" s="6" t="n">
        <f aca="false">D5002*F5002</f>
        <v>24.96</v>
      </c>
      <c r="J5002" s="6" t="n">
        <f aca="false">HOUR(E5002)</f>
        <v>12</v>
      </c>
      <c r="K5002" s="6" t="n">
        <f aca="false">IF(COUNTIF($A$2:$A5002,A5002)=1,1,0)</f>
        <v>1</v>
      </c>
    </row>
    <row r="5003" customFormat="false" ht="15" hidden="false" customHeight="false" outlineLevel="0" collapsed="false">
      <c r="A5003" s="0" t="s">
        <v>1024</v>
      </c>
      <c r="B5003" s="0" t="s">
        <v>50</v>
      </c>
      <c r="D5003" s="0" t="n">
        <v>23</v>
      </c>
      <c r="E5003" s="5" t="n">
        <v>46010.5336342593</v>
      </c>
      <c r="F5003" s="0" t="n">
        <v>5.95</v>
      </c>
      <c r="G5003" s="0" t="n">
        <v>17005</v>
      </c>
      <c r="H5003" s="6" t="s">
        <v>151</v>
      </c>
      <c r="I5003" s="6" t="n">
        <f aca="false">D5003*F5003</f>
        <v>136.85</v>
      </c>
      <c r="J5003" s="6" t="n">
        <f aca="false">HOUR(E5003)</f>
        <v>12</v>
      </c>
      <c r="K5003" s="6" t="n">
        <f aca="false">IF(COUNTIF($A$2:$A5003,A5003)=1,1,0)</f>
        <v>0</v>
      </c>
    </row>
    <row r="5004" customFormat="false" ht="15" hidden="false" customHeight="false" outlineLevel="0" collapsed="false">
      <c r="A5004" s="0" t="s">
        <v>1024</v>
      </c>
      <c r="B5004" s="0" t="s">
        <v>127</v>
      </c>
      <c r="C5004" s="0" t="s">
        <v>128</v>
      </c>
      <c r="D5004" s="0" t="n">
        <v>7</v>
      </c>
      <c r="E5004" s="5" t="n">
        <v>46010.5336342593</v>
      </c>
      <c r="F5004" s="0" t="n">
        <v>1.45</v>
      </c>
      <c r="G5004" s="0" t="n">
        <v>17005</v>
      </c>
      <c r="H5004" s="6" t="s">
        <v>151</v>
      </c>
      <c r="I5004" s="6" t="n">
        <f aca="false">D5004*F5004</f>
        <v>10.15</v>
      </c>
      <c r="J5004" s="6" t="n">
        <f aca="false">HOUR(E5004)</f>
        <v>12</v>
      </c>
      <c r="K5004" s="6" t="n">
        <f aca="false">IF(COUNTIF($A$2:$A5004,A5004)=1,1,0)</f>
        <v>0</v>
      </c>
    </row>
    <row r="5005" customFormat="false" ht="15" hidden="false" customHeight="false" outlineLevel="0" collapsed="false">
      <c r="A5005" s="0" t="s">
        <v>1024</v>
      </c>
      <c r="B5005" s="0" t="s">
        <v>86</v>
      </c>
      <c r="C5005" s="0" t="s">
        <v>87</v>
      </c>
      <c r="D5005" s="0" t="n">
        <v>5</v>
      </c>
      <c r="E5005" s="5" t="n">
        <v>46010.5336342593</v>
      </c>
      <c r="F5005" s="0" t="n">
        <v>4.25</v>
      </c>
      <c r="G5005" s="0" t="n">
        <v>17005</v>
      </c>
      <c r="H5005" s="6" t="s">
        <v>151</v>
      </c>
      <c r="I5005" s="6" t="n">
        <f aca="false">D5005*F5005</f>
        <v>21.25</v>
      </c>
      <c r="J5005" s="6" t="n">
        <f aca="false">HOUR(E5005)</f>
        <v>12</v>
      </c>
      <c r="K5005" s="6" t="n">
        <f aca="false">IF(COUNTIF($A$2:$A5005,A5005)=1,1,0)</f>
        <v>0</v>
      </c>
    </row>
    <row r="5006" customFormat="false" ht="15" hidden="false" customHeight="false" outlineLevel="0" collapsed="false">
      <c r="A5006" s="0" t="s">
        <v>1024</v>
      </c>
      <c r="B5006" s="0" t="s">
        <v>79</v>
      </c>
      <c r="C5006" s="0" t="s">
        <v>80</v>
      </c>
      <c r="D5006" s="0" t="n">
        <v>16</v>
      </c>
      <c r="E5006" s="5" t="n">
        <v>46010.5336342593</v>
      </c>
      <c r="F5006" s="0" t="n">
        <v>3.39</v>
      </c>
      <c r="G5006" s="0" t="n">
        <v>17005</v>
      </c>
      <c r="H5006" s="6" t="s">
        <v>151</v>
      </c>
      <c r="I5006" s="6" t="n">
        <f aca="false">D5006*F5006</f>
        <v>54.24</v>
      </c>
      <c r="J5006" s="6" t="n">
        <f aca="false">HOUR(E5006)</f>
        <v>12</v>
      </c>
      <c r="K5006" s="6" t="n">
        <f aca="false">IF(COUNTIF($A$2:$A5006,A5006)=1,1,0)</f>
        <v>0</v>
      </c>
    </row>
    <row r="5007" customFormat="false" ht="15" hidden="false" customHeight="false" outlineLevel="0" collapsed="false">
      <c r="A5007" s="0" t="s">
        <v>1024</v>
      </c>
      <c r="B5007" s="0" t="s">
        <v>114</v>
      </c>
      <c r="C5007" s="0" t="s">
        <v>115</v>
      </c>
      <c r="D5007" s="0" t="n">
        <v>15</v>
      </c>
      <c r="E5007" s="5" t="n">
        <v>46010.5336342593</v>
      </c>
      <c r="F5007" s="0" t="n">
        <v>2.08</v>
      </c>
      <c r="G5007" s="0" t="n">
        <v>17005</v>
      </c>
      <c r="H5007" s="6" t="s">
        <v>151</v>
      </c>
      <c r="I5007" s="6" t="n">
        <f aca="false">D5007*F5007</f>
        <v>31.2</v>
      </c>
      <c r="J5007" s="6" t="n">
        <f aca="false">HOUR(E5007)</f>
        <v>12</v>
      </c>
      <c r="K5007" s="6" t="n">
        <f aca="false">IF(COUNTIF($A$2:$A5007,A5007)=1,1,0)</f>
        <v>0</v>
      </c>
    </row>
    <row r="5008" customFormat="false" ht="15" hidden="false" customHeight="false" outlineLevel="0" collapsed="false">
      <c r="A5008" s="0" t="s">
        <v>1024</v>
      </c>
      <c r="B5008" s="0" t="s">
        <v>81</v>
      </c>
      <c r="C5008" s="0" t="s">
        <v>82</v>
      </c>
      <c r="D5008" s="0" t="n">
        <v>5</v>
      </c>
      <c r="E5008" s="5" t="n">
        <v>46010.5336342593</v>
      </c>
      <c r="F5008" s="0" t="n">
        <v>1.65</v>
      </c>
      <c r="G5008" s="0" t="n">
        <v>17005</v>
      </c>
      <c r="H5008" s="6" t="s">
        <v>151</v>
      </c>
      <c r="I5008" s="6" t="n">
        <f aca="false">D5008*F5008</f>
        <v>8.25</v>
      </c>
      <c r="J5008" s="6" t="n">
        <f aca="false">HOUR(E5008)</f>
        <v>12</v>
      </c>
      <c r="K5008" s="6" t="n">
        <f aca="false">IF(COUNTIF($A$2:$A5008,A5008)=1,1,0)</f>
        <v>0</v>
      </c>
    </row>
    <row r="5009" customFormat="false" ht="15" hidden="false" customHeight="false" outlineLevel="0" collapsed="false">
      <c r="A5009" s="0" t="s">
        <v>1024</v>
      </c>
      <c r="B5009" s="0" t="s">
        <v>99</v>
      </c>
      <c r="C5009" s="0" t="s">
        <v>100</v>
      </c>
      <c r="D5009" s="0" t="n">
        <v>9</v>
      </c>
      <c r="E5009" s="5" t="n">
        <v>46010.5336342593</v>
      </c>
      <c r="F5009" s="0" t="n">
        <v>2.08</v>
      </c>
      <c r="G5009" s="0" t="n">
        <v>17005</v>
      </c>
      <c r="H5009" s="6" t="s">
        <v>151</v>
      </c>
      <c r="I5009" s="6" t="n">
        <f aca="false">D5009*F5009</f>
        <v>18.72</v>
      </c>
      <c r="J5009" s="6" t="n">
        <f aca="false">HOUR(E5009)</f>
        <v>12</v>
      </c>
      <c r="K5009" s="6" t="n">
        <f aca="false">IF(COUNTIF($A$2:$A5009,A5009)=1,1,0)</f>
        <v>0</v>
      </c>
    </row>
    <row r="5010" customFormat="false" ht="15" hidden="false" customHeight="false" outlineLevel="0" collapsed="false">
      <c r="A5010" s="0" t="s">
        <v>1025</v>
      </c>
      <c r="B5010" s="0" t="s">
        <v>45</v>
      </c>
      <c r="C5010" s="0" t="s">
        <v>46</v>
      </c>
      <c r="D5010" s="0" t="n">
        <v>3</v>
      </c>
      <c r="E5010" s="5" t="n">
        <v>46010.572650463</v>
      </c>
      <c r="F5010" s="0" t="n">
        <v>2.1</v>
      </c>
      <c r="G5010" s="0" t="n">
        <v>17036</v>
      </c>
      <c r="H5010" s="6" t="s">
        <v>74</v>
      </c>
      <c r="I5010" s="6" t="n">
        <f aca="false">D5010*F5010</f>
        <v>6.3</v>
      </c>
      <c r="J5010" s="6" t="n">
        <f aca="false">HOUR(E5010)</f>
        <v>13</v>
      </c>
      <c r="K5010" s="6" t="n">
        <f aca="false">IF(COUNTIF($A$2:$A5010,A5010)=1,1,0)</f>
        <v>1</v>
      </c>
    </row>
    <row r="5011" customFormat="false" ht="15" hidden="false" customHeight="false" outlineLevel="0" collapsed="false">
      <c r="A5011" s="0" t="s">
        <v>1026</v>
      </c>
      <c r="B5011" s="0" t="s">
        <v>104</v>
      </c>
      <c r="C5011" s="0" t="s">
        <v>105</v>
      </c>
      <c r="D5011" s="0" t="n">
        <v>1</v>
      </c>
      <c r="E5011" s="5" t="n">
        <v>46010.5795833333</v>
      </c>
      <c r="F5011" s="0" t="n">
        <v>1.65</v>
      </c>
      <c r="H5011" s="6" t="s">
        <v>74</v>
      </c>
      <c r="I5011" s="6" t="n">
        <f aca="false">D5011*F5011</f>
        <v>1.65</v>
      </c>
      <c r="J5011" s="6" t="n">
        <f aca="false">HOUR(E5011)</f>
        <v>13</v>
      </c>
      <c r="K5011" s="6" t="n">
        <f aca="false">IF(COUNTIF($A$2:$A5011,A5011)=1,1,0)</f>
        <v>1</v>
      </c>
    </row>
    <row r="5012" customFormat="false" ht="15" hidden="false" customHeight="false" outlineLevel="0" collapsed="false">
      <c r="A5012" s="0" t="s">
        <v>1026</v>
      </c>
      <c r="B5012" s="0" t="s">
        <v>107</v>
      </c>
      <c r="C5012" s="0" t="s">
        <v>108</v>
      </c>
      <c r="D5012" s="0" t="n">
        <v>17</v>
      </c>
      <c r="E5012" s="5" t="n">
        <v>46010.5795833333</v>
      </c>
      <c r="F5012" s="0" t="n">
        <v>3.75</v>
      </c>
      <c r="H5012" s="6" t="s">
        <v>74</v>
      </c>
      <c r="I5012" s="6" t="n">
        <f aca="false">D5012*F5012</f>
        <v>63.75</v>
      </c>
      <c r="J5012" s="6" t="n">
        <f aca="false">HOUR(E5012)</f>
        <v>13</v>
      </c>
      <c r="K5012" s="6" t="n">
        <f aca="false">IF(COUNTIF($A$2:$A5012,A5012)=1,1,0)</f>
        <v>0</v>
      </c>
    </row>
    <row r="5013" customFormat="false" ht="15" hidden="false" customHeight="false" outlineLevel="0" collapsed="false">
      <c r="A5013" s="0" t="s">
        <v>1026</v>
      </c>
      <c r="B5013" s="0" t="s">
        <v>57</v>
      </c>
      <c r="C5013" s="0" t="s">
        <v>58</v>
      </c>
      <c r="D5013" s="0" t="n">
        <v>18</v>
      </c>
      <c r="E5013" s="5" t="n">
        <v>46010.5795833333</v>
      </c>
      <c r="F5013" s="0" t="n">
        <v>2.08</v>
      </c>
      <c r="H5013" s="6" t="s">
        <v>74</v>
      </c>
      <c r="I5013" s="6" t="n">
        <f aca="false">D5013*F5013</f>
        <v>37.44</v>
      </c>
      <c r="J5013" s="6" t="n">
        <f aca="false">HOUR(E5013)</f>
        <v>13</v>
      </c>
      <c r="K5013" s="6" t="n">
        <f aca="false">IF(COUNTIF($A$2:$A5013,A5013)=1,1,0)</f>
        <v>0</v>
      </c>
    </row>
    <row r="5014" customFormat="false" ht="15" hidden="false" customHeight="false" outlineLevel="0" collapsed="false">
      <c r="A5014" s="0" t="s">
        <v>1026</v>
      </c>
      <c r="B5014" s="0" t="s">
        <v>50</v>
      </c>
      <c r="C5014" s="0" t="s">
        <v>51</v>
      </c>
      <c r="D5014" s="0" t="n">
        <v>9</v>
      </c>
      <c r="E5014" s="5" t="n">
        <v>46010.5795833333</v>
      </c>
      <c r="F5014" s="0" t="n">
        <v>5.95</v>
      </c>
      <c r="H5014" s="6" t="s">
        <v>74</v>
      </c>
      <c r="I5014" s="6" t="n">
        <f aca="false">D5014*F5014</f>
        <v>53.55</v>
      </c>
      <c r="J5014" s="6" t="n">
        <f aca="false">HOUR(E5014)</f>
        <v>13</v>
      </c>
      <c r="K5014" s="6" t="n">
        <f aca="false">IF(COUNTIF($A$2:$A5014,A5014)=1,1,0)</f>
        <v>0</v>
      </c>
    </row>
    <row r="5015" customFormat="false" ht="15" hidden="false" customHeight="false" outlineLevel="0" collapsed="false">
      <c r="A5015" s="0" t="s">
        <v>1026</v>
      </c>
      <c r="B5015" s="0" t="s">
        <v>40</v>
      </c>
      <c r="C5015" s="0" t="s">
        <v>41</v>
      </c>
      <c r="D5015" s="0" t="n">
        <v>24</v>
      </c>
      <c r="E5015" s="5" t="n">
        <v>46010.5795833333</v>
      </c>
      <c r="F5015" s="0" t="n">
        <v>1.06</v>
      </c>
      <c r="H5015" s="6" t="s">
        <v>74</v>
      </c>
      <c r="I5015" s="6" t="n">
        <f aca="false">D5015*F5015</f>
        <v>25.44</v>
      </c>
      <c r="J5015" s="6" t="n">
        <f aca="false">HOUR(E5015)</f>
        <v>13</v>
      </c>
      <c r="K5015" s="6" t="n">
        <f aca="false">IF(COUNTIF($A$2:$A5015,A5015)=1,1,0)</f>
        <v>0</v>
      </c>
    </row>
    <row r="5016" customFormat="false" ht="15" hidden="false" customHeight="false" outlineLevel="0" collapsed="false">
      <c r="A5016" s="0" t="s">
        <v>1026</v>
      </c>
      <c r="B5016" s="0" t="s">
        <v>114</v>
      </c>
      <c r="C5016" s="0" t="s">
        <v>115</v>
      </c>
      <c r="D5016" s="0" t="n">
        <v>11</v>
      </c>
      <c r="E5016" s="5" t="n">
        <v>46010.5795833333</v>
      </c>
      <c r="F5016" s="0" t="n">
        <v>2.08</v>
      </c>
      <c r="H5016" s="6" t="s">
        <v>74</v>
      </c>
      <c r="I5016" s="6" t="n">
        <f aca="false">D5016*F5016</f>
        <v>22.88</v>
      </c>
      <c r="J5016" s="6" t="n">
        <f aca="false">HOUR(E5016)</f>
        <v>13</v>
      </c>
      <c r="K5016" s="6" t="n">
        <f aca="false">IF(COUNTIF($A$2:$A5016,A5016)=1,1,0)</f>
        <v>0</v>
      </c>
    </row>
    <row r="5017" customFormat="false" ht="15" hidden="false" customHeight="false" outlineLevel="0" collapsed="false">
      <c r="A5017" s="0" t="s">
        <v>1026</v>
      </c>
      <c r="B5017" s="0" t="s">
        <v>63</v>
      </c>
      <c r="C5017" s="0" t="s">
        <v>64</v>
      </c>
      <c r="D5017" s="0" t="n">
        <v>13</v>
      </c>
      <c r="E5017" s="5" t="n">
        <v>46010.5795833333</v>
      </c>
      <c r="F5017" s="0" t="n">
        <v>1.85</v>
      </c>
      <c r="H5017" s="6" t="s">
        <v>74</v>
      </c>
      <c r="I5017" s="6" t="n">
        <f aca="false">D5017*F5017</f>
        <v>24.05</v>
      </c>
      <c r="J5017" s="6" t="n">
        <f aca="false">HOUR(E5017)</f>
        <v>13</v>
      </c>
      <c r="K5017" s="6" t="n">
        <f aca="false">IF(COUNTIF($A$2:$A5017,A5017)=1,1,0)</f>
        <v>0</v>
      </c>
    </row>
    <row r="5018" customFormat="false" ht="15" hidden="false" customHeight="false" outlineLevel="0" collapsed="false">
      <c r="A5018" s="0" t="s">
        <v>1026</v>
      </c>
      <c r="B5018" s="0" t="s">
        <v>61</v>
      </c>
      <c r="C5018" s="0" t="s">
        <v>62</v>
      </c>
      <c r="D5018" s="0" t="n">
        <v>6</v>
      </c>
      <c r="E5018" s="5" t="n">
        <v>46010.5795833333</v>
      </c>
      <c r="F5018" s="0" t="n">
        <v>1.65</v>
      </c>
      <c r="H5018" s="6" t="s">
        <v>74</v>
      </c>
      <c r="I5018" s="6" t="n">
        <f aca="false">D5018*F5018</f>
        <v>9.9</v>
      </c>
      <c r="J5018" s="6" t="n">
        <f aca="false">HOUR(E5018)</f>
        <v>13</v>
      </c>
      <c r="K5018" s="6" t="n">
        <f aca="false">IF(COUNTIF($A$2:$A5018,A5018)=1,1,0)</f>
        <v>0</v>
      </c>
    </row>
    <row r="5019" customFormat="false" ht="15" hidden="false" customHeight="false" outlineLevel="0" collapsed="false">
      <c r="A5019" s="0" t="s">
        <v>1026</v>
      </c>
      <c r="B5019" s="0" t="s">
        <v>43</v>
      </c>
      <c r="C5019" s="0" t="s">
        <v>44</v>
      </c>
      <c r="D5019" s="0" t="n">
        <v>19</v>
      </c>
      <c r="E5019" s="5" t="n">
        <v>46010.5795833333</v>
      </c>
      <c r="F5019" s="0" t="n">
        <v>4.25</v>
      </c>
      <c r="H5019" s="6" t="s">
        <v>74</v>
      </c>
      <c r="I5019" s="6" t="n">
        <f aca="false">D5019*F5019</f>
        <v>80.75</v>
      </c>
      <c r="J5019" s="6" t="n">
        <f aca="false">HOUR(E5019)</f>
        <v>13</v>
      </c>
      <c r="K5019" s="6" t="n">
        <f aca="false">IF(COUNTIF($A$2:$A5019,A5019)=1,1,0)</f>
        <v>0</v>
      </c>
    </row>
    <row r="5020" customFormat="false" ht="15" hidden="false" customHeight="false" outlineLevel="0" collapsed="false">
      <c r="A5020" s="0" t="s">
        <v>1027</v>
      </c>
      <c r="B5020" s="0" t="s">
        <v>99</v>
      </c>
      <c r="C5020" s="0" t="s">
        <v>100</v>
      </c>
      <c r="D5020" s="0" t="n">
        <v>17</v>
      </c>
      <c r="E5020" s="5" t="n">
        <v>46010.6121296296</v>
      </c>
      <c r="F5020" s="0" t="n">
        <v>2.08</v>
      </c>
      <c r="G5020" s="0" t="n">
        <v>17101</v>
      </c>
      <c r="H5020" s="6" t="s">
        <v>98</v>
      </c>
      <c r="I5020" s="6" t="n">
        <f aca="false">D5020*F5020</f>
        <v>35.36</v>
      </c>
      <c r="J5020" s="6" t="n">
        <f aca="false">HOUR(E5020)</f>
        <v>14</v>
      </c>
      <c r="K5020" s="6" t="n">
        <f aca="false">IF(COUNTIF($A$2:$A5020,A5020)=1,1,0)</f>
        <v>1</v>
      </c>
    </row>
    <row r="5021" customFormat="false" ht="15" hidden="false" customHeight="false" outlineLevel="0" collapsed="false">
      <c r="A5021" s="0" t="s">
        <v>1027</v>
      </c>
      <c r="B5021" s="0" t="s">
        <v>91</v>
      </c>
      <c r="C5021" s="0" t="s">
        <v>92</v>
      </c>
      <c r="D5021" s="0" t="n">
        <v>24</v>
      </c>
      <c r="E5021" s="5" t="n">
        <v>46010.6121296296</v>
      </c>
      <c r="F5021" s="0" t="n">
        <v>7.65</v>
      </c>
      <c r="G5021" s="0" t="n">
        <v>17101</v>
      </c>
      <c r="H5021" s="6" t="s">
        <v>98</v>
      </c>
      <c r="I5021" s="6" t="n">
        <f aca="false">D5021*F5021</f>
        <v>183.6</v>
      </c>
      <c r="J5021" s="6" t="n">
        <f aca="false">HOUR(E5021)</f>
        <v>14</v>
      </c>
      <c r="K5021" s="6" t="n">
        <f aca="false">IF(COUNTIF($A$2:$A5021,A5021)=1,1,0)</f>
        <v>0</v>
      </c>
    </row>
    <row r="5022" customFormat="false" ht="15" hidden="false" customHeight="false" outlineLevel="0" collapsed="false">
      <c r="A5022" s="0" t="s">
        <v>1027</v>
      </c>
      <c r="B5022" s="0" t="s">
        <v>77</v>
      </c>
      <c r="C5022" s="0" t="s">
        <v>78</v>
      </c>
      <c r="D5022" s="0" t="n">
        <v>10</v>
      </c>
      <c r="E5022" s="5" t="n">
        <v>46010.6121296296</v>
      </c>
      <c r="F5022" s="0" t="n">
        <v>1.65</v>
      </c>
      <c r="G5022" s="0" t="n">
        <v>17101</v>
      </c>
      <c r="H5022" s="6" t="s">
        <v>98</v>
      </c>
      <c r="I5022" s="6" t="n">
        <f aca="false">D5022*F5022</f>
        <v>16.5</v>
      </c>
      <c r="J5022" s="6" t="n">
        <f aca="false">HOUR(E5022)</f>
        <v>14</v>
      </c>
      <c r="K5022" s="6" t="n">
        <f aca="false">IF(COUNTIF($A$2:$A5022,A5022)=1,1,0)</f>
        <v>0</v>
      </c>
    </row>
    <row r="5023" customFormat="false" ht="15" hidden="false" customHeight="false" outlineLevel="0" collapsed="false">
      <c r="A5023" s="0" t="s">
        <v>1027</v>
      </c>
      <c r="B5023" s="0" t="s">
        <v>69</v>
      </c>
      <c r="C5023" s="0" t="s">
        <v>70</v>
      </c>
      <c r="D5023" s="0" t="n">
        <v>27</v>
      </c>
      <c r="E5023" s="5" t="n">
        <v>46010.6121296296</v>
      </c>
      <c r="F5023" s="0" t="n">
        <v>2.08</v>
      </c>
      <c r="G5023" s="0" t="n">
        <v>17101</v>
      </c>
      <c r="H5023" s="6" t="s">
        <v>98</v>
      </c>
      <c r="I5023" s="6" t="n">
        <f aca="false">D5023*F5023</f>
        <v>56.16</v>
      </c>
      <c r="J5023" s="6" t="n">
        <f aca="false">HOUR(E5023)</f>
        <v>14</v>
      </c>
      <c r="K5023" s="6" t="n">
        <f aca="false">IF(COUNTIF($A$2:$A5023,A5023)=1,1,0)</f>
        <v>0</v>
      </c>
    </row>
    <row r="5024" customFormat="false" ht="15" hidden="false" customHeight="false" outlineLevel="0" collapsed="false">
      <c r="A5024" s="0" t="s">
        <v>1027</v>
      </c>
      <c r="B5024" s="0" t="s">
        <v>88</v>
      </c>
      <c r="C5024" s="0" t="s">
        <v>89</v>
      </c>
      <c r="D5024" s="0" t="n">
        <v>17</v>
      </c>
      <c r="E5024" s="5" t="n">
        <v>46010.6121296296</v>
      </c>
      <c r="F5024" s="0" t="n">
        <v>2.75</v>
      </c>
      <c r="G5024" s="0" t="n">
        <v>17101</v>
      </c>
      <c r="H5024" s="6" t="s">
        <v>98</v>
      </c>
      <c r="I5024" s="6" t="n">
        <f aca="false">D5024*F5024</f>
        <v>46.75</v>
      </c>
      <c r="J5024" s="6" t="n">
        <f aca="false">HOUR(E5024)</f>
        <v>14</v>
      </c>
      <c r="K5024" s="6" t="n">
        <f aca="false">IF(COUNTIF($A$2:$A5024,A5024)=1,1,0)</f>
        <v>0</v>
      </c>
    </row>
    <row r="5025" customFormat="false" ht="15" hidden="false" customHeight="false" outlineLevel="0" collapsed="false">
      <c r="A5025" s="0" t="s">
        <v>1028</v>
      </c>
      <c r="B5025" s="0" t="s">
        <v>86</v>
      </c>
      <c r="C5025" s="0" t="s">
        <v>87</v>
      </c>
      <c r="D5025" s="0" t="n">
        <v>17</v>
      </c>
      <c r="E5025" s="5" t="n">
        <v>46010.6416319445</v>
      </c>
      <c r="F5025" s="0" t="n">
        <v>4.25</v>
      </c>
      <c r="G5025" s="0" t="n">
        <v>17191</v>
      </c>
      <c r="H5025" s="6" t="s">
        <v>208</v>
      </c>
      <c r="I5025" s="6" t="n">
        <f aca="false">D5025*F5025</f>
        <v>72.25</v>
      </c>
      <c r="J5025" s="6" t="n">
        <f aca="false">HOUR(E5025)</f>
        <v>15</v>
      </c>
      <c r="K5025" s="6" t="n">
        <f aca="false">IF(COUNTIF($A$2:$A5025,A5025)=1,1,0)</f>
        <v>1</v>
      </c>
    </row>
    <row r="5026" customFormat="false" ht="15" hidden="false" customHeight="false" outlineLevel="0" collapsed="false">
      <c r="A5026" s="0" t="s">
        <v>1028</v>
      </c>
      <c r="B5026" s="0" t="s">
        <v>83</v>
      </c>
      <c r="C5026" s="0" t="s">
        <v>84</v>
      </c>
      <c r="D5026" s="0" t="n">
        <v>6</v>
      </c>
      <c r="E5026" s="5" t="n">
        <v>46010.6416319445</v>
      </c>
      <c r="F5026" s="0" t="n">
        <v>2.95</v>
      </c>
      <c r="G5026" s="0" t="n">
        <v>17191</v>
      </c>
      <c r="H5026" s="6" t="s">
        <v>208</v>
      </c>
      <c r="I5026" s="6" t="n">
        <f aca="false">D5026*F5026</f>
        <v>17.7</v>
      </c>
      <c r="J5026" s="6" t="n">
        <f aca="false">HOUR(E5026)</f>
        <v>15</v>
      </c>
      <c r="K5026" s="6" t="n">
        <f aca="false">IF(COUNTIF($A$2:$A5026,A5026)=1,1,0)</f>
        <v>0</v>
      </c>
    </row>
    <row r="5027" customFormat="false" ht="15" hidden="false" customHeight="false" outlineLevel="0" collapsed="false">
      <c r="A5027" s="0" t="s">
        <v>1028</v>
      </c>
      <c r="B5027" s="0" t="s">
        <v>93</v>
      </c>
      <c r="C5027" s="0" t="s">
        <v>94</v>
      </c>
      <c r="D5027" s="0" t="n">
        <v>7</v>
      </c>
      <c r="E5027" s="5" t="n">
        <v>46010.6416319445</v>
      </c>
      <c r="F5027" s="0" t="n">
        <v>1.69</v>
      </c>
      <c r="G5027" s="0" t="n">
        <v>17191</v>
      </c>
      <c r="H5027" s="6" t="s">
        <v>208</v>
      </c>
      <c r="I5027" s="6" t="n">
        <f aca="false">D5027*F5027</f>
        <v>11.83</v>
      </c>
      <c r="J5027" s="6" t="n">
        <f aca="false">HOUR(E5027)</f>
        <v>15</v>
      </c>
      <c r="K5027" s="6" t="n">
        <f aca="false">IF(COUNTIF($A$2:$A5027,A5027)=1,1,0)</f>
        <v>0</v>
      </c>
    </row>
    <row r="5028" customFormat="false" ht="15" hidden="false" customHeight="false" outlineLevel="0" collapsed="false">
      <c r="A5028" s="0" t="s">
        <v>1028</v>
      </c>
      <c r="B5028" s="0" t="s">
        <v>118</v>
      </c>
      <c r="C5028" s="0" t="s">
        <v>119</v>
      </c>
      <c r="D5028" s="0" t="n">
        <v>32</v>
      </c>
      <c r="E5028" s="5" t="n">
        <v>46010.6416319445</v>
      </c>
      <c r="F5028" s="0" t="n">
        <v>4.95</v>
      </c>
      <c r="G5028" s="0" t="n">
        <v>17191</v>
      </c>
      <c r="H5028" s="6" t="s">
        <v>208</v>
      </c>
      <c r="I5028" s="6" t="n">
        <f aca="false">D5028*F5028</f>
        <v>158.4</v>
      </c>
      <c r="J5028" s="6" t="n">
        <f aca="false">HOUR(E5028)</f>
        <v>15</v>
      </c>
      <c r="K5028" s="6" t="n">
        <f aca="false">IF(COUNTIF($A$2:$A5028,A5028)=1,1,0)</f>
        <v>0</v>
      </c>
    </row>
    <row r="5029" customFormat="false" ht="15" hidden="false" customHeight="false" outlineLevel="0" collapsed="false">
      <c r="A5029" s="0" t="s">
        <v>1028</v>
      </c>
      <c r="B5029" s="0" t="s">
        <v>45</v>
      </c>
      <c r="C5029" s="0" t="s">
        <v>46</v>
      </c>
      <c r="D5029" s="0" t="n">
        <v>15</v>
      </c>
      <c r="E5029" s="5" t="n">
        <v>46010.6416319445</v>
      </c>
      <c r="F5029" s="0" t="n">
        <v>2.1</v>
      </c>
      <c r="G5029" s="0" t="n">
        <v>17191</v>
      </c>
      <c r="H5029" s="6" t="s">
        <v>208</v>
      </c>
      <c r="I5029" s="6" t="n">
        <f aca="false">D5029*F5029</f>
        <v>31.5</v>
      </c>
      <c r="J5029" s="6" t="n">
        <f aca="false">HOUR(E5029)</f>
        <v>15</v>
      </c>
      <c r="K5029" s="6" t="n">
        <f aca="false">IF(COUNTIF($A$2:$A5029,A5029)=1,1,0)</f>
        <v>0</v>
      </c>
    </row>
    <row r="5030" customFormat="false" ht="15" hidden="false" customHeight="false" outlineLevel="0" collapsed="false">
      <c r="A5030" s="0" t="s">
        <v>1029</v>
      </c>
      <c r="B5030" s="0" t="s">
        <v>55</v>
      </c>
      <c r="C5030" s="0" t="s">
        <v>56</v>
      </c>
      <c r="D5030" s="0" t="n">
        <v>16</v>
      </c>
      <c r="E5030" s="5" t="n">
        <v>46010.6641435185</v>
      </c>
      <c r="F5030" s="0" t="n">
        <v>1.65</v>
      </c>
      <c r="G5030" s="0" t="n">
        <v>17013</v>
      </c>
      <c r="H5030" s="6" t="s">
        <v>188</v>
      </c>
      <c r="I5030" s="6" t="n">
        <f aca="false">D5030*F5030</f>
        <v>26.4</v>
      </c>
      <c r="J5030" s="6" t="n">
        <f aca="false">HOUR(E5030)</f>
        <v>15</v>
      </c>
      <c r="K5030" s="6" t="n">
        <f aca="false">IF(COUNTIF($A$2:$A5030,A5030)=1,1,0)</f>
        <v>1</v>
      </c>
    </row>
    <row r="5031" customFormat="false" ht="15" hidden="false" customHeight="false" outlineLevel="0" collapsed="false">
      <c r="A5031" s="0" t="s">
        <v>1029</v>
      </c>
      <c r="B5031" s="0" t="s">
        <v>102</v>
      </c>
      <c r="C5031" s="0" t="s">
        <v>103</v>
      </c>
      <c r="D5031" s="0" t="n">
        <v>34</v>
      </c>
      <c r="E5031" s="5" t="n">
        <v>46010.6641435185</v>
      </c>
      <c r="F5031" s="0" t="n">
        <v>8.5</v>
      </c>
      <c r="G5031" s="0" t="n">
        <v>17013</v>
      </c>
      <c r="H5031" s="6" t="s">
        <v>188</v>
      </c>
      <c r="I5031" s="6" t="n">
        <f aca="false">D5031*F5031</f>
        <v>289</v>
      </c>
      <c r="J5031" s="6" t="n">
        <f aca="false">HOUR(E5031)</f>
        <v>15</v>
      </c>
      <c r="K5031" s="6" t="n">
        <f aca="false">IF(COUNTIF($A$2:$A5031,A5031)=1,1,0)</f>
        <v>0</v>
      </c>
    </row>
    <row r="5032" customFormat="false" ht="15" hidden="false" customHeight="false" outlineLevel="0" collapsed="false">
      <c r="A5032" s="0" t="s">
        <v>1029</v>
      </c>
      <c r="B5032" s="0" t="s">
        <v>77</v>
      </c>
      <c r="C5032" s="0" t="s">
        <v>78</v>
      </c>
      <c r="D5032" s="0" t="n">
        <v>10</v>
      </c>
      <c r="E5032" s="5" t="n">
        <v>46010.6641435185</v>
      </c>
      <c r="F5032" s="0" t="n">
        <v>1.65</v>
      </c>
      <c r="G5032" s="0" t="n">
        <v>17013</v>
      </c>
      <c r="H5032" s="6" t="s">
        <v>188</v>
      </c>
      <c r="I5032" s="6" t="n">
        <f aca="false">D5032*F5032</f>
        <v>16.5</v>
      </c>
      <c r="J5032" s="6" t="n">
        <f aca="false">HOUR(E5032)</f>
        <v>15</v>
      </c>
      <c r="K5032" s="6" t="n">
        <f aca="false">IF(COUNTIF($A$2:$A5032,A5032)=1,1,0)</f>
        <v>0</v>
      </c>
    </row>
    <row r="5033" customFormat="false" ht="15" hidden="false" customHeight="false" outlineLevel="0" collapsed="false">
      <c r="A5033" s="0" t="s">
        <v>1029</v>
      </c>
      <c r="B5033" s="0" t="s">
        <v>83</v>
      </c>
      <c r="C5033" s="0" t="s">
        <v>84</v>
      </c>
      <c r="D5033" s="0" t="n">
        <v>11</v>
      </c>
      <c r="E5033" s="5" t="n">
        <v>46010.6641435185</v>
      </c>
      <c r="F5033" s="0" t="n">
        <v>2.95</v>
      </c>
      <c r="G5033" s="0" t="n">
        <v>17013</v>
      </c>
      <c r="H5033" s="6" t="s">
        <v>188</v>
      </c>
      <c r="I5033" s="6" t="n">
        <f aca="false">D5033*F5033</f>
        <v>32.45</v>
      </c>
      <c r="J5033" s="6" t="n">
        <f aca="false">HOUR(E5033)</f>
        <v>15</v>
      </c>
      <c r="K5033" s="6" t="n">
        <f aca="false">IF(COUNTIF($A$2:$A5033,A5033)=1,1,0)</f>
        <v>0</v>
      </c>
    </row>
    <row r="5034" customFormat="false" ht="15" hidden="false" customHeight="false" outlineLevel="0" collapsed="false">
      <c r="A5034" s="0" t="s">
        <v>1029</v>
      </c>
      <c r="B5034" s="0" t="s">
        <v>91</v>
      </c>
      <c r="C5034" s="0" t="s">
        <v>92</v>
      </c>
      <c r="D5034" s="0" t="n">
        <v>15</v>
      </c>
      <c r="E5034" s="5" t="n">
        <v>46010.6641435185</v>
      </c>
      <c r="F5034" s="0" t="n">
        <v>7.65</v>
      </c>
      <c r="G5034" s="0" t="n">
        <v>17013</v>
      </c>
      <c r="H5034" s="6" t="s">
        <v>188</v>
      </c>
      <c r="I5034" s="6" t="n">
        <f aca="false">D5034*F5034</f>
        <v>114.75</v>
      </c>
      <c r="J5034" s="6" t="n">
        <f aca="false">HOUR(E5034)</f>
        <v>15</v>
      </c>
      <c r="K5034" s="6" t="n">
        <f aca="false">IF(COUNTIF($A$2:$A5034,A5034)=1,1,0)</f>
        <v>0</v>
      </c>
    </row>
    <row r="5035" customFormat="false" ht="15" hidden="false" customHeight="false" outlineLevel="0" collapsed="false">
      <c r="A5035" s="0" t="s">
        <v>1029</v>
      </c>
      <c r="B5035" s="0" t="s">
        <v>109</v>
      </c>
      <c r="C5035" s="0" t="s">
        <v>110</v>
      </c>
      <c r="D5035" s="0" t="n">
        <v>21</v>
      </c>
      <c r="E5035" s="5" t="n">
        <v>46010.6641435185</v>
      </c>
      <c r="F5035" s="0" t="n">
        <v>0.85</v>
      </c>
      <c r="G5035" s="0" t="n">
        <v>17013</v>
      </c>
      <c r="H5035" s="6" t="s">
        <v>188</v>
      </c>
      <c r="I5035" s="6" t="n">
        <f aca="false">D5035*F5035</f>
        <v>17.85</v>
      </c>
      <c r="J5035" s="6" t="n">
        <f aca="false">HOUR(E5035)</f>
        <v>15</v>
      </c>
      <c r="K5035" s="6" t="n">
        <f aca="false">IF(COUNTIF($A$2:$A5035,A5035)=1,1,0)</f>
        <v>0</v>
      </c>
    </row>
    <row r="5036" customFormat="false" ht="15" hidden="false" customHeight="false" outlineLevel="0" collapsed="false">
      <c r="A5036" s="0" t="s">
        <v>1029</v>
      </c>
      <c r="B5036" s="0" t="s">
        <v>88</v>
      </c>
      <c r="C5036" s="0" t="s">
        <v>89</v>
      </c>
      <c r="D5036" s="0" t="n">
        <v>24</v>
      </c>
      <c r="E5036" s="5" t="n">
        <v>46010.6641435185</v>
      </c>
      <c r="F5036" s="0" t="n">
        <v>2.75</v>
      </c>
      <c r="G5036" s="0" t="n">
        <v>17013</v>
      </c>
      <c r="H5036" s="6" t="s">
        <v>188</v>
      </c>
      <c r="I5036" s="6" t="n">
        <f aca="false">D5036*F5036</f>
        <v>66</v>
      </c>
      <c r="J5036" s="6" t="n">
        <f aca="false">HOUR(E5036)</f>
        <v>15</v>
      </c>
      <c r="K5036" s="6" t="n">
        <f aca="false">IF(COUNTIF($A$2:$A5036,A5036)=1,1,0)</f>
        <v>0</v>
      </c>
    </row>
    <row r="5037" customFormat="false" ht="15" hidden="false" customHeight="false" outlineLevel="0" collapsed="false">
      <c r="A5037" s="0" t="s">
        <v>1030</v>
      </c>
      <c r="B5037" s="0" t="s">
        <v>63</v>
      </c>
      <c r="C5037" s="0" t="s">
        <v>64</v>
      </c>
      <c r="D5037" s="0" t="n">
        <v>13</v>
      </c>
      <c r="E5037" s="5" t="n">
        <v>46010.6691898148</v>
      </c>
      <c r="F5037" s="0" t="n">
        <v>1.85</v>
      </c>
      <c r="G5037" s="0" t="n">
        <v>17010</v>
      </c>
      <c r="H5037" s="6" t="s">
        <v>98</v>
      </c>
      <c r="I5037" s="6" t="n">
        <f aca="false">D5037*F5037</f>
        <v>24.05</v>
      </c>
      <c r="J5037" s="6" t="n">
        <f aca="false">HOUR(E5037)</f>
        <v>16</v>
      </c>
      <c r="K5037" s="6" t="n">
        <f aca="false">IF(COUNTIF($A$2:$A5037,A5037)=1,1,0)</f>
        <v>1</v>
      </c>
    </row>
    <row r="5038" customFormat="false" ht="15" hidden="false" customHeight="false" outlineLevel="0" collapsed="false">
      <c r="A5038" s="0" t="s">
        <v>1031</v>
      </c>
      <c r="B5038" s="0" t="s">
        <v>121</v>
      </c>
      <c r="C5038" s="0" t="s">
        <v>122</v>
      </c>
      <c r="D5038" s="0" t="n">
        <v>7</v>
      </c>
      <c r="E5038" s="5" t="n">
        <v>46010.7564236111</v>
      </c>
      <c r="F5038" s="0" t="n">
        <v>2.1</v>
      </c>
      <c r="G5038" s="0" t="n">
        <v>17111</v>
      </c>
      <c r="H5038" s="6" t="s">
        <v>188</v>
      </c>
      <c r="I5038" s="6" t="n">
        <f aca="false">D5038*F5038</f>
        <v>14.7</v>
      </c>
      <c r="J5038" s="6" t="n">
        <f aca="false">HOUR(E5038)</f>
        <v>18</v>
      </c>
      <c r="K5038" s="6" t="n">
        <f aca="false">IF(COUNTIF($A$2:$A5038,A5038)=1,1,0)</f>
        <v>1</v>
      </c>
    </row>
    <row r="5039" customFormat="false" ht="15" hidden="false" customHeight="false" outlineLevel="0" collapsed="false">
      <c r="A5039" s="0" t="s">
        <v>1031</v>
      </c>
      <c r="B5039" s="0" t="s">
        <v>63</v>
      </c>
      <c r="C5039" s="0" t="s">
        <v>64</v>
      </c>
      <c r="D5039" s="0" t="n">
        <v>23</v>
      </c>
      <c r="E5039" s="5" t="n">
        <v>46010.7564236111</v>
      </c>
      <c r="F5039" s="0" t="n">
        <v>1.85</v>
      </c>
      <c r="G5039" s="0" t="n">
        <v>17111</v>
      </c>
      <c r="H5039" s="6" t="s">
        <v>188</v>
      </c>
      <c r="I5039" s="6" t="n">
        <f aca="false">D5039*F5039</f>
        <v>42.55</v>
      </c>
      <c r="J5039" s="6" t="n">
        <f aca="false">HOUR(E5039)</f>
        <v>18</v>
      </c>
      <c r="K5039" s="6" t="n">
        <f aca="false">IF(COUNTIF($A$2:$A5039,A5039)=1,1,0)</f>
        <v>0</v>
      </c>
    </row>
    <row r="5040" customFormat="false" ht="15" hidden="false" customHeight="false" outlineLevel="0" collapsed="false">
      <c r="A5040" s="0" t="s">
        <v>1031</v>
      </c>
      <c r="B5040" s="0" t="s">
        <v>55</v>
      </c>
      <c r="C5040" s="0" t="s">
        <v>56</v>
      </c>
      <c r="D5040" s="0" t="n">
        <v>19</v>
      </c>
      <c r="E5040" s="5" t="n">
        <v>46010.7564236111</v>
      </c>
      <c r="F5040" s="0" t="n">
        <v>1.65</v>
      </c>
      <c r="G5040" s="0" t="n">
        <v>17111</v>
      </c>
      <c r="H5040" s="6" t="s">
        <v>188</v>
      </c>
      <c r="I5040" s="6" t="n">
        <f aca="false">D5040*F5040</f>
        <v>31.35</v>
      </c>
      <c r="J5040" s="6" t="n">
        <f aca="false">HOUR(E5040)</f>
        <v>18</v>
      </c>
      <c r="K5040" s="6" t="n">
        <f aca="false">IF(COUNTIF($A$2:$A5040,A5040)=1,1,0)</f>
        <v>0</v>
      </c>
    </row>
    <row r="5041" customFormat="false" ht="15" hidden="false" customHeight="false" outlineLevel="0" collapsed="false">
      <c r="A5041" s="0" t="s">
        <v>1031</v>
      </c>
      <c r="B5041" s="0" t="s">
        <v>102</v>
      </c>
      <c r="C5041" s="0" t="s">
        <v>103</v>
      </c>
      <c r="D5041" s="0" t="n">
        <v>12</v>
      </c>
      <c r="E5041" s="5" t="n">
        <v>46010.7564236111</v>
      </c>
      <c r="F5041" s="0" t="n">
        <v>8.5</v>
      </c>
      <c r="G5041" s="0" t="n">
        <v>17111</v>
      </c>
      <c r="H5041" s="6" t="s">
        <v>188</v>
      </c>
      <c r="I5041" s="6" t="n">
        <f aca="false">D5041*F5041</f>
        <v>102</v>
      </c>
      <c r="J5041" s="6" t="n">
        <f aca="false">HOUR(E5041)</f>
        <v>18</v>
      </c>
      <c r="K5041" s="6" t="n">
        <f aca="false">IF(COUNTIF($A$2:$A5041,A5041)=1,1,0)</f>
        <v>0</v>
      </c>
    </row>
    <row r="5042" customFormat="false" ht="15" hidden="false" customHeight="false" outlineLevel="0" collapsed="false">
      <c r="A5042" s="0" t="s">
        <v>1031</v>
      </c>
      <c r="B5042" s="0" t="s">
        <v>57</v>
      </c>
      <c r="C5042" s="0" t="s">
        <v>58</v>
      </c>
      <c r="D5042" s="0" t="n">
        <v>10</v>
      </c>
      <c r="E5042" s="5" t="n">
        <v>46010.7564236111</v>
      </c>
      <c r="F5042" s="0" t="n">
        <v>2.08</v>
      </c>
      <c r="G5042" s="0" t="n">
        <v>17111</v>
      </c>
      <c r="H5042" s="6" t="s">
        <v>188</v>
      </c>
      <c r="I5042" s="6" t="n">
        <f aca="false">D5042*F5042</f>
        <v>20.8</v>
      </c>
      <c r="J5042" s="6" t="n">
        <f aca="false">HOUR(E5042)</f>
        <v>18</v>
      </c>
      <c r="K5042" s="6" t="n">
        <f aca="false">IF(COUNTIF($A$2:$A5042,A5042)=1,1,0)</f>
        <v>0</v>
      </c>
    </row>
    <row r="5043" customFormat="false" ht="15" hidden="false" customHeight="false" outlineLevel="0" collapsed="false">
      <c r="A5043" s="0" t="s">
        <v>1031</v>
      </c>
      <c r="B5043" s="0" t="s">
        <v>79</v>
      </c>
      <c r="C5043" s="0" t="s">
        <v>80</v>
      </c>
      <c r="D5043" s="0" t="n">
        <v>19</v>
      </c>
      <c r="E5043" s="5" t="n">
        <v>46010.7564236111</v>
      </c>
      <c r="F5043" s="0" t="n">
        <v>3.39</v>
      </c>
      <c r="G5043" s="0" t="n">
        <v>17111</v>
      </c>
      <c r="H5043" s="6" t="s">
        <v>188</v>
      </c>
      <c r="I5043" s="6" t="n">
        <f aca="false">D5043*F5043</f>
        <v>64.41</v>
      </c>
      <c r="J5043" s="6" t="n">
        <f aca="false">HOUR(E5043)</f>
        <v>18</v>
      </c>
      <c r="K5043" s="6" t="n">
        <f aca="false">IF(COUNTIF($A$2:$A5043,A5043)=1,1,0)</f>
        <v>0</v>
      </c>
    </row>
    <row r="5044" customFormat="false" ht="15" hidden="false" customHeight="false" outlineLevel="0" collapsed="false">
      <c r="A5044" s="0" t="s">
        <v>1031</v>
      </c>
      <c r="B5044" s="0" t="s">
        <v>86</v>
      </c>
      <c r="C5044" s="0" t="s">
        <v>87</v>
      </c>
      <c r="D5044" s="0" t="n">
        <v>20</v>
      </c>
      <c r="E5044" s="5" t="n">
        <v>46010.7564236111</v>
      </c>
      <c r="F5044" s="0" t="n">
        <v>4.25</v>
      </c>
      <c r="G5044" s="0" t="n">
        <v>17111</v>
      </c>
      <c r="H5044" s="6" t="s">
        <v>188</v>
      </c>
      <c r="I5044" s="6" t="n">
        <f aca="false">D5044*F5044</f>
        <v>85</v>
      </c>
      <c r="J5044" s="6" t="n">
        <f aca="false">HOUR(E5044)</f>
        <v>18</v>
      </c>
      <c r="K5044" s="6" t="n">
        <f aca="false">IF(COUNTIF($A$2:$A5044,A5044)=1,1,0)</f>
        <v>0</v>
      </c>
    </row>
    <row r="5045" customFormat="false" ht="15" hidden="false" customHeight="false" outlineLevel="0" collapsed="false">
      <c r="A5045" s="0" t="s">
        <v>1031</v>
      </c>
      <c r="B5045" s="0" t="s">
        <v>72</v>
      </c>
      <c r="C5045" s="0" t="s">
        <v>73</v>
      </c>
      <c r="D5045" s="0" t="n">
        <v>31</v>
      </c>
      <c r="E5045" s="5" t="n">
        <v>46010.7564236111</v>
      </c>
      <c r="F5045" s="0" t="n">
        <v>4.95</v>
      </c>
      <c r="G5045" s="0" t="n">
        <v>17111</v>
      </c>
      <c r="H5045" s="6" t="s">
        <v>188</v>
      </c>
      <c r="I5045" s="6" t="n">
        <f aca="false">D5045*F5045</f>
        <v>153.45</v>
      </c>
      <c r="J5045" s="6" t="n">
        <f aca="false">HOUR(E5045)</f>
        <v>18</v>
      </c>
      <c r="K5045" s="6" t="n">
        <f aca="false">IF(COUNTIF($A$2:$A5045,A5045)=1,1,0)</f>
        <v>0</v>
      </c>
    </row>
    <row r="5046" customFormat="false" ht="15" hidden="false" customHeight="false" outlineLevel="0" collapsed="false">
      <c r="A5046" s="0" t="s">
        <v>1032</v>
      </c>
      <c r="B5046" s="0" t="s">
        <v>137</v>
      </c>
      <c r="C5046" s="0" t="s">
        <v>138</v>
      </c>
      <c r="D5046" s="0" t="n">
        <v>10</v>
      </c>
      <c r="E5046" s="5" t="n">
        <v>46010.7775810185</v>
      </c>
      <c r="F5046" s="0" t="n">
        <v>2.1</v>
      </c>
      <c r="G5046" s="0" t="n">
        <v>17136</v>
      </c>
      <c r="H5046" s="6" t="s">
        <v>74</v>
      </c>
      <c r="I5046" s="6" t="n">
        <f aca="false">D5046*F5046</f>
        <v>21</v>
      </c>
      <c r="J5046" s="6" t="n">
        <f aca="false">HOUR(E5046)</f>
        <v>18</v>
      </c>
      <c r="K5046" s="6" t="n">
        <f aca="false">IF(COUNTIF($A$2:$A5046,A5046)=1,1,0)</f>
        <v>1</v>
      </c>
    </row>
    <row r="5047" customFormat="false" ht="15" hidden="false" customHeight="false" outlineLevel="0" collapsed="false">
      <c r="A5047" s="0" t="s">
        <v>1033</v>
      </c>
      <c r="B5047" s="0" t="s">
        <v>61</v>
      </c>
      <c r="C5047" s="0" t="s">
        <v>62</v>
      </c>
      <c r="D5047" s="0" t="n">
        <v>13</v>
      </c>
      <c r="E5047" s="5" t="n">
        <v>46010.797662037</v>
      </c>
      <c r="F5047" s="0" t="n">
        <v>1.65</v>
      </c>
      <c r="G5047" s="0" t="n">
        <v>17084</v>
      </c>
      <c r="H5047" s="6" t="s">
        <v>74</v>
      </c>
      <c r="I5047" s="6" t="n">
        <f aca="false">D5047*F5047</f>
        <v>21.45</v>
      </c>
      <c r="J5047" s="6" t="n">
        <f aca="false">HOUR(E5047)</f>
        <v>19</v>
      </c>
      <c r="K5047" s="6" t="n">
        <f aca="false">IF(COUNTIF($A$2:$A5047,A5047)=1,1,0)</f>
        <v>1</v>
      </c>
    </row>
    <row r="5048" customFormat="false" ht="15" hidden="false" customHeight="false" outlineLevel="0" collapsed="false">
      <c r="A5048" s="0" t="s">
        <v>1033</v>
      </c>
      <c r="B5048" s="0" t="s">
        <v>81</v>
      </c>
      <c r="C5048" s="0" t="s">
        <v>82</v>
      </c>
      <c r="D5048" s="0" t="n">
        <v>14</v>
      </c>
      <c r="E5048" s="5" t="n">
        <v>46010.797662037</v>
      </c>
      <c r="F5048" s="0" t="n">
        <v>1.65</v>
      </c>
      <c r="G5048" s="0" t="n">
        <v>17084</v>
      </c>
      <c r="H5048" s="6" t="s">
        <v>74</v>
      </c>
      <c r="I5048" s="6" t="n">
        <f aca="false">D5048*F5048</f>
        <v>23.1</v>
      </c>
      <c r="J5048" s="6" t="n">
        <f aca="false">HOUR(E5048)</f>
        <v>19</v>
      </c>
      <c r="K5048" s="6" t="n">
        <f aca="false">IF(COUNTIF($A$2:$A5048,A5048)=1,1,0)</f>
        <v>0</v>
      </c>
    </row>
    <row r="5049" customFormat="false" ht="15" hidden="false" customHeight="false" outlineLevel="0" collapsed="false">
      <c r="A5049" s="0" t="s">
        <v>1033</v>
      </c>
      <c r="B5049" s="0" t="s">
        <v>59</v>
      </c>
      <c r="C5049" s="0" t="s">
        <v>60</v>
      </c>
      <c r="D5049" s="0" t="n">
        <v>7</v>
      </c>
      <c r="E5049" s="5" t="n">
        <v>46010.797662037</v>
      </c>
      <c r="F5049" s="0" t="n">
        <v>0.42</v>
      </c>
      <c r="G5049" s="0" t="n">
        <v>17084</v>
      </c>
      <c r="H5049" s="6" t="s">
        <v>74</v>
      </c>
      <c r="I5049" s="6" t="n">
        <f aca="false">D5049*F5049</f>
        <v>2.94</v>
      </c>
      <c r="J5049" s="6" t="n">
        <f aca="false">HOUR(E5049)</f>
        <v>19</v>
      </c>
      <c r="K5049" s="6" t="n">
        <f aca="false">IF(COUNTIF($A$2:$A5049,A5049)=1,1,0)</f>
        <v>0</v>
      </c>
    </row>
    <row r="5050" customFormat="false" ht="15" hidden="false" customHeight="false" outlineLevel="0" collapsed="false">
      <c r="A5050" s="0" t="s">
        <v>1033</v>
      </c>
      <c r="B5050" s="0" t="s">
        <v>72</v>
      </c>
      <c r="C5050" s="0" t="s">
        <v>73</v>
      </c>
      <c r="D5050" s="0" t="n">
        <v>29</v>
      </c>
      <c r="E5050" s="5" t="n">
        <v>46010.797662037</v>
      </c>
      <c r="F5050" s="0" t="n">
        <v>4.95</v>
      </c>
      <c r="G5050" s="0" t="n">
        <v>17084</v>
      </c>
      <c r="H5050" s="6" t="s">
        <v>74</v>
      </c>
      <c r="I5050" s="6" t="n">
        <f aca="false">D5050*F5050</f>
        <v>143.55</v>
      </c>
      <c r="J5050" s="6" t="n">
        <f aca="false">HOUR(E5050)</f>
        <v>19</v>
      </c>
      <c r="K5050" s="6" t="n">
        <f aca="false">IF(COUNTIF($A$2:$A5050,A5050)=1,1,0)</f>
        <v>0</v>
      </c>
    </row>
    <row r="5051" customFormat="false" ht="15" hidden="false" customHeight="false" outlineLevel="0" collapsed="false">
      <c r="A5051" s="0" t="s">
        <v>1033</v>
      </c>
      <c r="B5051" s="0" t="s">
        <v>43</v>
      </c>
      <c r="C5051" s="0" t="s">
        <v>44</v>
      </c>
      <c r="D5051" s="0" t="n">
        <v>16</v>
      </c>
      <c r="E5051" s="5" t="n">
        <v>46010.797662037</v>
      </c>
      <c r="F5051" s="0" t="n">
        <v>4.25</v>
      </c>
      <c r="G5051" s="0" t="n">
        <v>17084</v>
      </c>
      <c r="H5051" s="6" t="s">
        <v>74</v>
      </c>
      <c r="I5051" s="6" t="n">
        <f aca="false">D5051*F5051</f>
        <v>68</v>
      </c>
      <c r="J5051" s="6" t="n">
        <f aca="false">HOUR(E5051)</f>
        <v>19</v>
      </c>
      <c r="K5051" s="6" t="n">
        <f aca="false">IF(COUNTIF($A$2:$A5051,A5051)=1,1,0)</f>
        <v>0</v>
      </c>
    </row>
    <row r="5052" customFormat="false" ht="15" hidden="false" customHeight="false" outlineLevel="0" collapsed="false">
      <c r="A5052" s="0" t="s">
        <v>1033</v>
      </c>
      <c r="B5052" s="0" t="s">
        <v>88</v>
      </c>
      <c r="C5052" s="0" t="s">
        <v>89</v>
      </c>
      <c r="D5052" s="0" t="n">
        <v>10</v>
      </c>
      <c r="E5052" s="5" t="n">
        <v>46010.797662037</v>
      </c>
      <c r="F5052" s="0" t="n">
        <v>2.75</v>
      </c>
      <c r="G5052" s="0" t="n">
        <v>17084</v>
      </c>
      <c r="H5052" s="6" t="s">
        <v>74</v>
      </c>
      <c r="I5052" s="6" t="n">
        <f aca="false">D5052*F5052</f>
        <v>27.5</v>
      </c>
      <c r="J5052" s="6" t="n">
        <f aca="false">HOUR(E5052)</f>
        <v>19</v>
      </c>
      <c r="K5052" s="6" t="n">
        <f aca="false">IF(COUNTIF($A$2:$A5052,A5052)=1,1,0)</f>
        <v>0</v>
      </c>
    </row>
    <row r="5053" customFormat="false" ht="15" hidden="false" customHeight="false" outlineLevel="0" collapsed="false">
      <c r="A5053" s="0" t="s">
        <v>1033</v>
      </c>
      <c r="B5053" s="0" t="s">
        <v>134</v>
      </c>
      <c r="C5053" s="0" t="s">
        <v>135</v>
      </c>
      <c r="D5053" s="0" t="n">
        <v>15</v>
      </c>
      <c r="E5053" s="5" t="n">
        <v>46010.797662037</v>
      </c>
      <c r="F5053" s="0" t="n">
        <v>5.95</v>
      </c>
      <c r="G5053" s="0" t="n">
        <v>17084</v>
      </c>
      <c r="H5053" s="6" t="s">
        <v>74</v>
      </c>
      <c r="I5053" s="6" t="n">
        <f aca="false">D5053*F5053</f>
        <v>89.25</v>
      </c>
      <c r="J5053" s="6" t="n">
        <f aca="false">HOUR(E5053)</f>
        <v>19</v>
      </c>
      <c r="K5053" s="6" t="n">
        <f aca="false">IF(COUNTIF($A$2:$A5053,A5053)=1,1,0)</f>
        <v>0</v>
      </c>
    </row>
    <row r="5054" customFormat="false" ht="15" hidden="false" customHeight="false" outlineLevel="0" collapsed="false">
      <c r="A5054" s="0" t="s">
        <v>1033</v>
      </c>
      <c r="B5054" s="0" t="s">
        <v>104</v>
      </c>
      <c r="C5054" s="0" t="s">
        <v>105</v>
      </c>
      <c r="D5054" s="0" t="n">
        <v>19</v>
      </c>
      <c r="E5054" s="5" t="n">
        <v>46010.797662037</v>
      </c>
      <c r="F5054" s="0" t="n">
        <v>1.65</v>
      </c>
      <c r="G5054" s="0" t="n">
        <v>17084</v>
      </c>
      <c r="H5054" s="6" t="s">
        <v>74</v>
      </c>
      <c r="I5054" s="6" t="n">
        <f aca="false">D5054*F5054</f>
        <v>31.35</v>
      </c>
      <c r="J5054" s="6" t="n">
        <f aca="false">HOUR(E5054)</f>
        <v>19</v>
      </c>
      <c r="K5054" s="6" t="n">
        <f aca="false">IF(COUNTIF($A$2:$A5054,A5054)=1,1,0)</f>
        <v>0</v>
      </c>
    </row>
    <row r="5055" customFormat="false" ht="15" hidden="false" customHeight="false" outlineLevel="0" collapsed="false">
      <c r="A5055" s="0" t="s">
        <v>1034</v>
      </c>
      <c r="B5055" s="0" t="s">
        <v>121</v>
      </c>
      <c r="C5055" s="0" t="s">
        <v>122</v>
      </c>
      <c r="D5055" s="0" t="n">
        <v>22</v>
      </c>
      <c r="E5055" s="5" t="n">
        <v>46010.949212963</v>
      </c>
      <c r="F5055" s="0" t="n">
        <v>2.1</v>
      </c>
      <c r="G5055" s="0" t="n">
        <v>17203</v>
      </c>
      <c r="H5055" s="6" t="s">
        <v>113</v>
      </c>
      <c r="I5055" s="6" t="n">
        <f aca="false">D5055*F5055</f>
        <v>46.2</v>
      </c>
      <c r="J5055" s="6" t="n">
        <f aca="false">HOUR(E5055)</f>
        <v>22</v>
      </c>
      <c r="K5055" s="6" t="n">
        <f aca="false">IF(COUNTIF($A$2:$A5055,A5055)=1,1,0)</f>
        <v>1</v>
      </c>
    </row>
    <row r="5056" customFormat="false" ht="15" hidden="false" customHeight="false" outlineLevel="0" collapsed="false">
      <c r="A5056" s="0" t="s">
        <v>1034</v>
      </c>
      <c r="B5056" s="0" t="s">
        <v>109</v>
      </c>
      <c r="C5056" s="0" t="s">
        <v>110</v>
      </c>
      <c r="D5056" s="0" t="n">
        <v>3</v>
      </c>
      <c r="E5056" s="5" t="n">
        <v>46010.949212963</v>
      </c>
      <c r="F5056" s="0" t="n">
        <v>0.85</v>
      </c>
      <c r="G5056" s="0" t="n">
        <v>17203</v>
      </c>
      <c r="H5056" s="6" t="s">
        <v>113</v>
      </c>
      <c r="I5056" s="6" t="n">
        <f aca="false">D5056*F5056</f>
        <v>2.55</v>
      </c>
      <c r="J5056" s="6" t="n">
        <f aca="false">HOUR(E5056)</f>
        <v>22</v>
      </c>
      <c r="K5056" s="6" t="n">
        <f aca="false">IF(COUNTIF($A$2:$A5056,A5056)=1,1,0)</f>
        <v>0</v>
      </c>
    </row>
    <row r="5057" customFormat="false" ht="15" hidden="false" customHeight="false" outlineLevel="0" collapsed="false">
      <c r="A5057" s="0" t="s">
        <v>1034</v>
      </c>
      <c r="B5057" s="0" t="s">
        <v>61</v>
      </c>
      <c r="C5057" s="0" t="s">
        <v>62</v>
      </c>
      <c r="D5057" s="0" t="n">
        <v>18</v>
      </c>
      <c r="E5057" s="5" t="n">
        <v>46010.949212963</v>
      </c>
      <c r="F5057" s="0" t="n">
        <v>1.65</v>
      </c>
      <c r="G5057" s="0" t="n">
        <v>17203</v>
      </c>
      <c r="H5057" s="6" t="s">
        <v>113</v>
      </c>
      <c r="I5057" s="6" t="n">
        <f aca="false">D5057*F5057</f>
        <v>29.7</v>
      </c>
      <c r="J5057" s="6" t="n">
        <f aca="false">HOUR(E5057)</f>
        <v>22</v>
      </c>
      <c r="K5057" s="6" t="n">
        <f aca="false">IF(COUNTIF($A$2:$A5057,A5057)=1,1,0)</f>
        <v>0</v>
      </c>
    </row>
    <row r="5058" customFormat="false" ht="15" hidden="false" customHeight="false" outlineLevel="0" collapsed="false">
      <c r="A5058" s="0" t="s">
        <v>1034</v>
      </c>
      <c r="B5058" s="0" t="s">
        <v>104</v>
      </c>
      <c r="C5058" s="0" t="s">
        <v>105</v>
      </c>
      <c r="D5058" s="0" t="n">
        <v>7</v>
      </c>
      <c r="E5058" s="5" t="n">
        <v>46010.949212963</v>
      </c>
      <c r="F5058" s="0" t="n">
        <v>1.65</v>
      </c>
      <c r="G5058" s="0" t="n">
        <v>17203</v>
      </c>
      <c r="H5058" s="6" t="s">
        <v>113</v>
      </c>
      <c r="I5058" s="6" t="n">
        <f aca="false">D5058*F5058</f>
        <v>11.55</v>
      </c>
      <c r="J5058" s="6" t="n">
        <f aca="false">HOUR(E5058)</f>
        <v>22</v>
      </c>
      <c r="K5058" s="6" t="n">
        <f aca="false">IF(COUNTIF($A$2:$A5058,A5058)=1,1,0)</f>
        <v>0</v>
      </c>
    </row>
    <row r="5059" customFormat="false" ht="15" hidden="false" customHeight="false" outlineLevel="0" collapsed="false">
      <c r="A5059" s="0" t="s">
        <v>1035</v>
      </c>
      <c r="B5059" s="0" t="s">
        <v>72</v>
      </c>
      <c r="C5059" s="0" t="s">
        <v>73</v>
      </c>
      <c r="D5059" s="0" t="n">
        <v>24</v>
      </c>
      <c r="E5059" s="5" t="n">
        <v>46010.9558680556</v>
      </c>
      <c r="F5059" s="0" t="n">
        <v>4.95</v>
      </c>
      <c r="G5059" s="0" t="n">
        <v>17066</v>
      </c>
      <c r="H5059" s="6" t="s">
        <v>74</v>
      </c>
      <c r="I5059" s="6" t="n">
        <f aca="false">D5059*F5059</f>
        <v>118.8</v>
      </c>
      <c r="J5059" s="6" t="n">
        <f aca="false">HOUR(E5059)</f>
        <v>22</v>
      </c>
      <c r="K5059" s="6" t="n">
        <f aca="false">IF(COUNTIF($A$2:$A5059,A5059)=1,1,0)</f>
        <v>1</v>
      </c>
    </row>
    <row r="5060" customFormat="false" ht="15" hidden="false" customHeight="false" outlineLevel="0" collapsed="false">
      <c r="A5060" s="0" t="s">
        <v>1035</v>
      </c>
      <c r="B5060" s="0" t="s">
        <v>69</v>
      </c>
      <c r="C5060" s="0" t="s">
        <v>70</v>
      </c>
      <c r="D5060" s="0" t="n">
        <v>43</v>
      </c>
      <c r="E5060" s="5" t="n">
        <v>46010.9558680556</v>
      </c>
      <c r="F5060" s="0" t="n">
        <v>2.08</v>
      </c>
      <c r="G5060" s="0" t="n">
        <v>17066</v>
      </c>
      <c r="H5060" s="6" t="s">
        <v>74</v>
      </c>
      <c r="I5060" s="6" t="n">
        <f aca="false">D5060*F5060</f>
        <v>89.44</v>
      </c>
      <c r="J5060" s="6" t="n">
        <f aca="false">HOUR(E5060)</f>
        <v>22</v>
      </c>
      <c r="K5060" s="6" t="n">
        <f aca="false">IF(COUNTIF($A$2:$A5060,A5060)=1,1,0)</f>
        <v>0</v>
      </c>
    </row>
    <row r="5061" customFormat="false" ht="15" hidden="false" customHeight="false" outlineLevel="0" collapsed="false">
      <c r="A5061" s="0" t="s">
        <v>1035</v>
      </c>
      <c r="B5061" s="0" t="s">
        <v>77</v>
      </c>
      <c r="C5061" s="0" t="s">
        <v>78</v>
      </c>
      <c r="D5061" s="0" t="n">
        <v>8</v>
      </c>
      <c r="E5061" s="5" t="n">
        <v>46010.9558680556</v>
      </c>
      <c r="F5061" s="0" t="n">
        <v>1.65</v>
      </c>
      <c r="G5061" s="0" t="n">
        <v>17066</v>
      </c>
      <c r="H5061" s="6" t="s">
        <v>74</v>
      </c>
      <c r="I5061" s="6" t="n">
        <f aca="false">D5061*F5061</f>
        <v>13.2</v>
      </c>
      <c r="J5061" s="6" t="n">
        <f aca="false">HOUR(E5061)</f>
        <v>22</v>
      </c>
      <c r="K5061" s="6" t="n">
        <f aca="false">IF(COUNTIF($A$2:$A5061,A5061)=1,1,0)</f>
        <v>0</v>
      </c>
    </row>
    <row r="5062" customFormat="false" ht="15" hidden="false" customHeight="false" outlineLevel="0" collapsed="false">
      <c r="A5062" s="0" t="s">
        <v>1035</v>
      </c>
      <c r="B5062" s="0" t="s">
        <v>107</v>
      </c>
      <c r="C5062" s="0" t="s">
        <v>108</v>
      </c>
      <c r="D5062" s="0" t="n">
        <v>14</v>
      </c>
      <c r="E5062" s="5" t="n">
        <v>46010.9558680556</v>
      </c>
      <c r="F5062" s="0" t="n">
        <v>3.75</v>
      </c>
      <c r="G5062" s="0" t="n">
        <v>17066</v>
      </c>
      <c r="H5062" s="6" t="s">
        <v>74</v>
      </c>
      <c r="I5062" s="6" t="n">
        <f aca="false">D5062*F5062</f>
        <v>52.5</v>
      </c>
      <c r="J5062" s="6" t="n">
        <f aca="false">HOUR(E5062)</f>
        <v>22</v>
      </c>
      <c r="K5062" s="6" t="n">
        <f aca="false">IF(COUNTIF($A$2:$A5062,A5062)=1,1,0)</f>
        <v>0</v>
      </c>
    </row>
    <row r="5063" customFormat="false" ht="15" hidden="false" customHeight="false" outlineLevel="0" collapsed="false">
      <c r="A5063" s="0" t="s">
        <v>1036</v>
      </c>
      <c r="B5063" s="0" t="s">
        <v>65</v>
      </c>
      <c r="D5063" s="0" t="n">
        <v>14</v>
      </c>
      <c r="E5063" s="5" t="n">
        <v>46010.9558796296</v>
      </c>
      <c r="F5063" s="0" t="n">
        <v>1.65</v>
      </c>
      <c r="G5063" s="0" t="n">
        <v>17226</v>
      </c>
      <c r="H5063" s="6" t="s">
        <v>74</v>
      </c>
      <c r="I5063" s="6" t="n">
        <f aca="false">D5063*F5063</f>
        <v>23.1</v>
      </c>
      <c r="J5063" s="6" t="n">
        <f aca="false">HOUR(E5063)</f>
        <v>22</v>
      </c>
      <c r="K5063" s="6" t="n">
        <f aca="false">IF(COUNTIF($A$2:$A5063,A5063)=1,1,0)</f>
        <v>1</v>
      </c>
    </row>
    <row r="5064" customFormat="false" ht="15" hidden="false" customHeight="false" outlineLevel="0" collapsed="false">
      <c r="A5064" s="0" t="s">
        <v>1036</v>
      </c>
      <c r="B5064" s="0" t="s">
        <v>61</v>
      </c>
      <c r="C5064" s="0" t="s">
        <v>62</v>
      </c>
      <c r="D5064" s="0" t="n">
        <v>4</v>
      </c>
      <c r="E5064" s="5" t="n">
        <v>46010.9558796296</v>
      </c>
      <c r="F5064" s="0" t="n">
        <v>1.65</v>
      </c>
      <c r="G5064" s="0" t="n">
        <v>17226</v>
      </c>
      <c r="H5064" s="6" t="s">
        <v>74</v>
      </c>
      <c r="I5064" s="6" t="n">
        <f aca="false">D5064*F5064</f>
        <v>6.6</v>
      </c>
      <c r="J5064" s="6" t="n">
        <f aca="false">HOUR(E5064)</f>
        <v>22</v>
      </c>
      <c r="K5064" s="6" t="n">
        <f aca="false">IF(COUNTIF($A$2:$A5064,A5064)=1,1,0)</f>
        <v>0</v>
      </c>
    </row>
    <row r="5065" customFormat="false" ht="15" hidden="false" customHeight="false" outlineLevel="0" collapsed="false">
      <c r="A5065" s="0" t="s">
        <v>1036</v>
      </c>
      <c r="B5065" s="0" t="s">
        <v>83</v>
      </c>
      <c r="C5065" s="0" t="s">
        <v>84</v>
      </c>
      <c r="D5065" s="0" t="n">
        <v>10</v>
      </c>
      <c r="E5065" s="5" t="n">
        <v>46010.9558796296</v>
      </c>
      <c r="F5065" s="0" t="n">
        <v>2.95</v>
      </c>
      <c r="G5065" s="0" t="n">
        <v>17226</v>
      </c>
      <c r="H5065" s="6" t="s">
        <v>74</v>
      </c>
      <c r="I5065" s="6" t="n">
        <f aca="false">D5065*F5065</f>
        <v>29.5</v>
      </c>
      <c r="J5065" s="6" t="n">
        <f aca="false">HOUR(E5065)</f>
        <v>22</v>
      </c>
      <c r="K5065" s="6" t="n">
        <f aca="false">IF(COUNTIF($A$2:$A5065,A5065)=1,1,0)</f>
        <v>0</v>
      </c>
    </row>
    <row r="5066" customFormat="false" ht="15" hidden="false" customHeight="false" outlineLevel="0" collapsed="false">
      <c r="A5066" s="0" t="s">
        <v>1036</v>
      </c>
      <c r="B5066" s="0" t="s">
        <v>50</v>
      </c>
      <c r="C5066" s="0" t="s">
        <v>51</v>
      </c>
      <c r="D5066" s="0" t="n">
        <v>16</v>
      </c>
      <c r="E5066" s="5" t="n">
        <v>46010.9558796296</v>
      </c>
      <c r="F5066" s="0" t="n">
        <v>5.95</v>
      </c>
      <c r="G5066" s="0" t="n">
        <v>17226</v>
      </c>
      <c r="H5066" s="6" t="s">
        <v>74</v>
      </c>
      <c r="I5066" s="6" t="n">
        <f aca="false">D5066*F5066</f>
        <v>95.2</v>
      </c>
      <c r="J5066" s="6" t="n">
        <f aca="false">HOUR(E5066)</f>
        <v>22</v>
      </c>
      <c r="K5066" s="6" t="n">
        <f aca="false">IF(COUNTIF($A$2:$A5066,A5066)=1,1,0)</f>
        <v>0</v>
      </c>
    </row>
    <row r="5067" customFormat="false" ht="15" hidden="false" customHeight="false" outlineLevel="0" collapsed="false">
      <c r="A5067" s="0" t="s">
        <v>1036</v>
      </c>
      <c r="B5067" s="0" t="s">
        <v>91</v>
      </c>
      <c r="C5067" s="0" t="s">
        <v>92</v>
      </c>
      <c r="D5067" s="0" t="n">
        <v>5</v>
      </c>
      <c r="E5067" s="5" t="n">
        <v>46010.9558796296</v>
      </c>
      <c r="F5067" s="0" t="n">
        <v>7.65</v>
      </c>
      <c r="G5067" s="0" t="n">
        <v>17226</v>
      </c>
      <c r="H5067" s="6" t="s">
        <v>74</v>
      </c>
      <c r="I5067" s="6" t="n">
        <f aca="false">D5067*F5067</f>
        <v>38.25</v>
      </c>
      <c r="J5067" s="6" t="n">
        <f aca="false">HOUR(E5067)</f>
        <v>22</v>
      </c>
      <c r="K5067" s="6" t="n">
        <f aca="false">IF(COUNTIF($A$2:$A5067,A5067)=1,1,0)</f>
        <v>0</v>
      </c>
    </row>
    <row r="5068" customFormat="false" ht="15" hidden="false" customHeight="false" outlineLevel="0" collapsed="false">
      <c r="A5068" s="0" t="s">
        <v>1036</v>
      </c>
      <c r="B5068" s="0" t="s">
        <v>131</v>
      </c>
      <c r="C5068" s="0" t="s">
        <v>132</v>
      </c>
      <c r="D5068" s="0" t="n">
        <v>7</v>
      </c>
      <c r="E5068" s="5" t="n">
        <v>46010.9558796296</v>
      </c>
      <c r="F5068" s="0" t="n">
        <v>3.39</v>
      </c>
      <c r="G5068" s="0" t="n">
        <v>17226</v>
      </c>
      <c r="H5068" s="6" t="s">
        <v>74</v>
      </c>
      <c r="I5068" s="6" t="n">
        <f aca="false">D5068*F5068</f>
        <v>23.73</v>
      </c>
      <c r="J5068" s="6" t="n">
        <f aca="false">HOUR(E5068)</f>
        <v>22</v>
      </c>
      <c r="K5068" s="6" t="n">
        <f aca="false">IF(COUNTIF($A$2:$A5068,A5068)=1,1,0)</f>
        <v>0</v>
      </c>
    </row>
    <row r="5069" customFormat="false" ht="15" hidden="false" customHeight="false" outlineLevel="0" collapsed="false">
      <c r="A5069" s="0" t="s">
        <v>1036</v>
      </c>
      <c r="B5069" s="0" t="s">
        <v>45</v>
      </c>
      <c r="C5069" s="0" t="s">
        <v>46</v>
      </c>
      <c r="D5069" s="0" t="n">
        <v>10</v>
      </c>
      <c r="E5069" s="5" t="n">
        <v>46010.9558796296</v>
      </c>
      <c r="F5069" s="0" t="n">
        <v>2.1</v>
      </c>
      <c r="G5069" s="0" t="n">
        <v>17226</v>
      </c>
      <c r="H5069" s="6" t="s">
        <v>74</v>
      </c>
      <c r="I5069" s="6" t="n">
        <f aca="false">D5069*F5069</f>
        <v>21</v>
      </c>
      <c r="J5069" s="6" t="n">
        <f aca="false">HOUR(E5069)</f>
        <v>22</v>
      </c>
      <c r="K5069" s="6" t="n">
        <f aca="false">IF(COUNTIF($A$2:$A5069,A5069)=1,1,0)</f>
        <v>0</v>
      </c>
    </row>
    <row r="5070" customFormat="false" ht="15" hidden="false" customHeight="false" outlineLevel="0" collapsed="false">
      <c r="A5070" s="0" t="s">
        <v>1036</v>
      </c>
      <c r="B5070" s="0" t="s">
        <v>72</v>
      </c>
      <c r="C5070" s="0" t="s">
        <v>73</v>
      </c>
      <c r="D5070" s="0" t="n">
        <v>30</v>
      </c>
      <c r="E5070" s="5" t="n">
        <v>46010.9558796296</v>
      </c>
      <c r="F5070" s="0" t="n">
        <v>4.95</v>
      </c>
      <c r="G5070" s="0" t="n">
        <v>17226</v>
      </c>
      <c r="H5070" s="6" t="s">
        <v>74</v>
      </c>
      <c r="I5070" s="6" t="n">
        <f aca="false">D5070*F5070</f>
        <v>148.5</v>
      </c>
      <c r="J5070" s="6" t="n">
        <f aca="false">HOUR(E5070)</f>
        <v>22</v>
      </c>
      <c r="K5070" s="6" t="n">
        <f aca="false">IF(COUNTIF($A$2:$A5070,A5070)=1,1,0)</f>
        <v>0</v>
      </c>
    </row>
    <row r="5071" customFormat="false" ht="15" hidden="false" customHeight="false" outlineLevel="0" collapsed="false">
      <c r="A5071" s="0" t="s">
        <v>1036</v>
      </c>
      <c r="B5071" s="0" t="s">
        <v>121</v>
      </c>
      <c r="C5071" s="0" t="s">
        <v>122</v>
      </c>
      <c r="D5071" s="0" t="n">
        <v>11</v>
      </c>
      <c r="E5071" s="5" t="n">
        <v>46010.9558796296</v>
      </c>
      <c r="F5071" s="0" t="n">
        <v>2.1</v>
      </c>
      <c r="G5071" s="0" t="n">
        <v>17226</v>
      </c>
      <c r="H5071" s="6" t="s">
        <v>74</v>
      </c>
      <c r="I5071" s="6" t="n">
        <f aca="false">D5071*F5071</f>
        <v>23.1</v>
      </c>
      <c r="J5071" s="6" t="n">
        <f aca="false">HOUR(E5071)</f>
        <v>22</v>
      </c>
      <c r="K5071" s="6" t="n">
        <f aca="false">IF(COUNTIF($A$2:$A5071,A5071)=1,1,0)</f>
        <v>0</v>
      </c>
    </row>
    <row r="5072" customFormat="false" ht="15" hidden="false" customHeight="false" outlineLevel="0" collapsed="false">
      <c r="A5072" s="0" t="s">
        <v>1037</v>
      </c>
      <c r="B5072" s="0" t="s">
        <v>95</v>
      </c>
      <c r="C5072" s="0" t="s">
        <v>96</v>
      </c>
      <c r="D5072" s="0" t="n">
        <v>27</v>
      </c>
      <c r="E5072" s="5" t="n">
        <v>46011.2945949074</v>
      </c>
      <c r="F5072" s="0" t="n">
        <v>2.55</v>
      </c>
      <c r="G5072" s="0" t="n">
        <v>17230</v>
      </c>
      <c r="H5072" s="6" t="s">
        <v>74</v>
      </c>
      <c r="I5072" s="6" t="n">
        <f aca="false">D5072*F5072</f>
        <v>68.85</v>
      </c>
      <c r="J5072" s="6" t="n">
        <f aca="false">HOUR(E5072)</f>
        <v>7</v>
      </c>
      <c r="K5072" s="6" t="n">
        <f aca="false">IF(COUNTIF($A$2:$A5072,A5072)=1,1,0)</f>
        <v>1</v>
      </c>
    </row>
    <row r="5073" customFormat="false" ht="15" hidden="false" customHeight="false" outlineLevel="0" collapsed="false">
      <c r="A5073" s="0" t="s">
        <v>1037</v>
      </c>
      <c r="B5073" s="0" t="s">
        <v>57</v>
      </c>
      <c r="C5073" s="0" t="s">
        <v>58</v>
      </c>
      <c r="D5073" s="0" t="n">
        <v>20</v>
      </c>
      <c r="E5073" s="5" t="n">
        <v>46011.2945949074</v>
      </c>
      <c r="F5073" s="0" t="n">
        <v>2.08</v>
      </c>
      <c r="G5073" s="0" t="n">
        <v>17230</v>
      </c>
      <c r="H5073" s="6" t="s">
        <v>74</v>
      </c>
      <c r="I5073" s="6" t="n">
        <f aca="false">D5073*F5073</f>
        <v>41.6</v>
      </c>
      <c r="J5073" s="6" t="n">
        <f aca="false">HOUR(E5073)</f>
        <v>7</v>
      </c>
      <c r="K5073" s="6" t="n">
        <f aca="false">IF(COUNTIF($A$2:$A5073,A5073)=1,1,0)</f>
        <v>0</v>
      </c>
    </row>
    <row r="5074" customFormat="false" ht="15" hidden="false" customHeight="false" outlineLevel="0" collapsed="false">
      <c r="A5074" s="0" t="s">
        <v>1037</v>
      </c>
      <c r="B5074" s="0" t="s">
        <v>137</v>
      </c>
      <c r="C5074" s="0" t="s">
        <v>138</v>
      </c>
      <c r="D5074" s="0" t="n">
        <v>22</v>
      </c>
      <c r="E5074" s="5" t="n">
        <v>46011.2945949074</v>
      </c>
      <c r="F5074" s="0" t="n">
        <v>2.1</v>
      </c>
      <c r="G5074" s="0" t="n">
        <v>17230</v>
      </c>
      <c r="H5074" s="6" t="s">
        <v>74</v>
      </c>
      <c r="I5074" s="6" t="n">
        <f aca="false">D5074*F5074</f>
        <v>46.2</v>
      </c>
      <c r="J5074" s="6" t="n">
        <f aca="false">HOUR(E5074)</f>
        <v>7</v>
      </c>
      <c r="K5074" s="6" t="n">
        <f aca="false">IF(COUNTIF($A$2:$A5074,A5074)=1,1,0)</f>
        <v>0</v>
      </c>
    </row>
    <row r="5075" customFormat="false" ht="15" hidden="false" customHeight="false" outlineLevel="0" collapsed="false">
      <c r="A5075" s="0" t="s">
        <v>1038</v>
      </c>
      <c r="B5075" s="0" t="s">
        <v>114</v>
      </c>
      <c r="C5075" s="0" t="s">
        <v>115</v>
      </c>
      <c r="D5075" s="0" t="n">
        <v>10</v>
      </c>
      <c r="E5075" s="5" t="n">
        <v>46011.3135300926</v>
      </c>
      <c r="F5075" s="0" t="n">
        <v>2.08</v>
      </c>
      <c r="G5075" s="0" t="n">
        <v>17165</v>
      </c>
      <c r="H5075" s="6" t="s">
        <v>208</v>
      </c>
      <c r="I5075" s="6" t="n">
        <f aca="false">D5075*F5075</f>
        <v>20.8</v>
      </c>
      <c r="J5075" s="6" t="n">
        <f aca="false">HOUR(E5075)</f>
        <v>7</v>
      </c>
      <c r="K5075" s="6" t="n">
        <f aca="false">IF(COUNTIF($A$2:$A5075,A5075)=1,1,0)</f>
        <v>1</v>
      </c>
    </row>
    <row r="5076" customFormat="false" ht="15" hidden="false" customHeight="false" outlineLevel="0" collapsed="false">
      <c r="A5076" s="0" t="s">
        <v>1038</v>
      </c>
      <c r="B5076" s="0" t="s">
        <v>57</v>
      </c>
      <c r="C5076" s="0" t="s">
        <v>58</v>
      </c>
      <c r="D5076" s="0" t="n">
        <v>3</v>
      </c>
      <c r="E5076" s="5" t="n">
        <v>46011.3135300926</v>
      </c>
      <c r="F5076" s="0" t="n">
        <v>2.08</v>
      </c>
      <c r="G5076" s="0" t="n">
        <v>17165</v>
      </c>
      <c r="H5076" s="6" t="s">
        <v>208</v>
      </c>
      <c r="I5076" s="6" t="n">
        <f aca="false">D5076*F5076</f>
        <v>6.24</v>
      </c>
      <c r="J5076" s="6" t="n">
        <f aca="false">HOUR(E5076)</f>
        <v>7</v>
      </c>
      <c r="K5076" s="6" t="n">
        <f aca="false">IF(COUNTIF($A$2:$A5076,A5076)=1,1,0)</f>
        <v>0</v>
      </c>
    </row>
    <row r="5077" customFormat="false" ht="15" hidden="false" customHeight="false" outlineLevel="0" collapsed="false">
      <c r="A5077" s="0" t="s">
        <v>1038</v>
      </c>
      <c r="B5077" s="0" t="s">
        <v>75</v>
      </c>
      <c r="C5077" s="0" t="s">
        <v>76</v>
      </c>
      <c r="D5077" s="0" t="n">
        <v>15</v>
      </c>
      <c r="E5077" s="5" t="n">
        <v>46011.3135300926</v>
      </c>
      <c r="F5077" s="0" t="n">
        <v>3.39</v>
      </c>
      <c r="G5077" s="0" t="n">
        <v>17165</v>
      </c>
      <c r="H5077" s="6" t="s">
        <v>208</v>
      </c>
      <c r="I5077" s="6" t="n">
        <f aca="false">D5077*F5077</f>
        <v>50.85</v>
      </c>
      <c r="J5077" s="6" t="n">
        <f aca="false">HOUR(E5077)</f>
        <v>7</v>
      </c>
      <c r="K5077" s="6" t="n">
        <f aca="false">IF(COUNTIF($A$2:$A5077,A5077)=1,1,0)</f>
        <v>0</v>
      </c>
    </row>
    <row r="5078" customFormat="false" ht="15" hidden="false" customHeight="false" outlineLevel="0" collapsed="false">
      <c r="A5078" s="0" t="s">
        <v>1038</v>
      </c>
      <c r="B5078" s="0" t="s">
        <v>83</v>
      </c>
      <c r="C5078" s="0" t="s">
        <v>84</v>
      </c>
      <c r="D5078" s="0" t="n">
        <v>2</v>
      </c>
      <c r="E5078" s="5" t="n">
        <v>46011.3135300926</v>
      </c>
      <c r="F5078" s="0" t="n">
        <v>2.95</v>
      </c>
      <c r="G5078" s="0" t="n">
        <v>17165</v>
      </c>
      <c r="H5078" s="6" t="s">
        <v>208</v>
      </c>
      <c r="I5078" s="6" t="n">
        <f aca="false">D5078*F5078</f>
        <v>5.9</v>
      </c>
      <c r="J5078" s="6" t="n">
        <f aca="false">HOUR(E5078)</f>
        <v>7</v>
      </c>
      <c r="K5078" s="6" t="n">
        <f aca="false">IF(COUNTIF($A$2:$A5078,A5078)=1,1,0)</f>
        <v>0</v>
      </c>
    </row>
    <row r="5079" customFormat="false" ht="15" hidden="false" customHeight="false" outlineLevel="0" collapsed="false">
      <c r="A5079" s="0" t="s">
        <v>1038</v>
      </c>
      <c r="B5079" s="0" t="s">
        <v>93</v>
      </c>
      <c r="C5079" s="0" t="s">
        <v>94</v>
      </c>
      <c r="D5079" s="0" t="n">
        <v>19</v>
      </c>
      <c r="E5079" s="5" t="n">
        <v>46011.3135300926</v>
      </c>
      <c r="F5079" s="0" t="n">
        <v>1.69</v>
      </c>
      <c r="G5079" s="0" t="n">
        <v>17165</v>
      </c>
      <c r="H5079" s="6" t="s">
        <v>208</v>
      </c>
      <c r="I5079" s="6" t="n">
        <f aca="false">D5079*F5079</f>
        <v>32.11</v>
      </c>
      <c r="J5079" s="6" t="n">
        <f aca="false">HOUR(E5079)</f>
        <v>7</v>
      </c>
      <c r="K5079" s="6" t="n">
        <f aca="false">IF(COUNTIF($A$2:$A5079,A5079)=1,1,0)</f>
        <v>0</v>
      </c>
    </row>
    <row r="5080" customFormat="false" ht="15" hidden="false" customHeight="false" outlineLevel="0" collapsed="false">
      <c r="A5080" s="0" t="s">
        <v>1038</v>
      </c>
      <c r="B5080" s="0" t="s">
        <v>134</v>
      </c>
      <c r="C5080" s="0" t="s">
        <v>135</v>
      </c>
      <c r="D5080" s="0" t="n">
        <v>17</v>
      </c>
      <c r="E5080" s="5" t="n">
        <v>46011.3135300926</v>
      </c>
      <c r="F5080" s="0" t="n">
        <v>5.95</v>
      </c>
      <c r="G5080" s="0" t="n">
        <v>17165</v>
      </c>
      <c r="H5080" s="6" t="s">
        <v>208</v>
      </c>
      <c r="I5080" s="6" t="n">
        <f aca="false">D5080*F5080</f>
        <v>101.15</v>
      </c>
      <c r="J5080" s="6" t="n">
        <f aca="false">HOUR(E5080)</f>
        <v>7</v>
      </c>
      <c r="K5080" s="6" t="n">
        <f aca="false">IF(COUNTIF($A$2:$A5080,A5080)=1,1,0)</f>
        <v>0</v>
      </c>
    </row>
    <row r="5081" customFormat="false" ht="15" hidden="false" customHeight="false" outlineLevel="0" collapsed="false">
      <c r="A5081" s="0" t="s">
        <v>1039</v>
      </c>
      <c r="B5081" s="0" t="s">
        <v>99</v>
      </c>
      <c r="C5081" s="0" t="s">
        <v>100</v>
      </c>
      <c r="D5081" s="0" t="n">
        <v>15</v>
      </c>
      <c r="E5081" s="5" t="n">
        <v>46011.3905092593</v>
      </c>
      <c r="F5081" s="0" t="n">
        <v>2.08</v>
      </c>
      <c r="G5081" s="0" t="n">
        <v>17187</v>
      </c>
      <c r="H5081" s="6" t="s">
        <v>74</v>
      </c>
      <c r="I5081" s="6" t="n">
        <f aca="false">D5081*F5081</f>
        <v>31.2</v>
      </c>
      <c r="J5081" s="6" t="n">
        <f aca="false">HOUR(E5081)</f>
        <v>9</v>
      </c>
      <c r="K5081" s="6" t="n">
        <f aca="false">IF(COUNTIF($A$2:$A5081,A5081)=1,1,0)</f>
        <v>1</v>
      </c>
    </row>
    <row r="5082" customFormat="false" ht="15" hidden="false" customHeight="false" outlineLevel="0" collapsed="false">
      <c r="A5082" s="0" t="s">
        <v>1040</v>
      </c>
      <c r="B5082" s="0" t="s">
        <v>83</v>
      </c>
      <c r="C5082" s="0" t="s">
        <v>84</v>
      </c>
      <c r="D5082" s="0" t="n">
        <v>6</v>
      </c>
      <c r="E5082" s="5" t="n">
        <v>46011.4199768519</v>
      </c>
      <c r="F5082" s="0" t="n">
        <v>2.95</v>
      </c>
      <c r="G5082" s="0" t="n">
        <v>17015</v>
      </c>
      <c r="H5082" s="6" t="s">
        <v>74</v>
      </c>
      <c r="I5082" s="6" t="n">
        <f aca="false">D5082*F5082</f>
        <v>17.7</v>
      </c>
      <c r="J5082" s="6" t="n">
        <f aca="false">HOUR(E5082)</f>
        <v>10</v>
      </c>
      <c r="K5082" s="6" t="n">
        <f aca="false">IF(COUNTIF($A$2:$A5082,A5082)=1,1,0)</f>
        <v>1</v>
      </c>
    </row>
    <row r="5083" customFormat="false" ht="15" hidden="false" customHeight="false" outlineLevel="0" collapsed="false">
      <c r="A5083" s="0" t="s">
        <v>1040</v>
      </c>
      <c r="B5083" s="0" t="s">
        <v>93</v>
      </c>
      <c r="C5083" s="0" t="s">
        <v>94</v>
      </c>
      <c r="D5083" s="0" t="n">
        <v>19</v>
      </c>
      <c r="E5083" s="5" t="n">
        <v>46011.4199768519</v>
      </c>
      <c r="F5083" s="0" t="n">
        <v>1.69</v>
      </c>
      <c r="G5083" s="0" t="n">
        <v>17015</v>
      </c>
      <c r="H5083" s="6" t="s">
        <v>74</v>
      </c>
      <c r="I5083" s="6" t="n">
        <f aca="false">D5083*F5083</f>
        <v>32.11</v>
      </c>
      <c r="J5083" s="6" t="n">
        <f aca="false">HOUR(E5083)</f>
        <v>10</v>
      </c>
      <c r="K5083" s="6" t="n">
        <f aca="false">IF(COUNTIF($A$2:$A5083,A5083)=1,1,0)</f>
        <v>0</v>
      </c>
    </row>
    <row r="5084" customFormat="false" ht="15" hidden="false" customHeight="false" outlineLevel="0" collapsed="false">
      <c r="A5084" s="0" t="s">
        <v>1040</v>
      </c>
      <c r="B5084" s="0" t="s">
        <v>107</v>
      </c>
      <c r="C5084" s="0" t="s">
        <v>108</v>
      </c>
      <c r="D5084" s="0" t="n">
        <v>2</v>
      </c>
      <c r="E5084" s="5" t="n">
        <v>46011.4199768519</v>
      </c>
      <c r="F5084" s="0" t="n">
        <v>3.75</v>
      </c>
      <c r="G5084" s="0" t="n">
        <v>17015</v>
      </c>
      <c r="H5084" s="6" t="s">
        <v>74</v>
      </c>
      <c r="I5084" s="6" t="n">
        <f aca="false">D5084*F5084</f>
        <v>7.5</v>
      </c>
      <c r="J5084" s="6" t="n">
        <f aca="false">HOUR(E5084)</f>
        <v>10</v>
      </c>
      <c r="K5084" s="6" t="n">
        <f aca="false">IF(COUNTIF($A$2:$A5084,A5084)=1,1,0)</f>
        <v>0</v>
      </c>
    </row>
    <row r="5085" customFormat="false" ht="15" hidden="false" customHeight="false" outlineLevel="0" collapsed="false">
      <c r="A5085" s="0" t="s">
        <v>1040</v>
      </c>
      <c r="B5085" s="0" t="s">
        <v>55</v>
      </c>
      <c r="C5085" s="0" t="s">
        <v>56</v>
      </c>
      <c r="D5085" s="0" t="n">
        <v>17</v>
      </c>
      <c r="E5085" s="5" t="n">
        <v>46011.4199768519</v>
      </c>
      <c r="F5085" s="0" t="n">
        <v>1.65</v>
      </c>
      <c r="G5085" s="0" t="n">
        <v>17015</v>
      </c>
      <c r="H5085" s="6" t="s">
        <v>74</v>
      </c>
      <c r="I5085" s="6" t="n">
        <f aca="false">D5085*F5085</f>
        <v>28.05</v>
      </c>
      <c r="J5085" s="6" t="n">
        <f aca="false">HOUR(E5085)</f>
        <v>10</v>
      </c>
      <c r="K5085" s="6" t="n">
        <f aca="false">IF(COUNTIF($A$2:$A5085,A5085)=1,1,0)</f>
        <v>0</v>
      </c>
    </row>
    <row r="5086" customFormat="false" ht="15" hidden="false" customHeight="false" outlineLevel="0" collapsed="false">
      <c r="A5086" s="0" t="s">
        <v>1040</v>
      </c>
      <c r="B5086" s="0" t="s">
        <v>88</v>
      </c>
      <c r="C5086" s="0" t="s">
        <v>89</v>
      </c>
      <c r="D5086" s="0" t="n">
        <v>20</v>
      </c>
      <c r="E5086" s="5" t="n">
        <v>46011.4199768519</v>
      </c>
      <c r="F5086" s="0" t="n">
        <v>2.75</v>
      </c>
      <c r="G5086" s="0" t="n">
        <v>17015</v>
      </c>
      <c r="H5086" s="6" t="s">
        <v>74</v>
      </c>
      <c r="I5086" s="6" t="n">
        <f aca="false">D5086*F5086</f>
        <v>55</v>
      </c>
      <c r="J5086" s="6" t="n">
        <f aca="false">HOUR(E5086)</f>
        <v>10</v>
      </c>
      <c r="K5086" s="6" t="n">
        <f aca="false">IF(COUNTIF($A$2:$A5086,A5086)=1,1,0)</f>
        <v>0</v>
      </c>
    </row>
    <row r="5087" customFormat="false" ht="15" hidden="false" customHeight="false" outlineLevel="0" collapsed="false">
      <c r="A5087" s="0" t="s">
        <v>1040</v>
      </c>
      <c r="B5087" s="0" t="s">
        <v>45</v>
      </c>
      <c r="C5087" s="0" t="s">
        <v>46</v>
      </c>
      <c r="D5087" s="0" t="n">
        <v>22</v>
      </c>
      <c r="E5087" s="5" t="n">
        <v>46011.4199768519</v>
      </c>
      <c r="F5087" s="0" t="n">
        <v>2.1</v>
      </c>
      <c r="G5087" s="0" t="n">
        <v>17015</v>
      </c>
      <c r="H5087" s="6" t="s">
        <v>74</v>
      </c>
      <c r="I5087" s="6" t="n">
        <f aca="false">D5087*F5087</f>
        <v>46.2</v>
      </c>
      <c r="J5087" s="6" t="n">
        <f aca="false">HOUR(E5087)</f>
        <v>10</v>
      </c>
      <c r="K5087" s="6" t="n">
        <f aca="false">IF(COUNTIF($A$2:$A5087,A5087)=1,1,0)</f>
        <v>0</v>
      </c>
    </row>
    <row r="5088" customFormat="false" ht="15" hidden="false" customHeight="false" outlineLevel="0" collapsed="false">
      <c r="A5088" s="0" t="s">
        <v>1040</v>
      </c>
      <c r="B5088" s="0" t="s">
        <v>72</v>
      </c>
      <c r="C5088" s="0" t="s">
        <v>73</v>
      </c>
      <c r="D5088" s="0" t="n">
        <v>36</v>
      </c>
      <c r="E5088" s="5" t="n">
        <v>46011.4199768519</v>
      </c>
      <c r="F5088" s="0" t="n">
        <v>4.95</v>
      </c>
      <c r="G5088" s="0" t="n">
        <v>17015</v>
      </c>
      <c r="H5088" s="6" t="s">
        <v>74</v>
      </c>
      <c r="I5088" s="6" t="n">
        <f aca="false">D5088*F5088</f>
        <v>178.2</v>
      </c>
      <c r="J5088" s="6" t="n">
        <f aca="false">HOUR(E5088)</f>
        <v>10</v>
      </c>
      <c r="K5088" s="6" t="n">
        <f aca="false">IF(COUNTIF($A$2:$A5088,A5088)=1,1,0)</f>
        <v>0</v>
      </c>
    </row>
    <row r="5089" customFormat="false" ht="15" hidden="false" customHeight="false" outlineLevel="0" collapsed="false">
      <c r="A5089" s="0" t="s">
        <v>1040</v>
      </c>
      <c r="B5089" s="0" t="s">
        <v>118</v>
      </c>
      <c r="C5089" s="0" t="s">
        <v>119</v>
      </c>
      <c r="D5089" s="0" t="n">
        <v>38</v>
      </c>
      <c r="E5089" s="5" t="n">
        <v>46011.4199768519</v>
      </c>
      <c r="F5089" s="0" t="n">
        <v>4.95</v>
      </c>
      <c r="G5089" s="0" t="n">
        <v>17015</v>
      </c>
      <c r="H5089" s="6" t="s">
        <v>74</v>
      </c>
      <c r="I5089" s="6" t="n">
        <f aca="false">D5089*F5089</f>
        <v>188.1</v>
      </c>
      <c r="J5089" s="6" t="n">
        <f aca="false">HOUR(E5089)</f>
        <v>10</v>
      </c>
      <c r="K5089" s="6" t="n">
        <f aca="false">IF(COUNTIF($A$2:$A5089,A5089)=1,1,0)</f>
        <v>0</v>
      </c>
    </row>
    <row r="5090" customFormat="false" ht="15" hidden="false" customHeight="false" outlineLevel="0" collapsed="false">
      <c r="A5090" s="0" t="s">
        <v>1040</v>
      </c>
      <c r="B5090" s="0" t="s">
        <v>102</v>
      </c>
      <c r="C5090" s="0" t="s">
        <v>103</v>
      </c>
      <c r="D5090" s="0" t="n">
        <v>24</v>
      </c>
      <c r="E5090" s="5" t="n">
        <v>46011.4199768519</v>
      </c>
      <c r="F5090" s="0" t="n">
        <v>8.5</v>
      </c>
      <c r="G5090" s="0" t="n">
        <v>17015</v>
      </c>
      <c r="H5090" s="6" t="s">
        <v>74</v>
      </c>
      <c r="I5090" s="6" t="n">
        <f aca="false">D5090*F5090</f>
        <v>204</v>
      </c>
      <c r="J5090" s="6" t="n">
        <f aca="false">HOUR(E5090)</f>
        <v>10</v>
      </c>
      <c r="K5090" s="6" t="n">
        <f aca="false">IF(COUNTIF($A$2:$A5090,A5090)=1,1,0)</f>
        <v>0</v>
      </c>
    </row>
    <row r="5091" customFormat="false" ht="15" hidden="false" customHeight="false" outlineLevel="0" collapsed="false">
      <c r="A5091" s="0" t="s">
        <v>1040</v>
      </c>
      <c r="B5091" s="0" t="s">
        <v>116</v>
      </c>
      <c r="C5091" s="0" t="s">
        <v>117</v>
      </c>
      <c r="D5091" s="0" t="n">
        <v>12</v>
      </c>
      <c r="E5091" s="5" t="n">
        <v>46011.4199768519</v>
      </c>
      <c r="F5091" s="0" t="n">
        <v>1.95</v>
      </c>
      <c r="G5091" s="0" t="n">
        <v>17015</v>
      </c>
      <c r="H5091" s="6" t="s">
        <v>74</v>
      </c>
      <c r="I5091" s="6" t="n">
        <f aca="false">D5091*F5091</f>
        <v>23.4</v>
      </c>
      <c r="J5091" s="6" t="n">
        <f aca="false">HOUR(E5091)</f>
        <v>10</v>
      </c>
      <c r="K5091" s="6" t="n">
        <f aca="false">IF(COUNTIF($A$2:$A5091,A5091)=1,1,0)</f>
        <v>0</v>
      </c>
    </row>
    <row r="5092" customFormat="false" ht="15" hidden="false" customHeight="false" outlineLevel="0" collapsed="false">
      <c r="A5092" s="0" t="s">
        <v>1041</v>
      </c>
      <c r="B5092" s="0" t="s">
        <v>104</v>
      </c>
      <c r="C5092" s="0" t="s">
        <v>105</v>
      </c>
      <c r="D5092" s="0" t="n">
        <v>6</v>
      </c>
      <c r="E5092" s="5" t="n">
        <v>46011.4245486111</v>
      </c>
      <c r="F5092" s="0" t="n">
        <v>1.65</v>
      </c>
      <c r="G5092" s="0" t="n">
        <v>17153</v>
      </c>
      <c r="H5092" s="6" t="s">
        <v>42</v>
      </c>
      <c r="I5092" s="6" t="n">
        <f aca="false">D5092*F5092</f>
        <v>9.9</v>
      </c>
      <c r="J5092" s="6" t="n">
        <f aca="false">HOUR(E5092)</f>
        <v>10</v>
      </c>
      <c r="K5092" s="6" t="n">
        <f aca="false">IF(COUNTIF($A$2:$A5092,A5092)=1,1,0)</f>
        <v>1</v>
      </c>
    </row>
    <row r="5093" customFormat="false" ht="15" hidden="false" customHeight="false" outlineLevel="0" collapsed="false">
      <c r="A5093" s="0" t="s">
        <v>1041</v>
      </c>
      <c r="B5093" s="0" t="s">
        <v>77</v>
      </c>
      <c r="C5093" s="0" t="s">
        <v>78</v>
      </c>
      <c r="D5093" s="0" t="n">
        <v>21</v>
      </c>
      <c r="E5093" s="5" t="n">
        <v>46011.4245486111</v>
      </c>
      <c r="F5093" s="0" t="n">
        <v>1.65</v>
      </c>
      <c r="G5093" s="0" t="n">
        <v>17153</v>
      </c>
      <c r="H5093" s="6" t="s">
        <v>42</v>
      </c>
      <c r="I5093" s="6" t="n">
        <f aca="false">D5093*F5093</f>
        <v>34.65</v>
      </c>
      <c r="J5093" s="6" t="n">
        <f aca="false">HOUR(E5093)</f>
        <v>10</v>
      </c>
      <c r="K5093" s="6" t="n">
        <f aca="false">IF(COUNTIF($A$2:$A5093,A5093)=1,1,0)</f>
        <v>0</v>
      </c>
    </row>
    <row r="5094" customFormat="false" ht="15" hidden="false" customHeight="false" outlineLevel="0" collapsed="false">
      <c r="A5094" s="0" t="s">
        <v>1041</v>
      </c>
      <c r="B5094" s="0" t="s">
        <v>99</v>
      </c>
      <c r="C5094" s="0" t="s">
        <v>100</v>
      </c>
      <c r="D5094" s="0" t="n">
        <v>11</v>
      </c>
      <c r="E5094" s="5" t="n">
        <v>46011.4245486111</v>
      </c>
      <c r="F5094" s="0" t="n">
        <v>2.08</v>
      </c>
      <c r="G5094" s="0" t="n">
        <v>17153</v>
      </c>
      <c r="H5094" s="6" t="s">
        <v>42</v>
      </c>
      <c r="I5094" s="6" t="n">
        <f aca="false">D5094*F5094</f>
        <v>22.88</v>
      </c>
      <c r="J5094" s="6" t="n">
        <f aca="false">HOUR(E5094)</f>
        <v>10</v>
      </c>
      <c r="K5094" s="6" t="n">
        <f aca="false">IF(COUNTIF($A$2:$A5094,A5094)=1,1,0)</f>
        <v>0</v>
      </c>
    </row>
    <row r="5095" customFormat="false" ht="15" hidden="false" customHeight="false" outlineLevel="0" collapsed="false">
      <c r="A5095" s="0" t="s">
        <v>1041</v>
      </c>
      <c r="B5095" s="0" t="s">
        <v>65</v>
      </c>
      <c r="C5095" s="0" t="s">
        <v>66</v>
      </c>
      <c r="D5095" s="0" t="n">
        <v>17</v>
      </c>
      <c r="E5095" s="5" t="n">
        <v>46011.4245486111</v>
      </c>
      <c r="F5095" s="0" t="n">
        <v>1.65</v>
      </c>
      <c r="G5095" s="0" t="n">
        <v>17153</v>
      </c>
      <c r="H5095" s="6" t="s">
        <v>42</v>
      </c>
      <c r="I5095" s="6" t="n">
        <f aca="false">D5095*F5095</f>
        <v>28.05</v>
      </c>
      <c r="J5095" s="6" t="n">
        <f aca="false">HOUR(E5095)</f>
        <v>10</v>
      </c>
      <c r="K5095" s="6" t="n">
        <f aca="false">IF(COUNTIF($A$2:$A5095,A5095)=1,1,0)</f>
        <v>0</v>
      </c>
    </row>
    <row r="5096" customFormat="false" ht="15" hidden="false" customHeight="false" outlineLevel="0" collapsed="false">
      <c r="A5096" s="0" t="s">
        <v>1041</v>
      </c>
      <c r="B5096" s="0" t="s">
        <v>81</v>
      </c>
      <c r="C5096" s="0" t="s">
        <v>82</v>
      </c>
      <c r="D5096" s="0" t="n">
        <v>6</v>
      </c>
      <c r="E5096" s="5" t="n">
        <v>46011.4245486111</v>
      </c>
      <c r="F5096" s="0" t="n">
        <v>1.65</v>
      </c>
      <c r="G5096" s="0" t="n">
        <v>17153</v>
      </c>
      <c r="H5096" s="6" t="s">
        <v>42</v>
      </c>
      <c r="I5096" s="6" t="n">
        <f aca="false">D5096*F5096</f>
        <v>9.9</v>
      </c>
      <c r="J5096" s="6" t="n">
        <f aca="false">HOUR(E5096)</f>
        <v>10</v>
      </c>
      <c r="K5096" s="6" t="n">
        <f aca="false">IF(COUNTIF($A$2:$A5096,A5096)=1,1,0)</f>
        <v>0</v>
      </c>
    </row>
    <row r="5097" customFormat="false" ht="15" hidden="false" customHeight="false" outlineLevel="0" collapsed="false">
      <c r="A5097" s="0" t="s">
        <v>1042</v>
      </c>
      <c r="B5097" s="0" t="s">
        <v>81</v>
      </c>
      <c r="C5097" s="0" t="s">
        <v>82</v>
      </c>
      <c r="D5097" s="0" t="n">
        <v>17</v>
      </c>
      <c r="E5097" s="5" t="n">
        <v>46011.4404861111</v>
      </c>
      <c r="F5097" s="0" t="n">
        <v>1.65</v>
      </c>
      <c r="G5097" s="0" t="n">
        <v>17111</v>
      </c>
      <c r="H5097" s="6" t="s">
        <v>74</v>
      </c>
      <c r="I5097" s="6" t="n">
        <f aca="false">D5097*F5097</f>
        <v>28.05</v>
      </c>
      <c r="J5097" s="6" t="n">
        <f aca="false">HOUR(E5097)</f>
        <v>10</v>
      </c>
      <c r="K5097" s="6" t="n">
        <f aca="false">IF(COUNTIF($A$2:$A5097,A5097)=1,1,0)</f>
        <v>1</v>
      </c>
    </row>
    <row r="5098" customFormat="false" ht="15" hidden="false" customHeight="false" outlineLevel="0" collapsed="false">
      <c r="A5098" s="0" t="s">
        <v>1042</v>
      </c>
      <c r="B5098" s="0" t="s">
        <v>63</v>
      </c>
      <c r="C5098" s="0" t="s">
        <v>64</v>
      </c>
      <c r="D5098" s="0" t="n">
        <v>1</v>
      </c>
      <c r="E5098" s="5" t="n">
        <v>46011.4404861111</v>
      </c>
      <c r="F5098" s="0" t="n">
        <v>1.85</v>
      </c>
      <c r="G5098" s="0" t="n">
        <v>17111</v>
      </c>
      <c r="H5098" s="6" t="s">
        <v>74</v>
      </c>
      <c r="I5098" s="6" t="n">
        <f aca="false">D5098*F5098</f>
        <v>1.85</v>
      </c>
      <c r="J5098" s="6" t="n">
        <f aca="false">HOUR(E5098)</f>
        <v>10</v>
      </c>
      <c r="K5098" s="6" t="n">
        <f aca="false">IF(COUNTIF($A$2:$A5098,A5098)=1,1,0)</f>
        <v>0</v>
      </c>
    </row>
    <row r="5099" customFormat="false" ht="15" hidden="false" customHeight="false" outlineLevel="0" collapsed="false">
      <c r="A5099" s="0" t="s">
        <v>1042</v>
      </c>
      <c r="B5099" s="0" t="s">
        <v>40</v>
      </c>
      <c r="C5099" s="0" t="s">
        <v>41</v>
      </c>
      <c r="D5099" s="0" t="n">
        <v>1</v>
      </c>
      <c r="E5099" s="5" t="n">
        <v>46011.4404861111</v>
      </c>
      <c r="F5099" s="0" t="n">
        <v>1.06</v>
      </c>
      <c r="G5099" s="0" t="n">
        <v>17111</v>
      </c>
      <c r="H5099" s="6" t="s">
        <v>74</v>
      </c>
      <c r="I5099" s="6" t="n">
        <f aca="false">D5099*F5099</f>
        <v>1.06</v>
      </c>
      <c r="J5099" s="6" t="n">
        <f aca="false">HOUR(E5099)</f>
        <v>10</v>
      </c>
      <c r="K5099" s="6" t="n">
        <f aca="false">IF(COUNTIF($A$2:$A5099,A5099)=1,1,0)</f>
        <v>0</v>
      </c>
    </row>
    <row r="5100" customFormat="false" ht="15" hidden="false" customHeight="false" outlineLevel="0" collapsed="false">
      <c r="A5100" s="0" t="s">
        <v>1042</v>
      </c>
      <c r="B5100" s="0" t="s">
        <v>140</v>
      </c>
      <c r="C5100" s="0" t="s">
        <v>141</v>
      </c>
      <c r="D5100" s="0" t="n">
        <v>23</v>
      </c>
      <c r="E5100" s="5" t="n">
        <v>46011.4404861111</v>
      </c>
      <c r="F5100" s="0" t="n">
        <v>2.08</v>
      </c>
      <c r="G5100" s="0" t="n">
        <v>17111</v>
      </c>
      <c r="H5100" s="6" t="s">
        <v>74</v>
      </c>
      <c r="I5100" s="6" t="n">
        <f aca="false">D5100*F5100</f>
        <v>47.84</v>
      </c>
      <c r="J5100" s="6" t="n">
        <f aca="false">HOUR(E5100)</f>
        <v>10</v>
      </c>
      <c r="K5100" s="6" t="n">
        <f aca="false">IF(COUNTIF($A$2:$A5100,A5100)=1,1,0)</f>
        <v>0</v>
      </c>
    </row>
    <row r="5101" customFormat="false" ht="15" hidden="false" customHeight="false" outlineLevel="0" collapsed="false">
      <c r="A5101" s="0" t="s">
        <v>1042</v>
      </c>
      <c r="B5101" s="0" t="s">
        <v>72</v>
      </c>
      <c r="C5101" s="0" t="s">
        <v>73</v>
      </c>
      <c r="D5101" s="0" t="n">
        <v>35</v>
      </c>
      <c r="E5101" s="5" t="n">
        <v>46011.4404861111</v>
      </c>
      <c r="F5101" s="0" t="n">
        <v>4.95</v>
      </c>
      <c r="G5101" s="0" t="n">
        <v>17111</v>
      </c>
      <c r="H5101" s="6" t="s">
        <v>74</v>
      </c>
      <c r="I5101" s="6" t="n">
        <f aca="false">D5101*F5101</f>
        <v>173.25</v>
      </c>
      <c r="J5101" s="6" t="n">
        <f aca="false">HOUR(E5101)</f>
        <v>10</v>
      </c>
      <c r="K5101" s="6" t="n">
        <f aca="false">IF(COUNTIF($A$2:$A5101,A5101)=1,1,0)</f>
        <v>0</v>
      </c>
    </row>
    <row r="5102" customFormat="false" ht="15" hidden="false" customHeight="false" outlineLevel="0" collapsed="false">
      <c r="A5102" s="0" t="s">
        <v>1042</v>
      </c>
      <c r="B5102" s="0" t="s">
        <v>75</v>
      </c>
      <c r="C5102" s="0" t="s">
        <v>76</v>
      </c>
      <c r="D5102" s="0" t="n">
        <v>24</v>
      </c>
      <c r="E5102" s="5" t="n">
        <v>46011.4404861111</v>
      </c>
      <c r="F5102" s="0" t="n">
        <v>3.39</v>
      </c>
      <c r="G5102" s="0" t="n">
        <v>17111</v>
      </c>
      <c r="H5102" s="6" t="s">
        <v>74</v>
      </c>
      <c r="I5102" s="6" t="n">
        <f aca="false">D5102*F5102</f>
        <v>81.36</v>
      </c>
      <c r="J5102" s="6" t="n">
        <f aca="false">HOUR(E5102)</f>
        <v>10</v>
      </c>
      <c r="K5102" s="6" t="n">
        <f aca="false">IF(COUNTIF($A$2:$A5102,A5102)=1,1,0)</f>
        <v>0</v>
      </c>
    </row>
    <row r="5103" customFormat="false" ht="15" hidden="false" customHeight="false" outlineLevel="0" collapsed="false">
      <c r="A5103" s="0" t="s">
        <v>1042</v>
      </c>
      <c r="B5103" s="0" t="s">
        <v>43</v>
      </c>
      <c r="C5103" s="0" t="s">
        <v>44</v>
      </c>
      <c r="D5103" s="0" t="n">
        <v>6</v>
      </c>
      <c r="E5103" s="5" t="n">
        <v>46011.4404861111</v>
      </c>
      <c r="F5103" s="0" t="n">
        <v>4.25</v>
      </c>
      <c r="G5103" s="0" t="n">
        <v>17111</v>
      </c>
      <c r="H5103" s="6" t="s">
        <v>74</v>
      </c>
      <c r="I5103" s="6" t="n">
        <f aca="false">D5103*F5103</f>
        <v>25.5</v>
      </c>
      <c r="J5103" s="6" t="n">
        <f aca="false">HOUR(E5103)</f>
        <v>10</v>
      </c>
      <c r="K5103" s="6" t="n">
        <f aca="false">IF(COUNTIF($A$2:$A5103,A5103)=1,1,0)</f>
        <v>0</v>
      </c>
    </row>
    <row r="5104" customFormat="false" ht="15" hidden="false" customHeight="false" outlineLevel="0" collapsed="false">
      <c r="A5104" s="0" t="s">
        <v>1042</v>
      </c>
      <c r="B5104" s="0" t="s">
        <v>86</v>
      </c>
      <c r="C5104" s="0" t="s">
        <v>87</v>
      </c>
      <c r="D5104" s="0" t="n">
        <v>7</v>
      </c>
      <c r="E5104" s="5" t="n">
        <v>46011.4404861111</v>
      </c>
      <c r="F5104" s="0" t="n">
        <v>4.25</v>
      </c>
      <c r="G5104" s="0" t="n">
        <v>17111</v>
      </c>
      <c r="H5104" s="6" t="s">
        <v>74</v>
      </c>
      <c r="I5104" s="6" t="n">
        <f aca="false">D5104*F5104</f>
        <v>29.75</v>
      </c>
      <c r="J5104" s="6" t="n">
        <f aca="false">HOUR(E5104)</f>
        <v>10</v>
      </c>
      <c r="K5104" s="6" t="n">
        <f aca="false">IF(COUNTIF($A$2:$A5104,A5104)=1,1,0)</f>
        <v>0</v>
      </c>
    </row>
    <row r="5105" customFormat="false" ht="15" hidden="false" customHeight="false" outlineLevel="0" collapsed="false">
      <c r="A5105" s="0" t="s">
        <v>1043</v>
      </c>
      <c r="B5105" s="0" t="s">
        <v>91</v>
      </c>
      <c r="C5105" s="0" t="s">
        <v>92</v>
      </c>
      <c r="D5105" s="0" t="n">
        <v>22</v>
      </c>
      <c r="E5105" s="5" t="n">
        <v>46011.4678935185</v>
      </c>
      <c r="F5105" s="0" t="n">
        <v>7.65</v>
      </c>
      <c r="G5105" s="0" t="n">
        <v>17179</v>
      </c>
      <c r="H5105" s="6" t="s">
        <v>74</v>
      </c>
      <c r="I5105" s="6" t="n">
        <f aca="false">D5105*F5105</f>
        <v>168.3</v>
      </c>
      <c r="J5105" s="6" t="n">
        <f aca="false">HOUR(E5105)</f>
        <v>11</v>
      </c>
      <c r="K5105" s="6" t="n">
        <f aca="false">IF(COUNTIF($A$2:$A5105,A5105)=1,1,0)</f>
        <v>1</v>
      </c>
    </row>
    <row r="5106" customFormat="false" ht="15" hidden="false" customHeight="false" outlineLevel="0" collapsed="false">
      <c r="A5106" s="0" t="s">
        <v>1043</v>
      </c>
      <c r="B5106" s="0" t="s">
        <v>121</v>
      </c>
      <c r="C5106" s="0" t="s">
        <v>122</v>
      </c>
      <c r="D5106" s="0" t="n">
        <v>13</v>
      </c>
      <c r="E5106" s="5" t="n">
        <v>46011.4678935185</v>
      </c>
      <c r="F5106" s="0" t="n">
        <v>2.1</v>
      </c>
      <c r="G5106" s="0" t="n">
        <v>17179</v>
      </c>
      <c r="H5106" s="6" t="s">
        <v>74</v>
      </c>
      <c r="I5106" s="6" t="n">
        <f aca="false">D5106*F5106</f>
        <v>27.3</v>
      </c>
      <c r="J5106" s="6" t="n">
        <f aca="false">HOUR(E5106)</f>
        <v>11</v>
      </c>
      <c r="K5106" s="6" t="n">
        <f aca="false">IF(COUNTIF($A$2:$A5106,A5106)=1,1,0)</f>
        <v>0</v>
      </c>
    </row>
    <row r="5107" customFormat="false" ht="15" hidden="false" customHeight="false" outlineLevel="0" collapsed="false">
      <c r="A5107" s="0" t="s">
        <v>1043</v>
      </c>
      <c r="B5107" s="0" t="s">
        <v>140</v>
      </c>
      <c r="C5107" s="0" t="s">
        <v>141</v>
      </c>
      <c r="D5107" s="0" t="n">
        <v>5</v>
      </c>
      <c r="E5107" s="5" t="n">
        <v>46011.4678935185</v>
      </c>
      <c r="F5107" s="0" t="n">
        <v>2.08</v>
      </c>
      <c r="G5107" s="0" t="n">
        <v>17179</v>
      </c>
      <c r="H5107" s="6" t="s">
        <v>74</v>
      </c>
      <c r="I5107" s="6" t="n">
        <f aca="false">D5107*F5107</f>
        <v>10.4</v>
      </c>
      <c r="J5107" s="6" t="n">
        <f aca="false">HOUR(E5107)</f>
        <v>11</v>
      </c>
      <c r="K5107" s="6" t="n">
        <f aca="false">IF(COUNTIF($A$2:$A5107,A5107)=1,1,0)</f>
        <v>0</v>
      </c>
    </row>
    <row r="5108" customFormat="false" ht="15" hidden="false" customHeight="false" outlineLevel="0" collapsed="false">
      <c r="A5108" s="0" t="s">
        <v>1043</v>
      </c>
      <c r="B5108" s="0" t="s">
        <v>86</v>
      </c>
      <c r="C5108" s="0" t="s">
        <v>87</v>
      </c>
      <c r="D5108" s="0" t="n">
        <v>9</v>
      </c>
      <c r="E5108" s="5" t="n">
        <v>46011.4678935185</v>
      </c>
      <c r="F5108" s="0" t="n">
        <v>4.25</v>
      </c>
      <c r="G5108" s="0" t="n">
        <v>17179</v>
      </c>
      <c r="H5108" s="6" t="s">
        <v>74</v>
      </c>
      <c r="I5108" s="6" t="n">
        <f aca="false">D5108*F5108</f>
        <v>38.25</v>
      </c>
      <c r="J5108" s="6" t="n">
        <f aca="false">HOUR(E5108)</f>
        <v>11</v>
      </c>
      <c r="K5108" s="6" t="n">
        <f aca="false">IF(COUNTIF($A$2:$A5108,A5108)=1,1,0)</f>
        <v>0</v>
      </c>
    </row>
    <row r="5109" customFormat="false" ht="15" hidden="false" customHeight="false" outlineLevel="0" collapsed="false">
      <c r="A5109" s="0" t="s">
        <v>1043</v>
      </c>
      <c r="B5109" s="0" t="s">
        <v>81</v>
      </c>
      <c r="C5109" s="0" t="s">
        <v>82</v>
      </c>
      <c r="D5109" s="0" t="n">
        <v>23</v>
      </c>
      <c r="E5109" s="5" t="n">
        <v>46011.4678935185</v>
      </c>
      <c r="F5109" s="0" t="n">
        <v>1.65</v>
      </c>
      <c r="G5109" s="0" t="n">
        <v>17179</v>
      </c>
      <c r="H5109" s="6" t="s">
        <v>74</v>
      </c>
      <c r="I5109" s="6" t="n">
        <f aca="false">D5109*F5109</f>
        <v>37.95</v>
      </c>
      <c r="J5109" s="6" t="n">
        <f aca="false">HOUR(E5109)</f>
        <v>11</v>
      </c>
      <c r="K5109" s="6" t="n">
        <f aca="false">IF(COUNTIF($A$2:$A5109,A5109)=1,1,0)</f>
        <v>0</v>
      </c>
    </row>
    <row r="5110" customFormat="false" ht="15" hidden="false" customHeight="false" outlineLevel="0" collapsed="false">
      <c r="A5110" s="0" t="s">
        <v>1043</v>
      </c>
      <c r="B5110" s="0" t="s">
        <v>77</v>
      </c>
      <c r="C5110" s="0" t="s">
        <v>78</v>
      </c>
      <c r="D5110" s="0" t="n">
        <v>14</v>
      </c>
      <c r="E5110" s="5" t="n">
        <v>46011.4678935185</v>
      </c>
      <c r="F5110" s="0" t="n">
        <v>1.65</v>
      </c>
      <c r="G5110" s="0" t="n">
        <v>17179</v>
      </c>
      <c r="H5110" s="6" t="s">
        <v>74</v>
      </c>
      <c r="I5110" s="6" t="n">
        <f aca="false">D5110*F5110</f>
        <v>23.1</v>
      </c>
      <c r="J5110" s="6" t="n">
        <f aca="false">HOUR(E5110)</f>
        <v>11</v>
      </c>
      <c r="K5110" s="6" t="n">
        <f aca="false">IF(COUNTIF($A$2:$A5110,A5110)=1,1,0)</f>
        <v>0</v>
      </c>
    </row>
    <row r="5111" customFormat="false" ht="15" hidden="false" customHeight="false" outlineLevel="0" collapsed="false">
      <c r="A5111" s="0" t="s">
        <v>1043</v>
      </c>
      <c r="B5111" s="0" t="s">
        <v>116</v>
      </c>
      <c r="C5111" s="0" t="s">
        <v>117</v>
      </c>
      <c r="D5111" s="0" t="n">
        <v>1</v>
      </c>
      <c r="E5111" s="5" t="n">
        <v>46011.4678935185</v>
      </c>
      <c r="F5111" s="0" t="n">
        <v>1.95</v>
      </c>
      <c r="G5111" s="0" t="n">
        <v>17179</v>
      </c>
      <c r="H5111" s="6" t="s">
        <v>74</v>
      </c>
      <c r="I5111" s="6" t="n">
        <f aca="false">D5111*F5111</f>
        <v>1.95</v>
      </c>
      <c r="J5111" s="6" t="n">
        <f aca="false">HOUR(E5111)</f>
        <v>11</v>
      </c>
      <c r="K5111" s="6" t="n">
        <f aca="false">IF(COUNTIF($A$2:$A5111,A5111)=1,1,0)</f>
        <v>0</v>
      </c>
    </row>
    <row r="5112" customFormat="false" ht="15" hidden="false" customHeight="false" outlineLevel="0" collapsed="false">
      <c r="A5112" s="0" t="s">
        <v>1043</v>
      </c>
      <c r="B5112" s="0" t="s">
        <v>109</v>
      </c>
      <c r="C5112" s="0" t="s">
        <v>110</v>
      </c>
      <c r="D5112" s="0" t="n">
        <v>13</v>
      </c>
      <c r="E5112" s="5" t="n">
        <v>46011.4678935185</v>
      </c>
      <c r="F5112" s="0" t="n">
        <v>0.85</v>
      </c>
      <c r="G5112" s="0" t="n">
        <v>17179</v>
      </c>
      <c r="H5112" s="6" t="s">
        <v>74</v>
      </c>
      <c r="I5112" s="6" t="n">
        <f aca="false">D5112*F5112</f>
        <v>11.05</v>
      </c>
      <c r="J5112" s="6" t="n">
        <f aca="false">HOUR(E5112)</f>
        <v>11</v>
      </c>
      <c r="K5112" s="6" t="n">
        <f aca="false">IF(COUNTIF($A$2:$A5112,A5112)=1,1,0)</f>
        <v>0</v>
      </c>
    </row>
    <row r="5113" customFormat="false" ht="15" hidden="false" customHeight="false" outlineLevel="0" collapsed="false">
      <c r="A5113" s="0" t="s">
        <v>1043</v>
      </c>
      <c r="B5113" s="0" t="s">
        <v>43</v>
      </c>
      <c r="C5113" s="0" t="s">
        <v>44</v>
      </c>
      <c r="D5113" s="0" t="n">
        <v>5</v>
      </c>
      <c r="E5113" s="5" t="n">
        <v>46011.4678935185</v>
      </c>
      <c r="F5113" s="0" t="n">
        <v>4.25</v>
      </c>
      <c r="G5113" s="0" t="n">
        <v>17179</v>
      </c>
      <c r="H5113" s="6" t="s">
        <v>74</v>
      </c>
      <c r="I5113" s="6" t="n">
        <f aca="false">D5113*F5113</f>
        <v>21.25</v>
      </c>
      <c r="J5113" s="6" t="n">
        <f aca="false">HOUR(E5113)</f>
        <v>11</v>
      </c>
      <c r="K5113" s="6" t="n">
        <f aca="false">IF(COUNTIF($A$2:$A5113,A5113)=1,1,0)</f>
        <v>0</v>
      </c>
    </row>
    <row r="5114" customFormat="false" ht="15" hidden="false" customHeight="false" outlineLevel="0" collapsed="false">
      <c r="A5114" s="0" t="s">
        <v>1044</v>
      </c>
      <c r="B5114" s="0" t="s">
        <v>75</v>
      </c>
      <c r="C5114" s="0" t="s">
        <v>76</v>
      </c>
      <c r="D5114" s="0" t="n">
        <v>21</v>
      </c>
      <c r="E5114" s="5" t="n">
        <v>46011.4868634259</v>
      </c>
      <c r="F5114" s="0" t="n">
        <v>3.39</v>
      </c>
      <c r="G5114" s="0" t="n">
        <v>17038</v>
      </c>
      <c r="H5114" s="6" t="s">
        <v>74</v>
      </c>
      <c r="I5114" s="6" t="n">
        <f aca="false">D5114*F5114</f>
        <v>71.19</v>
      </c>
      <c r="J5114" s="6" t="n">
        <f aca="false">HOUR(E5114)</f>
        <v>11</v>
      </c>
      <c r="K5114" s="6" t="n">
        <f aca="false">IF(COUNTIF($A$2:$A5114,A5114)=1,1,0)</f>
        <v>1</v>
      </c>
    </row>
    <row r="5115" customFormat="false" ht="15" hidden="false" customHeight="false" outlineLevel="0" collapsed="false">
      <c r="A5115" s="0" t="s">
        <v>1045</v>
      </c>
      <c r="B5115" s="0" t="s">
        <v>61</v>
      </c>
      <c r="C5115" s="0" t="s">
        <v>62</v>
      </c>
      <c r="D5115" s="0" t="n">
        <v>10</v>
      </c>
      <c r="E5115" s="5" t="n">
        <v>46011.491412037</v>
      </c>
      <c r="F5115" s="0" t="n">
        <v>1.65</v>
      </c>
      <c r="G5115" s="0" t="n">
        <v>17160</v>
      </c>
      <c r="H5115" s="6" t="s">
        <v>74</v>
      </c>
      <c r="I5115" s="6" t="n">
        <f aca="false">D5115*F5115</f>
        <v>16.5</v>
      </c>
      <c r="J5115" s="6" t="n">
        <f aca="false">HOUR(E5115)</f>
        <v>11</v>
      </c>
      <c r="K5115" s="6" t="n">
        <f aca="false">IF(COUNTIF($A$2:$A5115,A5115)=1,1,0)</f>
        <v>1</v>
      </c>
    </row>
    <row r="5116" customFormat="false" ht="15" hidden="false" customHeight="false" outlineLevel="0" collapsed="false">
      <c r="A5116" s="0" t="s">
        <v>1045</v>
      </c>
      <c r="B5116" s="0" t="s">
        <v>102</v>
      </c>
      <c r="C5116" s="0" t="s">
        <v>103</v>
      </c>
      <c r="D5116" s="0" t="n">
        <v>15</v>
      </c>
      <c r="E5116" s="5" t="n">
        <v>46011.491412037</v>
      </c>
      <c r="F5116" s="0" t="n">
        <v>8.5</v>
      </c>
      <c r="G5116" s="0" t="n">
        <v>17160</v>
      </c>
      <c r="H5116" s="6" t="s">
        <v>74</v>
      </c>
      <c r="I5116" s="6" t="n">
        <f aca="false">D5116*F5116</f>
        <v>127.5</v>
      </c>
      <c r="J5116" s="6" t="n">
        <f aca="false">HOUR(E5116)</f>
        <v>11</v>
      </c>
      <c r="K5116" s="6" t="n">
        <f aca="false">IF(COUNTIF($A$2:$A5116,A5116)=1,1,0)</f>
        <v>0</v>
      </c>
    </row>
    <row r="5117" customFormat="false" ht="15" hidden="false" customHeight="false" outlineLevel="0" collapsed="false">
      <c r="A5117" s="0" t="s">
        <v>1045</v>
      </c>
      <c r="B5117" s="0" t="s">
        <v>40</v>
      </c>
      <c r="C5117" s="0" t="s">
        <v>41</v>
      </c>
      <c r="D5117" s="0" t="n">
        <v>19</v>
      </c>
      <c r="E5117" s="5" t="n">
        <v>46011.491412037</v>
      </c>
      <c r="F5117" s="0" t="n">
        <v>1.06</v>
      </c>
      <c r="G5117" s="0" t="n">
        <v>17160</v>
      </c>
      <c r="H5117" s="6" t="s">
        <v>74</v>
      </c>
      <c r="I5117" s="6" t="n">
        <f aca="false">D5117*F5117</f>
        <v>20.14</v>
      </c>
      <c r="J5117" s="6" t="n">
        <f aca="false">HOUR(E5117)</f>
        <v>11</v>
      </c>
      <c r="K5117" s="6" t="n">
        <f aca="false">IF(COUNTIF($A$2:$A5117,A5117)=1,1,0)</f>
        <v>0</v>
      </c>
    </row>
    <row r="5118" customFormat="false" ht="15" hidden="false" customHeight="false" outlineLevel="0" collapsed="false">
      <c r="A5118" s="0" t="s">
        <v>1045</v>
      </c>
      <c r="B5118" s="0" t="s">
        <v>63</v>
      </c>
      <c r="C5118" s="0" t="s">
        <v>64</v>
      </c>
      <c r="D5118" s="0" t="n">
        <v>5</v>
      </c>
      <c r="E5118" s="5" t="n">
        <v>46011.491412037</v>
      </c>
      <c r="F5118" s="0" t="n">
        <v>1.85</v>
      </c>
      <c r="G5118" s="0" t="n">
        <v>17160</v>
      </c>
      <c r="H5118" s="6" t="s">
        <v>74</v>
      </c>
      <c r="I5118" s="6" t="n">
        <f aca="false">D5118*F5118</f>
        <v>9.25</v>
      </c>
      <c r="J5118" s="6" t="n">
        <f aca="false">HOUR(E5118)</f>
        <v>11</v>
      </c>
      <c r="K5118" s="6" t="n">
        <f aca="false">IF(COUNTIF($A$2:$A5118,A5118)=1,1,0)</f>
        <v>0</v>
      </c>
    </row>
    <row r="5119" customFormat="false" ht="15" hidden="false" customHeight="false" outlineLevel="0" collapsed="false">
      <c r="A5119" s="0" t="s">
        <v>1045</v>
      </c>
      <c r="B5119" s="0" t="s">
        <v>55</v>
      </c>
      <c r="C5119" s="0" t="s">
        <v>56</v>
      </c>
      <c r="D5119" s="0" t="n">
        <v>10</v>
      </c>
      <c r="E5119" s="5" t="n">
        <v>46011.491412037</v>
      </c>
      <c r="F5119" s="0" t="n">
        <v>1.65</v>
      </c>
      <c r="G5119" s="0" t="n">
        <v>17160</v>
      </c>
      <c r="H5119" s="6" t="s">
        <v>74</v>
      </c>
      <c r="I5119" s="6" t="n">
        <f aca="false">D5119*F5119</f>
        <v>16.5</v>
      </c>
      <c r="J5119" s="6" t="n">
        <f aca="false">HOUR(E5119)</f>
        <v>11</v>
      </c>
      <c r="K5119" s="6" t="n">
        <f aca="false">IF(COUNTIF($A$2:$A5119,A5119)=1,1,0)</f>
        <v>0</v>
      </c>
    </row>
    <row r="5120" customFormat="false" ht="15" hidden="false" customHeight="false" outlineLevel="0" collapsed="false">
      <c r="A5120" s="0" t="s">
        <v>1045</v>
      </c>
      <c r="B5120" s="0" t="s">
        <v>121</v>
      </c>
      <c r="C5120" s="0" t="s">
        <v>122</v>
      </c>
      <c r="D5120" s="0" t="n">
        <v>2</v>
      </c>
      <c r="E5120" s="5" t="n">
        <v>46011.491412037</v>
      </c>
      <c r="F5120" s="0" t="n">
        <v>2.1</v>
      </c>
      <c r="G5120" s="0" t="n">
        <v>17160</v>
      </c>
      <c r="H5120" s="6" t="s">
        <v>74</v>
      </c>
      <c r="I5120" s="6" t="n">
        <f aca="false">D5120*F5120</f>
        <v>4.2</v>
      </c>
      <c r="J5120" s="6" t="n">
        <f aca="false">HOUR(E5120)</f>
        <v>11</v>
      </c>
      <c r="K5120" s="6" t="n">
        <f aca="false">IF(COUNTIF($A$2:$A5120,A5120)=1,1,0)</f>
        <v>0</v>
      </c>
    </row>
    <row r="5121" customFormat="false" ht="15" hidden="false" customHeight="false" outlineLevel="0" collapsed="false">
      <c r="A5121" s="0" t="s">
        <v>1045</v>
      </c>
      <c r="B5121" s="0" t="s">
        <v>91</v>
      </c>
      <c r="C5121" s="0" t="s">
        <v>92</v>
      </c>
      <c r="D5121" s="0" t="n">
        <v>16</v>
      </c>
      <c r="E5121" s="5" t="n">
        <v>46011.491412037</v>
      </c>
      <c r="F5121" s="0" t="n">
        <v>7.65</v>
      </c>
      <c r="G5121" s="0" t="n">
        <v>17160</v>
      </c>
      <c r="H5121" s="6" t="s">
        <v>74</v>
      </c>
      <c r="I5121" s="6" t="n">
        <f aca="false">D5121*F5121</f>
        <v>122.4</v>
      </c>
      <c r="J5121" s="6" t="n">
        <f aca="false">HOUR(E5121)</f>
        <v>11</v>
      </c>
      <c r="K5121" s="6" t="n">
        <f aca="false">IF(COUNTIF($A$2:$A5121,A5121)=1,1,0)</f>
        <v>0</v>
      </c>
    </row>
    <row r="5122" customFormat="false" ht="15" hidden="false" customHeight="false" outlineLevel="0" collapsed="false">
      <c r="A5122" s="0" t="s">
        <v>1046</v>
      </c>
      <c r="B5122" s="0" t="s">
        <v>77</v>
      </c>
      <c r="C5122" s="0" t="s">
        <v>78</v>
      </c>
      <c r="D5122" s="0" t="n">
        <v>17</v>
      </c>
      <c r="E5122" s="5" t="n">
        <v>46011.5097685185</v>
      </c>
      <c r="F5122" s="0" t="n">
        <v>1.65</v>
      </c>
      <c r="G5122" s="0" t="n">
        <v>17233</v>
      </c>
      <c r="H5122" s="6" t="s">
        <v>74</v>
      </c>
      <c r="I5122" s="6" t="n">
        <f aca="false">D5122*F5122</f>
        <v>28.05</v>
      </c>
      <c r="J5122" s="6" t="n">
        <f aca="false">HOUR(E5122)</f>
        <v>12</v>
      </c>
      <c r="K5122" s="6" t="n">
        <f aca="false">IF(COUNTIF($A$2:$A5122,A5122)=1,1,0)</f>
        <v>1</v>
      </c>
    </row>
    <row r="5123" customFormat="false" ht="15" hidden="false" customHeight="false" outlineLevel="0" collapsed="false">
      <c r="A5123" s="0" t="s">
        <v>1046</v>
      </c>
      <c r="B5123" s="0" t="s">
        <v>83</v>
      </c>
      <c r="D5123" s="0" t="n">
        <v>24</v>
      </c>
      <c r="E5123" s="5" t="n">
        <v>46011.5097685185</v>
      </c>
      <c r="F5123" s="0" t="n">
        <v>2.95</v>
      </c>
      <c r="G5123" s="0" t="n">
        <v>17233</v>
      </c>
      <c r="H5123" s="6" t="s">
        <v>74</v>
      </c>
      <c r="I5123" s="6" t="n">
        <f aca="false">D5123*F5123</f>
        <v>70.8</v>
      </c>
      <c r="J5123" s="6" t="n">
        <f aca="false">HOUR(E5123)</f>
        <v>12</v>
      </c>
      <c r="K5123" s="6" t="n">
        <f aca="false">IF(COUNTIF($A$2:$A5123,A5123)=1,1,0)</f>
        <v>0</v>
      </c>
    </row>
    <row r="5124" customFormat="false" ht="15" hidden="false" customHeight="false" outlineLevel="0" collapsed="false">
      <c r="A5124" s="0" t="s">
        <v>1046</v>
      </c>
      <c r="B5124" s="0" t="s">
        <v>131</v>
      </c>
      <c r="C5124" s="0" t="s">
        <v>132</v>
      </c>
      <c r="D5124" s="0" t="n">
        <v>1</v>
      </c>
      <c r="E5124" s="5" t="n">
        <v>46011.5097685185</v>
      </c>
      <c r="F5124" s="0" t="n">
        <v>3.39</v>
      </c>
      <c r="G5124" s="0" t="n">
        <v>17233</v>
      </c>
      <c r="H5124" s="6" t="s">
        <v>74</v>
      </c>
      <c r="I5124" s="6" t="n">
        <f aca="false">D5124*F5124</f>
        <v>3.39</v>
      </c>
      <c r="J5124" s="6" t="n">
        <f aca="false">HOUR(E5124)</f>
        <v>12</v>
      </c>
      <c r="K5124" s="6" t="n">
        <f aca="false">IF(COUNTIF($A$2:$A5124,A5124)=1,1,0)</f>
        <v>0</v>
      </c>
    </row>
    <row r="5125" customFormat="false" ht="15" hidden="false" customHeight="false" outlineLevel="0" collapsed="false">
      <c r="A5125" s="0" t="s">
        <v>1046</v>
      </c>
      <c r="B5125" s="0" t="s">
        <v>109</v>
      </c>
      <c r="C5125" s="0" t="s">
        <v>110</v>
      </c>
      <c r="D5125" s="0" t="n">
        <v>10</v>
      </c>
      <c r="E5125" s="5" t="n">
        <v>46011.5097685185</v>
      </c>
      <c r="F5125" s="0" t="n">
        <v>0.85</v>
      </c>
      <c r="G5125" s="0" t="n">
        <v>17233</v>
      </c>
      <c r="H5125" s="6" t="s">
        <v>74</v>
      </c>
      <c r="I5125" s="6" t="n">
        <f aca="false">D5125*F5125</f>
        <v>8.5</v>
      </c>
      <c r="J5125" s="6" t="n">
        <f aca="false">HOUR(E5125)</f>
        <v>12</v>
      </c>
      <c r="K5125" s="6" t="n">
        <f aca="false">IF(COUNTIF($A$2:$A5125,A5125)=1,1,0)</f>
        <v>0</v>
      </c>
    </row>
    <row r="5126" customFormat="false" ht="15" hidden="false" customHeight="false" outlineLevel="0" collapsed="false">
      <c r="A5126" s="0" t="s">
        <v>1046</v>
      </c>
      <c r="B5126" s="0" t="s">
        <v>79</v>
      </c>
      <c r="D5126" s="0" t="n">
        <v>23</v>
      </c>
      <c r="E5126" s="5" t="n">
        <v>46011.5097685185</v>
      </c>
      <c r="F5126" s="0" t="n">
        <v>3.39</v>
      </c>
      <c r="G5126" s="0" t="n">
        <v>17233</v>
      </c>
      <c r="H5126" s="6" t="s">
        <v>74</v>
      </c>
      <c r="I5126" s="6" t="n">
        <f aca="false">D5126*F5126</f>
        <v>77.97</v>
      </c>
      <c r="J5126" s="6" t="n">
        <f aca="false">HOUR(E5126)</f>
        <v>12</v>
      </c>
      <c r="K5126" s="6" t="n">
        <f aca="false">IF(COUNTIF($A$2:$A5126,A5126)=1,1,0)</f>
        <v>0</v>
      </c>
    </row>
    <row r="5127" customFormat="false" ht="15" hidden="false" customHeight="false" outlineLevel="0" collapsed="false">
      <c r="A5127" s="0" t="s">
        <v>1046</v>
      </c>
      <c r="B5127" s="0" t="s">
        <v>95</v>
      </c>
      <c r="C5127" s="0" t="s">
        <v>96</v>
      </c>
      <c r="D5127" s="0" t="n">
        <v>12</v>
      </c>
      <c r="E5127" s="5" t="n">
        <v>46011.5097685185</v>
      </c>
      <c r="F5127" s="0" t="n">
        <v>2.55</v>
      </c>
      <c r="G5127" s="0" t="n">
        <v>17233</v>
      </c>
      <c r="H5127" s="6" t="s">
        <v>74</v>
      </c>
      <c r="I5127" s="6" t="n">
        <f aca="false">D5127*F5127</f>
        <v>30.6</v>
      </c>
      <c r="J5127" s="6" t="n">
        <f aca="false">HOUR(E5127)</f>
        <v>12</v>
      </c>
      <c r="K5127" s="6" t="n">
        <f aca="false">IF(COUNTIF($A$2:$A5127,A5127)=1,1,0)</f>
        <v>0</v>
      </c>
    </row>
    <row r="5128" customFormat="false" ht="15" hidden="false" customHeight="false" outlineLevel="0" collapsed="false">
      <c r="A5128" s="0" t="s">
        <v>1047</v>
      </c>
      <c r="B5128" s="0" t="s">
        <v>43</v>
      </c>
      <c r="C5128" s="0" t="s">
        <v>44</v>
      </c>
      <c r="D5128" s="0" t="n">
        <v>14</v>
      </c>
      <c r="E5128" s="5" t="n">
        <v>46011.5425694444</v>
      </c>
      <c r="F5128" s="0" t="n">
        <v>4.25</v>
      </c>
      <c r="G5128" s="0" t="n">
        <v>17067</v>
      </c>
      <c r="H5128" s="6" t="s">
        <v>188</v>
      </c>
      <c r="I5128" s="6" t="n">
        <f aca="false">D5128*F5128</f>
        <v>59.5</v>
      </c>
      <c r="J5128" s="6" t="n">
        <f aca="false">HOUR(E5128)</f>
        <v>13</v>
      </c>
      <c r="K5128" s="6" t="n">
        <f aca="false">IF(COUNTIF($A$2:$A5128,A5128)=1,1,0)</f>
        <v>1</v>
      </c>
    </row>
    <row r="5129" customFormat="false" ht="15" hidden="false" customHeight="false" outlineLevel="0" collapsed="false">
      <c r="A5129" s="0" t="s">
        <v>1047</v>
      </c>
      <c r="B5129" s="0" t="s">
        <v>47</v>
      </c>
      <c r="C5129" s="0" t="s">
        <v>48</v>
      </c>
      <c r="D5129" s="0" t="n">
        <v>39</v>
      </c>
      <c r="E5129" s="5" t="n">
        <v>46011.5425694444</v>
      </c>
      <c r="F5129" s="0" t="n">
        <v>12.75</v>
      </c>
      <c r="G5129" s="0" t="n">
        <v>17067</v>
      </c>
      <c r="H5129" s="6" t="s">
        <v>188</v>
      </c>
      <c r="I5129" s="6" t="n">
        <f aca="false">D5129*F5129</f>
        <v>497.25</v>
      </c>
      <c r="J5129" s="6" t="n">
        <f aca="false">HOUR(E5129)</f>
        <v>13</v>
      </c>
      <c r="K5129" s="6" t="n">
        <f aca="false">IF(COUNTIF($A$2:$A5129,A5129)=1,1,0)</f>
        <v>0</v>
      </c>
    </row>
    <row r="5130" customFormat="false" ht="15" hidden="false" customHeight="false" outlineLevel="0" collapsed="false">
      <c r="A5130" s="0" t="s">
        <v>1047</v>
      </c>
      <c r="B5130" s="0" t="s">
        <v>125</v>
      </c>
      <c r="C5130" s="0" t="s">
        <v>126</v>
      </c>
      <c r="D5130" s="0" t="n">
        <v>10</v>
      </c>
      <c r="E5130" s="5" t="n">
        <v>46011.5425694444</v>
      </c>
      <c r="F5130" s="0" t="n">
        <v>1.25</v>
      </c>
      <c r="G5130" s="0" t="n">
        <v>17067</v>
      </c>
      <c r="H5130" s="6" t="s">
        <v>188</v>
      </c>
      <c r="I5130" s="6" t="n">
        <f aca="false">D5130*F5130</f>
        <v>12.5</v>
      </c>
      <c r="J5130" s="6" t="n">
        <f aca="false">HOUR(E5130)</f>
        <v>13</v>
      </c>
      <c r="K5130" s="6" t="n">
        <f aca="false">IF(COUNTIF($A$2:$A5130,A5130)=1,1,0)</f>
        <v>0</v>
      </c>
    </row>
    <row r="5131" customFormat="false" ht="15" hidden="false" customHeight="false" outlineLevel="0" collapsed="false">
      <c r="A5131" s="0" t="s">
        <v>1047</v>
      </c>
      <c r="B5131" s="0" t="s">
        <v>107</v>
      </c>
      <c r="C5131" s="0" t="s">
        <v>108</v>
      </c>
      <c r="D5131" s="0" t="n">
        <v>18</v>
      </c>
      <c r="E5131" s="5" t="n">
        <v>46011.5425694444</v>
      </c>
      <c r="F5131" s="0" t="n">
        <v>3.75</v>
      </c>
      <c r="G5131" s="0" t="n">
        <v>17067</v>
      </c>
      <c r="H5131" s="6" t="s">
        <v>188</v>
      </c>
      <c r="I5131" s="6" t="n">
        <f aca="false">D5131*F5131</f>
        <v>67.5</v>
      </c>
      <c r="J5131" s="6" t="n">
        <f aca="false">HOUR(E5131)</f>
        <v>13</v>
      </c>
      <c r="K5131" s="6" t="n">
        <f aca="false">IF(COUNTIF($A$2:$A5131,A5131)=1,1,0)</f>
        <v>0</v>
      </c>
    </row>
    <row r="5132" customFormat="false" ht="15" hidden="false" customHeight="false" outlineLevel="0" collapsed="false">
      <c r="A5132" s="0" t="s">
        <v>1047</v>
      </c>
      <c r="B5132" s="0" t="s">
        <v>61</v>
      </c>
      <c r="C5132" s="0" t="s">
        <v>62</v>
      </c>
      <c r="D5132" s="0" t="n">
        <v>22</v>
      </c>
      <c r="E5132" s="5" t="n">
        <v>46011.5425694444</v>
      </c>
      <c r="F5132" s="0" t="n">
        <v>1.65</v>
      </c>
      <c r="G5132" s="0" t="n">
        <v>17067</v>
      </c>
      <c r="H5132" s="6" t="s">
        <v>188</v>
      </c>
      <c r="I5132" s="6" t="n">
        <f aca="false">D5132*F5132</f>
        <v>36.3</v>
      </c>
      <c r="J5132" s="6" t="n">
        <f aca="false">HOUR(E5132)</f>
        <v>13</v>
      </c>
      <c r="K5132" s="6" t="n">
        <f aca="false">IF(COUNTIF($A$2:$A5132,A5132)=1,1,0)</f>
        <v>0</v>
      </c>
    </row>
    <row r="5133" customFormat="false" ht="15" hidden="false" customHeight="false" outlineLevel="0" collapsed="false">
      <c r="A5133" s="0" t="s">
        <v>1047</v>
      </c>
      <c r="B5133" s="0" t="s">
        <v>79</v>
      </c>
      <c r="C5133" s="0" t="s">
        <v>80</v>
      </c>
      <c r="D5133" s="0" t="n">
        <v>11</v>
      </c>
      <c r="E5133" s="5" t="n">
        <v>46011.5425694444</v>
      </c>
      <c r="F5133" s="0" t="n">
        <v>3.39</v>
      </c>
      <c r="G5133" s="0" t="n">
        <v>17067</v>
      </c>
      <c r="H5133" s="6" t="s">
        <v>188</v>
      </c>
      <c r="I5133" s="6" t="n">
        <f aca="false">D5133*F5133</f>
        <v>37.29</v>
      </c>
      <c r="J5133" s="6" t="n">
        <f aca="false">HOUR(E5133)</f>
        <v>13</v>
      </c>
      <c r="K5133" s="6" t="n">
        <f aca="false">IF(COUNTIF($A$2:$A5133,A5133)=1,1,0)</f>
        <v>0</v>
      </c>
    </row>
    <row r="5134" customFormat="false" ht="15" hidden="false" customHeight="false" outlineLevel="0" collapsed="false">
      <c r="A5134" s="0" t="s">
        <v>1047</v>
      </c>
      <c r="B5134" s="0" t="s">
        <v>134</v>
      </c>
      <c r="C5134" s="0" t="s">
        <v>135</v>
      </c>
      <c r="D5134" s="0" t="n">
        <v>21</v>
      </c>
      <c r="E5134" s="5" t="n">
        <v>46011.5425694444</v>
      </c>
      <c r="F5134" s="0" t="n">
        <v>5.95</v>
      </c>
      <c r="G5134" s="0" t="n">
        <v>17067</v>
      </c>
      <c r="H5134" s="6" t="s">
        <v>188</v>
      </c>
      <c r="I5134" s="6" t="n">
        <f aca="false">D5134*F5134</f>
        <v>124.95</v>
      </c>
      <c r="J5134" s="6" t="n">
        <f aca="false">HOUR(E5134)</f>
        <v>13</v>
      </c>
      <c r="K5134" s="6" t="n">
        <f aca="false">IF(COUNTIF($A$2:$A5134,A5134)=1,1,0)</f>
        <v>0</v>
      </c>
    </row>
    <row r="5135" customFormat="false" ht="15" hidden="false" customHeight="false" outlineLevel="0" collapsed="false">
      <c r="A5135" s="0" t="s">
        <v>1047</v>
      </c>
      <c r="B5135" s="0" t="s">
        <v>75</v>
      </c>
      <c r="C5135" s="0" t="s">
        <v>76</v>
      </c>
      <c r="D5135" s="0" t="n">
        <v>10</v>
      </c>
      <c r="E5135" s="5" t="n">
        <v>46011.5425694444</v>
      </c>
      <c r="F5135" s="0" t="n">
        <v>3.39</v>
      </c>
      <c r="G5135" s="0" t="n">
        <v>17067</v>
      </c>
      <c r="H5135" s="6" t="s">
        <v>188</v>
      </c>
      <c r="I5135" s="6" t="n">
        <f aca="false">D5135*F5135</f>
        <v>33.9</v>
      </c>
      <c r="J5135" s="6" t="n">
        <f aca="false">HOUR(E5135)</f>
        <v>13</v>
      </c>
      <c r="K5135" s="6" t="n">
        <f aca="false">IF(COUNTIF($A$2:$A5135,A5135)=1,1,0)</f>
        <v>0</v>
      </c>
    </row>
    <row r="5136" customFormat="false" ht="15" hidden="false" customHeight="false" outlineLevel="0" collapsed="false">
      <c r="A5136" s="0" t="s">
        <v>1048</v>
      </c>
      <c r="B5136" s="0" t="s">
        <v>57</v>
      </c>
      <c r="C5136" s="0" t="s">
        <v>58</v>
      </c>
      <c r="D5136" s="0" t="n">
        <v>14</v>
      </c>
      <c r="E5136" s="5" t="n">
        <v>46011.6133564815</v>
      </c>
      <c r="F5136" s="0" t="n">
        <v>2.08</v>
      </c>
      <c r="G5136" s="0" t="n">
        <v>17159</v>
      </c>
      <c r="H5136" s="6" t="s">
        <v>68</v>
      </c>
      <c r="I5136" s="6" t="n">
        <f aca="false">D5136*F5136</f>
        <v>29.12</v>
      </c>
      <c r="J5136" s="6" t="n">
        <f aca="false">HOUR(E5136)</f>
        <v>14</v>
      </c>
      <c r="K5136" s="6" t="n">
        <f aca="false">IF(COUNTIF($A$2:$A5136,A5136)=1,1,0)</f>
        <v>1</v>
      </c>
    </row>
    <row r="5137" customFormat="false" ht="15" hidden="false" customHeight="false" outlineLevel="0" collapsed="false">
      <c r="A5137" s="0" t="s">
        <v>1048</v>
      </c>
      <c r="B5137" s="0" t="s">
        <v>102</v>
      </c>
      <c r="C5137" s="0" t="s">
        <v>103</v>
      </c>
      <c r="D5137" s="0" t="n">
        <v>7</v>
      </c>
      <c r="E5137" s="5" t="n">
        <v>46011.6133564815</v>
      </c>
      <c r="F5137" s="0" t="n">
        <v>8.5</v>
      </c>
      <c r="G5137" s="0" t="n">
        <v>17159</v>
      </c>
      <c r="H5137" s="6" t="s">
        <v>68</v>
      </c>
      <c r="I5137" s="6" t="n">
        <f aca="false">D5137*F5137</f>
        <v>59.5</v>
      </c>
      <c r="J5137" s="6" t="n">
        <f aca="false">HOUR(E5137)</f>
        <v>14</v>
      </c>
      <c r="K5137" s="6" t="n">
        <f aca="false">IF(COUNTIF($A$2:$A5137,A5137)=1,1,0)</f>
        <v>0</v>
      </c>
    </row>
    <row r="5138" customFormat="false" ht="15" hidden="false" customHeight="false" outlineLevel="0" collapsed="false">
      <c r="A5138" s="0" t="s">
        <v>1048</v>
      </c>
      <c r="B5138" s="0" t="s">
        <v>107</v>
      </c>
      <c r="C5138" s="0" t="s">
        <v>108</v>
      </c>
      <c r="D5138" s="0" t="n">
        <v>4</v>
      </c>
      <c r="E5138" s="5" t="n">
        <v>46011.6133564815</v>
      </c>
      <c r="F5138" s="0" t="n">
        <v>3.75</v>
      </c>
      <c r="G5138" s="0" t="n">
        <v>17159</v>
      </c>
      <c r="H5138" s="6" t="s">
        <v>68</v>
      </c>
      <c r="I5138" s="6" t="n">
        <f aca="false">D5138*F5138</f>
        <v>15</v>
      </c>
      <c r="J5138" s="6" t="n">
        <f aca="false">HOUR(E5138)</f>
        <v>14</v>
      </c>
      <c r="K5138" s="6" t="n">
        <f aca="false">IF(COUNTIF($A$2:$A5138,A5138)=1,1,0)</f>
        <v>0</v>
      </c>
    </row>
    <row r="5139" customFormat="false" ht="15" hidden="false" customHeight="false" outlineLevel="0" collapsed="false">
      <c r="A5139" s="0" t="s">
        <v>1048</v>
      </c>
      <c r="B5139" s="0" t="s">
        <v>125</v>
      </c>
      <c r="C5139" s="0" t="s">
        <v>126</v>
      </c>
      <c r="D5139" s="0" t="n">
        <v>18</v>
      </c>
      <c r="E5139" s="5" t="n">
        <v>46011.6133564815</v>
      </c>
      <c r="F5139" s="0" t="n">
        <v>1.25</v>
      </c>
      <c r="G5139" s="0" t="n">
        <v>17159</v>
      </c>
      <c r="H5139" s="6" t="s">
        <v>68</v>
      </c>
      <c r="I5139" s="6" t="n">
        <f aca="false">D5139*F5139</f>
        <v>22.5</v>
      </c>
      <c r="J5139" s="6" t="n">
        <f aca="false">HOUR(E5139)</f>
        <v>14</v>
      </c>
      <c r="K5139" s="6" t="n">
        <f aca="false">IF(COUNTIF($A$2:$A5139,A5139)=1,1,0)</f>
        <v>0</v>
      </c>
    </row>
    <row r="5140" customFormat="false" ht="15" hidden="false" customHeight="false" outlineLevel="0" collapsed="false">
      <c r="A5140" s="0" t="s">
        <v>1048</v>
      </c>
      <c r="B5140" s="0" t="s">
        <v>45</v>
      </c>
      <c r="C5140" s="0" t="s">
        <v>46</v>
      </c>
      <c r="D5140" s="0" t="n">
        <v>11</v>
      </c>
      <c r="E5140" s="5" t="n">
        <v>46011.6133564815</v>
      </c>
      <c r="F5140" s="0" t="n">
        <v>2.1</v>
      </c>
      <c r="G5140" s="0" t="n">
        <v>17159</v>
      </c>
      <c r="H5140" s="6" t="s">
        <v>68</v>
      </c>
      <c r="I5140" s="6" t="n">
        <f aca="false">D5140*F5140</f>
        <v>23.1</v>
      </c>
      <c r="J5140" s="6" t="n">
        <f aca="false">HOUR(E5140)</f>
        <v>14</v>
      </c>
      <c r="K5140" s="6" t="n">
        <f aca="false">IF(COUNTIF($A$2:$A5140,A5140)=1,1,0)</f>
        <v>0</v>
      </c>
    </row>
    <row r="5141" customFormat="false" ht="15" hidden="false" customHeight="false" outlineLevel="0" collapsed="false">
      <c r="A5141" s="0" t="s">
        <v>1048</v>
      </c>
      <c r="B5141" s="0" t="s">
        <v>77</v>
      </c>
      <c r="C5141" s="0" t="s">
        <v>78</v>
      </c>
      <c r="D5141" s="0" t="n">
        <v>5</v>
      </c>
      <c r="E5141" s="5" t="n">
        <v>46011.6133564815</v>
      </c>
      <c r="F5141" s="0" t="n">
        <v>1.65</v>
      </c>
      <c r="G5141" s="0" t="n">
        <v>17159</v>
      </c>
      <c r="H5141" s="6" t="s">
        <v>68</v>
      </c>
      <c r="I5141" s="6" t="n">
        <f aca="false">D5141*F5141</f>
        <v>8.25</v>
      </c>
      <c r="J5141" s="6" t="n">
        <f aca="false">HOUR(E5141)</f>
        <v>14</v>
      </c>
      <c r="K5141" s="6" t="n">
        <f aca="false">IF(COUNTIF($A$2:$A5141,A5141)=1,1,0)</f>
        <v>0</v>
      </c>
    </row>
    <row r="5142" customFormat="false" ht="15" hidden="false" customHeight="false" outlineLevel="0" collapsed="false">
      <c r="A5142" s="0" t="s">
        <v>1048</v>
      </c>
      <c r="B5142" s="0" t="s">
        <v>134</v>
      </c>
      <c r="C5142" s="0" t="s">
        <v>135</v>
      </c>
      <c r="D5142" s="0" t="n">
        <v>14</v>
      </c>
      <c r="E5142" s="5" t="n">
        <v>46011.6133564815</v>
      </c>
      <c r="F5142" s="0" t="n">
        <v>5.95</v>
      </c>
      <c r="G5142" s="0" t="n">
        <v>17159</v>
      </c>
      <c r="H5142" s="6" t="s">
        <v>68</v>
      </c>
      <c r="I5142" s="6" t="n">
        <f aca="false">D5142*F5142</f>
        <v>83.3</v>
      </c>
      <c r="J5142" s="6" t="n">
        <f aca="false">HOUR(E5142)</f>
        <v>14</v>
      </c>
      <c r="K5142" s="6" t="n">
        <f aca="false">IF(COUNTIF($A$2:$A5142,A5142)=1,1,0)</f>
        <v>0</v>
      </c>
    </row>
    <row r="5143" customFormat="false" ht="15" hidden="false" customHeight="false" outlineLevel="0" collapsed="false">
      <c r="A5143" s="0" t="s">
        <v>1048</v>
      </c>
      <c r="B5143" s="0" t="s">
        <v>99</v>
      </c>
      <c r="C5143" s="0" t="s">
        <v>100</v>
      </c>
      <c r="D5143" s="0" t="n">
        <v>17</v>
      </c>
      <c r="E5143" s="5" t="n">
        <v>46011.6133564815</v>
      </c>
      <c r="F5143" s="0" t="n">
        <v>2.08</v>
      </c>
      <c r="G5143" s="0" t="n">
        <v>17159</v>
      </c>
      <c r="H5143" s="6" t="s">
        <v>68</v>
      </c>
      <c r="I5143" s="6" t="n">
        <f aca="false">D5143*F5143</f>
        <v>35.36</v>
      </c>
      <c r="J5143" s="6" t="n">
        <f aca="false">HOUR(E5143)</f>
        <v>14</v>
      </c>
      <c r="K5143" s="6" t="n">
        <f aca="false">IF(COUNTIF($A$2:$A5143,A5143)=1,1,0)</f>
        <v>0</v>
      </c>
    </row>
    <row r="5144" customFormat="false" ht="15" hidden="false" customHeight="false" outlineLevel="0" collapsed="false">
      <c r="A5144" s="0" t="s">
        <v>1048</v>
      </c>
      <c r="B5144" s="0" t="s">
        <v>47</v>
      </c>
      <c r="C5144" s="0" t="s">
        <v>48</v>
      </c>
      <c r="D5144" s="0" t="n">
        <v>34</v>
      </c>
      <c r="E5144" s="5" t="n">
        <v>46011.6133564815</v>
      </c>
      <c r="F5144" s="0" t="n">
        <v>12.75</v>
      </c>
      <c r="G5144" s="0" t="n">
        <v>17159</v>
      </c>
      <c r="H5144" s="6" t="s">
        <v>68</v>
      </c>
      <c r="I5144" s="6" t="n">
        <f aca="false">D5144*F5144</f>
        <v>433.5</v>
      </c>
      <c r="J5144" s="6" t="n">
        <f aca="false">HOUR(E5144)</f>
        <v>14</v>
      </c>
      <c r="K5144" s="6" t="n">
        <f aca="false">IF(COUNTIF($A$2:$A5144,A5144)=1,1,0)</f>
        <v>0</v>
      </c>
    </row>
    <row r="5145" customFormat="false" ht="15" hidden="false" customHeight="false" outlineLevel="0" collapsed="false">
      <c r="A5145" s="0" t="s">
        <v>1048</v>
      </c>
      <c r="B5145" s="0" t="s">
        <v>145</v>
      </c>
      <c r="C5145" s="0" t="s">
        <v>146</v>
      </c>
      <c r="D5145" s="0" t="n">
        <v>19</v>
      </c>
      <c r="E5145" s="5" t="n">
        <v>46011.6133564815</v>
      </c>
      <c r="F5145" s="0" t="n">
        <v>1.85</v>
      </c>
      <c r="G5145" s="0" t="n">
        <v>17159</v>
      </c>
      <c r="H5145" s="6" t="s">
        <v>68</v>
      </c>
      <c r="I5145" s="6" t="n">
        <f aca="false">D5145*F5145</f>
        <v>35.15</v>
      </c>
      <c r="J5145" s="6" t="n">
        <f aca="false">HOUR(E5145)</f>
        <v>14</v>
      </c>
      <c r="K5145" s="6" t="n">
        <f aca="false">IF(COUNTIF($A$2:$A5145,A5145)=1,1,0)</f>
        <v>0</v>
      </c>
    </row>
    <row r="5146" customFormat="false" ht="15" hidden="false" customHeight="false" outlineLevel="0" collapsed="false">
      <c r="A5146" s="0" t="s">
        <v>1049</v>
      </c>
      <c r="B5146" s="0" t="s">
        <v>131</v>
      </c>
      <c r="C5146" s="0" t="s">
        <v>132</v>
      </c>
      <c r="D5146" s="0" t="n">
        <v>21</v>
      </c>
      <c r="E5146" s="5" t="n">
        <v>46011.6245486111</v>
      </c>
      <c r="F5146" s="0" t="n">
        <v>3.39</v>
      </c>
      <c r="G5146" s="0" t="n">
        <v>17122</v>
      </c>
      <c r="H5146" s="6" t="s">
        <v>74</v>
      </c>
      <c r="I5146" s="6" t="n">
        <f aca="false">D5146*F5146</f>
        <v>71.19</v>
      </c>
      <c r="J5146" s="6" t="n">
        <f aca="false">HOUR(E5146)</f>
        <v>14</v>
      </c>
      <c r="K5146" s="6" t="n">
        <f aca="false">IF(COUNTIF($A$2:$A5146,A5146)=1,1,0)</f>
        <v>1</v>
      </c>
    </row>
    <row r="5147" customFormat="false" ht="15" hidden="false" customHeight="false" outlineLevel="0" collapsed="false">
      <c r="A5147" s="0" t="s">
        <v>1049</v>
      </c>
      <c r="B5147" s="0" t="s">
        <v>99</v>
      </c>
      <c r="C5147" s="0" t="s">
        <v>100</v>
      </c>
      <c r="D5147" s="0" t="n">
        <v>4</v>
      </c>
      <c r="E5147" s="5" t="n">
        <v>46011.6245486111</v>
      </c>
      <c r="F5147" s="0" t="n">
        <v>2.08</v>
      </c>
      <c r="G5147" s="0" t="n">
        <v>17122</v>
      </c>
      <c r="H5147" s="6" t="s">
        <v>74</v>
      </c>
      <c r="I5147" s="6" t="n">
        <f aca="false">D5147*F5147</f>
        <v>8.32</v>
      </c>
      <c r="J5147" s="6" t="n">
        <f aca="false">HOUR(E5147)</f>
        <v>14</v>
      </c>
      <c r="K5147" s="6" t="n">
        <f aca="false">IF(COUNTIF($A$2:$A5147,A5147)=1,1,0)</f>
        <v>0</v>
      </c>
    </row>
    <row r="5148" customFormat="false" ht="15" hidden="false" customHeight="false" outlineLevel="0" collapsed="false">
      <c r="A5148" s="0" t="s">
        <v>1049</v>
      </c>
      <c r="B5148" s="0" t="s">
        <v>53</v>
      </c>
      <c r="C5148" s="0" t="s">
        <v>54</v>
      </c>
      <c r="D5148" s="0" t="n">
        <v>2</v>
      </c>
      <c r="E5148" s="5" t="n">
        <v>46011.6245486111</v>
      </c>
      <c r="F5148" s="0" t="n">
        <v>2.95</v>
      </c>
      <c r="G5148" s="0" t="n">
        <v>17122</v>
      </c>
      <c r="H5148" s="6" t="s">
        <v>74</v>
      </c>
      <c r="I5148" s="6" t="n">
        <f aca="false">D5148*F5148</f>
        <v>5.9</v>
      </c>
      <c r="J5148" s="6" t="n">
        <f aca="false">HOUR(E5148)</f>
        <v>14</v>
      </c>
      <c r="K5148" s="6" t="n">
        <f aca="false">IF(COUNTIF($A$2:$A5148,A5148)=1,1,0)</f>
        <v>0</v>
      </c>
    </row>
    <row r="5149" customFormat="false" ht="15" hidden="false" customHeight="false" outlineLevel="0" collapsed="false">
      <c r="A5149" s="0" t="s">
        <v>1049</v>
      </c>
      <c r="B5149" s="0" t="s">
        <v>134</v>
      </c>
      <c r="C5149" s="0" t="s">
        <v>135</v>
      </c>
      <c r="D5149" s="0" t="n">
        <v>5</v>
      </c>
      <c r="E5149" s="5" t="n">
        <v>46011.6245486111</v>
      </c>
      <c r="F5149" s="0" t="n">
        <v>5.95</v>
      </c>
      <c r="G5149" s="0" t="n">
        <v>17122</v>
      </c>
      <c r="H5149" s="6" t="s">
        <v>74</v>
      </c>
      <c r="I5149" s="6" t="n">
        <f aca="false">D5149*F5149</f>
        <v>29.75</v>
      </c>
      <c r="J5149" s="6" t="n">
        <f aca="false">HOUR(E5149)</f>
        <v>14</v>
      </c>
      <c r="K5149" s="6" t="n">
        <f aca="false">IF(COUNTIF($A$2:$A5149,A5149)=1,1,0)</f>
        <v>0</v>
      </c>
    </row>
    <row r="5150" customFormat="false" ht="15" hidden="false" customHeight="false" outlineLevel="0" collapsed="false">
      <c r="A5150" s="0" t="s">
        <v>1049</v>
      </c>
      <c r="B5150" s="0" t="s">
        <v>104</v>
      </c>
      <c r="C5150" s="0" t="s">
        <v>105</v>
      </c>
      <c r="D5150" s="0" t="n">
        <v>13</v>
      </c>
      <c r="E5150" s="5" t="n">
        <v>46011.6245486111</v>
      </c>
      <c r="F5150" s="0" t="n">
        <v>1.65</v>
      </c>
      <c r="G5150" s="0" t="n">
        <v>17122</v>
      </c>
      <c r="H5150" s="6" t="s">
        <v>74</v>
      </c>
      <c r="I5150" s="6" t="n">
        <f aca="false">D5150*F5150</f>
        <v>21.45</v>
      </c>
      <c r="J5150" s="6" t="n">
        <f aca="false">HOUR(E5150)</f>
        <v>14</v>
      </c>
      <c r="K5150" s="6" t="n">
        <f aca="false">IF(COUNTIF($A$2:$A5150,A5150)=1,1,0)</f>
        <v>0</v>
      </c>
    </row>
    <row r="5151" customFormat="false" ht="15" hidden="false" customHeight="false" outlineLevel="0" collapsed="false">
      <c r="A5151" s="0" t="s">
        <v>1049</v>
      </c>
      <c r="B5151" s="0" t="s">
        <v>75</v>
      </c>
      <c r="C5151" s="0" t="s">
        <v>76</v>
      </c>
      <c r="D5151" s="0" t="n">
        <v>23</v>
      </c>
      <c r="E5151" s="5" t="n">
        <v>46011.6245486111</v>
      </c>
      <c r="F5151" s="0" t="n">
        <v>3.39</v>
      </c>
      <c r="G5151" s="0" t="n">
        <v>17122</v>
      </c>
      <c r="H5151" s="6" t="s">
        <v>74</v>
      </c>
      <c r="I5151" s="6" t="n">
        <f aca="false">D5151*F5151</f>
        <v>77.97</v>
      </c>
      <c r="J5151" s="6" t="n">
        <f aca="false">HOUR(E5151)</f>
        <v>14</v>
      </c>
      <c r="K5151" s="6" t="n">
        <f aca="false">IF(COUNTIF($A$2:$A5151,A5151)=1,1,0)</f>
        <v>0</v>
      </c>
    </row>
    <row r="5152" customFormat="false" ht="15" hidden="false" customHeight="false" outlineLevel="0" collapsed="false">
      <c r="A5152" s="0" t="s">
        <v>1050</v>
      </c>
      <c r="B5152" s="0" t="s">
        <v>61</v>
      </c>
      <c r="C5152" s="0" t="s">
        <v>62</v>
      </c>
      <c r="D5152" s="0" t="n">
        <v>8</v>
      </c>
      <c r="E5152" s="5" t="n">
        <v>46011.6516550926</v>
      </c>
      <c r="F5152" s="0" t="n">
        <v>1.65</v>
      </c>
      <c r="G5152" s="0" t="n">
        <v>17135</v>
      </c>
      <c r="H5152" s="6" t="s">
        <v>52</v>
      </c>
      <c r="I5152" s="6" t="n">
        <f aca="false">D5152*F5152</f>
        <v>13.2</v>
      </c>
      <c r="J5152" s="6" t="n">
        <f aca="false">HOUR(E5152)</f>
        <v>15</v>
      </c>
      <c r="K5152" s="6" t="n">
        <f aca="false">IF(COUNTIF($A$2:$A5152,A5152)=1,1,0)</f>
        <v>1</v>
      </c>
    </row>
    <row r="5153" customFormat="false" ht="15" hidden="false" customHeight="false" outlineLevel="0" collapsed="false">
      <c r="A5153" s="0" t="s">
        <v>1050</v>
      </c>
      <c r="B5153" s="0" t="s">
        <v>116</v>
      </c>
      <c r="C5153" s="0" t="s">
        <v>117</v>
      </c>
      <c r="D5153" s="0" t="n">
        <v>1</v>
      </c>
      <c r="E5153" s="5" t="n">
        <v>46011.6516550926</v>
      </c>
      <c r="F5153" s="0" t="n">
        <v>1.95</v>
      </c>
      <c r="G5153" s="0" t="n">
        <v>17135</v>
      </c>
      <c r="H5153" s="6" t="s">
        <v>52</v>
      </c>
      <c r="I5153" s="6" t="n">
        <f aca="false">D5153*F5153</f>
        <v>1.95</v>
      </c>
      <c r="J5153" s="6" t="n">
        <f aca="false">HOUR(E5153)</f>
        <v>15</v>
      </c>
      <c r="K5153" s="6" t="n">
        <f aca="false">IF(COUNTIF($A$2:$A5153,A5153)=1,1,0)</f>
        <v>0</v>
      </c>
    </row>
    <row r="5154" customFormat="false" ht="15" hidden="false" customHeight="false" outlineLevel="0" collapsed="false">
      <c r="A5154" s="0" t="s">
        <v>1050</v>
      </c>
      <c r="B5154" s="0" t="s">
        <v>43</v>
      </c>
      <c r="C5154" s="0" t="s">
        <v>44</v>
      </c>
      <c r="D5154" s="0" t="n">
        <v>2</v>
      </c>
      <c r="E5154" s="5" t="n">
        <v>46011.6516550926</v>
      </c>
      <c r="F5154" s="0" t="n">
        <v>4.25</v>
      </c>
      <c r="G5154" s="0" t="n">
        <v>17135</v>
      </c>
      <c r="H5154" s="6" t="s">
        <v>52</v>
      </c>
      <c r="I5154" s="6" t="n">
        <f aca="false">D5154*F5154</f>
        <v>8.5</v>
      </c>
      <c r="J5154" s="6" t="n">
        <f aca="false">HOUR(E5154)</f>
        <v>15</v>
      </c>
      <c r="K5154" s="6" t="n">
        <f aca="false">IF(COUNTIF($A$2:$A5154,A5154)=1,1,0)</f>
        <v>0</v>
      </c>
    </row>
    <row r="5155" customFormat="false" ht="15" hidden="false" customHeight="false" outlineLevel="0" collapsed="false">
      <c r="A5155" s="0" t="s">
        <v>1051</v>
      </c>
      <c r="B5155" s="0" t="s">
        <v>121</v>
      </c>
      <c r="C5155" s="0" t="s">
        <v>122</v>
      </c>
      <c r="D5155" s="0" t="n">
        <v>15</v>
      </c>
      <c r="E5155" s="5" t="n">
        <v>46011.6821412037</v>
      </c>
      <c r="F5155" s="0" t="n">
        <v>2.1</v>
      </c>
      <c r="H5155" s="6" t="s">
        <v>74</v>
      </c>
      <c r="I5155" s="6" t="n">
        <f aca="false">D5155*F5155</f>
        <v>31.5</v>
      </c>
      <c r="J5155" s="6" t="n">
        <f aca="false">HOUR(E5155)</f>
        <v>16</v>
      </c>
      <c r="K5155" s="6" t="n">
        <f aca="false">IF(COUNTIF($A$2:$A5155,A5155)=1,1,0)</f>
        <v>1</v>
      </c>
    </row>
    <row r="5156" customFormat="false" ht="15" hidden="false" customHeight="false" outlineLevel="0" collapsed="false">
      <c r="A5156" s="0" t="s">
        <v>1051</v>
      </c>
      <c r="B5156" s="0" t="s">
        <v>43</v>
      </c>
      <c r="C5156" s="0" t="s">
        <v>44</v>
      </c>
      <c r="D5156" s="0" t="n">
        <v>7</v>
      </c>
      <c r="E5156" s="5" t="n">
        <v>46011.6821412037</v>
      </c>
      <c r="F5156" s="0" t="n">
        <v>4.25</v>
      </c>
      <c r="H5156" s="6" t="s">
        <v>74</v>
      </c>
      <c r="I5156" s="6" t="n">
        <f aca="false">D5156*F5156</f>
        <v>29.75</v>
      </c>
      <c r="J5156" s="6" t="n">
        <f aca="false">HOUR(E5156)</f>
        <v>16</v>
      </c>
      <c r="K5156" s="6" t="n">
        <f aca="false">IF(COUNTIF($A$2:$A5156,A5156)=1,1,0)</f>
        <v>0</v>
      </c>
    </row>
    <row r="5157" customFormat="false" ht="15" hidden="false" customHeight="false" outlineLevel="0" collapsed="false">
      <c r="A5157" s="0" t="s">
        <v>1051</v>
      </c>
      <c r="B5157" s="0" t="s">
        <v>81</v>
      </c>
      <c r="C5157" s="0" t="s">
        <v>82</v>
      </c>
      <c r="D5157" s="0" t="n">
        <v>17</v>
      </c>
      <c r="E5157" s="5" t="n">
        <v>46011.6821412037</v>
      </c>
      <c r="F5157" s="0" t="n">
        <v>1.65</v>
      </c>
      <c r="H5157" s="6" t="s">
        <v>74</v>
      </c>
      <c r="I5157" s="6" t="n">
        <f aca="false">D5157*F5157</f>
        <v>28.05</v>
      </c>
      <c r="J5157" s="6" t="n">
        <f aca="false">HOUR(E5157)</f>
        <v>16</v>
      </c>
      <c r="K5157" s="6" t="n">
        <f aca="false">IF(COUNTIF($A$2:$A5157,A5157)=1,1,0)</f>
        <v>0</v>
      </c>
    </row>
    <row r="5158" customFormat="false" ht="15" hidden="false" customHeight="false" outlineLevel="0" collapsed="false">
      <c r="A5158" s="0" t="s">
        <v>1051</v>
      </c>
      <c r="B5158" s="0" t="s">
        <v>145</v>
      </c>
      <c r="C5158" s="0" t="s">
        <v>146</v>
      </c>
      <c r="D5158" s="0" t="n">
        <v>6</v>
      </c>
      <c r="E5158" s="5" t="n">
        <v>46011.6821412037</v>
      </c>
      <c r="F5158" s="0" t="n">
        <v>1.85</v>
      </c>
      <c r="H5158" s="6" t="s">
        <v>74</v>
      </c>
      <c r="I5158" s="6" t="n">
        <f aca="false">D5158*F5158</f>
        <v>11.1</v>
      </c>
      <c r="J5158" s="6" t="n">
        <f aca="false">HOUR(E5158)</f>
        <v>16</v>
      </c>
      <c r="K5158" s="6" t="n">
        <f aca="false">IF(COUNTIF($A$2:$A5158,A5158)=1,1,0)</f>
        <v>0</v>
      </c>
    </row>
    <row r="5159" customFormat="false" ht="15" hidden="false" customHeight="false" outlineLevel="0" collapsed="false">
      <c r="A5159" s="0" t="s">
        <v>1051</v>
      </c>
      <c r="B5159" s="0" t="s">
        <v>63</v>
      </c>
      <c r="C5159" s="0" t="s">
        <v>64</v>
      </c>
      <c r="D5159" s="0" t="n">
        <v>18</v>
      </c>
      <c r="E5159" s="5" t="n">
        <v>46011.6821412037</v>
      </c>
      <c r="F5159" s="0" t="n">
        <v>1.85</v>
      </c>
      <c r="H5159" s="6" t="s">
        <v>74</v>
      </c>
      <c r="I5159" s="6" t="n">
        <f aca="false">D5159*F5159</f>
        <v>33.3</v>
      </c>
      <c r="J5159" s="6" t="n">
        <f aca="false">HOUR(E5159)</f>
        <v>16</v>
      </c>
      <c r="K5159" s="6" t="n">
        <f aca="false">IF(COUNTIF($A$2:$A5159,A5159)=1,1,0)</f>
        <v>0</v>
      </c>
    </row>
    <row r="5160" customFormat="false" ht="15" hidden="false" customHeight="false" outlineLevel="0" collapsed="false">
      <c r="A5160" s="0" t="s">
        <v>1051</v>
      </c>
      <c r="B5160" s="0" t="s">
        <v>65</v>
      </c>
      <c r="C5160" s="0" t="s">
        <v>66</v>
      </c>
      <c r="D5160" s="0" t="n">
        <v>21</v>
      </c>
      <c r="E5160" s="5" t="n">
        <v>46011.6821412037</v>
      </c>
      <c r="F5160" s="0" t="n">
        <v>1.65</v>
      </c>
      <c r="H5160" s="6" t="s">
        <v>74</v>
      </c>
      <c r="I5160" s="6" t="n">
        <f aca="false">D5160*F5160</f>
        <v>34.65</v>
      </c>
      <c r="J5160" s="6" t="n">
        <f aca="false">HOUR(E5160)</f>
        <v>16</v>
      </c>
      <c r="K5160" s="6" t="n">
        <f aca="false">IF(COUNTIF($A$2:$A5160,A5160)=1,1,0)</f>
        <v>0</v>
      </c>
    </row>
    <row r="5161" customFormat="false" ht="15" hidden="false" customHeight="false" outlineLevel="0" collapsed="false">
      <c r="A5161" s="0" t="s">
        <v>1051</v>
      </c>
      <c r="B5161" s="0" t="s">
        <v>131</v>
      </c>
      <c r="C5161" s="0" t="s">
        <v>132</v>
      </c>
      <c r="D5161" s="0" t="n">
        <v>20</v>
      </c>
      <c r="E5161" s="5" t="n">
        <v>46011.6821412037</v>
      </c>
      <c r="F5161" s="0" t="n">
        <v>3.39</v>
      </c>
      <c r="H5161" s="6" t="s">
        <v>74</v>
      </c>
      <c r="I5161" s="6" t="n">
        <f aca="false">D5161*F5161</f>
        <v>67.8</v>
      </c>
      <c r="J5161" s="6" t="n">
        <f aca="false">HOUR(E5161)</f>
        <v>16</v>
      </c>
      <c r="K5161" s="6" t="n">
        <f aca="false">IF(COUNTIF($A$2:$A5161,A5161)=1,1,0)</f>
        <v>0</v>
      </c>
    </row>
    <row r="5162" customFormat="false" ht="15" hidden="false" customHeight="false" outlineLevel="0" collapsed="false">
      <c r="A5162" s="0" t="s">
        <v>1051</v>
      </c>
      <c r="B5162" s="0" t="s">
        <v>50</v>
      </c>
      <c r="C5162" s="0" t="s">
        <v>51</v>
      </c>
      <c r="D5162" s="0" t="n">
        <v>3</v>
      </c>
      <c r="E5162" s="5" t="n">
        <v>46011.6821412037</v>
      </c>
      <c r="F5162" s="0" t="n">
        <v>5.95</v>
      </c>
      <c r="H5162" s="6" t="s">
        <v>74</v>
      </c>
      <c r="I5162" s="6" t="n">
        <f aca="false">D5162*F5162</f>
        <v>17.85</v>
      </c>
      <c r="J5162" s="6" t="n">
        <f aca="false">HOUR(E5162)</f>
        <v>16</v>
      </c>
      <c r="K5162" s="6" t="n">
        <f aca="false">IF(COUNTIF($A$2:$A5162,A5162)=1,1,0)</f>
        <v>0</v>
      </c>
    </row>
    <row r="5163" customFormat="false" ht="15" hidden="false" customHeight="false" outlineLevel="0" collapsed="false">
      <c r="A5163" s="0" t="s">
        <v>1051</v>
      </c>
      <c r="B5163" s="0" t="s">
        <v>125</v>
      </c>
      <c r="C5163" s="0" t="s">
        <v>126</v>
      </c>
      <c r="D5163" s="0" t="n">
        <v>8</v>
      </c>
      <c r="E5163" s="5" t="n">
        <v>46011.6821412037</v>
      </c>
      <c r="F5163" s="0" t="n">
        <v>1.25</v>
      </c>
      <c r="H5163" s="6" t="s">
        <v>74</v>
      </c>
      <c r="I5163" s="6" t="n">
        <f aca="false">D5163*F5163</f>
        <v>10</v>
      </c>
      <c r="J5163" s="6" t="n">
        <f aca="false">HOUR(E5163)</f>
        <v>16</v>
      </c>
      <c r="K5163" s="6" t="n">
        <f aca="false">IF(COUNTIF($A$2:$A5163,A5163)=1,1,0)</f>
        <v>0</v>
      </c>
    </row>
    <row r="5164" customFormat="false" ht="15" hidden="false" customHeight="false" outlineLevel="0" collapsed="false">
      <c r="A5164" s="0" t="s">
        <v>1051</v>
      </c>
      <c r="B5164" s="0" t="s">
        <v>99</v>
      </c>
      <c r="C5164" s="0" t="s">
        <v>100</v>
      </c>
      <c r="D5164" s="0" t="n">
        <v>24</v>
      </c>
      <c r="E5164" s="5" t="n">
        <v>46011.6821412037</v>
      </c>
      <c r="F5164" s="0" t="n">
        <v>2.08</v>
      </c>
      <c r="H5164" s="6" t="s">
        <v>74</v>
      </c>
      <c r="I5164" s="6" t="n">
        <f aca="false">D5164*F5164</f>
        <v>49.92</v>
      </c>
      <c r="J5164" s="6" t="n">
        <f aca="false">HOUR(E5164)</f>
        <v>16</v>
      </c>
      <c r="K5164" s="6" t="n">
        <f aca="false">IF(COUNTIF($A$2:$A5164,A5164)=1,1,0)</f>
        <v>0</v>
      </c>
    </row>
    <row r="5165" customFormat="false" ht="15" hidden="false" customHeight="false" outlineLevel="0" collapsed="false">
      <c r="A5165" s="0" t="s">
        <v>1052</v>
      </c>
      <c r="B5165" s="0" t="s">
        <v>104</v>
      </c>
      <c r="C5165" s="0" t="s">
        <v>105</v>
      </c>
      <c r="D5165" s="0" t="n">
        <v>2</v>
      </c>
      <c r="E5165" s="5" t="n">
        <v>46011.830787037</v>
      </c>
      <c r="F5165" s="0" t="n">
        <v>1.65</v>
      </c>
      <c r="G5165" s="0" t="n">
        <v>17200</v>
      </c>
      <c r="H5165" s="6" t="s">
        <v>74</v>
      </c>
      <c r="I5165" s="6" t="n">
        <f aca="false">D5165*F5165</f>
        <v>3.3</v>
      </c>
      <c r="J5165" s="6" t="n">
        <f aca="false">HOUR(E5165)</f>
        <v>19</v>
      </c>
      <c r="K5165" s="6" t="n">
        <f aca="false">IF(COUNTIF($A$2:$A5165,A5165)=1,1,0)</f>
        <v>1</v>
      </c>
    </row>
    <row r="5166" customFormat="false" ht="15" hidden="false" customHeight="false" outlineLevel="0" collapsed="false">
      <c r="A5166" s="0" t="s">
        <v>1052</v>
      </c>
      <c r="B5166" s="0" t="s">
        <v>79</v>
      </c>
      <c r="C5166" s="0" t="s">
        <v>80</v>
      </c>
      <c r="D5166" s="0" t="n">
        <v>21</v>
      </c>
      <c r="E5166" s="5" t="n">
        <v>46011.830787037</v>
      </c>
      <c r="F5166" s="0" t="n">
        <v>3.39</v>
      </c>
      <c r="G5166" s="0" t="n">
        <v>17200</v>
      </c>
      <c r="H5166" s="6" t="s">
        <v>74</v>
      </c>
      <c r="I5166" s="6" t="n">
        <f aca="false">D5166*F5166</f>
        <v>71.19</v>
      </c>
      <c r="J5166" s="6" t="n">
        <f aca="false">HOUR(E5166)</f>
        <v>19</v>
      </c>
      <c r="K5166" s="6" t="n">
        <f aca="false">IF(COUNTIF($A$2:$A5166,A5166)=1,1,0)</f>
        <v>0</v>
      </c>
    </row>
    <row r="5167" customFormat="false" ht="15" hidden="false" customHeight="false" outlineLevel="0" collapsed="false">
      <c r="A5167" s="0" t="s">
        <v>1052</v>
      </c>
      <c r="B5167" s="0" t="s">
        <v>114</v>
      </c>
      <c r="C5167" s="0" t="s">
        <v>115</v>
      </c>
      <c r="D5167" s="0" t="n">
        <v>2</v>
      </c>
      <c r="E5167" s="5" t="n">
        <v>46011.830787037</v>
      </c>
      <c r="F5167" s="0" t="n">
        <v>2.08</v>
      </c>
      <c r="G5167" s="0" t="n">
        <v>17200</v>
      </c>
      <c r="H5167" s="6" t="s">
        <v>74</v>
      </c>
      <c r="I5167" s="6" t="n">
        <f aca="false">D5167*F5167</f>
        <v>4.16</v>
      </c>
      <c r="J5167" s="6" t="n">
        <f aca="false">HOUR(E5167)</f>
        <v>19</v>
      </c>
      <c r="K5167" s="6" t="n">
        <f aca="false">IF(COUNTIF($A$2:$A5167,A5167)=1,1,0)</f>
        <v>0</v>
      </c>
    </row>
    <row r="5168" customFormat="false" ht="15" hidden="false" customHeight="false" outlineLevel="0" collapsed="false">
      <c r="A5168" s="0" t="s">
        <v>1052</v>
      </c>
      <c r="B5168" s="0" t="s">
        <v>102</v>
      </c>
      <c r="C5168" s="0" t="s">
        <v>103</v>
      </c>
      <c r="D5168" s="0" t="n">
        <v>22</v>
      </c>
      <c r="E5168" s="5" t="n">
        <v>46011.830787037</v>
      </c>
      <c r="F5168" s="0" t="n">
        <v>8.5</v>
      </c>
      <c r="G5168" s="0" t="n">
        <v>17200</v>
      </c>
      <c r="H5168" s="6" t="s">
        <v>74</v>
      </c>
      <c r="I5168" s="6" t="n">
        <f aca="false">D5168*F5168</f>
        <v>187</v>
      </c>
      <c r="J5168" s="6" t="n">
        <f aca="false">HOUR(E5168)</f>
        <v>19</v>
      </c>
      <c r="K5168" s="6" t="n">
        <f aca="false">IF(COUNTIF($A$2:$A5168,A5168)=1,1,0)</f>
        <v>0</v>
      </c>
    </row>
    <row r="5169" customFormat="false" ht="15" hidden="false" customHeight="false" outlineLevel="0" collapsed="false">
      <c r="A5169" s="0" t="s">
        <v>1052</v>
      </c>
      <c r="B5169" s="0" t="s">
        <v>140</v>
      </c>
      <c r="C5169" s="0" t="s">
        <v>141</v>
      </c>
      <c r="D5169" s="0" t="n">
        <v>8</v>
      </c>
      <c r="E5169" s="5" t="n">
        <v>46011.830787037</v>
      </c>
      <c r="F5169" s="0" t="n">
        <v>2.08</v>
      </c>
      <c r="G5169" s="0" t="n">
        <v>17200</v>
      </c>
      <c r="H5169" s="6" t="s">
        <v>74</v>
      </c>
      <c r="I5169" s="6" t="n">
        <f aca="false">D5169*F5169</f>
        <v>16.64</v>
      </c>
      <c r="J5169" s="6" t="n">
        <f aca="false">HOUR(E5169)</f>
        <v>19</v>
      </c>
      <c r="K5169" s="6" t="n">
        <f aca="false">IF(COUNTIF($A$2:$A5169,A5169)=1,1,0)</f>
        <v>0</v>
      </c>
    </row>
    <row r="5170" customFormat="false" ht="15" hidden="false" customHeight="false" outlineLevel="0" collapsed="false">
      <c r="A5170" s="0" t="s">
        <v>1053</v>
      </c>
      <c r="B5170" s="0" t="s">
        <v>75</v>
      </c>
      <c r="C5170" s="0" t="s">
        <v>76</v>
      </c>
      <c r="D5170" s="0" t="n">
        <v>15</v>
      </c>
      <c r="E5170" s="5" t="n">
        <v>46011.8595138889</v>
      </c>
      <c r="F5170" s="0" t="n">
        <v>3.39</v>
      </c>
      <c r="G5170" s="0" t="n">
        <v>17115</v>
      </c>
      <c r="H5170" s="6" t="s">
        <v>74</v>
      </c>
      <c r="I5170" s="6" t="n">
        <f aca="false">D5170*F5170</f>
        <v>50.85</v>
      </c>
      <c r="J5170" s="6" t="n">
        <f aca="false">HOUR(E5170)</f>
        <v>20</v>
      </c>
      <c r="K5170" s="6" t="n">
        <f aca="false">IF(COUNTIF($A$2:$A5170,A5170)=1,1,0)</f>
        <v>1</v>
      </c>
    </row>
    <row r="5171" customFormat="false" ht="15" hidden="false" customHeight="false" outlineLevel="0" collapsed="false">
      <c r="A5171" s="0" t="s">
        <v>1053</v>
      </c>
      <c r="B5171" s="0" t="s">
        <v>93</v>
      </c>
      <c r="C5171" s="0" t="s">
        <v>94</v>
      </c>
      <c r="D5171" s="0" t="n">
        <v>19</v>
      </c>
      <c r="E5171" s="5" t="n">
        <v>46011.8595138889</v>
      </c>
      <c r="F5171" s="0" t="n">
        <v>1.69</v>
      </c>
      <c r="G5171" s="0" t="n">
        <v>17115</v>
      </c>
      <c r="H5171" s="6" t="s">
        <v>74</v>
      </c>
      <c r="I5171" s="6" t="n">
        <f aca="false">D5171*F5171</f>
        <v>32.11</v>
      </c>
      <c r="J5171" s="6" t="n">
        <f aca="false">HOUR(E5171)</f>
        <v>20</v>
      </c>
      <c r="K5171" s="6" t="n">
        <f aca="false">IF(COUNTIF($A$2:$A5171,A5171)=1,1,0)</f>
        <v>0</v>
      </c>
    </row>
    <row r="5172" customFormat="false" ht="15" hidden="false" customHeight="false" outlineLevel="0" collapsed="false">
      <c r="A5172" s="0" t="s">
        <v>1053</v>
      </c>
      <c r="B5172" s="0" t="s">
        <v>65</v>
      </c>
      <c r="C5172" s="0" t="s">
        <v>66</v>
      </c>
      <c r="D5172" s="0" t="n">
        <v>10</v>
      </c>
      <c r="E5172" s="5" t="n">
        <v>46011.8595138889</v>
      </c>
      <c r="F5172" s="0" t="n">
        <v>1.65</v>
      </c>
      <c r="G5172" s="0" t="n">
        <v>17115</v>
      </c>
      <c r="H5172" s="6" t="s">
        <v>74</v>
      </c>
      <c r="I5172" s="6" t="n">
        <f aca="false">D5172*F5172</f>
        <v>16.5</v>
      </c>
      <c r="J5172" s="6" t="n">
        <f aca="false">HOUR(E5172)</f>
        <v>20</v>
      </c>
      <c r="K5172" s="6" t="n">
        <f aca="false">IF(COUNTIF($A$2:$A5172,A5172)=1,1,0)</f>
        <v>0</v>
      </c>
    </row>
    <row r="5173" customFormat="false" ht="15" hidden="false" customHeight="false" outlineLevel="0" collapsed="false">
      <c r="A5173" s="0" t="s">
        <v>1054</v>
      </c>
      <c r="B5173" s="0" t="s">
        <v>69</v>
      </c>
      <c r="C5173" s="0" t="s">
        <v>70</v>
      </c>
      <c r="D5173" s="0" t="n">
        <v>34</v>
      </c>
      <c r="E5173" s="5" t="n">
        <v>46012.4891550926</v>
      </c>
      <c r="F5173" s="0" t="n">
        <v>2.08</v>
      </c>
      <c r="G5173" s="0" t="n">
        <v>17121</v>
      </c>
      <c r="H5173" s="6" t="s">
        <v>188</v>
      </c>
      <c r="I5173" s="6" t="n">
        <f aca="false">D5173*F5173</f>
        <v>70.72</v>
      </c>
      <c r="J5173" s="6" t="n">
        <f aca="false">HOUR(E5173)</f>
        <v>11</v>
      </c>
      <c r="K5173" s="6" t="n">
        <f aca="false">IF(COUNTIF($A$2:$A5173,A5173)=1,1,0)</f>
        <v>1</v>
      </c>
    </row>
    <row r="5174" customFormat="false" ht="15" hidden="false" customHeight="false" outlineLevel="0" collapsed="false">
      <c r="A5174" s="0" t="s">
        <v>1054</v>
      </c>
      <c r="B5174" s="0" t="s">
        <v>95</v>
      </c>
      <c r="C5174" s="0" t="s">
        <v>96</v>
      </c>
      <c r="D5174" s="0" t="n">
        <v>32</v>
      </c>
      <c r="E5174" s="5" t="n">
        <v>46012.4891550926</v>
      </c>
      <c r="F5174" s="0" t="n">
        <v>2.55</v>
      </c>
      <c r="G5174" s="0" t="n">
        <v>17121</v>
      </c>
      <c r="H5174" s="6" t="s">
        <v>188</v>
      </c>
      <c r="I5174" s="6" t="n">
        <f aca="false">D5174*F5174</f>
        <v>81.6</v>
      </c>
      <c r="J5174" s="6" t="n">
        <f aca="false">HOUR(E5174)</f>
        <v>11</v>
      </c>
      <c r="K5174" s="6" t="n">
        <f aca="false">IF(COUNTIF($A$2:$A5174,A5174)=1,1,0)</f>
        <v>0</v>
      </c>
    </row>
    <row r="5175" customFormat="false" ht="15" hidden="false" customHeight="false" outlineLevel="0" collapsed="false">
      <c r="A5175" s="0" t="s">
        <v>1054</v>
      </c>
      <c r="B5175" s="0" t="s">
        <v>91</v>
      </c>
      <c r="C5175" s="0" t="s">
        <v>92</v>
      </c>
      <c r="D5175" s="0" t="n">
        <v>11</v>
      </c>
      <c r="E5175" s="5" t="n">
        <v>46012.4891550926</v>
      </c>
      <c r="F5175" s="0" t="n">
        <v>7.65</v>
      </c>
      <c r="G5175" s="0" t="n">
        <v>17121</v>
      </c>
      <c r="H5175" s="6" t="s">
        <v>188</v>
      </c>
      <c r="I5175" s="6" t="n">
        <f aca="false">D5175*F5175</f>
        <v>84.15</v>
      </c>
      <c r="J5175" s="6" t="n">
        <f aca="false">HOUR(E5175)</f>
        <v>11</v>
      </c>
      <c r="K5175" s="6" t="n">
        <f aca="false">IF(COUNTIF($A$2:$A5175,A5175)=1,1,0)</f>
        <v>0</v>
      </c>
    </row>
    <row r="5176" customFormat="false" ht="15" hidden="false" customHeight="false" outlineLevel="0" collapsed="false">
      <c r="A5176" s="0" t="s">
        <v>1054</v>
      </c>
      <c r="B5176" s="0" t="s">
        <v>55</v>
      </c>
      <c r="C5176" s="0" t="s">
        <v>56</v>
      </c>
      <c r="D5176" s="0" t="n">
        <v>16</v>
      </c>
      <c r="E5176" s="5" t="n">
        <v>46012.4891550926</v>
      </c>
      <c r="F5176" s="0" t="n">
        <v>1.65</v>
      </c>
      <c r="G5176" s="0" t="n">
        <v>17121</v>
      </c>
      <c r="H5176" s="6" t="s">
        <v>188</v>
      </c>
      <c r="I5176" s="6" t="n">
        <f aca="false">D5176*F5176</f>
        <v>26.4</v>
      </c>
      <c r="J5176" s="6" t="n">
        <f aca="false">HOUR(E5176)</f>
        <v>11</v>
      </c>
      <c r="K5176" s="6" t="n">
        <f aca="false">IF(COUNTIF($A$2:$A5176,A5176)=1,1,0)</f>
        <v>0</v>
      </c>
    </row>
    <row r="5177" customFormat="false" ht="15" hidden="false" customHeight="false" outlineLevel="0" collapsed="false">
      <c r="A5177" s="0" t="s">
        <v>1054</v>
      </c>
      <c r="B5177" s="0" t="s">
        <v>57</v>
      </c>
      <c r="C5177" s="0" t="s">
        <v>58</v>
      </c>
      <c r="D5177" s="0" t="n">
        <v>14</v>
      </c>
      <c r="E5177" s="5" t="n">
        <v>46012.4891550926</v>
      </c>
      <c r="F5177" s="0" t="n">
        <v>2.08</v>
      </c>
      <c r="G5177" s="0" t="n">
        <v>17121</v>
      </c>
      <c r="H5177" s="6" t="s">
        <v>188</v>
      </c>
      <c r="I5177" s="6" t="n">
        <f aca="false">D5177*F5177</f>
        <v>29.12</v>
      </c>
      <c r="J5177" s="6" t="n">
        <f aca="false">HOUR(E5177)</f>
        <v>11</v>
      </c>
      <c r="K5177" s="6" t="n">
        <f aca="false">IF(COUNTIF($A$2:$A5177,A5177)=1,1,0)</f>
        <v>0</v>
      </c>
    </row>
    <row r="5178" customFormat="false" ht="15" hidden="false" customHeight="false" outlineLevel="0" collapsed="false">
      <c r="A5178" s="0" t="s">
        <v>1054</v>
      </c>
      <c r="B5178" s="0" t="s">
        <v>81</v>
      </c>
      <c r="C5178" s="0" t="s">
        <v>82</v>
      </c>
      <c r="D5178" s="0" t="n">
        <v>23</v>
      </c>
      <c r="E5178" s="5" t="n">
        <v>46012.4891550926</v>
      </c>
      <c r="F5178" s="0" t="n">
        <v>1.65</v>
      </c>
      <c r="G5178" s="0" t="n">
        <v>17121</v>
      </c>
      <c r="H5178" s="6" t="s">
        <v>188</v>
      </c>
      <c r="I5178" s="6" t="n">
        <f aca="false">D5178*F5178</f>
        <v>37.95</v>
      </c>
      <c r="J5178" s="6" t="n">
        <f aca="false">HOUR(E5178)</f>
        <v>11</v>
      </c>
      <c r="K5178" s="6" t="n">
        <f aca="false">IF(COUNTIF($A$2:$A5178,A5178)=1,1,0)</f>
        <v>0</v>
      </c>
    </row>
    <row r="5179" customFormat="false" ht="15" hidden="false" customHeight="false" outlineLevel="0" collapsed="false">
      <c r="A5179" s="0" t="s">
        <v>1054</v>
      </c>
      <c r="B5179" s="0" t="s">
        <v>104</v>
      </c>
      <c r="C5179" s="0" t="s">
        <v>105</v>
      </c>
      <c r="D5179" s="0" t="n">
        <v>4</v>
      </c>
      <c r="E5179" s="5" t="n">
        <v>46012.4891550926</v>
      </c>
      <c r="F5179" s="0" t="n">
        <v>1.65</v>
      </c>
      <c r="G5179" s="0" t="n">
        <v>17121</v>
      </c>
      <c r="H5179" s="6" t="s">
        <v>188</v>
      </c>
      <c r="I5179" s="6" t="n">
        <f aca="false">D5179*F5179</f>
        <v>6.6</v>
      </c>
      <c r="J5179" s="6" t="n">
        <f aca="false">HOUR(E5179)</f>
        <v>11</v>
      </c>
      <c r="K5179" s="6" t="n">
        <f aca="false">IF(COUNTIF($A$2:$A5179,A5179)=1,1,0)</f>
        <v>0</v>
      </c>
    </row>
    <row r="5180" customFormat="false" ht="15" hidden="false" customHeight="false" outlineLevel="0" collapsed="false">
      <c r="A5180" s="0" t="s">
        <v>1054</v>
      </c>
      <c r="B5180" s="0" t="s">
        <v>118</v>
      </c>
      <c r="C5180" s="0" t="s">
        <v>119</v>
      </c>
      <c r="D5180" s="0" t="n">
        <v>11</v>
      </c>
      <c r="E5180" s="5" t="n">
        <v>46012.4891550926</v>
      </c>
      <c r="F5180" s="0" t="n">
        <v>4.95</v>
      </c>
      <c r="G5180" s="0" t="n">
        <v>17121</v>
      </c>
      <c r="H5180" s="6" t="s">
        <v>188</v>
      </c>
      <c r="I5180" s="6" t="n">
        <f aca="false">D5180*F5180</f>
        <v>54.45</v>
      </c>
      <c r="J5180" s="6" t="n">
        <f aca="false">HOUR(E5180)</f>
        <v>11</v>
      </c>
      <c r="K5180" s="6" t="n">
        <f aca="false">IF(COUNTIF($A$2:$A5180,A5180)=1,1,0)</f>
        <v>0</v>
      </c>
    </row>
    <row r="5181" customFormat="false" ht="15" hidden="false" customHeight="false" outlineLevel="0" collapsed="false">
      <c r="A5181" s="0" t="s">
        <v>1055</v>
      </c>
      <c r="B5181" s="0" t="s">
        <v>88</v>
      </c>
      <c r="C5181" s="0" t="s">
        <v>89</v>
      </c>
      <c r="D5181" s="0" t="n">
        <v>19</v>
      </c>
      <c r="E5181" s="5" t="n">
        <v>46012.502349537</v>
      </c>
      <c r="F5181" s="0" t="n">
        <v>2.75</v>
      </c>
      <c r="G5181" s="0" t="n">
        <v>17029</v>
      </c>
      <c r="H5181" s="6" t="s">
        <v>74</v>
      </c>
      <c r="I5181" s="6" t="n">
        <f aca="false">D5181*F5181</f>
        <v>52.25</v>
      </c>
      <c r="J5181" s="6" t="n">
        <f aca="false">HOUR(E5181)</f>
        <v>12</v>
      </c>
      <c r="K5181" s="6" t="n">
        <f aca="false">IF(COUNTIF($A$2:$A5181,A5181)=1,1,0)</f>
        <v>1</v>
      </c>
    </row>
    <row r="5182" customFormat="false" ht="15" hidden="false" customHeight="false" outlineLevel="0" collapsed="false">
      <c r="A5182" s="0" t="s">
        <v>1055</v>
      </c>
      <c r="B5182" s="0" t="s">
        <v>65</v>
      </c>
      <c r="C5182" s="0" t="s">
        <v>66</v>
      </c>
      <c r="D5182" s="0" t="n">
        <v>13</v>
      </c>
      <c r="E5182" s="5" t="n">
        <v>46012.502349537</v>
      </c>
      <c r="F5182" s="0" t="n">
        <v>1.65</v>
      </c>
      <c r="G5182" s="0" t="n">
        <v>17029</v>
      </c>
      <c r="H5182" s="6" t="s">
        <v>74</v>
      </c>
      <c r="I5182" s="6" t="n">
        <f aca="false">D5182*F5182</f>
        <v>21.45</v>
      </c>
      <c r="J5182" s="6" t="n">
        <f aca="false">HOUR(E5182)</f>
        <v>12</v>
      </c>
      <c r="K5182" s="6" t="n">
        <f aca="false">IF(COUNTIF($A$2:$A5182,A5182)=1,1,0)</f>
        <v>0</v>
      </c>
    </row>
    <row r="5183" customFormat="false" ht="15" hidden="false" customHeight="false" outlineLevel="0" collapsed="false">
      <c r="A5183" s="0" t="s">
        <v>1055</v>
      </c>
      <c r="B5183" s="0" t="s">
        <v>40</v>
      </c>
      <c r="C5183" s="0" t="s">
        <v>41</v>
      </c>
      <c r="D5183" s="0" t="n">
        <v>14</v>
      </c>
      <c r="E5183" s="5" t="n">
        <v>46012.502349537</v>
      </c>
      <c r="F5183" s="0" t="n">
        <v>1.06</v>
      </c>
      <c r="G5183" s="0" t="n">
        <v>17029</v>
      </c>
      <c r="H5183" s="6" t="s">
        <v>74</v>
      </c>
      <c r="I5183" s="6" t="n">
        <f aca="false">D5183*F5183</f>
        <v>14.84</v>
      </c>
      <c r="J5183" s="6" t="n">
        <f aca="false">HOUR(E5183)</f>
        <v>12</v>
      </c>
      <c r="K5183" s="6" t="n">
        <f aca="false">IF(COUNTIF($A$2:$A5183,A5183)=1,1,0)</f>
        <v>0</v>
      </c>
    </row>
    <row r="5184" customFormat="false" ht="15" hidden="false" customHeight="false" outlineLevel="0" collapsed="false">
      <c r="A5184" s="0" t="s">
        <v>1055</v>
      </c>
      <c r="B5184" s="0" t="s">
        <v>53</v>
      </c>
      <c r="C5184" s="0" t="s">
        <v>54</v>
      </c>
      <c r="D5184" s="0" t="n">
        <v>17</v>
      </c>
      <c r="E5184" s="5" t="n">
        <v>46012.502349537</v>
      </c>
      <c r="F5184" s="0" t="n">
        <v>2.95</v>
      </c>
      <c r="G5184" s="0" t="n">
        <v>17029</v>
      </c>
      <c r="H5184" s="6" t="s">
        <v>74</v>
      </c>
      <c r="I5184" s="6" t="n">
        <f aca="false">D5184*F5184</f>
        <v>50.15</v>
      </c>
      <c r="J5184" s="6" t="n">
        <f aca="false">HOUR(E5184)</f>
        <v>12</v>
      </c>
      <c r="K5184" s="6" t="n">
        <f aca="false">IF(COUNTIF($A$2:$A5184,A5184)=1,1,0)</f>
        <v>0</v>
      </c>
    </row>
    <row r="5185" customFormat="false" ht="15" hidden="false" customHeight="false" outlineLevel="0" collapsed="false">
      <c r="A5185" s="0" t="s">
        <v>1055</v>
      </c>
      <c r="B5185" s="0" t="s">
        <v>75</v>
      </c>
      <c r="C5185" s="0" t="s">
        <v>76</v>
      </c>
      <c r="D5185" s="0" t="n">
        <v>6</v>
      </c>
      <c r="E5185" s="5" t="n">
        <v>46012.502349537</v>
      </c>
      <c r="F5185" s="0" t="n">
        <v>3.39</v>
      </c>
      <c r="G5185" s="0" t="n">
        <v>17029</v>
      </c>
      <c r="H5185" s="6" t="s">
        <v>74</v>
      </c>
      <c r="I5185" s="6" t="n">
        <f aca="false">D5185*F5185</f>
        <v>20.34</v>
      </c>
      <c r="J5185" s="6" t="n">
        <f aca="false">HOUR(E5185)</f>
        <v>12</v>
      </c>
      <c r="K5185" s="6" t="n">
        <f aca="false">IF(COUNTIF($A$2:$A5185,A5185)=1,1,0)</f>
        <v>0</v>
      </c>
    </row>
    <row r="5186" customFormat="false" ht="15" hidden="false" customHeight="false" outlineLevel="0" collapsed="false">
      <c r="A5186" s="0" t="s">
        <v>1055</v>
      </c>
      <c r="B5186" s="0" t="s">
        <v>57</v>
      </c>
      <c r="C5186" s="0" t="s">
        <v>58</v>
      </c>
      <c r="D5186" s="0" t="n">
        <v>18</v>
      </c>
      <c r="E5186" s="5" t="n">
        <v>46012.502349537</v>
      </c>
      <c r="F5186" s="0" t="n">
        <v>2.08</v>
      </c>
      <c r="G5186" s="0" t="n">
        <v>17029</v>
      </c>
      <c r="H5186" s="6" t="s">
        <v>74</v>
      </c>
      <c r="I5186" s="6" t="n">
        <f aca="false">D5186*F5186</f>
        <v>37.44</v>
      </c>
      <c r="J5186" s="6" t="n">
        <f aca="false">HOUR(E5186)</f>
        <v>12</v>
      </c>
      <c r="K5186" s="6" t="n">
        <f aca="false">IF(COUNTIF($A$2:$A5186,A5186)=1,1,0)</f>
        <v>0</v>
      </c>
    </row>
    <row r="5187" customFormat="false" ht="15" hidden="false" customHeight="false" outlineLevel="0" collapsed="false">
      <c r="A5187" s="0" t="s">
        <v>1055</v>
      </c>
      <c r="B5187" s="0" t="s">
        <v>125</v>
      </c>
      <c r="C5187" s="0" t="s">
        <v>126</v>
      </c>
      <c r="D5187" s="0" t="n">
        <v>4</v>
      </c>
      <c r="E5187" s="5" t="n">
        <v>46012.502349537</v>
      </c>
      <c r="F5187" s="0" t="n">
        <v>1.25</v>
      </c>
      <c r="G5187" s="0" t="n">
        <v>17029</v>
      </c>
      <c r="H5187" s="6" t="s">
        <v>74</v>
      </c>
      <c r="I5187" s="6" t="n">
        <f aca="false">D5187*F5187</f>
        <v>5</v>
      </c>
      <c r="J5187" s="6" t="n">
        <f aca="false">HOUR(E5187)</f>
        <v>12</v>
      </c>
      <c r="K5187" s="6" t="n">
        <f aca="false">IF(COUNTIF($A$2:$A5187,A5187)=1,1,0)</f>
        <v>0</v>
      </c>
    </row>
    <row r="5188" customFormat="false" ht="15" hidden="false" customHeight="false" outlineLevel="0" collapsed="false">
      <c r="A5188" s="0" t="s">
        <v>1055</v>
      </c>
      <c r="B5188" s="0" t="s">
        <v>45</v>
      </c>
      <c r="C5188" s="0" t="s">
        <v>46</v>
      </c>
      <c r="D5188" s="0" t="n">
        <v>19</v>
      </c>
      <c r="E5188" s="5" t="n">
        <v>46012.502349537</v>
      </c>
      <c r="F5188" s="0" t="n">
        <v>2.1</v>
      </c>
      <c r="G5188" s="0" t="n">
        <v>17029</v>
      </c>
      <c r="H5188" s="6" t="s">
        <v>74</v>
      </c>
      <c r="I5188" s="6" t="n">
        <f aca="false">D5188*F5188</f>
        <v>39.9</v>
      </c>
      <c r="J5188" s="6" t="n">
        <f aca="false">HOUR(E5188)</f>
        <v>12</v>
      </c>
      <c r="K5188" s="6" t="n">
        <f aca="false">IF(COUNTIF($A$2:$A5188,A5188)=1,1,0)</f>
        <v>0</v>
      </c>
    </row>
    <row r="5189" customFormat="false" ht="15" hidden="false" customHeight="false" outlineLevel="0" collapsed="false">
      <c r="A5189" s="0" t="s">
        <v>1055</v>
      </c>
      <c r="B5189" s="0" t="s">
        <v>86</v>
      </c>
      <c r="C5189" s="0" t="s">
        <v>87</v>
      </c>
      <c r="D5189" s="0" t="n">
        <v>15</v>
      </c>
      <c r="E5189" s="5" t="n">
        <v>46012.502349537</v>
      </c>
      <c r="F5189" s="0" t="n">
        <v>4.25</v>
      </c>
      <c r="G5189" s="0" t="n">
        <v>17029</v>
      </c>
      <c r="H5189" s="6" t="s">
        <v>74</v>
      </c>
      <c r="I5189" s="6" t="n">
        <f aca="false">D5189*F5189</f>
        <v>63.75</v>
      </c>
      <c r="J5189" s="6" t="n">
        <f aca="false">HOUR(E5189)</f>
        <v>12</v>
      </c>
      <c r="K5189" s="6" t="n">
        <f aca="false">IF(COUNTIF($A$2:$A5189,A5189)=1,1,0)</f>
        <v>0</v>
      </c>
    </row>
    <row r="5190" customFormat="false" ht="15" hidden="false" customHeight="false" outlineLevel="0" collapsed="false">
      <c r="A5190" s="0" t="s">
        <v>1055</v>
      </c>
      <c r="B5190" s="0" t="s">
        <v>72</v>
      </c>
      <c r="C5190" s="0" t="s">
        <v>73</v>
      </c>
      <c r="D5190" s="0" t="n">
        <v>17</v>
      </c>
      <c r="E5190" s="5" t="n">
        <v>46012.502349537</v>
      </c>
      <c r="F5190" s="0" t="n">
        <v>4.95</v>
      </c>
      <c r="G5190" s="0" t="n">
        <v>17029</v>
      </c>
      <c r="H5190" s="6" t="s">
        <v>74</v>
      </c>
      <c r="I5190" s="6" t="n">
        <f aca="false">D5190*F5190</f>
        <v>84.15</v>
      </c>
      <c r="J5190" s="6" t="n">
        <f aca="false">HOUR(E5190)</f>
        <v>12</v>
      </c>
      <c r="K5190" s="6" t="n">
        <f aca="false">IF(COUNTIF($A$2:$A5190,A5190)=1,1,0)</f>
        <v>0</v>
      </c>
    </row>
    <row r="5191" customFormat="false" ht="15" hidden="false" customHeight="false" outlineLevel="0" collapsed="false">
      <c r="A5191" s="0" t="s">
        <v>1056</v>
      </c>
      <c r="B5191" s="0" t="s">
        <v>61</v>
      </c>
      <c r="C5191" s="0" t="s">
        <v>62</v>
      </c>
      <c r="D5191" s="0" t="n">
        <v>24</v>
      </c>
      <c r="E5191" s="5" t="n">
        <v>46012.5780671296</v>
      </c>
      <c r="F5191" s="0" t="n">
        <v>1.65</v>
      </c>
      <c r="H5191" s="6" t="s">
        <v>68</v>
      </c>
      <c r="I5191" s="6" t="n">
        <f aca="false">D5191*F5191</f>
        <v>39.6</v>
      </c>
      <c r="J5191" s="6" t="n">
        <f aca="false">HOUR(E5191)</f>
        <v>13</v>
      </c>
      <c r="K5191" s="6" t="n">
        <f aca="false">IF(COUNTIF($A$2:$A5191,A5191)=1,1,0)</f>
        <v>1</v>
      </c>
    </row>
    <row r="5192" customFormat="false" ht="15" hidden="false" customHeight="false" outlineLevel="0" collapsed="false">
      <c r="A5192" s="0" t="s">
        <v>1056</v>
      </c>
      <c r="B5192" s="0" t="s">
        <v>55</v>
      </c>
      <c r="C5192" s="0" t="s">
        <v>56</v>
      </c>
      <c r="D5192" s="0" t="n">
        <v>15</v>
      </c>
      <c r="E5192" s="5" t="n">
        <v>46012.5780671296</v>
      </c>
      <c r="F5192" s="0" t="n">
        <v>1.65</v>
      </c>
      <c r="H5192" s="6" t="s">
        <v>68</v>
      </c>
      <c r="I5192" s="6" t="n">
        <f aca="false">D5192*F5192</f>
        <v>24.75</v>
      </c>
      <c r="J5192" s="6" t="n">
        <f aca="false">HOUR(E5192)</f>
        <v>13</v>
      </c>
      <c r="K5192" s="6" t="n">
        <f aca="false">IF(COUNTIF($A$2:$A5192,A5192)=1,1,0)</f>
        <v>0</v>
      </c>
    </row>
    <row r="5193" customFormat="false" ht="15" hidden="false" customHeight="false" outlineLevel="0" collapsed="false">
      <c r="A5193" s="0" t="s">
        <v>1056</v>
      </c>
      <c r="B5193" s="0" t="s">
        <v>104</v>
      </c>
      <c r="C5193" s="0" t="s">
        <v>105</v>
      </c>
      <c r="D5193" s="0" t="n">
        <v>13</v>
      </c>
      <c r="E5193" s="5" t="n">
        <v>46012.5780671296</v>
      </c>
      <c r="F5193" s="0" t="n">
        <v>1.65</v>
      </c>
      <c r="H5193" s="6" t="s">
        <v>68</v>
      </c>
      <c r="I5193" s="6" t="n">
        <f aca="false">D5193*F5193</f>
        <v>21.45</v>
      </c>
      <c r="J5193" s="6" t="n">
        <f aca="false">HOUR(E5193)</f>
        <v>13</v>
      </c>
      <c r="K5193" s="6" t="n">
        <f aca="false">IF(COUNTIF($A$2:$A5193,A5193)=1,1,0)</f>
        <v>0</v>
      </c>
    </row>
    <row r="5194" customFormat="false" ht="15" hidden="false" customHeight="false" outlineLevel="0" collapsed="false">
      <c r="A5194" s="0" t="s">
        <v>1057</v>
      </c>
      <c r="B5194" s="0" t="s">
        <v>121</v>
      </c>
      <c r="C5194" s="0" t="s">
        <v>122</v>
      </c>
      <c r="D5194" s="0" t="n">
        <v>8</v>
      </c>
      <c r="E5194" s="5" t="n">
        <v>46012.580162037</v>
      </c>
      <c r="F5194" s="0" t="n">
        <v>2.1</v>
      </c>
      <c r="G5194" s="0" t="n">
        <v>17202</v>
      </c>
      <c r="H5194" s="6" t="s">
        <v>74</v>
      </c>
      <c r="I5194" s="6" t="n">
        <f aca="false">D5194*F5194</f>
        <v>16.8</v>
      </c>
      <c r="J5194" s="6" t="n">
        <f aca="false">HOUR(E5194)</f>
        <v>13</v>
      </c>
      <c r="K5194" s="6" t="n">
        <f aca="false">IF(COUNTIF($A$2:$A5194,A5194)=1,1,0)</f>
        <v>1</v>
      </c>
    </row>
    <row r="5195" customFormat="false" ht="15" hidden="false" customHeight="false" outlineLevel="0" collapsed="false">
      <c r="A5195" s="0" t="s">
        <v>1057</v>
      </c>
      <c r="B5195" s="0" t="s">
        <v>55</v>
      </c>
      <c r="C5195" s="0" t="s">
        <v>56</v>
      </c>
      <c r="D5195" s="0" t="n">
        <v>6</v>
      </c>
      <c r="E5195" s="5" t="n">
        <v>46012.580162037</v>
      </c>
      <c r="F5195" s="0" t="n">
        <v>1.65</v>
      </c>
      <c r="G5195" s="0" t="n">
        <v>17202</v>
      </c>
      <c r="H5195" s="6" t="s">
        <v>74</v>
      </c>
      <c r="I5195" s="6" t="n">
        <f aca="false">D5195*F5195</f>
        <v>9.9</v>
      </c>
      <c r="J5195" s="6" t="n">
        <f aca="false">HOUR(E5195)</f>
        <v>13</v>
      </c>
      <c r="K5195" s="6" t="n">
        <f aca="false">IF(COUNTIF($A$2:$A5195,A5195)=1,1,0)</f>
        <v>0</v>
      </c>
    </row>
    <row r="5196" customFormat="false" ht="15" hidden="false" customHeight="false" outlineLevel="0" collapsed="false">
      <c r="A5196" s="0" t="s">
        <v>1057</v>
      </c>
      <c r="B5196" s="0" t="s">
        <v>47</v>
      </c>
      <c r="C5196" s="0" t="s">
        <v>48</v>
      </c>
      <c r="D5196" s="0" t="n">
        <v>10</v>
      </c>
      <c r="E5196" s="5" t="n">
        <v>46012.580162037</v>
      </c>
      <c r="F5196" s="0" t="n">
        <v>12.75</v>
      </c>
      <c r="G5196" s="0" t="n">
        <v>17202</v>
      </c>
      <c r="H5196" s="6" t="s">
        <v>74</v>
      </c>
      <c r="I5196" s="6" t="n">
        <f aca="false">D5196*F5196</f>
        <v>127.5</v>
      </c>
      <c r="J5196" s="6" t="n">
        <f aca="false">HOUR(E5196)</f>
        <v>13</v>
      </c>
      <c r="K5196" s="6" t="n">
        <f aca="false">IF(COUNTIF($A$2:$A5196,A5196)=1,1,0)</f>
        <v>0</v>
      </c>
    </row>
    <row r="5197" customFormat="false" ht="15" hidden="false" customHeight="false" outlineLevel="0" collapsed="false">
      <c r="A5197" s="0" t="s">
        <v>1058</v>
      </c>
      <c r="B5197" s="0" t="s">
        <v>43</v>
      </c>
      <c r="C5197" s="0" t="s">
        <v>44</v>
      </c>
      <c r="D5197" s="0" t="n">
        <v>21</v>
      </c>
      <c r="E5197" s="5" t="n">
        <v>46012.5904513889</v>
      </c>
      <c r="F5197" s="0" t="n">
        <v>4.25</v>
      </c>
      <c r="G5197" s="0" t="n">
        <v>17038</v>
      </c>
      <c r="H5197" s="6" t="s">
        <v>74</v>
      </c>
      <c r="I5197" s="6" t="n">
        <f aca="false">D5197*F5197</f>
        <v>89.25</v>
      </c>
      <c r="J5197" s="6" t="n">
        <f aca="false">HOUR(E5197)</f>
        <v>14</v>
      </c>
      <c r="K5197" s="6" t="n">
        <f aca="false">IF(COUNTIF($A$2:$A5197,A5197)=1,1,0)</f>
        <v>1</v>
      </c>
    </row>
    <row r="5198" customFormat="false" ht="15" hidden="false" customHeight="false" outlineLevel="0" collapsed="false">
      <c r="A5198" s="0" t="s">
        <v>1058</v>
      </c>
      <c r="B5198" s="0" t="s">
        <v>93</v>
      </c>
      <c r="C5198" s="0" t="s">
        <v>94</v>
      </c>
      <c r="D5198" s="0" t="n">
        <v>16</v>
      </c>
      <c r="E5198" s="5" t="n">
        <v>46012.5904513889</v>
      </c>
      <c r="F5198" s="0" t="n">
        <v>1.69</v>
      </c>
      <c r="G5198" s="0" t="n">
        <v>17038</v>
      </c>
      <c r="H5198" s="6" t="s">
        <v>74</v>
      </c>
      <c r="I5198" s="6" t="n">
        <f aca="false">D5198*F5198</f>
        <v>27.04</v>
      </c>
      <c r="J5198" s="6" t="n">
        <f aca="false">HOUR(E5198)</f>
        <v>14</v>
      </c>
      <c r="K5198" s="6" t="n">
        <f aca="false">IF(COUNTIF($A$2:$A5198,A5198)=1,1,0)</f>
        <v>0</v>
      </c>
    </row>
    <row r="5199" customFormat="false" ht="15" hidden="false" customHeight="false" outlineLevel="0" collapsed="false">
      <c r="A5199" s="0" t="s">
        <v>1058</v>
      </c>
      <c r="B5199" s="0" t="s">
        <v>75</v>
      </c>
      <c r="C5199" s="0" t="s">
        <v>76</v>
      </c>
      <c r="D5199" s="0" t="n">
        <v>11</v>
      </c>
      <c r="E5199" s="5" t="n">
        <v>46012.5904513889</v>
      </c>
      <c r="F5199" s="0" t="n">
        <v>3.39</v>
      </c>
      <c r="G5199" s="0" t="n">
        <v>17038</v>
      </c>
      <c r="H5199" s="6" t="s">
        <v>74</v>
      </c>
      <c r="I5199" s="6" t="n">
        <f aca="false">D5199*F5199</f>
        <v>37.29</v>
      </c>
      <c r="J5199" s="6" t="n">
        <f aca="false">HOUR(E5199)</f>
        <v>14</v>
      </c>
      <c r="K5199" s="6" t="n">
        <f aca="false">IF(COUNTIF($A$2:$A5199,A5199)=1,1,0)</f>
        <v>0</v>
      </c>
    </row>
    <row r="5200" customFormat="false" ht="15" hidden="false" customHeight="false" outlineLevel="0" collapsed="false">
      <c r="A5200" s="0" t="s">
        <v>1058</v>
      </c>
      <c r="B5200" s="0" t="s">
        <v>81</v>
      </c>
      <c r="C5200" s="0" t="s">
        <v>82</v>
      </c>
      <c r="D5200" s="0" t="n">
        <v>18</v>
      </c>
      <c r="E5200" s="5" t="n">
        <v>46012.5904513889</v>
      </c>
      <c r="F5200" s="0" t="n">
        <v>1.65</v>
      </c>
      <c r="G5200" s="0" t="n">
        <v>17038</v>
      </c>
      <c r="H5200" s="6" t="s">
        <v>74</v>
      </c>
      <c r="I5200" s="6" t="n">
        <f aca="false">D5200*F5200</f>
        <v>29.7</v>
      </c>
      <c r="J5200" s="6" t="n">
        <f aca="false">HOUR(E5200)</f>
        <v>14</v>
      </c>
      <c r="K5200" s="6" t="n">
        <f aca="false">IF(COUNTIF($A$2:$A5200,A5200)=1,1,0)</f>
        <v>0</v>
      </c>
    </row>
    <row r="5201" customFormat="false" ht="15" hidden="false" customHeight="false" outlineLevel="0" collapsed="false">
      <c r="A5201" s="0" t="s">
        <v>1058</v>
      </c>
      <c r="B5201" s="0" t="s">
        <v>114</v>
      </c>
      <c r="C5201" s="0" t="s">
        <v>115</v>
      </c>
      <c r="D5201" s="0" t="n">
        <v>2</v>
      </c>
      <c r="E5201" s="5" t="n">
        <v>46012.5904513889</v>
      </c>
      <c r="F5201" s="0" t="n">
        <v>2.08</v>
      </c>
      <c r="G5201" s="0" t="n">
        <v>17038</v>
      </c>
      <c r="H5201" s="6" t="s">
        <v>74</v>
      </c>
      <c r="I5201" s="6" t="n">
        <f aca="false">D5201*F5201</f>
        <v>4.16</v>
      </c>
      <c r="J5201" s="6" t="n">
        <f aca="false">HOUR(E5201)</f>
        <v>14</v>
      </c>
      <c r="K5201" s="6" t="n">
        <f aca="false">IF(COUNTIF($A$2:$A5201,A5201)=1,1,0)</f>
        <v>0</v>
      </c>
    </row>
    <row r="5202" customFormat="false" ht="15" hidden="false" customHeight="false" outlineLevel="0" collapsed="false">
      <c r="A5202" s="0" t="s">
        <v>1058</v>
      </c>
      <c r="B5202" s="0" t="s">
        <v>91</v>
      </c>
      <c r="C5202" s="0" t="s">
        <v>92</v>
      </c>
      <c r="D5202" s="0" t="n">
        <v>10</v>
      </c>
      <c r="E5202" s="5" t="n">
        <v>46012.5904513889</v>
      </c>
      <c r="F5202" s="0" t="n">
        <v>7.65</v>
      </c>
      <c r="G5202" s="0" t="n">
        <v>17038</v>
      </c>
      <c r="H5202" s="6" t="s">
        <v>74</v>
      </c>
      <c r="I5202" s="6" t="n">
        <f aca="false">D5202*F5202</f>
        <v>76.5</v>
      </c>
      <c r="J5202" s="6" t="n">
        <f aca="false">HOUR(E5202)</f>
        <v>14</v>
      </c>
      <c r="K5202" s="6" t="n">
        <f aca="false">IF(COUNTIF($A$2:$A5202,A5202)=1,1,0)</f>
        <v>0</v>
      </c>
    </row>
    <row r="5203" customFormat="false" ht="15" hidden="false" customHeight="false" outlineLevel="0" collapsed="false">
      <c r="A5203" s="0" t="s">
        <v>1058</v>
      </c>
      <c r="B5203" s="0" t="s">
        <v>79</v>
      </c>
      <c r="C5203" s="0" t="s">
        <v>80</v>
      </c>
      <c r="D5203" s="0" t="n">
        <v>13</v>
      </c>
      <c r="E5203" s="5" t="n">
        <v>46012.5904513889</v>
      </c>
      <c r="F5203" s="0" t="n">
        <v>3.39</v>
      </c>
      <c r="G5203" s="0" t="n">
        <v>17038</v>
      </c>
      <c r="H5203" s="6" t="s">
        <v>74</v>
      </c>
      <c r="I5203" s="6" t="n">
        <f aca="false">D5203*F5203</f>
        <v>44.07</v>
      </c>
      <c r="J5203" s="6" t="n">
        <f aca="false">HOUR(E5203)</f>
        <v>14</v>
      </c>
      <c r="K5203" s="6" t="n">
        <f aca="false">IF(COUNTIF($A$2:$A5203,A5203)=1,1,0)</f>
        <v>0</v>
      </c>
    </row>
    <row r="5204" customFormat="false" ht="15" hidden="false" customHeight="false" outlineLevel="0" collapsed="false">
      <c r="A5204" s="0" t="s">
        <v>1059</v>
      </c>
      <c r="B5204" s="0" t="s">
        <v>107</v>
      </c>
      <c r="C5204" s="0" t="s">
        <v>108</v>
      </c>
      <c r="D5204" s="0" t="n">
        <v>11</v>
      </c>
      <c r="E5204" s="5" t="n">
        <v>46012.6090972222</v>
      </c>
      <c r="F5204" s="0" t="n">
        <v>3.75</v>
      </c>
      <c r="G5204" s="0" t="n">
        <v>17215</v>
      </c>
      <c r="H5204" s="6" t="s">
        <v>208</v>
      </c>
      <c r="I5204" s="6" t="n">
        <f aca="false">D5204*F5204</f>
        <v>41.25</v>
      </c>
      <c r="J5204" s="6" t="n">
        <f aca="false">HOUR(E5204)</f>
        <v>14</v>
      </c>
      <c r="K5204" s="6" t="n">
        <f aca="false">IF(COUNTIF($A$2:$A5204,A5204)=1,1,0)</f>
        <v>1</v>
      </c>
    </row>
    <row r="5205" customFormat="false" ht="15" hidden="false" customHeight="false" outlineLevel="0" collapsed="false">
      <c r="A5205" s="0" t="s">
        <v>1059</v>
      </c>
      <c r="B5205" s="0" t="s">
        <v>125</v>
      </c>
      <c r="C5205" s="0" t="s">
        <v>126</v>
      </c>
      <c r="D5205" s="0" t="n">
        <v>14</v>
      </c>
      <c r="E5205" s="5" t="n">
        <v>46012.6090972222</v>
      </c>
      <c r="F5205" s="0" t="n">
        <v>1.25</v>
      </c>
      <c r="G5205" s="0" t="n">
        <v>17215</v>
      </c>
      <c r="H5205" s="6" t="s">
        <v>208</v>
      </c>
      <c r="I5205" s="6" t="n">
        <f aca="false">D5205*F5205</f>
        <v>17.5</v>
      </c>
      <c r="J5205" s="6" t="n">
        <f aca="false">HOUR(E5205)</f>
        <v>14</v>
      </c>
      <c r="K5205" s="6" t="n">
        <f aca="false">IF(COUNTIF($A$2:$A5205,A5205)=1,1,0)</f>
        <v>0</v>
      </c>
    </row>
    <row r="5206" customFormat="false" ht="15" hidden="false" customHeight="false" outlineLevel="0" collapsed="false">
      <c r="A5206" s="0" t="s">
        <v>1059</v>
      </c>
      <c r="B5206" s="0" t="s">
        <v>47</v>
      </c>
      <c r="C5206" s="0" t="s">
        <v>48</v>
      </c>
      <c r="D5206" s="0" t="n">
        <v>28</v>
      </c>
      <c r="E5206" s="5" t="n">
        <v>46012.6090972222</v>
      </c>
      <c r="F5206" s="0" t="n">
        <v>12.75</v>
      </c>
      <c r="G5206" s="0" t="n">
        <v>17215</v>
      </c>
      <c r="H5206" s="6" t="s">
        <v>208</v>
      </c>
      <c r="I5206" s="6" t="n">
        <f aca="false">D5206*F5206</f>
        <v>357</v>
      </c>
      <c r="J5206" s="6" t="n">
        <f aca="false">HOUR(E5206)</f>
        <v>14</v>
      </c>
      <c r="K5206" s="6" t="n">
        <f aca="false">IF(COUNTIF($A$2:$A5206,A5206)=1,1,0)</f>
        <v>0</v>
      </c>
    </row>
    <row r="5207" customFormat="false" ht="15" hidden="false" customHeight="false" outlineLevel="0" collapsed="false">
      <c r="A5207" s="0" t="s">
        <v>1059</v>
      </c>
      <c r="B5207" s="0" t="s">
        <v>69</v>
      </c>
      <c r="C5207" s="0" t="s">
        <v>70</v>
      </c>
      <c r="D5207" s="0" t="n">
        <v>37</v>
      </c>
      <c r="E5207" s="5" t="n">
        <v>46012.6090972222</v>
      </c>
      <c r="F5207" s="0" t="n">
        <v>2.08</v>
      </c>
      <c r="G5207" s="0" t="n">
        <v>17215</v>
      </c>
      <c r="H5207" s="6" t="s">
        <v>208</v>
      </c>
      <c r="I5207" s="6" t="n">
        <f aca="false">D5207*F5207</f>
        <v>76.96</v>
      </c>
      <c r="J5207" s="6" t="n">
        <f aca="false">HOUR(E5207)</f>
        <v>14</v>
      </c>
      <c r="K5207" s="6" t="n">
        <f aca="false">IF(COUNTIF($A$2:$A5207,A5207)=1,1,0)</f>
        <v>0</v>
      </c>
    </row>
    <row r="5208" customFormat="false" ht="15" hidden="false" customHeight="false" outlineLevel="0" collapsed="false">
      <c r="A5208" s="0" t="s">
        <v>1059</v>
      </c>
      <c r="B5208" s="0" t="s">
        <v>114</v>
      </c>
      <c r="C5208" s="0" t="s">
        <v>115</v>
      </c>
      <c r="D5208" s="0" t="n">
        <v>10</v>
      </c>
      <c r="E5208" s="5" t="n">
        <v>46012.6090972222</v>
      </c>
      <c r="F5208" s="0" t="n">
        <v>2.08</v>
      </c>
      <c r="G5208" s="0" t="n">
        <v>17215</v>
      </c>
      <c r="H5208" s="6" t="s">
        <v>208</v>
      </c>
      <c r="I5208" s="6" t="n">
        <f aca="false">D5208*F5208</f>
        <v>20.8</v>
      </c>
      <c r="J5208" s="6" t="n">
        <f aca="false">HOUR(E5208)</f>
        <v>14</v>
      </c>
      <c r="K5208" s="6" t="n">
        <f aca="false">IF(COUNTIF($A$2:$A5208,A5208)=1,1,0)</f>
        <v>0</v>
      </c>
    </row>
    <row r="5209" customFormat="false" ht="15" hidden="false" customHeight="false" outlineLevel="0" collapsed="false">
      <c r="A5209" s="0" t="s">
        <v>1059</v>
      </c>
      <c r="B5209" s="0" t="s">
        <v>72</v>
      </c>
      <c r="C5209" s="0" t="s">
        <v>73</v>
      </c>
      <c r="D5209" s="0" t="n">
        <v>41</v>
      </c>
      <c r="E5209" s="5" t="n">
        <v>46012.6090972222</v>
      </c>
      <c r="F5209" s="0" t="n">
        <v>4.95</v>
      </c>
      <c r="G5209" s="0" t="n">
        <v>17215</v>
      </c>
      <c r="H5209" s="6" t="s">
        <v>208</v>
      </c>
      <c r="I5209" s="6" t="n">
        <f aca="false">D5209*F5209</f>
        <v>202.95</v>
      </c>
      <c r="J5209" s="6" t="n">
        <f aca="false">HOUR(E5209)</f>
        <v>14</v>
      </c>
      <c r="K5209" s="6" t="n">
        <f aca="false">IF(COUNTIF($A$2:$A5209,A5209)=1,1,0)</f>
        <v>0</v>
      </c>
    </row>
    <row r="5210" customFormat="false" ht="15" hidden="false" customHeight="false" outlineLevel="0" collapsed="false">
      <c r="A5210" s="0" t="s">
        <v>1059</v>
      </c>
      <c r="B5210" s="0" t="s">
        <v>45</v>
      </c>
      <c r="C5210" s="0" t="s">
        <v>46</v>
      </c>
      <c r="D5210" s="0" t="n">
        <v>15</v>
      </c>
      <c r="E5210" s="5" t="n">
        <v>46012.6090972222</v>
      </c>
      <c r="F5210" s="0" t="n">
        <v>2.1</v>
      </c>
      <c r="G5210" s="0" t="n">
        <v>17215</v>
      </c>
      <c r="H5210" s="6" t="s">
        <v>208</v>
      </c>
      <c r="I5210" s="6" t="n">
        <f aca="false">D5210*F5210</f>
        <v>31.5</v>
      </c>
      <c r="J5210" s="6" t="n">
        <f aca="false">HOUR(E5210)</f>
        <v>14</v>
      </c>
      <c r="K5210" s="6" t="n">
        <f aca="false">IF(COUNTIF($A$2:$A5210,A5210)=1,1,0)</f>
        <v>0</v>
      </c>
    </row>
    <row r="5211" customFormat="false" ht="15" hidden="false" customHeight="false" outlineLevel="0" collapsed="false">
      <c r="A5211" s="0" t="s">
        <v>1059</v>
      </c>
      <c r="B5211" s="0" t="s">
        <v>121</v>
      </c>
      <c r="C5211" s="0" t="s">
        <v>122</v>
      </c>
      <c r="D5211" s="0" t="n">
        <v>1</v>
      </c>
      <c r="E5211" s="5" t="n">
        <v>46012.6090972222</v>
      </c>
      <c r="F5211" s="0" t="n">
        <v>2.1</v>
      </c>
      <c r="G5211" s="0" t="n">
        <v>17215</v>
      </c>
      <c r="H5211" s="6" t="s">
        <v>208</v>
      </c>
      <c r="I5211" s="6" t="n">
        <f aca="false">D5211*F5211</f>
        <v>2.1</v>
      </c>
      <c r="J5211" s="6" t="n">
        <f aca="false">HOUR(E5211)</f>
        <v>14</v>
      </c>
      <c r="K5211" s="6" t="n">
        <f aca="false">IF(COUNTIF($A$2:$A5211,A5211)=1,1,0)</f>
        <v>0</v>
      </c>
    </row>
    <row r="5212" customFormat="false" ht="15" hidden="false" customHeight="false" outlineLevel="0" collapsed="false">
      <c r="A5212" s="0" t="s">
        <v>1059</v>
      </c>
      <c r="B5212" s="0" t="s">
        <v>95</v>
      </c>
      <c r="C5212" s="0" t="s">
        <v>96</v>
      </c>
      <c r="D5212" s="0" t="n">
        <v>35</v>
      </c>
      <c r="E5212" s="5" t="n">
        <v>46012.6090972222</v>
      </c>
      <c r="F5212" s="0" t="n">
        <v>2.55</v>
      </c>
      <c r="G5212" s="0" t="n">
        <v>17215</v>
      </c>
      <c r="H5212" s="6" t="s">
        <v>208</v>
      </c>
      <c r="I5212" s="6" t="n">
        <f aca="false">D5212*F5212</f>
        <v>89.25</v>
      </c>
      <c r="J5212" s="6" t="n">
        <f aca="false">HOUR(E5212)</f>
        <v>14</v>
      </c>
      <c r="K5212" s="6" t="n">
        <f aca="false">IF(COUNTIF($A$2:$A5212,A5212)=1,1,0)</f>
        <v>0</v>
      </c>
    </row>
    <row r="5213" customFormat="false" ht="15" hidden="false" customHeight="false" outlineLevel="0" collapsed="false">
      <c r="A5213" s="0" t="s">
        <v>1060</v>
      </c>
      <c r="B5213" s="0" t="s">
        <v>65</v>
      </c>
      <c r="C5213" s="0" t="s">
        <v>66</v>
      </c>
      <c r="D5213" s="0" t="n">
        <v>1</v>
      </c>
      <c r="E5213" s="5" t="n">
        <v>46012.7081828704</v>
      </c>
      <c r="F5213" s="0" t="n">
        <v>1.65</v>
      </c>
      <c r="G5213" s="0" t="n">
        <v>17067</v>
      </c>
      <c r="H5213" s="6" t="s">
        <v>144</v>
      </c>
      <c r="I5213" s="6" t="n">
        <f aca="false">D5213*F5213</f>
        <v>1.65</v>
      </c>
      <c r="J5213" s="6" t="n">
        <f aca="false">HOUR(E5213)</f>
        <v>16</v>
      </c>
      <c r="K5213" s="6" t="n">
        <f aca="false">IF(COUNTIF($A$2:$A5213,A5213)=1,1,0)</f>
        <v>1</v>
      </c>
    </row>
    <row r="5214" customFormat="false" ht="15" hidden="false" customHeight="false" outlineLevel="0" collapsed="false">
      <c r="A5214" s="0" t="s">
        <v>1060</v>
      </c>
      <c r="B5214" s="0" t="s">
        <v>116</v>
      </c>
      <c r="C5214" s="0" t="s">
        <v>117</v>
      </c>
      <c r="D5214" s="0" t="n">
        <v>8</v>
      </c>
      <c r="E5214" s="5" t="n">
        <v>46012.7081828704</v>
      </c>
      <c r="F5214" s="0" t="n">
        <v>1.95</v>
      </c>
      <c r="G5214" s="0" t="n">
        <v>17067</v>
      </c>
      <c r="H5214" s="6" t="s">
        <v>144</v>
      </c>
      <c r="I5214" s="6" t="n">
        <f aca="false">D5214*F5214</f>
        <v>15.6</v>
      </c>
      <c r="J5214" s="6" t="n">
        <f aca="false">HOUR(E5214)</f>
        <v>16</v>
      </c>
      <c r="K5214" s="6" t="n">
        <f aca="false">IF(COUNTIF($A$2:$A5214,A5214)=1,1,0)</f>
        <v>0</v>
      </c>
    </row>
    <row r="5215" customFormat="false" ht="15" hidden="false" customHeight="false" outlineLevel="0" collapsed="false">
      <c r="A5215" s="0" t="s">
        <v>1060</v>
      </c>
      <c r="B5215" s="0" t="s">
        <v>79</v>
      </c>
      <c r="C5215" s="0" t="s">
        <v>80</v>
      </c>
      <c r="D5215" s="0" t="n">
        <v>20</v>
      </c>
      <c r="E5215" s="5" t="n">
        <v>46012.7081828704</v>
      </c>
      <c r="F5215" s="0" t="n">
        <v>3.39</v>
      </c>
      <c r="G5215" s="0" t="n">
        <v>17067</v>
      </c>
      <c r="H5215" s="6" t="s">
        <v>144</v>
      </c>
      <c r="I5215" s="6" t="n">
        <f aca="false">D5215*F5215</f>
        <v>67.8</v>
      </c>
      <c r="J5215" s="6" t="n">
        <f aca="false">HOUR(E5215)</f>
        <v>16</v>
      </c>
      <c r="K5215" s="6" t="n">
        <f aca="false">IF(COUNTIF($A$2:$A5215,A5215)=1,1,0)</f>
        <v>0</v>
      </c>
    </row>
    <row r="5216" customFormat="false" ht="15" hidden="false" customHeight="false" outlineLevel="0" collapsed="false">
      <c r="A5216" s="0" t="s">
        <v>1061</v>
      </c>
      <c r="B5216" s="0" t="s">
        <v>121</v>
      </c>
      <c r="C5216" s="0" t="s">
        <v>122</v>
      </c>
      <c r="D5216" s="0" t="n">
        <v>10</v>
      </c>
      <c r="E5216" s="5" t="n">
        <v>46012.786099537</v>
      </c>
      <c r="F5216" s="0" t="n">
        <v>2.1</v>
      </c>
      <c r="G5216" s="0" t="n">
        <v>17207</v>
      </c>
      <c r="H5216" s="6" t="s">
        <v>151</v>
      </c>
      <c r="I5216" s="6" t="n">
        <f aca="false">D5216*F5216</f>
        <v>21</v>
      </c>
      <c r="J5216" s="6" t="n">
        <f aca="false">HOUR(E5216)</f>
        <v>18</v>
      </c>
      <c r="K5216" s="6" t="n">
        <f aca="false">IF(COUNTIF($A$2:$A5216,A5216)=1,1,0)</f>
        <v>1</v>
      </c>
    </row>
    <row r="5217" customFormat="false" ht="15" hidden="false" customHeight="false" outlineLevel="0" collapsed="false">
      <c r="A5217" s="0" t="s">
        <v>1061</v>
      </c>
      <c r="B5217" s="0" t="s">
        <v>91</v>
      </c>
      <c r="C5217" s="0" t="s">
        <v>92</v>
      </c>
      <c r="D5217" s="0" t="n">
        <v>11</v>
      </c>
      <c r="E5217" s="5" t="n">
        <v>46012.786099537</v>
      </c>
      <c r="F5217" s="0" t="n">
        <v>7.65</v>
      </c>
      <c r="G5217" s="0" t="n">
        <v>17207</v>
      </c>
      <c r="H5217" s="6" t="s">
        <v>151</v>
      </c>
      <c r="I5217" s="6" t="n">
        <f aca="false">D5217*F5217</f>
        <v>84.15</v>
      </c>
      <c r="J5217" s="6" t="n">
        <f aca="false">HOUR(E5217)</f>
        <v>18</v>
      </c>
      <c r="K5217" s="6" t="n">
        <f aca="false">IF(COUNTIF($A$2:$A5217,A5217)=1,1,0)</f>
        <v>0</v>
      </c>
    </row>
    <row r="5218" customFormat="false" ht="15" hidden="false" customHeight="false" outlineLevel="0" collapsed="false">
      <c r="A5218" s="0" t="s">
        <v>1062</v>
      </c>
      <c r="B5218" s="0" t="s">
        <v>93</v>
      </c>
      <c r="C5218" s="0" t="s">
        <v>94</v>
      </c>
      <c r="D5218" s="0" t="n">
        <v>21</v>
      </c>
      <c r="E5218" s="5" t="n">
        <v>46013.1206481482</v>
      </c>
      <c r="F5218" s="0" t="n">
        <v>1.69</v>
      </c>
      <c r="H5218" s="6" t="s">
        <v>74</v>
      </c>
      <c r="I5218" s="6" t="n">
        <f aca="false">D5218*F5218</f>
        <v>35.49</v>
      </c>
      <c r="J5218" s="6" t="n">
        <f aca="false">HOUR(E5218)</f>
        <v>2</v>
      </c>
      <c r="K5218" s="6" t="n">
        <f aca="false">IF(COUNTIF($A$2:$A5218,A5218)=1,1,0)</f>
        <v>1</v>
      </c>
    </row>
    <row r="5219" customFormat="false" ht="15" hidden="false" customHeight="false" outlineLevel="0" collapsed="false">
      <c r="A5219" s="0" t="s">
        <v>1062</v>
      </c>
      <c r="B5219" s="0" t="s">
        <v>145</v>
      </c>
      <c r="C5219" s="0" t="s">
        <v>146</v>
      </c>
      <c r="D5219" s="0" t="n">
        <v>1</v>
      </c>
      <c r="E5219" s="5" t="n">
        <v>46013.1206481482</v>
      </c>
      <c r="F5219" s="0" t="n">
        <v>1.85</v>
      </c>
      <c r="H5219" s="6" t="s">
        <v>74</v>
      </c>
      <c r="I5219" s="6" t="n">
        <f aca="false">D5219*F5219</f>
        <v>1.85</v>
      </c>
      <c r="J5219" s="6" t="n">
        <f aca="false">HOUR(E5219)</f>
        <v>2</v>
      </c>
      <c r="K5219" s="6" t="n">
        <f aca="false">IF(COUNTIF($A$2:$A5219,A5219)=1,1,0)</f>
        <v>0</v>
      </c>
    </row>
    <row r="5220" customFormat="false" ht="15" hidden="false" customHeight="false" outlineLevel="0" collapsed="false">
      <c r="A5220" s="0" t="s">
        <v>1062</v>
      </c>
      <c r="B5220" s="0" t="s">
        <v>40</v>
      </c>
      <c r="C5220" s="0" t="s">
        <v>41</v>
      </c>
      <c r="D5220" s="0" t="n">
        <v>10</v>
      </c>
      <c r="E5220" s="5" t="n">
        <v>46013.1206481482</v>
      </c>
      <c r="F5220" s="0" t="n">
        <v>1.06</v>
      </c>
      <c r="H5220" s="6" t="s">
        <v>74</v>
      </c>
      <c r="I5220" s="6" t="n">
        <f aca="false">D5220*F5220</f>
        <v>10.6</v>
      </c>
      <c r="J5220" s="6" t="n">
        <f aca="false">HOUR(E5220)</f>
        <v>2</v>
      </c>
      <c r="K5220" s="6" t="n">
        <f aca="false">IF(COUNTIF($A$2:$A5220,A5220)=1,1,0)</f>
        <v>0</v>
      </c>
    </row>
    <row r="5221" customFormat="false" ht="15" hidden="false" customHeight="false" outlineLevel="0" collapsed="false">
      <c r="A5221" s="0" t="s">
        <v>1062</v>
      </c>
      <c r="B5221" s="0" t="s">
        <v>140</v>
      </c>
      <c r="C5221" s="0" t="s">
        <v>141</v>
      </c>
      <c r="D5221" s="0" t="n">
        <v>22</v>
      </c>
      <c r="E5221" s="5" t="n">
        <v>46013.1206481482</v>
      </c>
      <c r="F5221" s="0" t="n">
        <v>2.08</v>
      </c>
      <c r="H5221" s="6" t="s">
        <v>74</v>
      </c>
      <c r="I5221" s="6" t="n">
        <f aca="false">D5221*F5221</f>
        <v>45.76</v>
      </c>
      <c r="J5221" s="6" t="n">
        <f aca="false">HOUR(E5221)</f>
        <v>2</v>
      </c>
      <c r="K5221" s="6" t="n">
        <f aca="false">IF(COUNTIF($A$2:$A5221,A5221)=1,1,0)</f>
        <v>0</v>
      </c>
    </row>
    <row r="5222" customFormat="false" ht="15" hidden="false" customHeight="false" outlineLevel="0" collapsed="false">
      <c r="A5222" s="0" t="s">
        <v>1063</v>
      </c>
      <c r="B5222" s="0" t="s">
        <v>116</v>
      </c>
      <c r="C5222" s="0" t="s">
        <v>117</v>
      </c>
      <c r="D5222" s="0" t="n">
        <v>14</v>
      </c>
      <c r="E5222" s="5" t="n">
        <v>46013.3379166667</v>
      </c>
      <c r="F5222" s="0" t="n">
        <v>1.95</v>
      </c>
      <c r="G5222" s="0" t="n">
        <v>17215</v>
      </c>
      <c r="H5222" s="6" t="s">
        <v>208</v>
      </c>
      <c r="I5222" s="6" t="n">
        <f aca="false">D5222*F5222</f>
        <v>27.3</v>
      </c>
      <c r="J5222" s="6" t="n">
        <f aca="false">HOUR(E5222)</f>
        <v>8</v>
      </c>
      <c r="K5222" s="6" t="n">
        <f aca="false">IF(COUNTIF($A$2:$A5222,A5222)=1,1,0)</f>
        <v>1</v>
      </c>
    </row>
    <row r="5223" customFormat="false" ht="15" hidden="false" customHeight="false" outlineLevel="0" collapsed="false">
      <c r="A5223" s="0" t="s">
        <v>1063</v>
      </c>
      <c r="B5223" s="0" t="s">
        <v>47</v>
      </c>
      <c r="C5223" s="0" t="s">
        <v>48</v>
      </c>
      <c r="D5223" s="0" t="n">
        <v>48</v>
      </c>
      <c r="E5223" s="5" t="n">
        <v>46013.3379166667</v>
      </c>
      <c r="F5223" s="0" t="n">
        <v>12.75</v>
      </c>
      <c r="G5223" s="0" t="n">
        <v>17215</v>
      </c>
      <c r="H5223" s="6" t="s">
        <v>208</v>
      </c>
      <c r="I5223" s="6" t="n">
        <f aca="false">D5223*F5223</f>
        <v>612</v>
      </c>
      <c r="J5223" s="6" t="n">
        <f aca="false">HOUR(E5223)</f>
        <v>8</v>
      </c>
      <c r="K5223" s="6" t="n">
        <f aca="false">IF(COUNTIF($A$2:$A5223,A5223)=1,1,0)</f>
        <v>0</v>
      </c>
    </row>
    <row r="5224" customFormat="false" ht="15" hidden="false" customHeight="false" outlineLevel="0" collapsed="false">
      <c r="A5224" s="0" t="s">
        <v>1063</v>
      </c>
      <c r="B5224" s="0" t="s">
        <v>134</v>
      </c>
      <c r="C5224" s="0" t="s">
        <v>135</v>
      </c>
      <c r="D5224" s="0" t="n">
        <v>7</v>
      </c>
      <c r="E5224" s="5" t="n">
        <v>46013.3379166667</v>
      </c>
      <c r="F5224" s="0" t="n">
        <v>5.95</v>
      </c>
      <c r="G5224" s="0" t="n">
        <v>17215</v>
      </c>
      <c r="H5224" s="6" t="s">
        <v>208</v>
      </c>
      <c r="I5224" s="6" t="n">
        <f aca="false">D5224*F5224</f>
        <v>41.65</v>
      </c>
      <c r="J5224" s="6" t="n">
        <f aca="false">HOUR(E5224)</f>
        <v>8</v>
      </c>
      <c r="K5224" s="6" t="n">
        <f aca="false">IF(COUNTIF($A$2:$A5224,A5224)=1,1,0)</f>
        <v>0</v>
      </c>
    </row>
    <row r="5225" customFormat="false" ht="15" hidden="false" customHeight="false" outlineLevel="0" collapsed="false">
      <c r="A5225" s="0" t="s">
        <v>1063</v>
      </c>
      <c r="B5225" s="0" t="s">
        <v>50</v>
      </c>
      <c r="C5225" s="0" t="s">
        <v>51</v>
      </c>
      <c r="D5225" s="0" t="n">
        <v>1</v>
      </c>
      <c r="E5225" s="5" t="n">
        <v>46013.3379166667</v>
      </c>
      <c r="F5225" s="0" t="n">
        <v>5.95</v>
      </c>
      <c r="G5225" s="0" t="n">
        <v>17215</v>
      </c>
      <c r="H5225" s="6" t="s">
        <v>208</v>
      </c>
      <c r="I5225" s="6" t="n">
        <f aca="false">D5225*F5225</f>
        <v>5.95</v>
      </c>
      <c r="J5225" s="6" t="n">
        <f aca="false">HOUR(E5225)</f>
        <v>8</v>
      </c>
      <c r="K5225" s="6" t="n">
        <f aca="false">IF(COUNTIF($A$2:$A5225,A5225)=1,1,0)</f>
        <v>0</v>
      </c>
    </row>
    <row r="5226" customFormat="false" ht="15" hidden="false" customHeight="false" outlineLevel="0" collapsed="false">
      <c r="A5226" s="0" t="s">
        <v>1063</v>
      </c>
      <c r="B5226" s="0" t="s">
        <v>118</v>
      </c>
      <c r="C5226" s="0" t="s">
        <v>119</v>
      </c>
      <c r="D5226" s="0" t="n">
        <v>35</v>
      </c>
      <c r="E5226" s="5" t="n">
        <v>46013.3379166667</v>
      </c>
      <c r="F5226" s="0" t="n">
        <v>4.95</v>
      </c>
      <c r="G5226" s="0" t="n">
        <v>17215</v>
      </c>
      <c r="H5226" s="6" t="s">
        <v>208</v>
      </c>
      <c r="I5226" s="6" t="n">
        <f aca="false">D5226*F5226</f>
        <v>173.25</v>
      </c>
      <c r="J5226" s="6" t="n">
        <f aca="false">HOUR(E5226)</f>
        <v>8</v>
      </c>
      <c r="K5226" s="6" t="n">
        <f aca="false">IF(COUNTIF($A$2:$A5226,A5226)=1,1,0)</f>
        <v>0</v>
      </c>
    </row>
    <row r="5227" customFormat="false" ht="15" hidden="false" customHeight="false" outlineLevel="0" collapsed="false">
      <c r="A5227" s="0" t="s">
        <v>1063</v>
      </c>
      <c r="B5227" s="0" t="s">
        <v>88</v>
      </c>
      <c r="C5227" s="0" t="s">
        <v>89</v>
      </c>
      <c r="D5227" s="0" t="n">
        <v>21</v>
      </c>
      <c r="E5227" s="5" t="n">
        <v>46013.3379166667</v>
      </c>
      <c r="F5227" s="0" t="n">
        <v>2.75</v>
      </c>
      <c r="G5227" s="0" t="n">
        <v>17215</v>
      </c>
      <c r="H5227" s="6" t="s">
        <v>208</v>
      </c>
      <c r="I5227" s="6" t="n">
        <f aca="false">D5227*F5227</f>
        <v>57.75</v>
      </c>
      <c r="J5227" s="6" t="n">
        <f aca="false">HOUR(E5227)</f>
        <v>8</v>
      </c>
      <c r="K5227" s="6" t="n">
        <f aca="false">IF(COUNTIF($A$2:$A5227,A5227)=1,1,0)</f>
        <v>0</v>
      </c>
    </row>
    <row r="5228" customFormat="false" ht="15" hidden="false" customHeight="false" outlineLevel="0" collapsed="false">
      <c r="A5228" s="0" t="s">
        <v>1063</v>
      </c>
      <c r="B5228" s="0" t="s">
        <v>53</v>
      </c>
      <c r="C5228" s="0" t="s">
        <v>54</v>
      </c>
      <c r="D5228" s="0" t="n">
        <v>11</v>
      </c>
      <c r="E5228" s="5" t="n">
        <v>46013.3379166667</v>
      </c>
      <c r="F5228" s="0" t="n">
        <v>2.95</v>
      </c>
      <c r="G5228" s="0" t="n">
        <v>17215</v>
      </c>
      <c r="H5228" s="6" t="s">
        <v>208</v>
      </c>
      <c r="I5228" s="6" t="n">
        <f aca="false">D5228*F5228</f>
        <v>32.45</v>
      </c>
      <c r="J5228" s="6" t="n">
        <f aca="false">HOUR(E5228)</f>
        <v>8</v>
      </c>
      <c r="K5228" s="6" t="n">
        <f aca="false">IF(COUNTIF($A$2:$A5228,A5228)=1,1,0)</f>
        <v>0</v>
      </c>
    </row>
    <row r="5229" customFormat="false" ht="15" hidden="false" customHeight="false" outlineLevel="0" collapsed="false">
      <c r="A5229" s="0" t="s">
        <v>1064</v>
      </c>
      <c r="B5229" s="0" t="s">
        <v>75</v>
      </c>
      <c r="C5229" s="0" t="s">
        <v>76</v>
      </c>
      <c r="D5229" s="0" t="n">
        <v>2</v>
      </c>
      <c r="E5229" s="5" t="n">
        <v>46013.3589236111</v>
      </c>
      <c r="F5229" s="0" t="n">
        <v>3.39</v>
      </c>
      <c r="G5229" s="0" t="n">
        <v>17129</v>
      </c>
      <c r="H5229" s="6" t="s">
        <v>74</v>
      </c>
      <c r="I5229" s="6" t="n">
        <f aca="false">D5229*F5229</f>
        <v>6.78</v>
      </c>
      <c r="J5229" s="6" t="n">
        <f aca="false">HOUR(E5229)</f>
        <v>8</v>
      </c>
      <c r="K5229" s="6" t="n">
        <f aca="false">IF(COUNTIF($A$2:$A5229,A5229)=1,1,0)</f>
        <v>1</v>
      </c>
    </row>
    <row r="5230" customFormat="false" ht="15" hidden="false" customHeight="false" outlineLevel="0" collapsed="false">
      <c r="A5230" s="0" t="s">
        <v>1064</v>
      </c>
      <c r="B5230" s="0" t="s">
        <v>140</v>
      </c>
      <c r="C5230" s="0" t="s">
        <v>141</v>
      </c>
      <c r="D5230" s="0" t="n">
        <v>9</v>
      </c>
      <c r="E5230" s="5" t="n">
        <v>46013.3589236111</v>
      </c>
      <c r="F5230" s="0" t="n">
        <v>2.08</v>
      </c>
      <c r="G5230" s="0" t="n">
        <v>17129</v>
      </c>
      <c r="H5230" s="6" t="s">
        <v>74</v>
      </c>
      <c r="I5230" s="6" t="n">
        <f aca="false">D5230*F5230</f>
        <v>18.72</v>
      </c>
      <c r="J5230" s="6" t="n">
        <f aca="false">HOUR(E5230)</f>
        <v>8</v>
      </c>
      <c r="K5230" s="6" t="n">
        <f aca="false">IF(COUNTIF($A$2:$A5230,A5230)=1,1,0)</f>
        <v>0</v>
      </c>
    </row>
    <row r="5231" customFormat="false" ht="15" hidden="false" customHeight="false" outlineLevel="0" collapsed="false">
      <c r="A5231" s="0" t="s">
        <v>1064</v>
      </c>
      <c r="B5231" s="0" t="s">
        <v>50</v>
      </c>
      <c r="C5231" s="0" t="s">
        <v>51</v>
      </c>
      <c r="D5231" s="0" t="n">
        <v>3</v>
      </c>
      <c r="E5231" s="5" t="n">
        <v>46013.3589236111</v>
      </c>
      <c r="F5231" s="0" t="n">
        <v>5.95</v>
      </c>
      <c r="G5231" s="0" t="n">
        <v>17129</v>
      </c>
      <c r="H5231" s="6" t="s">
        <v>74</v>
      </c>
      <c r="I5231" s="6" t="n">
        <f aca="false">D5231*F5231</f>
        <v>17.85</v>
      </c>
      <c r="J5231" s="6" t="n">
        <f aca="false">HOUR(E5231)</f>
        <v>8</v>
      </c>
      <c r="K5231" s="6" t="n">
        <f aca="false">IF(COUNTIF($A$2:$A5231,A5231)=1,1,0)</f>
        <v>0</v>
      </c>
    </row>
    <row r="5232" customFormat="false" ht="15" hidden="false" customHeight="false" outlineLevel="0" collapsed="false">
      <c r="A5232" s="0" t="s">
        <v>1064</v>
      </c>
      <c r="B5232" s="0" t="s">
        <v>65</v>
      </c>
      <c r="C5232" s="0" t="s">
        <v>66</v>
      </c>
      <c r="D5232" s="0" t="n">
        <v>11</v>
      </c>
      <c r="E5232" s="5" t="n">
        <v>46013.3589236111</v>
      </c>
      <c r="F5232" s="0" t="n">
        <v>1.65</v>
      </c>
      <c r="G5232" s="0" t="n">
        <v>17129</v>
      </c>
      <c r="H5232" s="6" t="s">
        <v>74</v>
      </c>
      <c r="I5232" s="6" t="n">
        <f aca="false">D5232*F5232</f>
        <v>18.15</v>
      </c>
      <c r="J5232" s="6" t="n">
        <f aca="false">HOUR(E5232)</f>
        <v>8</v>
      </c>
      <c r="K5232" s="6" t="n">
        <f aca="false">IF(COUNTIF($A$2:$A5232,A5232)=1,1,0)</f>
        <v>0</v>
      </c>
    </row>
    <row r="5233" customFormat="false" ht="15" hidden="false" customHeight="false" outlineLevel="0" collapsed="false">
      <c r="A5233" s="0" t="s">
        <v>1064</v>
      </c>
      <c r="B5233" s="0" t="s">
        <v>127</v>
      </c>
      <c r="C5233" s="0" t="s">
        <v>128</v>
      </c>
      <c r="D5233" s="0" t="n">
        <v>9</v>
      </c>
      <c r="E5233" s="5" t="n">
        <v>46013.3589236111</v>
      </c>
      <c r="F5233" s="0" t="n">
        <v>1.45</v>
      </c>
      <c r="G5233" s="0" t="n">
        <v>17129</v>
      </c>
      <c r="H5233" s="6" t="s">
        <v>74</v>
      </c>
      <c r="I5233" s="6" t="n">
        <f aca="false">D5233*F5233</f>
        <v>13.05</v>
      </c>
      <c r="J5233" s="6" t="n">
        <f aca="false">HOUR(E5233)</f>
        <v>8</v>
      </c>
      <c r="K5233" s="6" t="n">
        <f aca="false">IF(COUNTIF($A$2:$A5233,A5233)=1,1,0)</f>
        <v>0</v>
      </c>
    </row>
    <row r="5234" customFormat="false" ht="15" hidden="false" customHeight="false" outlineLevel="0" collapsed="false">
      <c r="A5234" s="0" t="s">
        <v>1065</v>
      </c>
      <c r="B5234" s="0" t="s">
        <v>145</v>
      </c>
      <c r="C5234" s="0" t="s">
        <v>146</v>
      </c>
      <c r="D5234" s="0" t="n">
        <v>24</v>
      </c>
      <c r="E5234" s="5" t="n">
        <v>46013.4683796296</v>
      </c>
      <c r="F5234" s="0" t="n">
        <v>1.85</v>
      </c>
      <c r="G5234" s="0" t="n">
        <v>17199</v>
      </c>
      <c r="H5234" s="6" t="s">
        <v>74</v>
      </c>
      <c r="I5234" s="6" t="n">
        <f aca="false">D5234*F5234</f>
        <v>44.4</v>
      </c>
      <c r="J5234" s="6" t="n">
        <f aca="false">HOUR(E5234)</f>
        <v>11</v>
      </c>
      <c r="K5234" s="6" t="n">
        <f aca="false">IF(COUNTIF($A$2:$A5234,A5234)=1,1,0)</f>
        <v>1</v>
      </c>
    </row>
    <row r="5235" customFormat="false" ht="15" hidden="false" customHeight="false" outlineLevel="0" collapsed="false">
      <c r="A5235" s="0" t="s">
        <v>1065</v>
      </c>
      <c r="B5235" s="0" t="s">
        <v>121</v>
      </c>
      <c r="D5235" s="0" t="n">
        <v>8</v>
      </c>
      <c r="E5235" s="5" t="n">
        <v>46013.4683796296</v>
      </c>
      <c r="F5235" s="0" t="n">
        <v>2.1</v>
      </c>
      <c r="G5235" s="0" t="n">
        <v>17199</v>
      </c>
      <c r="H5235" s="6" t="s">
        <v>74</v>
      </c>
      <c r="I5235" s="6" t="n">
        <f aca="false">D5235*F5235</f>
        <v>16.8</v>
      </c>
      <c r="J5235" s="6" t="n">
        <f aca="false">HOUR(E5235)</f>
        <v>11</v>
      </c>
      <c r="K5235" s="6" t="n">
        <f aca="false">IF(COUNTIF($A$2:$A5235,A5235)=1,1,0)</f>
        <v>0</v>
      </c>
    </row>
    <row r="5236" customFormat="false" ht="15" hidden="false" customHeight="false" outlineLevel="0" collapsed="false">
      <c r="A5236" s="0" t="s">
        <v>1065</v>
      </c>
      <c r="B5236" s="0" t="s">
        <v>134</v>
      </c>
      <c r="C5236" s="0" t="s">
        <v>135</v>
      </c>
      <c r="D5236" s="0" t="n">
        <v>5</v>
      </c>
      <c r="E5236" s="5" t="n">
        <v>46013.4683796296</v>
      </c>
      <c r="F5236" s="0" t="n">
        <v>5.95</v>
      </c>
      <c r="G5236" s="0" t="n">
        <v>17199</v>
      </c>
      <c r="H5236" s="6" t="s">
        <v>74</v>
      </c>
      <c r="I5236" s="6" t="n">
        <f aca="false">D5236*F5236</f>
        <v>29.75</v>
      </c>
      <c r="J5236" s="6" t="n">
        <f aca="false">HOUR(E5236)</f>
        <v>11</v>
      </c>
      <c r="K5236" s="6" t="n">
        <f aca="false">IF(COUNTIF($A$2:$A5236,A5236)=1,1,0)</f>
        <v>0</v>
      </c>
    </row>
    <row r="5237" customFormat="false" ht="15" hidden="false" customHeight="false" outlineLevel="0" collapsed="false">
      <c r="A5237" s="0" t="s">
        <v>1065</v>
      </c>
      <c r="B5237" s="0" t="s">
        <v>59</v>
      </c>
      <c r="C5237" s="0" t="s">
        <v>60</v>
      </c>
      <c r="D5237" s="0" t="n">
        <v>18</v>
      </c>
      <c r="E5237" s="5" t="n">
        <v>46013.4683796296</v>
      </c>
      <c r="F5237" s="0" t="n">
        <v>0.42</v>
      </c>
      <c r="G5237" s="0" t="n">
        <v>17199</v>
      </c>
      <c r="H5237" s="6" t="s">
        <v>74</v>
      </c>
      <c r="I5237" s="6" t="n">
        <f aca="false">D5237*F5237</f>
        <v>7.56</v>
      </c>
      <c r="J5237" s="6" t="n">
        <f aca="false">HOUR(E5237)</f>
        <v>11</v>
      </c>
      <c r="K5237" s="6" t="n">
        <f aca="false">IF(COUNTIF($A$2:$A5237,A5237)=1,1,0)</f>
        <v>0</v>
      </c>
    </row>
    <row r="5238" customFormat="false" ht="15" hidden="false" customHeight="false" outlineLevel="0" collapsed="false">
      <c r="A5238" s="0" t="s">
        <v>1065</v>
      </c>
      <c r="B5238" s="0" t="s">
        <v>83</v>
      </c>
      <c r="C5238" s="0" t="s">
        <v>84</v>
      </c>
      <c r="D5238" s="0" t="n">
        <v>13</v>
      </c>
      <c r="E5238" s="5" t="n">
        <v>46013.4683796296</v>
      </c>
      <c r="F5238" s="0" t="n">
        <v>2.95</v>
      </c>
      <c r="G5238" s="0" t="n">
        <v>17199</v>
      </c>
      <c r="H5238" s="6" t="s">
        <v>74</v>
      </c>
      <c r="I5238" s="6" t="n">
        <f aca="false">D5238*F5238</f>
        <v>38.35</v>
      </c>
      <c r="J5238" s="6" t="n">
        <f aca="false">HOUR(E5238)</f>
        <v>11</v>
      </c>
      <c r="K5238" s="6" t="n">
        <f aca="false">IF(COUNTIF($A$2:$A5238,A5238)=1,1,0)</f>
        <v>0</v>
      </c>
    </row>
    <row r="5239" customFormat="false" ht="15" hidden="false" customHeight="false" outlineLevel="0" collapsed="false">
      <c r="A5239" s="0" t="s">
        <v>1066</v>
      </c>
      <c r="B5239" s="0" t="s">
        <v>79</v>
      </c>
      <c r="C5239" s="0" t="s">
        <v>80</v>
      </c>
      <c r="D5239" s="0" t="n">
        <v>22</v>
      </c>
      <c r="E5239" s="5" t="n">
        <v>46013.4979861111</v>
      </c>
      <c r="F5239" s="0" t="n">
        <v>3.39</v>
      </c>
      <c r="G5239" s="0" t="n">
        <v>17239</v>
      </c>
      <c r="H5239" s="6" t="s">
        <v>74</v>
      </c>
      <c r="I5239" s="6" t="n">
        <f aca="false">D5239*F5239</f>
        <v>74.58</v>
      </c>
      <c r="J5239" s="6" t="n">
        <f aca="false">HOUR(E5239)</f>
        <v>11</v>
      </c>
      <c r="K5239" s="6" t="n">
        <f aca="false">IF(COUNTIF($A$2:$A5239,A5239)=1,1,0)</f>
        <v>1</v>
      </c>
    </row>
    <row r="5240" customFormat="false" ht="15" hidden="false" customHeight="false" outlineLevel="0" collapsed="false">
      <c r="A5240" s="0" t="s">
        <v>1066</v>
      </c>
      <c r="B5240" s="0" t="s">
        <v>55</v>
      </c>
      <c r="C5240" s="0" t="s">
        <v>56</v>
      </c>
      <c r="D5240" s="0" t="n">
        <v>10</v>
      </c>
      <c r="E5240" s="5" t="n">
        <v>46013.4979861111</v>
      </c>
      <c r="F5240" s="0" t="n">
        <v>1.65</v>
      </c>
      <c r="G5240" s="0" t="n">
        <v>17239</v>
      </c>
      <c r="H5240" s="6" t="s">
        <v>74</v>
      </c>
      <c r="I5240" s="6" t="n">
        <f aca="false">D5240*F5240</f>
        <v>16.5</v>
      </c>
      <c r="J5240" s="6" t="n">
        <f aca="false">HOUR(E5240)</f>
        <v>11</v>
      </c>
      <c r="K5240" s="6" t="n">
        <f aca="false">IF(COUNTIF($A$2:$A5240,A5240)=1,1,0)</f>
        <v>0</v>
      </c>
    </row>
    <row r="5241" customFormat="false" ht="15" hidden="false" customHeight="false" outlineLevel="0" collapsed="false">
      <c r="A5241" s="0" t="s">
        <v>1066</v>
      </c>
      <c r="B5241" s="0" t="s">
        <v>134</v>
      </c>
      <c r="C5241" s="0" t="s">
        <v>135</v>
      </c>
      <c r="D5241" s="0" t="n">
        <v>2</v>
      </c>
      <c r="E5241" s="5" t="n">
        <v>46013.4979861111</v>
      </c>
      <c r="F5241" s="0" t="n">
        <v>5.95</v>
      </c>
      <c r="G5241" s="0" t="n">
        <v>17239</v>
      </c>
      <c r="H5241" s="6" t="s">
        <v>74</v>
      </c>
      <c r="I5241" s="6" t="n">
        <f aca="false">D5241*F5241</f>
        <v>11.9</v>
      </c>
      <c r="J5241" s="6" t="n">
        <f aca="false">HOUR(E5241)</f>
        <v>11</v>
      </c>
      <c r="K5241" s="6" t="n">
        <f aca="false">IF(COUNTIF($A$2:$A5241,A5241)=1,1,0)</f>
        <v>0</v>
      </c>
    </row>
    <row r="5242" customFormat="false" ht="15" hidden="false" customHeight="false" outlineLevel="0" collapsed="false">
      <c r="A5242" s="0" t="s">
        <v>1066</v>
      </c>
      <c r="B5242" s="0" t="s">
        <v>50</v>
      </c>
      <c r="C5242" s="0" t="s">
        <v>51</v>
      </c>
      <c r="D5242" s="0" t="n">
        <v>8</v>
      </c>
      <c r="E5242" s="5" t="n">
        <v>46013.4979861111</v>
      </c>
      <c r="F5242" s="0" t="n">
        <v>5.95</v>
      </c>
      <c r="G5242" s="0" t="n">
        <v>17239</v>
      </c>
      <c r="H5242" s="6" t="s">
        <v>74</v>
      </c>
      <c r="I5242" s="6" t="n">
        <f aca="false">D5242*F5242</f>
        <v>47.6</v>
      </c>
      <c r="J5242" s="6" t="n">
        <f aca="false">HOUR(E5242)</f>
        <v>11</v>
      </c>
      <c r="K5242" s="6" t="n">
        <f aca="false">IF(COUNTIF($A$2:$A5242,A5242)=1,1,0)</f>
        <v>0</v>
      </c>
    </row>
    <row r="5243" customFormat="false" ht="15" hidden="false" customHeight="false" outlineLevel="0" collapsed="false">
      <c r="A5243" s="0" t="s">
        <v>1066</v>
      </c>
      <c r="B5243" s="0" t="s">
        <v>127</v>
      </c>
      <c r="C5243" s="0" t="s">
        <v>128</v>
      </c>
      <c r="D5243" s="0" t="n">
        <v>17</v>
      </c>
      <c r="E5243" s="5" t="n">
        <v>46013.4979861111</v>
      </c>
      <c r="F5243" s="0" t="n">
        <v>1.45</v>
      </c>
      <c r="G5243" s="0" t="n">
        <v>17239</v>
      </c>
      <c r="H5243" s="6" t="s">
        <v>74</v>
      </c>
      <c r="I5243" s="6" t="n">
        <f aca="false">D5243*F5243</f>
        <v>24.65</v>
      </c>
      <c r="J5243" s="6" t="n">
        <f aca="false">HOUR(E5243)</f>
        <v>11</v>
      </c>
      <c r="K5243" s="6" t="n">
        <f aca="false">IF(COUNTIF($A$2:$A5243,A5243)=1,1,0)</f>
        <v>0</v>
      </c>
    </row>
    <row r="5244" customFormat="false" ht="15" hidden="false" customHeight="false" outlineLevel="0" collapsed="false">
      <c r="A5244" s="0" t="s">
        <v>1066</v>
      </c>
      <c r="B5244" s="0" t="s">
        <v>137</v>
      </c>
      <c r="C5244" s="0" t="s">
        <v>138</v>
      </c>
      <c r="D5244" s="0" t="n">
        <v>20</v>
      </c>
      <c r="E5244" s="5" t="n">
        <v>46013.4979861111</v>
      </c>
      <c r="F5244" s="0" t="n">
        <v>2.1</v>
      </c>
      <c r="G5244" s="0" t="n">
        <v>17239</v>
      </c>
      <c r="H5244" s="6" t="s">
        <v>74</v>
      </c>
      <c r="I5244" s="6" t="n">
        <f aca="false">D5244*F5244</f>
        <v>42</v>
      </c>
      <c r="J5244" s="6" t="n">
        <f aca="false">HOUR(E5244)</f>
        <v>11</v>
      </c>
      <c r="K5244" s="6" t="n">
        <f aca="false">IF(COUNTIF($A$2:$A5244,A5244)=1,1,0)</f>
        <v>0</v>
      </c>
    </row>
    <row r="5245" customFormat="false" ht="15" hidden="false" customHeight="false" outlineLevel="0" collapsed="false">
      <c r="A5245" s="0" t="s">
        <v>1066</v>
      </c>
      <c r="B5245" s="0" t="s">
        <v>104</v>
      </c>
      <c r="C5245" s="0" t="s">
        <v>105</v>
      </c>
      <c r="D5245" s="0" t="n">
        <v>6</v>
      </c>
      <c r="E5245" s="5" t="n">
        <v>46013.4979861111</v>
      </c>
      <c r="F5245" s="0" t="n">
        <v>1.65</v>
      </c>
      <c r="G5245" s="0" t="n">
        <v>17239</v>
      </c>
      <c r="H5245" s="6" t="s">
        <v>74</v>
      </c>
      <c r="I5245" s="6" t="n">
        <f aca="false">D5245*F5245</f>
        <v>9.9</v>
      </c>
      <c r="J5245" s="6" t="n">
        <f aca="false">HOUR(E5245)</f>
        <v>11</v>
      </c>
      <c r="K5245" s="6" t="n">
        <f aca="false">IF(COUNTIF($A$2:$A5245,A5245)=1,1,0)</f>
        <v>0</v>
      </c>
    </row>
    <row r="5246" customFormat="false" ht="15" hidden="false" customHeight="false" outlineLevel="0" collapsed="false">
      <c r="A5246" s="0" t="s">
        <v>1066</v>
      </c>
      <c r="B5246" s="0" t="s">
        <v>118</v>
      </c>
      <c r="C5246" s="0" t="s">
        <v>119</v>
      </c>
      <c r="D5246" s="0" t="n">
        <v>23</v>
      </c>
      <c r="E5246" s="5" t="n">
        <v>46013.4979861111</v>
      </c>
      <c r="F5246" s="0" t="n">
        <v>4.95</v>
      </c>
      <c r="G5246" s="0" t="n">
        <v>17239</v>
      </c>
      <c r="H5246" s="6" t="s">
        <v>74</v>
      </c>
      <c r="I5246" s="6" t="n">
        <f aca="false">D5246*F5246</f>
        <v>113.85</v>
      </c>
      <c r="J5246" s="6" t="n">
        <f aca="false">HOUR(E5246)</f>
        <v>11</v>
      </c>
      <c r="K5246" s="6" t="n">
        <f aca="false">IF(COUNTIF($A$2:$A5246,A5246)=1,1,0)</f>
        <v>0</v>
      </c>
    </row>
    <row r="5247" customFormat="false" ht="15" hidden="false" customHeight="false" outlineLevel="0" collapsed="false">
      <c r="A5247" s="0" t="s">
        <v>1066</v>
      </c>
      <c r="B5247" s="0" t="s">
        <v>83</v>
      </c>
      <c r="C5247" s="0" t="s">
        <v>84</v>
      </c>
      <c r="D5247" s="0" t="n">
        <v>13</v>
      </c>
      <c r="E5247" s="5" t="n">
        <v>46013.4979861111</v>
      </c>
      <c r="F5247" s="0" t="n">
        <v>2.95</v>
      </c>
      <c r="G5247" s="0" t="n">
        <v>17239</v>
      </c>
      <c r="H5247" s="6" t="s">
        <v>74</v>
      </c>
      <c r="I5247" s="6" t="n">
        <f aca="false">D5247*F5247</f>
        <v>38.35</v>
      </c>
      <c r="J5247" s="6" t="n">
        <f aca="false">HOUR(E5247)</f>
        <v>11</v>
      </c>
      <c r="K5247" s="6" t="n">
        <f aca="false">IF(COUNTIF($A$2:$A5247,A5247)=1,1,0)</f>
        <v>0</v>
      </c>
    </row>
    <row r="5248" customFormat="false" ht="15" hidden="false" customHeight="false" outlineLevel="0" collapsed="false">
      <c r="A5248" s="0" t="s">
        <v>1067</v>
      </c>
      <c r="B5248" s="0" t="s">
        <v>140</v>
      </c>
      <c r="C5248" s="0" t="s">
        <v>141</v>
      </c>
      <c r="D5248" s="0" t="n">
        <v>6</v>
      </c>
      <c r="E5248" s="5" t="n">
        <v>46013.5334953704</v>
      </c>
      <c r="F5248" s="0" t="n">
        <v>2.08</v>
      </c>
      <c r="H5248" s="6" t="s">
        <v>263</v>
      </c>
      <c r="I5248" s="6" t="n">
        <f aca="false">D5248*F5248</f>
        <v>12.48</v>
      </c>
      <c r="J5248" s="6" t="n">
        <f aca="false">HOUR(E5248)</f>
        <v>12</v>
      </c>
      <c r="K5248" s="6" t="n">
        <f aca="false">IF(COUNTIF($A$2:$A5248,A5248)=1,1,0)</f>
        <v>1</v>
      </c>
    </row>
    <row r="5249" customFormat="false" ht="15" hidden="false" customHeight="false" outlineLevel="0" collapsed="false">
      <c r="A5249" s="0" t="s">
        <v>1067</v>
      </c>
      <c r="B5249" s="0" t="s">
        <v>109</v>
      </c>
      <c r="C5249" s="0" t="s">
        <v>110</v>
      </c>
      <c r="D5249" s="0" t="n">
        <v>8</v>
      </c>
      <c r="E5249" s="5" t="n">
        <v>46013.5334953704</v>
      </c>
      <c r="F5249" s="0" t="n">
        <v>0.85</v>
      </c>
      <c r="H5249" s="6" t="s">
        <v>263</v>
      </c>
      <c r="I5249" s="6" t="n">
        <f aca="false">D5249*F5249</f>
        <v>6.8</v>
      </c>
      <c r="J5249" s="6" t="n">
        <f aca="false">HOUR(E5249)</f>
        <v>12</v>
      </c>
      <c r="K5249" s="6" t="n">
        <f aca="false">IF(COUNTIF($A$2:$A5249,A5249)=1,1,0)</f>
        <v>0</v>
      </c>
    </row>
    <row r="5250" customFormat="false" ht="15" hidden="false" customHeight="false" outlineLevel="0" collapsed="false">
      <c r="A5250" s="0" t="s">
        <v>1068</v>
      </c>
      <c r="B5250" s="0" t="s">
        <v>104</v>
      </c>
      <c r="C5250" s="0" t="s">
        <v>105</v>
      </c>
      <c r="D5250" s="0" t="n">
        <v>20</v>
      </c>
      <c r="E5250" s="5" t="n">
        <v>46013.5888888889</v>
      </c>
      <c r="F5250" s="0" t="n">
        <v>1.65</v>
      </c>
      <c r="G5250" s="0" t="n">
        <v>17042</v>
      </c>
      <c r="H5250" s="6" t="s">
        <v>151</v>
      </c>
      <c r="I5250" s="6" t="n">
        <f aca="false">D5250*F5250</f>
        <v>33</v>
      </c>
      <c r="J5250" s="6" t="n">
        <f aca="false">HOUR(E5250)</f>
        <v>14</v>
      </c>
      <c r="K5250" s="6" t="n">
        <f aca="false">IF(COUNTIF($A$2:$A5250,A5250)=1,1,0)</f>
        <v>1</v>
      </c>
    </row>
    <row r="5251" customFormat="false" ht="15" hidden="false" customHeight="false" outlineLevel="0" collapsed="false">
      <c r="A5251" s="0" t="s">
        <v>1068</v>
      </c>
      <c r="B5251" s="0" t="s">
        <v>121</v>
      </c>
      <c r="C5251" s="0" t="s">
        <v>122</v>
      </c>
      <c r="D5251" s="0" t="n">
        <v>21</v>
      </c>
      <c r="E5251" s="5" t="n">
        <v>46013.5888888889</v>
      </c>
      <c r="F5251" s="0" t="n">
        <v>2.1</v>
      </c>
      <c r="G5251" s="0" t="n">
        <v>17042</v>
      </c>
      <c r="H5251" s="6" t="s">
        <v>151</v>
      </c>
      <c r="I5251" s="6" t="n">
        <f aca="false">D5251*F5251</f>
        <v>44.1</v>
      </c>
      <c r="J5251" s="6" t="n">
        <f aca="false">HOUR(E5251)</f>
        <v>14</v>
      </c>
      <c r="K5251" s="6" t="n">
        <f aca="false">IF(COUNTIF($A$2:$A5251,A5251)=1,1,0)</f>
        <v>0</v>
      </c>
    </row>
    <row r="5252" customFormat="false" ht="15" hidden="false" customHeight="false" outlineLevel="0" collapsed="false">
      <c r="A5252" s="0" t="s">
        <v>1069</v>
      </c>
      <c r="B5252" s="0" t="s">
        <v>55</v>
      </c>
      <c r="C5252" s="0" t="s">
        <v>56</v>
      </c>
      <c r="D5252" s="0" t="n">
        <v>11</v>
      </c>
      <c r="E5252" s="5" t="n">
        <v>46013.6009490741</v>
      </c>
      <c r="F5252" s="0" t="n">
        <v>1.65</v>
      </c>
      <c r="G5252" s="0" t="n">
        <v>17248</v>
      </c>
      <c r="H5252" s="6" t="s">
        <v>151</v>
      </c>
      <c r="I5252" s="6" t="n">
        <f aca="false">D5252*F5252</f>
        <v>18.15</v>
      </c>
      <c r="J5252" s="6" t="n">
        <f aca="false">HOUR(E5252)</f>
        <v>14</v>
      </c>
      <c r="K5252" s="6" t="n">
        <f aca="false">IF(COUNTIF($A$2:$A5252,A5252)=1,1,0)</f>
        <v>1</v>
      </c>
    </row>
    <row r="5253" customFormat="false" ht="15" hidden="false" customHeight="false" outlineLevel="0" collapsed="false">
      <c r="A5253" s="0" t="s">
        <v>1069</v>
      </c>
      <c r="B5253" s="0" t="s">
        <v>109</v>
      </c>
      <c r="C5253" s="0" t="s">
        <v>110</v>
      </c>
      <c r="D5253" s="0" t="n">
        <v>20</v>
      </c>
      <c r="E5253" s="5" t="n">
        <v>46013.6009490741</v>
      </c>
      <c r="F5253" s="0" t="n">
        <v>0.85</v>
      </c>
      <c r="G5253" s="0" t="n">
        <v>17248</v>
      </c>
      <c r="H5253" s="6" t="s">
        <v>151</v>
      </c>
      <c r="I5253" s="6" t="n">
        <f aca="false">D5253*F5253</f>
        <v>17</v>
      </c>
      <c r="J5253" s="6" t="n">
        <f aca="false">HOUR(E5253)</f>
        <v>14</v>
      </c>
      <c r="K5253" s="6" t="n">
        <f aca="false">IF(COUNTIF($A$2:$A5253,A5253)=1,1,0)</f>
        <v>0</v>
      </c>
    </row>
    <row r="5254" customFormat="false" ht="15" hidden="false" customHeight="false" outlineLevel="0" collapsed="false">
      <c r="A5254" s="0" t="s">
        <v>1069</v>
      </c>
      <c r="B5254" s="0" t="s">
        <v>59</v>
      </c>
      <c r="C5254" s="0" t="s">
        <v>60</v>
      </c>
      <c r="D5254" s="0" t="n">
        <v>17</v>
      </c>
      <c r="E5254" s="5" t="n">
        <v>46013.6009490741</v>
      </c>
      <c r="F5254" s="0" t="n">
        <v>0.42</v>
      </c>
      <c r="G5254" s="0" t="n">
        <v>17248</v>
      </c>
      <c r="H5254" s="6" t="s">
        <v>151</v>
      </c>
      <c r="I5254" s="6" t="n">
        <f aca="false">D5254*F5254</f>
        <v>7.14</v>
      </c>
      <c r="J5254" s="6" t="n">
        <f aca="false">HOUR(E5254)</f>
        <v>14</v>
      </c>
      <c r="K5254" s="6" t="n">
        <f aca="false">IF(COUNTIF($A$2:$A5254,A5254)=1,1,0)</f>
        <v>0</v>
      </c>
    </row>
    <row r="5255" customFormat="false" ht="15" hidden="false" customHeight="false" outlineLevel="0" collapsed="false">
      <c r="A5255" s="0" t="s">
        <v>1069</v>
      </c>
      <c r="B5255" s="0" t="s">
        <v>65</v>
      </c>
      <c r="C5255" s="0" t="s">
        <v>66</v>
      </c>
      <c r="D5255" s="0" t="n">
        <v>5</v>
      </c>
      <c r="E5255" s="5" t="n">
        <v>46013.6009490741</v>
      </c>
      <c r="F5255" s="0" t="n">
        <v>1.65</v>
      </c>
      <c r="G5255" s="0" t="n">
        <v>17248</v>
      </c>
      <c r="H5255" s="6" t="s">
        <v>151</v>
      </c>
      <c r="I5255" s="6" t="n">
        <f aca="false">D5255*F5255</f>
        <v>8.25</v>
      </c>
      <c r="J5255" s="6" t="n">
        <f aca="false">HOUR(E5255)</f>
        <v>14</v>
      </c>
      <c r="K5255" s="6" t="n">
        <f aca="false">IF(COUNTIF($A$2:$A5255,A5255)=1,1,0)</f>
        <v>0</v>
      </c>
    </row>
    <row r="5256" customFormat="false" ht="15" hidden="false" customHeight="false" outlineLevel="0" collapsed="false">
      <c r="A5256" s="0" t="s">
        <v>1069</v>
      </c>
      <c r="B5256" s="0" t="s">
        <v>63</v>
      </c>
      <c r="C5256" s="0" t="s">
        <v>64</v>
      </c>
      <c r="D5256" s="0" t="n">
        <v>13</v>
      </c>
      <c r="E5256" s="5" t="n">
        <v>46013.6009490741</v>
      </c>
      <c r="F5256" s="0" t="n">
        <v>1.85</v>
      </c>
      <c r="G5256" s="0" t="n">
        <v>17248</v>
      </c>
      <c r="H5256" s="6" t="s">
        <v>151</v>
      </c>
      <c r="I5256" s="6" t="n">
        <f aca="false">D5256*F5256</f>
        <v>24.05</v>
      </c>
      <c r="J5256" s="6" t="n">
        <f aca="false">HOUR(E5256)</f>
        <v>14</v>
      </c>
      <c r="K5256" s="6" t="n">
        <f aca="false">IF(COUNTIF($A$2:$A5256,A5256)=1,1,0)</f>
        <v>0</v>
      </c>
    </row>
    <row r="5257" customFormat="false" ht="15" hidden="false" customHeight="false" outlineLevel="0" collapsed="false">
      <c r="A5257" s="0" t="s">
        <v>1069</v>
      </c>
      <c r="B5257" s="0" t="s">
        <v>86</v>
      </c>
      <c r="C5257" s="0" t="s">
        <v>87</v>
      </c>
      <c r="D5257" s="0" t="n">
        <v>1</v>
      </c>
      <c r="E5257" s="5" t="n">
        <v>46013.6009490741</v>
      </c>
      <c r="F5257" s="0" t="n">
        <v>4.25</v>
      </c>
      <c r="G5257" s="0" t="n">
        <v>17248</v>
      </c>
      <c r="H5257" s="6" t="s">
        <v>151</v>
      </c>
      <c r="I5257" s="6" t="n">
        <f aca="false">D5257*F5257</f>
        <v>4.25</v>
      </c>
      <c r="J5257" s="6" t="n">
        <f aca="false">HOUR(E5257)</f>
        <v>14</v>
      </c>
      <c r="K5257" s="6" t="n">
        <f aca="false">IF(COUNTIF($A$2:$A5257,A5257)=1,1,0)</f>
        <v>0</v>
      </c>
    </row>
    <row r="5258" customFormat="false" ht="15" hidden="false" customHeight="false" outlineLevel="0" collapsed="false">
      <c r="A5258" s="0" t="s">
        <v>1069</v>
      </c>
      <c r="B5258" s="0" t="s">
        <v>50</v>
      </c>
      <c r="C5258" s="0" t="s">
        <v>51</v>
      </c>
      <c r="D5258" s="0" t="n">
        <v>3</v>
      </c>
      <c r="E5258" s="5" t="n">
        <v>46013.6009490741</v>
      </c>
      <c r="F5258" s="0" t="n">
        <v>5.95</v>
      </c>
      <c r="G5258" s="0" t="n">
        <v>17248</v>
      </c>
      <c r="H5258" s="6" t="s">
        <v>151</v>
      </c>
      <c r="I5258" s="6" t="n">
        <f aca="false">D5258*F5258</f>
        <v>17.85</v>
      </c>
      <c r="J5258" s="6" t="n">
        <f aca="false">HOUR(E5258)</f>
        <v>14</v>
      </c>
      <c r="K5258" s="6" t="n">
        <f aca="false">IF(COUNTIF($A$2:$A5258,A5258)=1,1,0)</f>
        <v>0</v>
      </c>
    </row>
    <row r="5259" customFormat="false" ht="15" hidden="false" customHeight="false" outlineLevel="0" collapsed="false">
      <c r="A5259" s="0" t="s">
        <v>1069</v>
      </c>
      <c r="B5259" s="0" t="s">
        <v>93</v>
      </c>
      <c r="C5259" s="0" t="s">
        <v>94</v>
      </c>
      <c r="D5259" s="0" t="n">
        <v>24</v>
      </c>
      <c r="E5259" s="5" t="n">
        <v>46013.6009490741</v>
      </c>
      <c r="F5259" s="0" t="n">
        <v>1.69</v>
      </c>
      <c r="G5259" s="0" t="n">
        <v>17248</v>
      </c>
      <c r="H5259" s="6" t="s">
        <v>151</v>
      </c>
      <c r="I5259" s="6" t="n">
        <f aca="false">D5259*F5259</f>
        <v>40.56</v>
      </c>
      <c r="J5259" s="6" t="n">
        <f aca="false">HOUR(E5259)</f>
        <v>14</v>
      </c>
      <c r="K5259" s="6" t="n">
        <f aca="false">IF(COUNTIF($A$2:$A5259,A5259)=1,1,0)</f>
        <v>0</v>
      </c>
    </row>
    <row r="5260" customFormat="false" ht="15" hidden="false" customHeight="false" outlineLevel="0" collapsed="false">
      <c r="A5260" s="0" t="s">
        <v>1069</v>
      </c>
      <c r="B5260" s="0" t="s">
        <v>53</v>
      </c>
      <c r="C5260" s="0" t="s">
        <v>54</v>
      </c>
      <c r="D5260" s="0" t="n">
        <v>3</v>
      </c>
      <c r="E5260" s="5" t="n">
        <v>46013.6009490741</v>
      </c>
      <c r="F5260" s="0" t="n">
        <v>2.95</v>
      </c>
      <c r="G5260" s="0" t="n">
        <v>17248</v>
      </c>
      <c r="H5260" s="6" t="s">
        <v>151</v>
      </c>
      <c r="I5260" s="6" t="n">
        <f aca="false">D5260*F5260</f>
        <v>8.85</v>
      </c>
      <c r="J5260" s="6" t="n">
        <f aca="false">HOUR(E5260)</f>
        <v>14</v>
      </c>
      <c r="K5260" s="6" t="n">
        <f aca="false">IF(COUNTIF($A$2:$A5260,A5260)=1,1,0)</f>
        <v>0</v>
      </c>
    </row>
    <row r="5261" customFormat="false" ht="15" hidden="false" customHeight="false" outlineLevel="0" collapsed="false">
      <c r="A5261" s="0" t="s">
        <v>1070</v>
      </c>
      <c r="B5261" s="0" t="s">
        <v>118</v>
      </c>
      <c r="C5261" s="0" t="s">
        <v>119</v>
      </c>
      <c r="D5261" s="0" t="n">
        <v>45</v>
      </c>
      <c r="E5261" s="5" t="n">
        <v>46013.6263657407</v>
      </c>
      <c r="F5261" s="0" t="n">
        <v>4.95</v>
      </c>
      <c r="G5261" s="0" t="n">
        <v>17024</v>
      </c>
      <c r="H5261" s="6" t="s">
        <v>208</v>
      </c>
      <c r="I5261" s="6" t="n">
        <f aca="false">D5261*F5261</f>
        <v>222.75</v>
      </c>
      <c r="J5261" s="6" t="n">
        <f aca="false">HOUR(E5261)</f>
        <v>15</v>
      </c>
      <c r="K5261" s="6" t="n">
        <f aca="false">IF(COUNTIF($A$2:$A5261,A5261)=1,1,0)</f>
        <v>1</v>
      </c>
    </row>
    <row r="5262" customFormat="false" ht="15" hidden="false" customHeight="false" outlineLevel="0" collapsed="false">
      <c r="A5262" s="0" t="s">
        <v>1071</v>
      </c>
      <c r="B5262" s="0" t="s">
        <v>91</v>
      </c>
      <c r="C5262" s="0" t="s">
        <v>92</v>
      </c>
      <c r="D5262" s="0" t="n">
        <v>24</v>
      </c>
      <c r="E5262" s="5" t="n">
        <v>46013.6849884259</v>
      </c>
      <c r="F5262" s="0" t="n">
        <v>7.65</v>
      </c>
      <c r="G5262" s="0" t="n">
        <v>17193</v>
      </c>
      <c r="H5262" s="6" t="s">
        <v>74</v>
      </c>
      <c r="I5262" s="6" t="n">
        <f aca="false">D5262*F5262</f>
        <v>183.6</v>
      </c>
      <c r="J5262" s="6" t="n">
        <f aca="false">HOUR(E5262)</f>
        <v>16</v>
      </c>
      <c r="K5262" s="6" t="n">
        <f aca="false">IF(COUNTIF($A$2:$A5262,A5262)=1,1,0)</f>
        <v>1</v>
      </c>
    </row>
    <row r="5263" customFormat="false" ht="15" hidden="false" customHeight="false" outlineLevel="0" collapsed="false">
      <c r="A5263" s="0" t="s">
        <v>1071</v>
      </c>
      <c r="B5263" s="0" t="s">
        <v>137</v>
      </c>
      <c r="C5263" s="0" t="s">
        <v>138</v>
      </c>
      <c r="D5263" s="0" t="n">
        <v>8</v>
      </c>
      <c r="E5263" s="5" t="n">
        <v>46013.6849884259</v>
      </c>
      <c r="F5263" s="0" t="n">
        <v>2.1</v>
      </c>
      <c r="G5263" s="0" t="n">
        <v>17193</v>
      </c>
      <c r="H5263" s="6" t="s">
        <v>74</v>
      </c>
      <c r="I5263" s="6" t="n">
        <f aca="false">D5263*F5263</f>
        <v>16.8</v>
      </c>
      <c r="J5263" s="6" t="n">
        <f aca="false">HOUR(E5263)</f>
        <v>16</v>
      </c>
      <c r="K5263" s="6" t="n">
        <f aca="false">IF(COUNTIF($A$2:$A5263,A5263)=1,1,0)</f>
        <v>0</v>
      </c>
    </row>
    <row r="5264" customFormat="false" ht="15" hidden="false" customHeight="false" outlineLevel="0" collapsed="false">
      <c r="A5264" s="0" t="s">
        <v>1071</v>
      </c>
      <c r="B5264" s="0" t="s">
        <v>63</v>
      </c>
      <c r="C5264" s="0" t="s">
        <v>64</v>
      </c>
      <c r="D5264" s="0" t="n">
        <v>13</v>
      </c>
      <c r="E5264" s="5" t="n">
        <v>46013.6849884259</v>
      </c>
      <c r="F5264" s="0" t="n">
        <v>1.85</v>
      </c>
      <c r="G5264" s="0" t="n">
        <v>17193</v>
      </c>
      <c r="H5264" s="6" t="s">
        <v>74</v>
      </c>
      <c r="I5264" s="6" t="n">
        <f aca="false">D5264*F5264</f>
        <v>24.05</v>
      </c>
      <c r="J5264" s="6" t="n">
        <f aca="false">HOUR(E5264)</f>
        <v>16</v>
      </c>
      <c r="K5264" s="6" t="n">
        <f aca="false">IF(COUNTIF($A$2:$A5264,A5264)=1,1,0)</f>
        <v>0</v>
      </c>
    </row>
    <row r="5265" customFormat="false" ht="15" hidden="false" customHeight="false" outlineLevel="0" collapsed="false">
      <c r="A5265" s="0" t="s">
        <v>1071</v>
      </c>
      <c r="B5265" s="0" t="s">
        <v>47</v>
      </c>
      <c r="C5265" s="0" t="s">
        <v>48</v>
      </c>
      <c r="D5265" s="0" t="n">
        <v>40</v>
      </c>
      <c r="E5265" s="5" t="n">
        <v>46013.6849884259</v>
      </c>
      <c r="F5265" s="0" t="n">
        <v>12.75</v>
      </c>
      <c r="G5265" s="0" t="n">
        <v>17193</v>
      </c>
      <c r="H5265" s="6" t="s">
        <v>74</v>
      </c>
      <c r="I5265" s="6" t="n">
        <f aca="false">D5265*F5265</f>
        <v>510</v>
      </c>
      <c r="J5265" s="6" t="n">
        <f aca="false">HOUR(E5265)</f>
        <v>16</v>
      </c>
      <c r="K5265" s="6" t="n">
        <f aca="false">IF(COUNTIF($A$2:$A5265,A5265)=1,1,0)</f>
        <v>0</v>
      </c>
    </row>
    <row r="5266" customFormat="false" ht="15" hidden="false" customHeight="false" outlineLevel="0" collapsed="false">
      <c r="A5266" s="0" t="s">
        <v>1071</v>
      </c>
      <c r="B5266" s="0" t="s">
        <v>118</v>
      </c>
      <c r="C5266" s="0" t="s">
        <v>119</v>
      </c>
      <c r="D5266" s="0" t="n">
        <v>23</v>
      </c>
      <c r="E5266" s="5" t="n">
        <v>46013.6849884259</v>
      </c>
      <c r="F5266" s="0" t="n">
        <v>4.95</v>
      </c>
      <c r="G5266" s="0" t="n">
        <v>17193</v>
      </c>
      <c r="H5266" s="6" t="s">
        <v>74</v>
      </c>
      <c r="I5266" s="6" t="n">
        <f aca="false">D5266*F5266</f>
        <v>113.85</v>
      </c>
      <c r="J5266" s="6" t="n">
        <f aca="false">HOUR(E5266)</f>
        <v>16</v>
      </c>
      <c r="K5266" s="6" t="n">
        <f aca="false">IF(COUNTIF($A$2:$A5266,A5266)=1,1,0)</f>
        <v>0</v>
      </c>
    </row>
    <row r="5267" customFormat="false" ht="15" hidden="false" customHeight="false" outlineLevel="0" collapsed="false">
      <c r="A5267" s="0" t="s">
        <v>1071</v>
      </c>
      <c r="B5267" s="0" t="s">
        <v>77</v>
      </c>
      <c r="C5267" s="0" t="s">
        <v>78</v>
      </c>
      <c r="D5267" s="0" t="n">
        <v>1</v>
      </c>
      <c r="E5267" s="5" t="n">
        <v>46013.6849884259</v>
      </c>
      <c r="F5267" s="0" t="n">
        <v>1.65</v>
      </c>
      <c r="G5267" s="0" t="n">
        <v>17193</v>
      </c>
      <c r="H5267" s="6" t="s">
        <v>74</v>
      </c>
      <c r="I5267" s="6" t="n">
        <f aca="false">D5267*F5267</f>
        <v>1.65</v>
      </c>
      <c r="J5267" s="6" t="n">
        <f aca="false">HOUR(E5267)</f>
        <v>16</v>
      </c>
      <c r="K5267" s="6" t="n">
        <f aca="false">IF(COUNTIF($A$2:$A5267,A5267)=1,1,0)</f>
        <v>0</v>
      </c>
    </row>
    <row r="5268" customFormat="false" ht="15" hidden="false" customHeight="false" outlineLevel="0" collapsed="false">
      <c r="A5268" s="0" t="s">
        <v>1071</v>
      </c>
      <c r="B5268" s="0" t="s">
        <v>145</v>
      </c>
      <c r="C5268" s="0" t="s">
        <v>146</v>
      </c>
      <c r="D5268" s="0" t="n">
        <v>10</v>
      </c>
      <c r="E5268" s="5" t="n">
        <v>46013.6849884259</v>
      </c>
      <c r="F5268" s="0" t="n">
        <v>1.85</v>
      </c>
      <c r="G5268" s="0" t="n">
        <v>17193</v>
      </c>
      <c r="H5268" s="6" t="s">
        <v>74</v>
      </c>
      <c r="I5268" s="6" t="n">
        <f aca="false">D5268*F5268</f>
        <v>18.5</v>
      </c>
      <c r="J5268" s="6" t="n">
        <f aca="false">HOUR(E5268)</f>
        <v>16</v>
      </c>
      <c r="K5268" s="6" t="n">
        <f aca="false">IF(COUNTIF($A$2:$A5268,A5268)=1,1,0)</f>
        <v>0</v>
      </c>
    </row>
    <row r="5269" customFormat="false" ht="15" hidden="false" customHeight="false" outlineLevel="0" collapsed="false">
      <c r="A5269" s="0" t="s">
        <v>1072</v>
      </c>
      <c r="B5269" s="0" t="s">
        <v>114</v>
      </c>
      <c r="C5269" s="0" t="s">
        <v>115</v>
      </c>
      <c r="D5269" s="0" t="n">
        <v>14</v>
      </c>
      <c r="E5269" s="5" t="n">
        <v>46013.7380208333</v>
      </c>
      <c r="F5269" s="0" t="n">
        <v>2.08</v>
      </c>
      <c r="G5269" s="0" t="n">
        <v>17157</v>
      </c>
      <c r="H5269" s="6" t="s">
        <v>74</v>
      </c>
      <c r="I5269" s="6" t="n">
        <f aca="false">D5269*F5269</f>
        <v>29.12</v>
      </c>
      <c r="J5269" s="6" t="n">
        <f aca="false">HOUR(E5269)</f>
        <v>17</v>
      </c>
      <c r="K5269" s="6" t="n">
        <f aca="false">IF(COUNTIF($A$2:$A5269,A5269)=1,1,0)</f>
        <v>1</v>
      </c>
    </row>
    <row r="5270" customFormat="false" ht="15" hidden="false" customHeight="false" outlineLevel="0" collapsed="false">
      <c r="A5270" s="0" t="s">
        <v>1072</v>
      </c>
      <c r="B5270" s="0" t="s">
        <v>131</v>
      </c>
      <c r="C5270" s="0" t="s">
        <v>132</v>
      </c>
      <c r="D5270" s="0" t="n">
        <v>7</v>
      </c>
      <c r="E5270" s="5" t="n">
        <v>46013.7380208333</v>
      </c>
      <c r="F5270" s="0" t="n">
        <v>3.39</v>
      </c>
      <c r="G5270" s="0" t="n">
        <v>17157</v>
      </c>
      <c r="H5270" s="6" t="s">
        <v>74</v>
      </c>
      <c r="I5270" s="6" t="n">
        <f aca="false">D5270*F5270</f>
        <v>23.73</v>
      </c>
      <c r="J5270" s="6" t="n">
        <f aca="false">HOUR(E5270)</f>
        <v>17</v>
      </c>
      <c r="K5270" s="6" t="n">
        <f aca="false">IF(COUNTIF($A$2:$A5270,A5270)=1,1,0)</f>
        <v>0</v>
      </c>
    </row>
    <row r="5271" customFormat="false" ht="15" hidden="false" customHeight="false" outlineLevel="0" collapsed="false">
      <c r="A5271" s="0" t="s">
        <v>1072</v>
      </c>
      <c r="B5271" s="0" t="s">
        <v>107</v>
      </c>
      <c r="C5271" s="0" t="s">
        <v>108</v>
      </c>
      <c r="D5271" s="0" t="n">
        <v>22</v>
      </c>
      <c r="E5271" s="5" t="n">
        <v>46013.7380208333</v>
      </c>
      <c r="F5271" s="0" t="n">
        <v>3.75</v>
      </c>
      <c r="G5271" s="0" t="n">
        <v>17157</v>
      </c>
      <c r="H5271" s="6" t="s">
        <v>74</v>
      </c>
      <c r="I5271" s="6" t="n">
        <f aca="false">D5271*F5271</f>
        <v>82.5</v>
      </c>
      <c r="J5271" s="6" t="n">
        <f aca="false">HOUR(E5271)</f>
        <v>17</v>
      </c>
      <c r="K5271" s="6" t="n">
        <f aca="false">IF(COUNTIF($A$2:$A5271,A5271)=1,1,0)</f>
        <v>0</v>
      </c>
    </row>
    <row r="5272" customFormat="false" ht="15" hidden="false" customHeight="false" outlineLevel="0" collapsed="false">
      <c r="A5272" s="0" t="s">
        <v>1072</v>
      </c>
      <c r="B5272" s="0" t="s">
        <v>116</v>
      </c>
      <c r="C5272" s="0" t="s">
        <v>117</v>
      </c>
      <c r="D5272" s="0" t="n">
        <v>22</v>
      </c>
      <c r="E5272" s="5" t="n">
        <v>46013.7380208333</v>
      </c>
      <c r="F5272" s="0" t="n">
        <v>1.95</v>
      </c>
      <c r="G5272" s="0" t="n">
        <v>17157</v>
      </c>
      <c r="H5272" s="6" t="s">
        <v>74</v>
      </c>
      <c r="I5272" s="6" t="n">
        <f aca="false">D5272*F5272</f>
        <v>42.9</v>
      </c>
      <c r="J5272" s="6" t="n">
        <f aca="false">HOUR(E5272)</f>
        <v>17</v>
      </c>
      <c r="K5272" s="6" t="n">
        <f aca="false">IF(COUNTIF($A$2:$A5272,A5272)=1,1,0)</f>
        <v>0</v>
      </c>
    </row>
    <row r="5273" customFormat="false" ht="15" hidden="false" customHeight="false" outlineLevel="0" collapsed="false">
      <c r="A5273" s="0" t="s">
        <v>1072</v>
      </c>
      <c r="B5273" s="0" t="s">
        <v>69</v>
      </c>
      <c r="C5273" s="0" t="s">
        <v>70</v>
      </c>
      <c r="D5273" s="0" t="n">
        <v>12</v>
      </c>
      <c r="E5273" s="5" t="n">
        <v>46013.7380208333</v>
      </c>
      <c r="F5273" s="0" t="n">
        <v>2.08</v>
      </c>
      <c r="G5273" s="0" t="n">
        <v>17157</v>
      </c>
      <c r="H5273" s="6" t="s">
        <v>74</v>
      </c>
      <c r="I5273" s="6" t="n">
        <f aca="false">D5273*F5273</f>
        <v>24.96</v>
      </c>
      <c r="J5273" s="6" t="n">
        <f aca="false">HOUR(E5273)</f>
        <v>17</v>
      </c>
      <c r="K5273" s="6" t="n">
        <f aca="false">IF(COUNTIF($A$2:$A5273,A5273)=1,1,0)</f>
        <v>0</v>
      </c>
    </row>
    <row r="5274" customFormat="false" ht="15" hidden="false" customHeight="false" outlineLevel="0" collapsed="false">
      <c r="A5274" s="0" t="s">
        <v>1072</v>
      </c>
      <c r="B5274" s="0" t="s">
        <v>104</v>
      </c>
      <c r="C5274" s="0" t="s">
        <v>105</v>
      </c>
      <c r="D5274" s="0" t="n">
        <v>6</v>
      </c>
      <c r="E5274" s="5" t="n">
        <v>46013.7380208333</v>
      </c>
      <c r="F5274" s="0" t="n">
        <v>1.65</v>
      </c>
      <c r="G5274" s="0" t="n">
        <v>17157</v>
      </c>
      <c r="H5274" s="6" t="s">
        <v>74</v>
      </c>
      <c r="I5274" s="6" t="n">
        <f aca="false">D5274*F5274</f>
        <v>9.9</v>
      </c>
      <c r="J5274" s="6" t="n">
        <f aca="false">HOUR(E5274)</f>
        <v>17</v>
      </c>
      <c r="K5274" s="6" t="n">
        <f aca="false">IF(COUNTIF($A$2:$A5274,A5274)=1,1,0)</f>
        <v>0</v>
      </c>
    </row>
    <row r="5275" customFormat="false" ht="15" hidden="false" customHeight="false" outlineLevel="0" collapsed="false">
      <c r="A5275" s="0" t="s">
        <v>1072</v>
      </c>
      <c r="B5275" s="0" t="s">
        <v>72</v>
      </c>
      <c r="C5275" s="0" t="s">
        <v>73</v>
      </c>
      <c r="D5275" s="0" t="n">
        <v>12</v>
      </c>
      <c r="E5275" s="5" t="n">
        <v>46013.7380208333</v>
      </c>
      <c r="F5275" s="0" t="n">
        <v>4.95</v>
      </c>
      <c r="G5275" s="0" t="n">
        <v>17157</v>
      </c>
      <c r="H5275" s="6" t="s">
        <v>74</v>
      </c>
      <c r="I5275" s="6" t="n">
        <f aca="false">D5275*F5275</f>
        <v>59.4</v>
      </c>
      <c r="J5275" s="6" t="n">
        <f aca="false">HOUR(E5275)</f>
        <v>17</v>
      </c>
      <c r="K5275" s="6" t="n">
        <f aca="false">IF(COUNTIF($A$2:$A5275,A5275)=1,1,0)</f>
        <v>0</v>
      </c>
    </row>
    <row r="5276" customFormat="false" ht="15" hidden="false" customHeight="false" outlineLevel="0" collapsed="false">
      <c r="A5276" s="0" t="s">
        <v>1072</v>
      </c>
      <c r="B5276" s="0" t="s">
        <v>95</v>
      </c>
      <c r="C5276" s="0" t="s">
        <v>96</v>
      </c>
      <c r="D5276" s="0" t="n">
        <v>27</v>
      </c>
      <c r="E5276" s="5" t="n">
        <v>46013.7380208333</v>
      </c>
      <c r="F5276" s="0" t="n">
        <v>2.55</v>
      </c>
      <c r="G5276" s="0" t="n">
        <v>17157</v>
      </c>
      <c r="H5276" s="6" t="s">
        <v>74</v>
      </c>
      <c r="I5276" s="6" t="n">
        <f aca="false">D5276*F5276</f>
        <v>68.85</v>
      </c>
      <c r="J5276" s="6" t="n">
        <f aca="false">HOUR(E5276)</f>
        <v>17</v>
      </c>
      <c r="K5276" s="6" t="n">
        <f aca="false">IF(COUNTIF($A$2:$A5276,A5276)=1,1,0)</f>
        <v>0</v>
      </c>
    </row>
    <row r="5277" customFormat="false" ht="15" hidden="false" customHeight="false" outlineLevel="0" collapsed="false">
      <c r="A5277" s="0" t="s">
        <v>1073</v>
      </c>
      <c r="B5277" s="0" t="s">
        <v>65</v>
      </c>
      <c r="C5277" s="0" t="s">
        <v>66</v>
      </c>
      <c r="D5277" s="0" t="n">
        <v>6</v>
      </c>
      <c r="E5277" s="5" t="n">
        <v>46013.7849652778</v>
      </c>
      <c r="F5277" s="0" t="n">
        <v>1.65</v>
      </c>
      <c r="G5277" s="0" t="n">
        <v>17021</v>
      </c>
      <c r="H5277" s="6" t="s">
        <v>74</v>
      </c>
      <c r="I5277" s="6" t="n">
        <f aca="false">D5277*F5277</f>
        <v>9.9</v>
      </c>
      <c r="J5277" s="6" t="n">
        <f aca="false">HOUR(E5277)</f>
        <v>18</v>
      </c>
      <c r="K5277" s="6" t="n">
        <f aca="false">IF(COUNTIF($A$2:$A5277,A5277)=1,1,0)</f>
        <v>1</v>
      </c>
    </row>
    <row r="5278" customFormat="false" ht="15" hidden="false" customHeight="false" outlineLevel="0" collapsed="false">
      <c r="A5278" s="0" t="s">
        <v>1073</v>
      </c>
      <c r="B5278" s="0" t="s">
        <v>83</v>
      </c>
      <c r="C5278" s="0" t="s">
        <v>84</v>
      </c>
      <c r="D5278" s="0" t="n">
        <v>19</v>
      </c>
      <c r="E5278" s="5" t="n">
        <v>46013.7849652778</v>
      </c>
      <c r="F5278" s="0" t="n">
        <v>2.95</v>
      </c>
      <c r="G5278" s="0" t="n">
        <v>17021</v>
      </c>
      <c r="H5278" s="6" t="s">
        <v>74</v>
      </c>
      <c r="I5278" s="6" t="n">
        <f aca="false">D5278*F5278</f>
        <v>56.05</v>
      </c>
      <c r="J5278" s="6" t="n">
        <f aca="false">HOUR(E5278)</f>
        <v>18</v>
      </c>
      <c r="K5278" s="6" t="n">
        <f aca="false">IF(COUNTIF($A$2:$A5278,A5278)=1,1,0)</f>
        <v>0</v>
      </c>
    </row>
    <row r="5279" customFormat="false" ht="15" hidden="false" customHeight="false" outlineLevel="0" collapsed="false">
      <c r="A5279" s="0" t="s">
        <v>1073</v>
      </c>
      <c r="B5279" s="0" t="s">
        <v>125</v>
      </c>
      <c r="C5279" s="0" t="s">
        <v>126</v>
      </c>
      <c r="D5279" s="0" t="n">
        <v>9</v>
      </c>
      <c r="E5279" s="5" t="n">
        <v>46013.7849652778</v>
      </c>
      <c r="F5279" s="0" t="n">
        <v>1.25</v>
      </c>
      <c r="G5279" s="0" t="n">
        <v>17021</v>
      </c>
      <c r="H5279" s="6" t="s">
        <v>74</v>
      </c>
      <c r="I5279" s="6" t="n">
        <f aca="false">D5279*F5279</f>
        <v>11.25</v>
      </c>
      <c r="J5279" s="6" t="n">
        <f aca="false">HOUR(E5279)</f>
        <v>18</v>
      </c>
      <c r="K5279" s="6" t="n">
        <f aca="false">IF(COUNTIF($A$2:$A5279,A5279)=1,1,0)</f>
        <v>0</v>
      </c>
    </row>
    <row r="5280" customFormat="false" ht="15" hidden="false" customHeight="false" outlineLevel="0" collapsed="false">
      <c r="A5280" s="0" t="s">
        <v>1073</v>
      </c>
      <c r="B5280" s="0" t="s">
        <v>45</v>
      </c>
      <c r="C5280" s="0" t="s">
        <v>46</v>
      </c>
      <c r="D5280" s="0" t="n">
        <v>3</v>
      </c>
      <c r="E5280" s="5" t="n">
        <v>46013.7849652778</v>
      </c>
      <c r="F5280" s="0" t="n">
        <v>2.1</v>
      </c>
      <c r="G5280" s="0" t="n">
        <v>17021</v>
      </c>
      <c r="H5280" s="6" t="s">
        <v>74</v>
      </c>
      <c r="I5280" s="6" t="n">
        <f aca="false">D5280*F5280</f>
        <v>6.3</v>
      </c>
      <c r="J5280" s="6" t="n">
        <f aca="false">HOUR(E5280)</f>
        <v>18</v>
      </c>
      <c r="K5280" s="6" t="n">
        <f aca="false">IF(COUNTIF($A$2:$A5280,A5280)=1,1,0)</f>
        <v>0</v>
      </c>
    </row>
    <row r="5281" customFormat="false" ht="15" hidden="false" customHeight="false" outlineLevel="0" collapsed="false">
      <c r="A5281" s="0" t="s">
        <v>1074</v>
      </c>
      <c r="B5281" s="0" t="s">
        <v>145</v>
      </c>
      <c r="C5281" s="0" t="s">
        <v>146</v>
      </c>
      <c r="D5281" s="0" t="n">
        <v>21</v>
      </c>
      <c r="E5281" s="5" t="n">
        <v>46014.2785416667</v>
      </c>
      <c r="F5281" s="0" t="n">
        <v>1.85</v>
      </c>
      <c r="G5281" s="0" t="n">
        <v>17055</v>
      </c>
      <c r="H5281" s="6" t="s">
        <v>263</v>
      </c>
      <c r="I5281" s="6" t="n">
        <f aca="false">D5281*F5281</f>
        <v>38.85</v>
      </c>
      <c r="J5281" s="6" t="n">
        <f aca="false">HOUR(E5281)</f>
        <v>6</v>
      </c>
      <c r="K5281" s="6" t="n">
        <f aca="false">IF(COUNTIF($A$2:$A5281,A5281)=1,1,0)</f>
        <v>1</v>
      </c>
    </row>
    <row r="5282" customFormat="false" ht="15" hidden="false" customHeight="false" outlineLevel="0" collapsed="false">
      <c r="A5282" s="0" t="s">
        <v>1074</v>
      </c>
      <c r="B5282" s="0" t="s">
        <v>134</v>
      </c>
      <c r="C5282" s="0" t="s">
        <v>135</v>
      </c>
      <c r="D5282" s="0" t="n">
        <v>18</v>
      </c>
      <c r="E5282" s="5" t="n">
        <v>46014.2785416667</v>
      </c>
      <c r="F5282" s="0" t="n">
        <v>5.95</v>
      </c>
      <c r="G5282" s="0" t="n">
        <v>17055</v>
      </c>
      <c r="H5282" s="6" t="s">
        <v>263</v>
      </c>
      <c r="I5282" s="6" t="n">
        <f aca="false">D5282*F5282</f>
        <v>107.1</v>
      </c>
      <c r="J5282" s="6" t="n">
        <f aca="false">HOUR(E5282)</f>
        <v>6</v>
      </c>
      <c r="K5282" s="6" t="n">
        <f aca="false">IF(COUNTIF($A$2:$A5282,A5282)=1,1,0)</f>
        <v>0</v>
      </c>
    </row>
    <row r="5283" customFormat="false" ht="15" hidden="false" customHeight="false" outlineLevel="0" collapsed="false">
      <c r="A5283" s="0" t="s">
        <v>1074</v>
      </c>
      <c r="B5283" s="0" t="s">
        <v>77</v>
      </c>
      <c r="C5283" s="0" t="s">
        <v>78</v>
      </c>
      <c r="D5283" s="0" t="n">
        <v>3</v>
      </c>
      <c r="E5283" s="5" t="n">
        <v>46014.2785416667</v>
      </c>
      <c r="F5283" s="0" t="n">
        <v>1.65</v>
      </c>
      <c r="G5283" s="0" t="n">
        <v>17055</v>
      </c>
      <c r="H5283" s="6" t="s">
        <v>263</v>
      </c>
      <c r="I5283" s="6" t="n">
        <f aca="false">D5283*F5283</f>
        <v>4.95</v>
      </c>
      <c r="J5283" s="6" t="n">
        <f aca="false">HOUR(E5283)</f>
        <v>6</v>
      </c>
      <c r="K5283" s="6" t="n">
        <f aca="false">IF(COUNTIF($A$2:$A5283,A5283)=1,1,0)</f>
        <v>0</v>
      </c>
    </row>
    <row r="5284" customFormat="false" ht="15" hidden="false" customHeight="false" outlineLevel="0" collapsed="false">
      <c r="A5284" s="0" t="s">
        <v>1074</v>
      </c>
      <c r="B5284" s="0" t="s">
        <v>107</v>
      </c>
      <c r="C5284" s="0" t="s">
        <v>108</v>
      </c>
      <c r="D5284" s="0" t="n">
        <v>9</v>
      </c>
      <c r="E5284" s="5" t="n">
        <v>46014.2785416667</v>
      </c>
      <c r="F5284" s="0" t="n">
        <v>3.75</v>
      </c>
      <c r="G5284" s="0" t="n">
        <v>17055</v>
      </c>
      <c r="H5284" s="6" t="s">
        <v>263</v>
      </c>
      <c r="I5284" s="6" t="n">
        <f aca="false">D5284*F5284</f>
        <v>33.75</v>
      </c>
      <c r="J5284" s="6" t="n">
        <f aca="false">HOUR(E5284)</f>
        <v>6</v>
      </c>
      <c r="K5284" s="6" t="n">
        <f aca="false">IF(COUNTIF($A$2:$A5284,A5284)=1,1,0)</f>
        <v>0</v>
      </c>
    </row>
    <row r="5285" customFormat="false" ht="15" hidden="false" customHeight="false" outlineLevel="0" collapsed="false">
      <c r="A5285" s="0" t="s">
        <v>1075</v>
      </c>
      <c r="B5285" s="0" t="s">
        <v>69</v>
      </c>
      <c r="C5285" s="0" t="s">
        <v>70</v>
      </c>
      <c r="D5285" s="0" t="n">
        <v>11</v>
      </c>
      <c r="E5285" s="5" t="n">
        <v>46014.4229976852</v>
      </c>
      <c r="F5285" s="0" t="n">
        <v>2.08</v>
      </c>
      <c r="G5285" s="0" t="n">
        <v>17158</v>
      </c>
      <c r="H5285" s="6" t="s">
        <v>113</v>
      </c>
      <c r="I5285" s="6" t="n">
        <f aca="false">D5285*F5285</f>
        <v>22.88</v>
      </c>
      <c r="J5285" s="6" t="n">
        <f aca="false">HOUR(E5285)</f>
        <v>10</v>
      </c>
      <c r="K5285" s="6" t="n">
        <f aca="false">IF(COUNTIF($A$2:$A5285,A5285)=1,1,0)</f>
        <v>1</v>
      </c>
    </row>
    <row r="5286" customFormat="false" ht="15" hidden="false" customHeight="false" outlineLevel="0" collapsed="false">
      <c r="A5286" s="0" t="s">
        <v>1075</v>
      </c>
      <c r="B5286" s="0" t="s">
        <v>72</v>
      </c>
      <c r="C5286" s="0" t="s">
        <v>73</v>
      </c>
      <c r="D5286" s="0" t="n">
        <v>8</v>
      </c>
      <c r="E5286" s="5" t="n">
        <v>46014.4229976852</v>
      </c>
      <c r="F5286" s="0" t="n">
        <v>4.95</v>
      </c>
      <c r="G5286" s="0" t="n">
        <v>17158</v>
      </c>
      <c r="H5286" s="6" t="s">
        <v>113</v>
      </c>
      <c r="I5286" s="6" t="n">
        <f aca="false">D5286*F5286</f>
        <v>39.6</v>
      </c>
      <c r="J5286" s="6" t="n">
        <f aca="false">HOUR(E5286)</f>
        <v>10</v>
      </c>
      <c r="K5286" s="6" t="n">
        <f aca="false">IF(COUNTIF($A$2:$A5286,A5286)=1,1,0)</f>
        <v>0</v>
      </c>
    </row>
    <row r="5287" customFormat="false" ht="15" hidden="false" customHeight="false" outlineLevel="0" collapsed="false">
      <c r="A5287" s="0" t="s">
        <v>1075</v>
      </c>
      <c r="B5287" s="0" t="s">
        <v>134</v>
      </c>
      <c r="C5287" s="0" t="s">
        <v>135</v>
      </c>
      <c r="D5287" s="0" t="n">
        <v>17</v>
      </c>
      <c r="E5287" s="5" t="n">
        <v>46014.4229976852</v>
      </c>
      <c r="F5287" s="0" t="n">
        <v>5.95</v>
      </c>
      <c r="G5287" s="0" t="n">
        <v>17158</v>
      </c>
      <c r="H5287" s="6" t="s">
        <v>113</v>
      </c>
      <c r="I5287" s="6" t="n">
        <f aca="false">D5287*F5287</f>
        <v>101.15</v>
      </c>
      <c r="J5287" s="6" t="n">
        <f aca="false">HOUR(E5287)</f>
        <v>10</v>
      </c>
      <c r="K5287" s="6" t="n">
        <f aca="false">IF(COUNTIF($A$2:$A5287,A5287)=1,1,0)</f>
        <v>0</v>
      </c>
    </row>
    <row r="5288" customFormat="false" ht="15" hidden="false" customHeight="false" outlineLevel="0" collapsed="false">
      <c r="A5288" s="0" t="s">
        <v>1075</v>
      </c>
      <c r="B5288" s="0" t="s">
        <v>109</v>
      </c>
      <c r="C5288" s="0" t="s">
        <v>110</v>
      </c>
      <c r="D5288" s="0" t="n">
        <v>5</v>
      </c>
      <c r="E5288" s="5" t="n">
        <v>46014.4229976852</v>
      </c>
      <c r="F5288" s="0" t="n">
        <v>0.85</v>
      </c>
      <c r="G5288" s="0" t="n">
        <v>17158</v>
      </c>
      <c r="H5288" s="6" t="s">
        <v>113</v>
      </c>
      <c r="I5288" s="6" t="n">
        <f aca="false">D5288*F5288</f>
        <v>4.25</v>
      </c>
      <c r="J5288" s="6" t="n">
        <f aca="false">HOUR(E5288)</f>
        <v>10</v>
      </c>
      <c r="K5288" s="6" t="n">
        <f aca="false">IF(COUNTIF($A$2:$A5288,A5288)=1,1,0)</f>
        <v>0</v>
      </c>
    </row>
    <row r="5289" customFormat="false" ht="15" hidden="false" customHeight="false" outlineLevel="0" collapsed="false">
      <c r="A5289" s="0" t="s">
        <v>1075</v>
      </c>
      <c r="B5289" s="0" t="s">
        <v>104</v>
      </c>
      <c r="C5289" s="0" t="s">
        <v>105</v>
      </c>
      <c r="D5289" s="0" t="n">
        <v>14</v>
      </c>
      <c r="E5289" s="5" t="n">
        <v>46014.4229976852</v>
      </c>
      <c r="F5289" s="0" t="n">
        <v>1.65</v>
      </c>
      <c r="G5289" s="0" t="n">
        <v>17158</v>
      </c>
      <c r="H5289" s="6" t="s">
        <v>113</v>
      </c>
      <c r="I5289" s="6" t="n">
        <f aca="false">D5289*F5289</f>
        <v>23.1</v>
      </c>
      <c r="J5289" s="6" t="n">
        <f aca="false">HOUR(E5289)</f>
        <v>10</v>
      </c>
      <c r="K5289" s="6" t="n">
        <f aca="false">IF(COUNTIF($A$2:$A5289,A5289)=1,1,0)</f>
        <v>0</v>
      </c>
    </row>
    <row r="5290" customFormat="false" ht="15" hidden="false" customHeight="false" outlineLevel="0" collapsed="false">
      <c r="A5290" s="0" t="s">
        <v>1075</v>
      </c>
      <c r="B5290" s="0" t="s">
        <v>107</v>
      </c>
      <c r="C5290" s="0" t="s">
        <v>108</v>
      </c>
      <c r="D5290" s="0" t="n">
        <v>21</v>
      </c>
      <c r="E5290" s="5" t="n">
        <v>46014.4229976852</v>
      </c>
      <c r="F5290" s="0" t="n">
        <v>3.75</v>
      </c>
      <c r="G5290" s="0" t="n">
        <v>17158</v>
      </c>
      <c r="H5290" s="6" t="s">
        <v>113</v>
      </c>
      <c r="I5290" s="6" t="n">
        <f aca="false">D5290*F5290</f>
        <v>78.75</v>
      </c>
      <c r="J5290" s="6" t="n">
        <f aca="false">HOUR(E5290)</f>
        <v>10</v>
      </c>
      <c r="K5290" s="6" t="n">
        <f aca="false">IF(COUNTIF($A$2:$A5290,A5290)=1,1,0)</f>
        <v>0</v>
      </c>
    </row>
    <row r="5291" customFormat="false" ht="15" hidden="false" customHeight="false" outlineLevel="0" collapsed="false">
      <c r="A5291" s="0" t="s">
        <v>1075</v>
      </c>
      <c r="B5291" s="0" t="s">
        <v>40</v>
      </c>
      <c r="C5291" s="0" t="s">
        <v>41</v>
      </c>
      <c r="D5291" s="0" t="n">
        <v>15</v>
      </c>
      <c r="E5291" s="5" t="n">
        <v>46014.4229976852</v>
      </c>
      <c r="F5291" s="0" t="n">
        <v>1.06</v>
      </c>
      <c r="G5291" s="0" t="n">
        <v>17158</v>
      </c>
      <c r="H5291" s="6" t="s">
        <v>113</v>
      </c>
      <c r="I5291" s="6" t="n">
        <f aca="false">D5291*F5291</f>
        <v>15.9</v>
      </c>
      <c r="J5291" s="6" t="n">
        <f aca="false">HOUR(E5291)</f>
        <v>10</v>
      </c>
      <c r="K5291" s="6" t="n">
        <f aca="false">IF(COUNTIF($A$2:$A5291,A5291)=1,1,0)</f>
        <v>0</v>
      </c>
    </row>
    <row r="5292" customFormat="false" ht="15" hidden="false" customHeight="false" outlineLevel="0" collapsed="false">
      <c r="A5292" s="0" t="s">
        <v>1075</v>
      </c>
      <c r="B5292" s="0" t="s">
        <v>86</v>
      </c>
      <c r="C5292" s="0" t="s">
        <v>87</v>
      </c>
      <c r="D5292" s="0" t="n">
        <v>14</v>
      </c>
      <c r="E5292" s="5" t="n">
        <v>46014.4229976852</v>
      </c>
      <c r="F5292" s="0" t="n">
        <v>4.25</v>
      </c>
      <c r="G5292" s="0" t="n">
        <v>17158</v>
      </c>
      <c r="H5292" s="6" t="s">
        <v>113</v>
      </c>
      <c r="I5292" s="6" t="n">
        <f aca="false">D5292*F5292</f>
        <v>59.5</v>
      </c>
      <c r="J5292" s="6" t="n">
        <f aca="false">HOUR(E5292)</f>
        <v>10</v>
      </c>
      <c r="K5292" s="6" t="n">
        <f aca="false">IF(COUNTIF($A$2:$A5292,A5292)=1,1,0)</f>
        <v>0</v>
      </c>
    </row>
    <row r="5293" customFormat="false" ht="15" hidden="false" customHeight="false" outlineLevel="0" collapsed="false">
      <c r="A5293" s="0" t="s">
        <v>1075</v>
      </c>
      <c r="B5293" s="0" t="s">
        <v>47</v>
      </c>
      <c r="C5293" s="0" t="s">
        <v>48</v>
      </c>
      <c r="D5293" s="0" t="n">
        <v>29</v>
      </c>
      <c r="E5293" s="5" t="n">
        <v>46014.4229976852</v>
      </c>
      <c r="F5293" s="0" t="n">
        <v>12.75</v>
      </c>
      <c r="G5293" s="0" t="n">
        <v>17158</v>
      </c>
      <c r="H5293" s="6" t="s">
        <v>113</v>
      </c>
      <c r="I5293" s="6" t="n">
        <f aca="false">D5293*F5293</f>
        <v>369.75</v>
      </c>
      <c r="J5293" s="6" t="n">
        <f aca="false">HOUR(E5293)</f>
        <v>10</v>
      </c>
      <c r="K5293" s="6" t="n">
        <f aca="false">IF(COUNTIF($A$2:$A5293,A5293)=1,1,0)</f>
        <v>0</v>
      </c>
    </row>
    <row r="5294" customFormat="false" ht="15" hidden="false" customHeight="false" outlineLevel="0" collapsed="false">
      <c r="A5294" s="0" t="s">
        <v>1075</v>
      </c>
      <c r="B5294" s="0" t="s">
        <v>145</v>
      </c>
      <c r="C5294" s="0" t="s">
        <v>146</v>
      </c>
      <c r="D5294" s="0" t="n">
        <v>20</v>
      </c>
      <c r="E5294" s="5" t="n">
        <v>46014.4229976852</v>
      </c>
      <c r="F5294" s="0" t="n">
        <v>1.85</v>
      </c>
      <c r="G5294" s="0" t="n">
        <v>17158</v>
      </c>
      <c r="H5294" s="6" t="s">
        <v>113</v>
      </c>
      <c r="I5294" s="6" t="n">
        <f aca="false">D5294*F5294</f>
        <v>37</v>
      </c>
      <c r="J5294" s="6" t="n">
        <f aca="false">HOUR(E5294)</f>
        <v>10</v>
      </c>
      <c r="K5294" s="6" t="n">
        <f aca="false">IF(COUNTIF($A$2:$A5294,A5294)=1,1,0)</f>
        <v>0</v>
      </c>
    </row>
    <row r="5295" customFormat="false" ht="15" hidden="false" customHeight="false" outlineLevel="0" collapsed="false">
      <c r="A5295" s="0" t="s">
        <v>1076</v>
      </c>
      <c r="B5295" s="0" t="s">
        <v>145</v>
      </c>
      <c r="C5295" s="0" t="s">
        <v>146</v>
      </c>
      <c r="D5295" s="0" t="n">
        <v>20</v>
      </c>
      <c r="E5295" s="5" t="n">
        <v>46014.4496990741</v>
      </c>
      <c r="F5295" s="0" t="n">
        <v>1.85</v>
      </c>
      <c r="G5295" s="0" t="n">
        <v>17035</v>
      </c>
      <c r="H5295" s="6" t="s">
        <v>74</v>
      </c>
      <c r="I5295" s="6" t="n">
        <f aca="false">D5295*F5295</f>
        <v>37</v>
      </c>
      <c r="J5295" s="6" t="n">
        <f aca="false">HOUR(E5295)</f>
        <v>10</v>
      </c>
      <c r="K5295" s="6" t="n">
        <f aca="false">IF(COUNTIF($A$2:$A5295,A5295)=1,1,0)</f>
        <v>1</v>
      </c>
    </row>
    <row r="5296" customFormat="false" ht="15" hidden="false" customHeight="false" outlineLevel="0" collapsed="false">
      <c r="A5296" s="0" t="s">
        <v>1076</v>
      </c>
      <c r="B5296" s="0" t="s">
        <v>61</v>
      </c>
      <c r="C5296" s="0" t="s">
        <v>62</v>
      </c>
      <c r="D5296" s="0" t="n">
        <v>23</v>
      </c>
      <c r="E5296" s="5" t="n">
        <v>46014.4496990741</v>
      </c>
      <c r="F5296" s="0" t="n">
        <v>1.65</v>
      </c>
      <c r="G5296" s="0" t="n">
        <v>17035</v>
      </c>
      <c r="H5296" s="6" t="s">
        <v>74</v>
      </c>
      <c r="I5296" s="6" t="n">
        <f aca="false">D5296*F5296</f>
        <v>37.95</v>
      </c>
      <c r="J5296" s="6" t="n">
        <f aca="false">HOUR(E5296)</f>
        <v>10</v>
      </c>
      <c r="K5296" s="6" t="n">
        <f aca="false">IF(COUNTIF($A$2:$A5296,A5296)=1,1,0)</f>
        <v>0</v>
      </c>
    </row>
    <row r="5297" customFormat="false" ht="15" hidden="false" customHeight="false" outlineLevel="0" collapsed="false">
      <c r="A5297" s="0" t="s">
        <v>1076</v>
      </c>
      <c r="B5297" s="0" t="s">
        <v>63</v>
      </c>
      <c r="C5297" s="0" t="s">
        <v>64</v>
      </c>
      <c r="D5297" s="0" t="n">
        <v>7</v>
      </c>
      <c r="E5297" s="5" t="n">
        <v>46014.4496990741</v>
      </c>
      <c r="F5297" s="0" t="n">
        <v>1.85</v>
      </c>
      <c r="G5297" s="0" t="n">
        <v>17035</v>
      </c>
      <c r="H5297" s="6" t="s">
        <v>74</v>
      </c>
      <c r="I5297" s="6" t="n">
        <f aca="false">D5297*F5297</f>
        <v>12.95</v>
      </c>
      <c r="J5297" s="6" t="n">
        <f aca="false">HOUR(E5297)</f>
        <v>10</v>
      </c>
      <c r="K5297" s="6" t="n">
        <f aca="false">IF(COUNTIF($A$2:$A5297,A5297)=1,1,0)</f>
        <v>0</v>
      </c>
    </row>
    <row r="5298" customFormat="false" ht="15" hidden="false" customHeight="false" outlineLevel="0" collapsed="false">
      <c r="A5298" s="0" t="s">
        <v>1077</v>
      </c>
      <c r="B5298" s="0" t="s">
        <v>107</v>
      </c>
      <c r="C5298" s="0" t="s">
        <v>108</v>
      </c>
      <c r="D5298" s="0" t="n">
        <v>1</v>
      </c>
      <c r="E5298" s="5" t="n">
        <v>46014.4595949074</v>
      </c>
      <c r="F5298" s="0" t="n">
        <v>3.75</v>
      </c>
      <c r="G5298" s="0" t="n">
        <v>17226</v>
      </c>
      <c r="H5298" s="6" t="s">
        <v>74</v>
      </c>
      <c r="I5298" s="6" t="n">
        <f aca="false">D5298*F5298</f>
        <v>3.75</v>
      </c>
      <c r="J5298" s="6" t="n">
        <f aca="false">HOUR(E5298)</f>
        <v>11</v>
      </c>
      <c r="K5298" s="6" t="n">
        <f aca="false">IF(COUNTIF($A$2:$A5298,A5298)=1,1,0)</f>
        <v>1</v>
      </c>
    </row>
    <row r="5299" customFormat="false" ht="15" hidden="false" customHeight="false" outlineLevel="0" collapsed="false">
      <c r="A5299" s="0" t="s">
        <v>1077</v>
      </c>
      <c r="B5299" s="0" t="s">
        <v>93</v>
      </c>
      <c r="C5299" s="0" t="s">
        <v>94</v>
      </c>
      <c r="D5299" s="0" t="n">
        <v>20</v>
      </c>
      <c r="E5299" s="5" t="n">
        <v>46014.4595949074</v>
      </c>
      <c r="F5299" s="0" t="n">
        <v>1.69</v>
      </c>
      <c r="G5299" s="0" t="n">
        <v>17226</v>
      </c>
      <c r="H5299" s="6" t="s">
        <v>74</v>
      </c>
      <c r="I5299" s="6" t="n">
        <f aca="false">D5299*F5299</f>
        <v>33.8</v>
      </c>
      <c r="J5299" s="6" t="n">
        <f aca="false">HOUR(E5299)</f>
        <v>11</v>
      </c>
      <c r="K5299" s="6" t="n">
        <f aca="false">IF(COUNTIF($A$2:$A5299,A5299)=1,1,0)</f>
        <v>0</v>
      </c>
    </row>
    <row r="5300" customFormat="false" ht="15" hidden="false" customHeight="false" outlineLevel="0" collapsed="false">
      <c r="A5300" s="0" t="s">
        <v>1077</v>
      </c>
      <c r="B5300" s="0" t="s">
        <v>134</v>
      </c>
      <c r="C5300" s="0" t="s">
        <v>135</v>
      </c>
      <c r="D5300" s="0" t="n">
        <v>10</v>
      </c>
      <c r="E5300" s="5" t="n">
        <v>46014.4595949074</v>
      </c>
      <c r="F5300" s="0" t="n">
        <v>5.95</v>
      </c>
      <c r="G5300" s="0" t="n">
        <v>17226</v>
      </c>
      <c r="H5300" s="6" t="s">
        <v>74</v>
      </c>
      <c r="I5300" s="6" t="n">
        <f aca="false">D5300*F5300</f>
        <v>59.5</v>
      </c>
      <c r="J5300" s="6" t="n">
        <f aca="false">HOUR(E5300)</f>
        <v>11</v>
      </c>
      <c r="K5300" s="6" t="n">
        <f aca="false">IF(COUNTIF($A$2:$A5300,A5300)=1,1,0)</f>
        <v>0</v>
      </c>
    </row>
    <row r="5301" customFormat="false" ht="15" hidden="false" customHeight="false" outlineLevel="0" collapsed="false">
      <c r="A5301" s="0" t="s">
        <v>1077</v>
      </c>
      <c r="B5301" s="0" t="s">
        <v>91</v>
      </c>
      <c r="C5301" s="0" t="s">
        <v>92</v>
      </c>
      <c r="D5301" s="0" t="n">
        <v>9</v>
      </c>
      <c r="E5301" s="5" t="n">
        <v>46014.4595949074</v>
      </c>
      <c r="F5301" s="0" t="n">
        <v>7.65</v>
      </c>
      <c r="G5301" s="0" t="n">
        <v>17226</v>
      </c>
      <c r="H5301" s="6" t="s">
        <v>74</v>
      </c>
      <c r="I5301" s="6" t="n">
        <f aca="false">D5301*F5301</f>
        <v>68.85</v>
      </c>
      <c r="J5301" s="6" t="n">
        <f aca="false">HOUR(E5301)</f>
        <v>11</v>
      </c>
      <c r="K5301" s="6" t="n">
        <f aca="false">IF(COUNTIF($A$2:$A5301,A5301)=1,1,0)</f>
        <v>0</v>
      </c>
    </row>
    <row r="5302" customFormat="false" ht="15" hidden="false" customHeight="false" outlineLevel="0" collapsed="false">
      <c r="A5302" s="0" t="s">
        <v>1077</v>
      </c>
      <c r="B5302" s="0" t="s">
        <v>77</v>
      </c>
      <c r="C5302" s="0" t="s">
        <v>78</v>
      </c>
      <c r="D5302" s="0" t="n">
        <v>5</v>
      </c>
      <c r="E5302" s="5" t="n">
        <v>46014.4595949074</v>
      </c>
      <c r="F5302" s="0" t="n">
        <v>1.65</v>
      </c>
      <c r="G5302" s="0" t="n">
        <v>17226</v>
      </c>
      <c r="H5302" s="6" t="s">
        <v>74</v>
      </c>
      <c r="I5302" s="6" t="n">
        <f aca="false">D5302*F5302</f>
        <v>8.25</v>
      </c>
      <c r="J5302" s="6" t="n">
        <f aca="false">HOUR(E5302)</f>
        <v>11</v>
      </c>
      <c r="K5302" s="6" t="n">
        <f aca="false">IF(COUNTIF($A$2:$A5302,A5302)=1,1,0)</f>
        <v>0</v>
      </c>
    </row>
    <row r="5303" customFormat="false" ht="15" hidden="false" customHeight="false" outlineLevel="0" collapsed="false">
      <c r="A5303" s="0" t="s">
        <v>1077</v>
      </c>
      <c r="B5303" s="0" t="s">
        <v>63</v>
      </c>
      <c r="C5303" s="0" t="s">
        <v>64</v>
      </c>
      <c r="D5303" s="0" t="n">
        <v>20</v>
      </c>
      <c r="E5303" s="5" t="n">
        <v>46014.4595949074</v>
      </c>
      <c r="F5303" s="0" t="n">
        <v>1.85</v>
      </c>
      <c r="G5303" s="0" t="n">
        <v>17226</v>
      </c>
      <c r="H5303" s="6" t="s">
        <v>74</v>
      </c>
      <c r="I5303" s="6" t="n">
        <f aca="false">D5303*F5303</f>
        <v>37</v>
      </c>
      <c r="J5303" s="6" t="n">
        <f aca="false">HOUR(E5303)</f>
        <v>11</v>
      </c>
      <c r="K5303" s="6" t="n">
        <f aca="false">IF(COUNTIF($A$2:$A5303,A5303)=1,1,0)</f>
        <v>0</v>
      </c>
    </row>
    <row r="5304" customFormat="false" ht="15" hidden="false" customHeight="false" outlineLevel="0" collapsed="false">
      <c r="A5304" s="0" t="s">
        <v>1077</v>
      </c>
      <c r="B5304" s="0" t="s">
        <v>116</v>
      </c>
      <c r="C5304" s="0" t="s">
        <v>117</v>
      </c>
      <c r="D5304" s="0" t="n">
        <v>18</v>
      </c>
      <c r="E5304" s="5" t="n">
        <v>46014.4595949074</v>
      </c>
      <c r="F5304" s="0" t="n">
        <v>1.95</v>
      </c>
      <c r="G5304" s="0" t="n">
        <v>17226</v>
      </c>
      <c r="H5304" s="6" t="s">
        <v>74</v>
      </c>
      <c r="I5304" s="6" t="n">
        <f aca="false">D5304*F5304</f>
        <v>35.1</v>
      </c>
      <c r="J5304" s="6" t="n">
        <f aca="false">HOUR(E5304)</f>
        <v>11</v>
      </c>
      <c r="K5304" s="6" t="n">
        <f aca="false">IF(COUNTIF($A$2:$A5304,A5304)=1,1,0)</f>
        <v>0</v>
      </c>
    </row>
    <row r="5305" customFormat="false" ht="15" hidden="false" customHeight="false" outlineLevel="0" collapsed="false">
      <c r="A5305" s="0" t="s">
        <v>1077</v>
      </c>
      <c r="B5305" s="0" t="s">
        <v>72</v>
      </c>
      <c r="C5305" s="0" t="s">
        <v>73</v>
      </c>
      <c r="D5305" s="0" t="n">
        <v>40</v>
      </c>
      <c r="E5305" s="5" t="n">
        <v>46014.4595949074</v>
      </c>
      <c r="F5305" s="0" t="n">
        <v>4.95</v>
      </c>
      <c r="G5305" s="0" t="n">
        <v>17226</v>
      </c>
      <c r="H5305" s="6" t="s">
        <v>74</v>
      </c>
      <c r="I5305" s="6" t="n">
        <f aca="false">D5305*F5305</f>
        <v>198</v>
      </c>
      <c r="J5305" s="6" t="n">
        <f aca="false">HOUR(E5305)</f>
        <v>11</v>
      </c>
      <c r="K5305" s="6" t="n">
        <f aca="false">IF(COUNTIF($A$2:$A5305,A5305)=1,1,0)</f>
        <v>0</v>
      </c>
    </row>
    <row r="5306" customFormat="false" ht="15" hidden="false" customHeight="false" outlineLevel="0" collapsed="false">
      <c r="A5306" s="0" t="s">
        <v>1077</v>
      </c>
      <c r="B5306" s="0" t="s">
        <v>88</v>
      </c>
      <c r="D5306" s="0" t="n">
        <v>23</v>
      </c>
      <c r="E5306" s="5" t="n">
        <v>46014.4595949074</v>
      </c>
      <c r="F5306" s="0" t="n">
        <v>2.75</v>
      </c>
      <c r="G5306" s="0" t="n">
        <v>17226</v>
      </c>
      <c r="H5306" s="6" t="s">
        <v>74</v>
      </c>
      <c r="I5306" s="6" t="n">
        <f aca="false">D5306*F5306</f>
        <v>63.25</v>
      </c>
      <c r="J5306" s="6" t="n">
        <f aca="false">HOUR(E5306)</f>
        <v>11</v>
      </c>
      <c r="K5306" s="6" t="n">
        <f aca="false">IF(COUNTIF($A$2:$A5306,A5306)=1,1,0)</f>
        <v>0</v>
      </c>
    </row>
    <row r="5307" customFormat="false" ht="15" hidden="false" customHeight="false" outlineLevel="0" collapsed="false">
      <c r="A5307" s="0" t="s">
        <v>1077</v>
      </c>
      <c r="B5307" s="0" t="s">
        <v>59</v>
      </c>
      <c r="C5307" s="0" t="s">
        <v>60</v>
      </c>
      <c r="D5307" s="0" t="n">
        <v>10</v>
      </c>
      <c r="E5307" s="5" t="n">
        <v>46014.4595949074</v>
      </c>
      <c r="F5307" s="0" t="n">
        <v>0.42</v>
      </c>
      <c r="G5307" s="0" t="n">
        <v>17226</v>
      </c>
      <c r="H5307" s="6" t="s">
        <v>74</v>
      </c>
      <c r="I5307" s="6" t="n">
        <f aca="false">D5307*F5307</f>
        <v>4.2</v>
      </c>
      <c r="J5307" s="6" t="n">
        <f aca="false">HOUR(E5307)</f>
        <v>11</v>
      </c>
      <c r="K5307" s="6" t="n">
        <f aca="false">IF(COUNTIF($A$2:$A5307,A5307)=1,1,0)</f>
        <v>0</v>
      </c>
    </row>
    <row r="5308" customFormat="false" ht="15" hidden="false" customHeight="false" outlineLevel="0" collapsed="false">
      <c r="A5308" s="0" t="s">
        <v>1078</v>
      </c>
      <c r="B5308" s="0" t="s">
        <v>131</v>
      </c>
      <c r="C5308" s="0" t="s">
        <v>132</v>
      </c>
      <c r="D5308" s="0" t="n">
        <v>3</v>
      </c>
      <c r="E5308" s="5" t="n">
        <v>46014.6016782407</v>
      </c>
      <c r="F5308" s="0" t="n">
        <v>3.39</v>
      </c>
      <c r="G5308" s="0" t="n">
        <v>17068</v>
      </c>
      <c r="H5308" s="6" t="s">
        <v>188</v>
      </c>
      <c r="I5308" s="6" t="n">
        <f aca="false">D5308*F5308</f>
        <v>10.17</v>
      </c>
      <c r="J5308" s="6" t="n">
        <f aca="false">HOUR(E5308)</f>
        <v>14</v>
      </c>
      <c r="K5308" s="6" t="n">
        <f aca="false">IF(COUNTIF($A$2:$A5308,A5308)=1,1,0)</f>
        <v>1</v>
      </c>
    </row>
    <row r="5309" customFormat="false" ht="15" hidden="false" customHeight="false" outlineLevel="0" collapsed="false">
      <c r="A5309" s="0" t="s">
        <v>1078</v>
      </c>
      <c r="B5309" s="0" t="s">
        <v>72</v>
      </c>
      <c r="C5309" s="0" t="s">
        <v>73</v>
      </c>
      <c r="D5309" s="0" t="n">
        <v>29</v>
      </c>
      <c r="E5309" s="5" t="n">
        <v>46014.6016782407</v>
      </c>
      <c r="F5309" s="0" t="n">
        <v>4.95</v>
      </c>
      <c r="G5309" s="0" t="n">
        <v>17068</v>
      </c>
      <c r="H5309" s="6" t="s">
        <v>188</v>
      </c>
      <c r="I5309" s="6" t="n">
        <f aca="false">D5309*F5309</f>
        <v>143.55</v>
      </c>
      <c r="J5309" s="6" t="n">
        <f aca="false">HOUR(E5309)</f>
        <v>14</v>
      </c>
      <c r="K5309" s="6" t="n">
        <f aca="false">IF(COUNTIF($A$2:$A5309,A5309)=1,1,0)</f>
        <v>0</v>
      </c>
    </row>
    <row r="5310" customFormat="false" ht="15" hidden="false" customHeight="false" outlineLevel="0" collapsed="false">
      <c r="A5310" s="0" t="s">
        <v>1078</v>
      </c>
      <c r="B5310" s="0" t="s">
        <v>127</v>
      </c>
      <c r="C5310" s="0" t="s">
        <v>128</v>
      </c>
      <c r="D5310" s="0" t="n">
        <v>18</v>
      </c>
      <c r="E5310" s="5" t="n">
        <v>46014.6016782407</v>
      </c>
      <c r="F5310" s="0" t="n">
        <v>1.45</v>
      </c>
      <c r="G5310" s="0" t="n">
        <v>17068</v>
      </c>
      <c r="H5310" s="6" t="s">
        <v>188</v>
      </c>
      <c r="I5310" s="6" t="n">
        <f aca="false">D5310*F5310</f>
        <v>26.1</v>
      </c>
      <c r="J5310" s="6" t="n">
        <f aca="false">HOUR(E5310)</f>
        <v>14</v>
      </c>
      <c r="K5310" s="6" t="n">
        <f aca="false">IF(COUNTIF($A$2:$A5310,A5310)=1,1,0)</f>
        <v>0</v>
      </c>
    </row>
    <row r="5311" customFormat="false" ht="15" hidden="false" customHeight="false" outlineLevel="0" collapsed="false">
      <c r="A5311" s="0" t="s">
        <v>1078</v>
      </c>
      <c r="B5311" s="0" t="s">
        <v>55</v>
      </c>
      <c r="D5311" s="0" t="n">
        <v>8</v>
      </c>
      <c r="E5311" s="5" t="n">
        <v>46014.6016782407</v>
      </c>
      <c r="F5311" s="0" t="n">
        <v>1.65</v>
      </c>
      <c r="G5311" s="0" t="n">
        <v>17068</v>
      </c>
      <c r="H5311" s="6" t="s">
        <v>188</v>
      </c>
      <c r="I5311" s="6" t="n">
        <f aca="false">D5311*F5311</f>
        <v>13.2</v>
      </c>
      <c r="J5311" s="6" t="n">
        <f aca="false">HOUR(E5311)</f>
        <v>14</v>
      </c>
      <c r="K5311" s="6" t="n">
        <f aca="false">IF(COUNTIF($A$2:$A5311,A5311)=1,1,0)</f>
        <v>0</v>
      </c>
    </row>
    <row r="5312" customFormat="false" ht="15" hidden="false" customHeight="false" outlineLevel="0" collapsed="false">
      <c r="A5312" s="0" t="s">
        <v>1078</v>
      </c>
      <c r="B5312" s="0" t="s">
        <v>95</v>
      </c>
      <c r="C5312" s="0" t="s">
        <v>96</v>
      </c>
      <c r="D5312" s="0" t="n">
        <v>8</v>
      </c>
      <c r="E5312" s="5" t="n">
        <v>46014.6016782407</v>
      </c>
      <c r="F5312" s="0" t="n">
        <v>2.55</v>
      </c>
      <c r="G5312" s="0" t="n">
        <v>17068</v>
      </c>
      <c r="H5312" s="6" t="s">
        <v>188</v>
      </c>
      <c r="I5312" s="6" t="n">
        <f aca="false">D5312*F5312</f>
        <v>20.4</v>
      </c>
      <c r="J5312" s="6" t="n">
        <f aca="false">HOUR(E5312)</f>
        <v>14</v>
      </c>
      <c r="K5312" s="6" t="n">
        <f aca="false">IF(COUNTIF($A$2:$A5312,A5312)=1,1,0)</f>
        <v>0</v>
      </c>
    </row>
    <row r="5313" customFormat="false" ht="15" hidden="false" customHeight="false" outlineLevel="0" collapsed="false">
      <c r="A5313" s="0" t="s">
        <v>1078</v>
      </c>
      <c r="B5313" s="0" t="s">
        <v>118</v>
      </c>
      <c r="C5313" s="0" t="s">
        <v>119</v>
      </c>
      <c r="D5313" s="0" t="n">
        <v>36</v>
      </c>
      <c r="E5313" s="5" t="n">
        <v>46014.6016782407</v>
      </c>
      <c r="F5313" s="0" t="n">
        <v>4.95</v>
      </c>
      <c r="G5313" s="0" t="n">
        <v>17068</v>
      </c>
      <c r="H5313" s="6" t="s">
        <v>188</v>
      </c>
      <c r="I5313" s="6" t="n">
        <f aca="false">D5313*F5313</f>
        <v>178.2</v>
      </c>
      <c r="J5313" s="6" t="n">
        <f aca="false">HOUR(E5313)</f>
        <v>14</v>
      </c>
      <c r="K5313" s="6" t="n">
        <f aca="false">IF(COUNTIF($A$2:$A5313,A5313)=1,1,0)</f>
        <v>0</v>
      </c>
    </row>
    <row r="5314" customFormat="false" ht="15" hidden="false" customHeight="false" outlineLevel="0" collapsed="false">
      <c r="A5314" s="0" t="s">
        <v>1078</v>
      </c>
      <c r="B5314" s="0" t="s">
        <v>99</v>
      </c>
      <c r="C5314" s="0" t="s">
        <v>100</v>
      </c>
      <c r="D5314" s="0" t="n">
        <v>2</v>
      </c>
      <c r="E5314" s="5" t="n">
        <v>46014.6016782407</v>
      </c>
      <c r="F5314" s="0" t="n">
        <v>2.08</v>
      </c>
      <c r="G5314" s="0" t="n">
        <v>17068</v>
      </c>
      <c r="H5314" s="6" t="s">
        <v>188</v>
      </c>
      <c r="I5314" s="6" t="n">
        <f aca="false">D5314*F5314</f>
        <v>4.16</v>
      </c>
      <c r="J5314" s="6" t="n">
        <f aca="false">HOUR(E5314)</f>
        <v>14</v>
      </c>
      <c r="K5314" s="6" t="n">
        <f aca="false">IF(COUNTIF($A$2:$A5314,A5314)=1,1,0)</f>
        <v>0</v>
      </c>
    </row>
    <row r="5315" customFormat="false" ht="15" hidden="false" customHeight="false" outlineLevel="0" collapsed="false">
      <c r="A5315" s="0" t="s">
        <v>1079</v>
      </c>
      <c r="B5315" s="0" t="s">
        <v>95</v>
      </c>
      <c r="C5315" s="0" t="s">
        <v>96</v>
      </c>
      <c r="D5315" s="0" t="n">
        <v>37</v>
      </c>
      <c r="E5315" s="5" t="n">
        <v>46014.9916898148</v>
      </c>
      <c r="F5315" s="0" t="n">
        <v>2.55</v>
      </c>
      <c r="G5315" s="0" t="n">
        <v>17243</v>
      </c>
      <c r="H5315" s="6" t="s">
        <v>74</v>
      </c>
      <c r="I5315" s="6" t="n">
        <f aca="false">D5315*F5315</f>
        <v>94.35</v>
      </c>
      <c r="J5315" s="6" t="n">
        <f aca="false">HOUR(E5315)</f>
        <v>23</v>
      </c>
      <c r="K5315" s="6" t="n">
        <f aca="false">IF(COUNTIF($A$2:$A5315,A5315)=1,1,0)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1080</v>
      </c>
    </row>
    <row r="2" customFormat="false" ht="15" hidden="false" customHeight="false" outlineLevel="0" collapsed="false">
      <c r="A2" s="2" t="s">
        <v>1081</v>
      </c>
    </row>
    <row r="4" customFormat="false" ht="15" hidden="false" customHeight="false" outlineLevel="0" collapsed="false">
      <c r="A4" s="7" t="s">
        <v>1082</v>
      </c>
      <c r="B4" s="7" t="s">
        <v>1083</v>
      </c>
      <c r="C4" s="7" t="s">
        <v>1084</v>
      </c>
      <c r="D4" s="7" t="s">
        <v>1085</v>
      </c>
      <c r="E4" s="7" t="s">
        <v>1086</v>
      </c>
      <c r="F4" s="7" t="s">
        <v>1087</v>
      </c>
    </row>
    <row r="5" customFormat="false" ht="45" hidden="false" customHeight="true" outlineLevel="0" collapsed="false">
      <c r="A5" s="3" t="s">
        <v>34</v>
      </c>
      <c r="B5" s="3" t="n">
        <f aca="false">COUNTA(OnlineRetail[CustomerID])+COUNTBLANK(OnlineRetail[CustomerID])</f>
        <v>5314</v>
      </c>
      <c r="C5" s="3" t="n">
        <f aca="false">COUNTA(OnlineRetail[CustomerID])</f>
        <v>4865</v>
      </c>
      <c r="D5" s="3" t="n">
        <f aca="false">COUNTBLANK(OnlineRetail[CustomerID])</f>
        <v>449</v>
      </c>
      <c r="E5" s="8" t="n">
        <f aca="false">D5/B5</f>
        <v>0.0844937899887091</v>
      </c>
      <c r="F5" s="9" t="s">
        <v>1088</v>
      </c>
    </row>
    <row r="6" customFormat="false" ht="45" hidden="false" customHeight="true" outlineLevel="0" collapsed="false">
      <c r="A6" s="3" t="s">
        <v>30</v>
      </c>
      <c r="B6" s="3" t="n">
        <f aca="false">COUNTA(OnlineRetail[Description])+COUNTBLANK(OnlineRetail[Description])</f>
        <v>5314</v>
      </c>
      <c r="C6" s="3" t="n">
        <f aca="false">COUNTA(OnlineRetail[Description])</f>
        <v>5219</v>
      </c>
      <c r="D6" s="3" t="n">
        <f aca="false">COUNTBLANK(OnlineRetail[Description])</f>
        <v>95</v>
      </c>
      <c r="E6" s="8" t="n">
        <f aca="false">D6/B6</f>
        <v>0.0178773052314641</v>
      </c>
      <c r="F6" s="9" t="s">
        <v>1089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1090</v>
      </c>
    </row>
    <row r="2" customFormat="false" ht="15" hidden="false" customHeight="false" outlineLevel="0" collapsed="false">
      <c r="A2" s="2" t="s">
        <v>1091</v>
      </c>
    </row>
    <row r="4" customFormat="false" ht="15" hidden="false" customHeight="false" outlineLevel="0" collapsed="false">
      <c r="A4" s="7" t="s">
        <v>1092</v>
      </c>
      <c r="B4" s="7" t="s">
        <v>1093</v>
      </c>
      <c r="C4" s="7" t="s">
        <v>1094</v>
      </c>
      <c r="D4" s="7" t="s">
        <v>1095</v>
      </c>
      <c r="E4" s="7" t="s">
        <v>1096</v>
      </c>
      <c r="G4" s="7" t="s">
        <v>1097</v>
      </c>
    </row>
    <row r="5" customFormat="false" ht="15" hidden="false" customHeight="false" outlineLevel="0" collapsed="false">
      <c r="A5" s="3" t="n">
        <v>0</v>
      </c>
      <c r="B5" s="3" t="n">
        <f aca="false">SUMIFS(OnlineRetail[IsFirstLineOfInvoice],OnlineRetail[Hour],A5)</f>
        <v>7</v>
      </c>
      <c r="C5" s="10" t="n">
        <f aca="false">SUMIFS(OnlineRetail[LineRevenue],OnlineRetail[Hour],A5)</f>
        <v>2557.9</v>
      </c>
      <c r="D5" s="10" t="n">
        <f aca="false">IFERROR(C5/B5,0)</f>
        <v>365.414285714286</v>
      </c>
      <c r="E5" s="10" t="n">
        <f aca="false">C5/60</f>
        <v>42.6316666666667</v>
      </c>
      <c r="G5" s="10" t="n">
        <f aca="false">SUM(OnlineRetail[LineRevenue])/SUM(OnlineRetail[IsFirstLineOfInvoice])</f>
        <v>274.138294736842</v>
      </c>
    </row>
    <row r="6" customFormat="false" ht="15" hidden="false" customHeight="false" outlineLevel="0" collapsed="false">
      <c r="A6" s="3" t="n">
        <v>1</v>
      </c>
      <c r="B6" s="3" t="n">
        <f aca="false">SUMIFS(OnlineRetail[IsFirstLineOfInvoice],OnlineRetail[Hour],A6)</f>
        <v>8</v>
      </c>
      <c r="C6" s="10" t="n">
        <f aca="false">SUMIFS(OnlineRetail[LineRevenue],OnlineRetail[Hour],A6)</f>
        <v>2397.18</v>
      </c>
      <c r="D6" s="10" t="n">
        <f aca="false">IFERROR(C6/B6,0)</f>
        <v>299.6475</v>
      </c>
      <c r="E6" s="10" t="n">
        <f aca="false">C6/60</f>
        <v>39.953</v>
      </c>
    </row>
    <row r="7" customFormat="false" ht="15" hidden="false" customHeight="false" outlineLevel="0" collapsed="false">
      <c r="A7" s="3" t="n">
        <v>2</v>
      </c>
      <c r="B7" s="3" t="n">
        <f aca="false">SUMIFS(OnlineRetail[IsFirstLineOfInvoice],OnlineRetail[Hour],A7)</f>
        <v>7</v>
      </c>
      <c r="C7" s="10" t="n">
        <f aca="false">SUMIFS(OnlineRetail[LineRevenue],OnlineRetail[Hour],A7)</f>
        <v>1243.46</v>
      </c>
      <c r="D7" s="10" t="n">
        <f aca="false">IFERROR(C7/B7,0)</f>
        <v>177.637142857143</v>
      </c>
      <c r="E7" s="10" t="n">
        <f aca="false">C7/60</f>
        <v>20.7243333333333</v>
      </c>
    </row>
    <row r="8" customFormat="false" ht="15" hidden="false" customHeight="false" outlineLevel="0" collapsed="false">
      <c r="A8" s="3" t="n">
        <v>3</v>
      </c>
      <c r="B8" s="3" t="n">
        <f aca="false">SUMIFS(OnlineRetail[IsFirstLineOfInvoice],OnlineRetail[Hour],A8)</f>
        <v>7</v>
      </c>
      <c r="C8" s="10" t="n">
        <f aca="false">SUMIFS(OnlineRetail[LineRevenue],OnlineRetail[Hour],A8)</f>
        <v>1562.43</v>
      </c>
      <c r="D8" s="10" t="n">
        <f aca="false">IFERROR(C8/B8,0)</f>
        <v>223.204285714286</v>
      </c>
      <c r="E8" s="10" t="n">
        <f aca="false">C8/60</f>
        <v>26.0405</v>
      </c>
    </row>
    <row r="9" customFormat="false" ht="15" hidden="false" customHeight="false" outlineLevel="0" collapsed="false">
      <c r="A9" s="3" t="n">
        <v>4</v>
      </c>
      <c r="B9" s="3" t="n">
        <f aca="false">SUMIFS(OnlineRetail[IsFirstLineOfInvoice],OnlineRetail[Hour],A9)</f>
        <v>4</v>
      </c>
      <c r="C9" s="10" t="n">
        <f aca="false">SUMIFS(OnlineRetail[LineRevenue],OnlineRetail[Hour],A9)</f>
        <v>1696.4</v>
      </c>
      <c r="D9" s="10" t="n">
        <f aca="false">IFERROR(C9/B9,0)</f>
        <v>424.1</v>
      </c>
      <c r="E9" s="10" t="n">
        <f aca="false">C9/60</f>
        <v>28.2733333333333</v>
      </c>
    </row>
    <row r="10" customFormat="false" ht="15" hidden="false" customHeight="false" outlineLevel="0" collapsed="false">
      <c r="A10" s="3" t="n">
        <v>5</v>
      </c>
      <c r="B10" s="3" t="n">
        <f aca="false">SUMIFS(OnlineRetail[IsFirstLineOfInvoice],OnlineRetail[Hour],A10)</f>
        <v>6</v>
      </c>
      <c r="C10" s="10" t="n">
        <f aca="false">SUMIFS(OnlineRetail[LineRevenue],OnlineRetail[Hour],A10)</f>
        <v>1258.67</v>
      </c>
      <c r="D10" s="10" t="n">
        <f aca="false">IFERROR(C10/B10,0)</f>
        <v>209.778333333333</v>
      </c>
      <c r="E10" s="10" t="n">
        <f aca="false">C10/60</f>
        <v>20.9778333333333</v>
      </c>
    </row>
    <row r="11" customFormat="false" ht="15" hidden="false" customHeight="false" outlineLevel="0" collapsed="false">
      <c r="A11" s="3" t="n">
        <v>6</v>
      </c>
      <c r="B11" s="3" t="n">
        <f aca="false">SUMIFS(OnlineRetail[IsFirstLineOfInvoice],OnlineRetail[Hour],A11)</f>
        <v>16</v>
      </c>
      <c r="C11" s="10" t="n">
        <f aca="false">SUMIFS(OnlineRetail[LineRevenue],OnlineRetail[Hour],A11)</f>
        <v>3298.38</v>
      </c>
      <c r="D11" s="10" t="n">
        <f aca="false">IFERROR(C11/B11,0)</f>
        <v>206.14875</v>
      </c>
      <c r="E11" s="10" t="n">
        <f aca="false">C11/60</f>
        <v>54.973</v>
      </c>
    </row>
    <row r="12" customFormat="false" ht="15" hidden="false" customHeight="false" outlineLevel="0" collapsed="false">
      <c r="A12" s="3" t="n">
        <v>7</v>
      </c>
      <c r="B12" s="3" t="n">
        <f aca="false">SUMIFS(OnlineRetail[IsFirstLineOfInvoice],OnlineRetail[Hour],A12)</f>
        <v>17</v>
      </c>
      <c r="C12" s="10" t="n">
        <f aca="false">SUMIFS(OnlineRetail[LineRevenue],OnlineRetail[Hour],A12)</f>
        <v>3725.22</v>
      </c>
      <c r="D12" s="10" t="n">
        <f aca="false">IFERROR(C12/B12,0)</f>
        <v>219.130588235294</v>
      </c>
      <c r="E12" s="10" t="n">
        <f aca="false">C12/60</f>
        <v>62.087</v>
      </c>
    </row>
    <row r="13" customFormat="false" ht="15" hidden="false" customHeight="false" outlineLevel="0" collapsed="false">
      <c r="A13" s="3" t="n">
        <v>8</v>
      </c>
      <c r="B13" s="3" t="n">
        <f aca="false">SUMIFS(OnlineRetail[IsFirstLineOfInvoice],OnlineRetail[Hour],A13)</f>
        <v>49</v>
      </c>
      <c r="C13" s="10" t="n">
        <f aca="false">SUMIFS(OnlineRetail[LineRevenue],OnlineRetail[Hour],A13)</f>
        <v>15708.39</v>
      </c>
      <c r="D13" s="10" t="n">
        <f aca="false">IFERROR(C13/B13,0)</f>
        <v>320.579387755102</v>
      </c>
      <c r="E13" s="10" t="n">
        <f aca="false">C13/60</f>
        <v>261.8065</v>
      </c>
    </row>
    <row r="14" customFormat="false" ht="15" hidden="false" customHeight="false" outlineLevel="0" collapsed="false">
      <c r="A14" s="3" t="n">
        <v>9</v>
      </c>
      <c r="B14" s="3" t="n">
        <f aca="false">SUMIFS(OnlineRetail[IsFirstLineOfInvoice],OnlineRetail[Hour],A14)</f>
        <v>89</v>
      </c>
      <c r="C14" s="10" t="n">
        <f aca="false">SUMIFS(OnlineRetail[LineRevenue],OnlineRetail[Hour],A14)</f>
        <v>23688.37</v>
      </c>
      <c r="D14" s="10" t="n">
        <f aca="false">IFERROR(C14/B14,0)</f>
        <v>266.161460674157</v>
      </c>
      <c r="E14" s="10" t="n">
        <f aca="false">C14/60</f>
        <v>394.806166666667</v>
      </c>
    </row>
    <row r="15" customFormat="false" ht="15" hidden="false" customHeight="false" outlineLevel="0" collapsed="false">
      <c r="A15" s="3" t="n">
        <v>10</v>
      </c>
      <c r="B15" s="3" t="n">
        <f aca="false">SUMIFS(OnlineRetail[IsFirstLineOfInvoice],OnlineRetail[Hour],A15)</f>
        <v>82</v>
      </c>
      <c r="C15" s="10" t="n">
        <f aca="false">SUMIFS(OnlineRetail[LineRevenue],OnlineRetail[Hour],A15)</f>
        <v>24214.23</v>
      </c>
      <c r="D15" s="10" t="n">
        <f aca="false">IFERROR(C15/B15,0)</f>
        <v>295.295487804878</v>
      </c>
      <c r="E15" s="10" t="n">
        <f aca="false">C15/60</f>
        <v>403.5705</v>
      </c>
    </row>
    <row r="16" customFormat="false" ht="15" hidden="false" customHeight="false" outlineLevel="0" collapsed="false">
      <c r="A16" s="3" t="n">
        <v>11</v>
      </c>
      <c r="B16" s="3" t="n">
        <f aca="false">SUMIFS(OnlineRetail[IsFirstLineOfInvoice],OnlineRetail[Hour],A16)</f>
        <v>81</v>
      </c>
      <c r="C16" s="10" t="n">
        <f aca="false">SUMIFS(OnlineRetail[LineRevenue],OnlineRetail[Hour],A16)</f>
        <v>24950.86</v>
      </c>
      <c r="D16" s="10" t="n">
        <f aca="false">IFERROR(C16/B16,0)</f>
        <v>308.035308641975</v>
      </c>
      <c r="E16" s="10" t="n">
        <f aca="false">C16/60</f>
        <v>415.847666666667</v>
      </c>
    </row>
    <row r="17" customFormat="false" ht="15" hidden="false" customHeight="false" outlineLevel="0" collapsed="false">
      <c r="A17" s="3" t="n">
        <v>12</v>
      </c>
      <c r="B17" s="3" t="n">
        <f aca="false">SUMIFS(OnlineRetail[IsFirstLineOfInvoice],OnlineRetail[Hour],A17)</f>
        <v>87</v>
      </c>
      <c r="C17" s="10" t="n">
        <f aca="false">SUMIFS(OnlineRetail[LineRevenue],OnlineRetail[Hour],A17)</f>
        <v>23340.17</v>
      </c>
      <c r="D17" s="10" t="n">
        <f aca="false">IFERROR(C17/B17,0)</f>
        <v>268.277816091954</v>
      </c>
      <c r="E17" s="10" t="n">
        <f aca="false">C17/60</f>
        <v>389.002833333333</v>
      </c>
    </row>
    <row r="18" customFormat="false" ht="15" hidden="false" customHeight="false" outlineLevel="0" collapsed="false">
      <c r="A18" s="3" t="n">
        <v>13</v>
      </c>
      <c r="B18" s="3" t="n">
        <f aca="false">SUMIFS(OnlineRetail[IsFirstLineOfInvoice],OnlineRetail[Hour],A18)</f>
        <v>78</v>
      </c>
      <c r="C18" s="10" t="n">
        <f aca="false">SUMIFS(OnlineRetail[LineRevenue],OnlineRetail[Hour],A18)</f>
        <v>23813.66</v>
      </c>
      <c r="D18" s="10" t="n">
        <f aca="false">IFERROR(C18/B18,0)</f>
        <v>305.303333333333</v>
      </c>
      <c r="E18" s="10" t="n">
        <f aca="false">C18/60</f>
        <v>396.894333333333</v>
      </c>
    </row>
    <row r="19" customFormat="false" ht="15" hidden="false" customHeight="false" outlineLevel="0" collapsed="false">
      <c r="A19" s="3" t="n">
        <v>14</v>
      </c>
      <c r="B19" s="3" t="n">
        <f aca="false">SUMIFS(OnlineRetail[IsFirstLineOfInvoice],OnlineRetail[Hour],A19)</f>
        <v>69</v>
      </c>
      <c r="C19" s="10" t="n">
        <f aca="false">SUMIFS(OnlineRetail[LineRevenue],OnlineRetail[Hour],A19)</f>
        <v>20321.83</v>
      </c>
      <c r="D19" s="10" t="n">
        <f aca="false">IFERROR(C19/B19,0)</f>
        <v>294.519275362319</v>
      </c>
      <c r="E19" s="10" t="n">
        <f aca="false">C19/60</f>
        <v>338.697166666667</v>
      </c>
    </row>
    <row r="20" customFormat="false" ht="15" hidden="false" customHeight="false" outlineLevel="0" collapsed="false">
      <c r="A20" s="3" t="n">
        <v>15</v>
      </c>
      <c r="B20" s="3" t="n">
        <f aca="false">SUMIFS(OnlineRetail[IsFirstLineOfInvoice],OnlineRetail[Hour],A20)</f>
        <v>48</v>
      </c>
      <c r="C20" s="10" t="n">
        <f aca="false">SUMIFS(OnlineRetail[LineRevenue],OnlineRetail[Hour],A20)</f>
        <v>12685.81</v>
      </c>
      <c r="D20" s="10" t="n">
        <f aca="false">IFERROR(C20/B20,0)</f>
        <v>264.287708333333</v>
      </c>
      <c r="E20" s="10" t="n">
        <f aca="false">C20/60</f>
        <v>211.430166666667</v>
      </c>
    </row>
    <row r="21" customFormat="false" ht="15" hidden="false" customHeight="false" outlineLevel="0" collapsed="false">
      <c r="A21" s="3" t="n">
        <v>16</v>
      </c>
      <c r="B21" s="3" t="n">
        <f aca="false">SUMIFS(OnlineRetail[IsFirstLineOfInvoice],OnlineRetail[Hour],A21)</f>
        <v>51</v>
      </c>
      <c r="C21" s="10" t="n">
        <f aca="false">SUMIFS(OnlineRetail[LineRevenue],OnlineRetail[Hour],A21)</f>
        <v>10339.72</v>
      </c>
      <c r="D21" s="10" t="n">
        <f aca="false">IFERROR(C21/B21,0)</f>
        <v>202.739607843137</v>
      </c>
      <c r="E21" s="10" t="n">
        <f aca="false">C21/60</f>
        <v>172.328666666667</v>
      </c>
    </row>
    <row r="22" customFormat="false" ht="15" hidden="false" customHeight="false" outlineLevel="0" collapsed="false">
      <c r="A22" s="3" t="n">
        <v>17</v>
      </c>
      <c r="B22" s="3" t="n">
        <f aca="false">SUMIFS(OnlineRetail[IsFirstLineOfInvoice],OnlineRetail[Hour],A22)</f>
        <v>54</v>
      </c>
      <c r="C22" s="10" t="n">
        <f aca="false">SUMIFS(OnlineRetail[LineRevenue],OnlineRetail[Hour],A22)</f>
        <v>16842.38</v>
      </c>
      <c r="D22" s="10" t="n">
        <f aca="false">IFERROR(C22/B22,0)</f>
        <v>311.895925925926</v>
      </c>
      <c r="E22" s="10" t="n">
        <f aca="false">C22/60</f>
        <v>280.706333333333</v>
      </c>
    </row>
    <row r="23" customFormat="false" ht="15" hidden="false" customHeight="false" outlineLevel="0" collapsed="false">
      <c r="A23" s="3" t="n">
        <v>18</v>
      </c>
      <c r="B23" s="3" t="n">
        <f aca="false">SUMIFS(OnlineRetail[IsFirstLineOfInvoice],OnlineRetail[Hour],A23)</f>
        <v>54</v>
      </c>
      <c r="C23" s="10" t="n">
        <f aca="false">SUMIFS(OnlineRetail[LineRevenue],OnlineRetail[Hour],A23)</f>
        <v>13839.42</v>
      </c>
      <c r="D23" s="10" t="n">
        <f aca="false">IFERROR(C23/B23,0)</f>
        <v>256.285555555556</v>
      </c>
      <c r="E23" s="10" t="n">
        <f aca="false">C23/60</f>
        <v>230.657</v>
      </c>
    </row>
    <row r="24" customFormat="false" ht="15" hidden="false" customHeight="false" outlineLevel="0" collapsed="false">
      <c r="A24" s="3" t="n">
        <v>19</v>
      </c>
      <c r="B24" s="3" t="n">
        <f aca="false">SUMIFS(OnlineRetail[IsFirstLineOfInvoice],OnlineRetail[Hour],A24)</f>
        <v>41</v>
      </c>
      <c r="C24" s="10" t="n">
        <f aca="false">SUMIFS(OnlineRetail[LineRevenue],OnlineRetail[Hour],A24)</f>
        <v>10404.26</v>
      </c>
      <c r="D24" s="10" t="n">
        <f aca="false">IFERROR(C24/B24,0)</f>
        <v>253.76243902439</v>
      </c>
      <c r="E24" s="10" t="n">
        <f aca="false">C24/60</f>
        <v>173.404333333333</v>
      </c>
    </row>
    <row r="25" customFormat="false" ht="15" hidden="false" customHeight="false" outlineLevel="0" collapsed="false">
      <c r="A25" s="3" t="n">
        <v>20</v>
      </c>
      <c r="B25" s="3" t="n">
        <f aca="false">SUMIFS(OnlineRetail[IsFirstLineOfInvoice],OnlineRetail[Hour],A25)</f>
        <v>34</v>
      </c>
      <c r="C25" s="10" t="n">
        <f aca="false">SUMIFS(OnlineRetail[LineRevenue],OnlineRetail[Hour],A25)</f>
        <v>5897.73</v>
      </c>
      <c r="D25" s="10" t="n">
        <f aca="false">IFERROR(C25/B25,0)</f>
        <v>173.462647058824</v>
      </c>
      <c r="E25" s="10" t="n">
        <f aca="false">C25/60</f>
        <v>98.2955</v>
      </c>
    </row>
    <row r="26" customFormat="false" ht="15" hidden="false" customHeight="false" outlineLevel="0" collapsed="false">
      <c r="A26" s="3" t="n">
        <v>21</v>
      </c>
      <c r="B26" s="3" t="n">
        <f aca="false">SUMIFS(OnlineRetail[IsFirstLineOfInvoice],OnlineRetail[Hour],A26)</f>
        <v>26</v>
      </c>
      <c r="C26" s="10" t="n">
        <f aca="false">SUMIFS(OnlineRetail[LineRevenue],OnlineRetail[Hour],A26)</f>
        <v>8473.31</v>
      </c>
      <c r="D26" s="10" t="n">
        <f aca="false">IFERROR(C26/B26,0)</f>
        <v>325.896538461538</v>
      </c>
      <c r="E26" s="10" t="n">
        <f aca="false">C26/60</f>
        <v>141.221833333333</v>
      </c>
    </row>
    <row r="27" customFormat="false" ht="15" hidden="false" customHeight="false" outlineLevel="0" collapsed="false">
      <c r="A27" s="3" t="n">
        <v>22</v>
      </c>
      <c r="B27" s="3" t="n">
        <f aca="false">SUMIFS(OnlineRetail[IsFirstLineOfInvoice],OnlineRetail[Hour],A27)</f>
        <v>24</v>
      </c>
      <c r="C27" s="10" t="n">
        <f aca="false">SUMIFS(OnlineRetail[LineRevenue],OnlineRetail[Hour],A27)</f>
        <v>5624.98</v>
      </c>
      <c r="D27" s="10" t="n">
        <f aca="false">IFERROR(C27/B27,0)</f>
        <v>234.374166666667</v>
      </c>
      <c r="E27" s="10" t="n">
        <f aca="false">C27/60</f>
        <v>93.7496666666667</v>
      </c>
    </row>
    <row r="28" customFormat="false" ht="15" hidden="false" customHeight="false" outlineLevel="0" collapsed="false">
      <c r="A28" s="3" t="n">
        <v>23</v>
      </c>
      <c r="B28" s="3" t="n">
        <f aca="false">SUMIFS(OnlineRetail[IsFirstLineOfInvoice],OnlineRetail[Hour],A28)</f>
        <v>11</v>
      </c>
      <c r="C28" s="10" t="n">
        <f aca="false">SUMIFS(OnlineRetail[LineRevenue],OnlineRetail[Hour],A28)</f>
        <v>2546.62</v>
      </c>
      <c r="D28" s="10" t="n">
        <f aca="false">IFERROR(C28/B28,0)</f>
        <v>231.510909090909</v>
      </c>
      <c r="E28" s="10" t="n">
        <f aca="false">C28/60</f>
        <v>42.4436666666667</v>
      </c>
    </row>
  </sheetData>
  <conditionalFormatting sqref="D5:D2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1098</v>
      </c>
    </row>
    <row r="2" customFormat="false" ht="15" hidden="false" customHeight="false" outlineLevel="0" collapsed="false">
      <c r="A2" s="2" t="s">
        <v>1099</v>
      </c>
    </row>
    <row r="4" customFormat="false" ht="15" hidden="false" customHeight="false" outlineLevel="0" collapsed="false">
      <c r="A4" s="7" t="s">
        <v>1100</v>
      </c>
      <c r="B4" s="7" t="s">
        <v>29</v>
      </c>
      <c r="C4" s="7" t="s">
        <v>30</v>
      </c>
      <c r="D4" s="7" t="s">
        <v>1094</v>
      </c>
      <c r="E4" s="7" t="s">
        <v>1101</v>
      </c>
      <c r="F4" s="7" t="s">
        <v>1102</v>
      </c>
      <c r="G4" s="7" t="s">
        <v>1103</v>
      </c>
    </row>
    <row r="5" customFormat="false" ht="15" hidden="false" customHeight="false" outlineLevel="0" collapsed="false">
      <c r="A5" s="3" t="n">
        <v>1</v>
      </c>
      <c r="B5" s="3" t="s">
        <v>47</v>
      </c>
      <c r="C5" s="3" t="s">
        <v>48</v>
      </c>
      <c r="D5" s="10" t="n">
        <f aca="false">SUMIFS(OnlineRetail[LineRevenue],OnlineRetail[StockCode],B5)</f>
        <v>41718</v>
      </c>
      <c r="E5" s="10" t="n">
        <f aca="false">D5</f>
        <v>41718</v>
      </c>
      <c r="F5" s="8" t="n">
        <f aca="false">E5/$E$80</f>
        <v>0.0815117456983592</v>
      </c>
      <c r="G5" s="3" t="str">
        <f aca="false">IF(A5&lt;=15,"Yes","No")</f>
        <v>Yes</v>
      </c>
    </row>
    <row r="6" customFormat="false" ht="15" hidden="false" customHeight="false" outlineLevel="0" collapsed="false">
      <c r="A6" s="3" t="n">
        <v>2</v>
      </c>
      <c r="B6" s="3" t="s">
        <v>102</v>
      </c>
      <c r="C6" s="3" t="s">
        <v>103</v>
      </c>
      <c r="D6" s="10" t="n">
        <f aca="false">SUMIFS(OnlineRetail[LineRevenue],OnlineRetail[StockCode],B6)</f>
        <v>29231.5</v>
      </c>
      <c r="E6" s="10" t="n">
        <f aca="false">E5+D6</f>
        <v>70949.5</v>
      </c>
      <c r="F6" s="8" t="n">
        <f aca="false">E6/$E$80</f>
        <v>0.138626434666708</v>
      </c>
      <c r="G6" s="3" t="str">
        <f aca="false">IF(A6&lt;=15,"Yes","No")</f>
        <v>Yes</v>
      </c>
    </row>
    <row r="7" customFormat="false" ht="15" hidden="false" customHeight="false" outlineLevel="0" collapsed="false">
      <c r="A7" s="3" t="n">
        <v>3</v>
      </c>
      <c r="B7" s="3" t="s">
        <v>118</v>
      </c>
      <c r="C7" s="3" t="s">
        <v>119</v>
      </c>
      <c r="D7" s="10" t="n">
        <f aca="false">SUMIFS(OnlineRetail[LineRevenue],OnlineRetail[StockCode],B7)</f>
        <v>17567.55</v>
      </c>
      <c r="E7" s="10" t="n">
        <f aca="false">E6+D7</f>
        <v>88517.05</v>
      </c>
      <c r="F7" s="8" t="n">
        <f aca="false">E7/$E$80</f>
        <v>0.172951226558535</v>
      </c>
      <c r="G7" s="3" t="str">
        <f aca="false">IF(A7&lt;=15,"Yes","No")</f>
        <v>Yes</v>
      </c>
    </row>
    <row r="8" customFormat="false" ht="15" hidden="false" customHeight="false" outlineLevel="0" collapsed="false">
      <c r="A8" s="3" t="n">
        <v>4</v>
      </c>
      <c r="B8" s="3" t="s">
        <v>72</v>
      </c>
      <c r="C8" s="3" t="s">
        <v>73</v>
      </c>
      <c r="D8" s="10" t="n">
        <f aca="false">SUMIFS(OnlineRetail[LineRevenue],OnlineRetail[StockCode],B8)</f>
        <v>14315.4</v>
      </c>
      <c r="E8" s="10" t="n">
        <f aca="false">E7+D8</f>
        <v>102832.45</v>
      </c>
      <c r="F8" s="8" t="n">
        <f aca="false">E8/$E$80</f>
        <v>0.200921724769626</v>
      </c>
      <c r="G8" s="3" t="str">
        <f aca="false">IF(A8&lt;=15,"Yes","No")</f>
        <v>Yes</v>
      </c>
    </row>
    <row r="9" customFormat="false" ht="15" hidden="false" customHeight="false" outlineLevel="0" collapsed="false">
      <c r="A9" s="3" t="n">
        <v>5</v>
      </c>
      <c r="B9" s="3" t="s">
        <v>91</v>
      </c>
      <c r="C9" s="3" t="s">
        <v>92</v>
      </c>
      <c r="D9" s="10" t="n">
        <f aca="false">SUMIFS(OnlineRetail[LineRevenue],OnlineRetail[StockCode],B9)</f>
        <v>13418.1</v>
      </c>
      <c r="E9" s="10" t="n">
        <f aca="false">E8+D9</f>
        <v>116250.55</v>
      </c>
      <c r="F9" s="8" t="n">
        <f aca="false">E9/$E$80</f>
        <v>0.227139011191677</v>
      </c>
      <c r="G9" s="3" t="str">
        <f aca="false">IF(A9&lt;=15,"Yes","No")</f>
        <v>Yes</v>
      </c>
    </row>
    <row r="10" customFormat="false" ht="15" hidden="false" customHeight="false" outlineLevel="0" collapsed="false">
      <c r="A10" s="3" t="n">
        <v>6</v>
      </c>
      <c r="B10" s="3" t="s">
        <v>134</v>
      </c>
      <c r="C10" s="3" t="s">
        <v>135</v>
      </c>
      <c r="D10" s="10" t="n">
        <f aca="false">SUMIFS(OnlineRetail[LineRevenue],OnlineRetail[StockCode],B10)</f>
        <v>10864.7</v>
      </c>
      <c r="E10" s="10" t="n">
        <f aca="false">E9+D10</f>
        <v>127115.25</v>
      </c>
      <c r="F10" s="8" t="n">
        <f aca="false">E10/$E$80</f>
        <v>0.248367273895761</v>
      </c>
      <c r="G10" s="3" t="str">
        <f aca="false">IF(A10&lt;=15,"Yes","No")</f>
        <v>Yes</v>
      </c>
    </row>
    <row r="11" customFormat="false" ht="15" hidden="false" customHeight="false" outlineLevel="0" collapsed="false">
      <c r="A11" s="3" t="n">
        <v>7</v>
      </c>
      <c r="B11" s="3" t="s">
        <v>95</v>
      </c>
      <c r="C11" s="3" t="s">
        <v>96</v>
      </c>
      <c r="D11" s="10" t="n">
        <f aca="false">SUMIFS(OnlineRetail[LineRevenue],OnlineRetail[StockCode],B11)</f>
        <v>9705.3</v>
      </c>
      <c r="E11" s="10" t="n">
        <f aca="false">E10+D11</f>
        <v>136820.55</v>
      </c>
      <c r="F11" s="8" t="n">
        <f aca="false">E11/$E$80</f>
        <v>0.26733021424588</v>
      </c>
      <c r="G11" s="3" t="str">
        <f aca="false">IF(A11&lt;=15,"Yes","No")</f>
        <v>Yes</v>
      </c>
    </row>
    <row r="12" customFormat="false" ht="15" hidden="false" customHeight="false" outlineLevel="0" collapsed="false">
      <c r="A12" s="3" t="n">
        <v>8</v>
      </c>
      <c r="B12" s="3" t="s">
        <v>50</v>
      </c>
      <c r="C12" s="3" t="s">
        <v>51</v>
      </c>
      <c r="D12" s="10" t="n">
        <f aca="false">SUMIFS(OnlineRetail[LineRevenue],OnlineRetail[StockCode],B12)</f>
        <v>8972.6</v>
      </c>
      <c r="E12" s="10" t="n">
        <f aca="false">E11+D12</f>
        <v>145793.15</v>
      </c>
      <c r="F12" s="8" t="n">
        <f aca="false">E12/$E$80</f>
        <v>0.284861550586383</v>
      </c>
      <c r="G12" s="3" t="str">
        <f aca="false">IF(A12&lt;=15,"Yes","No")</f>
        <v>Yes</v>
      </c>
    </row>
    <row r="13" customFormat="false" ht="15" hidden="false" customHeight="false" outlineLevel="0" collapsed="false">
      <c r="A13" s="3" t="n">
        <v>9</v>
      </c>
      <c r="B13" s="3" t="s">
        <v>69</v>
      </c>
      <c r="C13" s="3" t="s">
        <v>70</v>
      </c>
      <c r="D13" s="10" t="n">
        <f aca="false">SUMIFS(OnlineRetail[LineRevenue],OnlineRetail[StockCode],B13)</f>
        <v>7795.84</v>
      </c>
      <c r="E13" s="10" t="n">
        <f aca="false">E12+D13</f>
        <v>153588.99</v>
      </c>
      <c r="F13" s="8" t="n">
        <f aca="false">E13/$E$80</f>
        <v>0.300093645307729</v>
      </c>
      <c r="G13" s="3" t="str">
        <f aca="false">IF(A13&lt;=15,"Yes","No")</f>
        <v>Yes</v>
      </c>
    </row>
    <row r="14" customFormat="false" ht="15" hidden="false" customHeight="false" outlineLevel="0" collapsed="false">
      <c r="A14" s="3" t="n">
        <v>10</v>
      </c>
      <c r="B14" s="3" t="s">
        <v>86</v>
      </c>
      <c r="C14" s="3" t="s">
        <v>87</v>
      </c>
      <c r="D14" s="10" t="n">
        <f aca="false">SUMIFS(OnlineRetail[LineRevenue],OnlineRetail[StockCode],B14)</f>
        <v>6451.5</v>
      </c>
      <c r="E14" s="10" t="n">
        <f aca="false">E13+D14</f>
        <v>160040.49</v>
      </c>
      <c r="F14" s="8" t="n">
        <f aca="false">E14/$E$80</f>
        <v>0.31269906808382</v>
      </c>
      <c r="G14" s="3" t="str">
        <f aca="false">IF(A14&lt;=15,"Yes","No")</f>
        <v>Yes</v>
      </c>
    </row>
    <row r="15" customFormat="false" ht="15" hidden="false" customHeight="false" outlineLevel="0" collapsed="false">
      <c r="A15" s="3" t="n">
        <v>11</v>
      </c>
      <c r="B15" s="3" t="s">
        <v>43</v>
      </c>
      <c r="C15" s="3" t="s">
        <v>44</v>
      </c>
      <c r="D15" s="10" t="n">
        <f aca="false">SUMIFS(OnlineRetail[LineRevenue],OnlineRetail[StockCode],B15)</f>
        <v>6013.75</v>
      </c>
      <c r="E15" s="10" t="n">
        <f aca="false">E14+D15</f>
        <v>166054.24</v>
      </c>
      <c r="F15" s="8" t="n">
        <f aca="false">E15/$E$80</f>
        <v>0.324449182199873</v>
      </c>
      <c r="G15" s="3" t="str">
        <f aca="false">IF(A15&lt;=15,"Yes","No")</f>
        <v>Yes</v>
      </c>
    </row>
    <row r="16" customFormat="false" ht="15" hidden="false" customHeight="false" outlineLevel="0" collapsed="false">
      <c r="A16" s="3" t="n">
        <v>12</v>
      </c>
      <c r="B16" s="3" t="s">
        <v>107</v>
      </c>
      <c r="C16" s="3" t="s">
        <v>108</v>
      </c>
      <c r="D16" s="10" t="n">
        <f aca="false">SUMIFS(OnlineRetail[LineRevenue],OnlineRetail[StockCode],B16)</f>
        <v>5898.75</v>
      </c>
      <c r="E16" s="10" t="n">
        <f aca="false">E15+D16</f>
        <v>171952.99</v>
      </c>
      <c r="F16" s="8" t="n">
        <f aca="false">E16/$E$80</f>
        <v>0.33597460072277</v>
      </c>
      <c r="G16" s="3" t="str">
        <f aca="false">IF(A16&lt;=15,"Yes","No")</f>
        <v>Yes</v>
      </c>
    </row>
    <row r="17" customFormat="false" ht="15" hidden="false" customHeight="false" outlineLevel="0" collapsed="false">
      <c r="A17" s="3" t="n">
        <v>13</v>
      </c>
      <c r="B17" s="3" t="s">
        <v>79</v>
      </c>
      <c r="C17" s="3" t="s">
        <v>80</v>
      </c>
      <c r="D17" s="10" t="n">
        <f aca="false">SUMIFS(OnlineRetail[LineRevenue],OnlineRetail[StockCode],B17)</f>
        <v>5718.93</v>
      </c>
      <c r="E17" s="10" t="n">
        <f aca="false">E16+D17</f>
        <v>177671.92</v>
      </c>
      <c r="F17" s="8" t="n">
        <f aca="false">E17/$E$80</f>
        <v>0.347148673492958</v>
      </c>
      <c r="G17" s="3" t="str">
        <f aca="false">IF(A17&lt;=15,"Yes","No")</f>
        <v>Yes</v>
      </c>
    </row>
    <row r="18" customFormat="false" ht="15" hidden="false" customHeight="false" outlineLevel="0" collapsed="false">
      <c r="A18" s="3" t="n">
        <v>14</v>
      </c>
      <c r="B18" s="3" t="s">
        <v>83</v>
      </c>
      <c r="C18" s="3" t="s">
        <v>84</v>
      </c>
      <c r="D18" s="10" t="n">
        <f aca="false">SUMIFS(OnlineRetail[LineRevenue],OnlineRetail[StockCode],B18)</f>
        <v>5551.9</v>
      </c>
      <c r="E18" s="10" t="n">
        <f aca="false">E17+D18</f>
        <v>183223.82</v>
      </c>
      <c r="F18" s="8" t="n">
        <f aca="false">E18/$E$80</f>
        <v>0.357996390568147</v>
      </c>
      <c r="G18" s="3" t="str">
        <f aca="false">IF(A18&lt;=15,"Yes","No")</f>
        <v>Yes</v>
      </c>
    </row>
    <row r="19" customFormat="false" ht="15" hidden="false" customHeight="false" outlineLevel="0" collapsed="false">
      <c r="A19" s="3" t="n">
        <v>15</v>
      </c>
      <c r="B19" s="3" t="s">
        <v>75</v>
      </c>
      <c r="C19" s="3" t="s">
        <v>76</v>
      </c>
      <c r="D19" s="10" t="n">
        <f aca="false">SUMIFS(OnlineRetail[LineRevenue],OnlineRetail[StockCode],B19)</f>
        <v>5322.3</v>
      </c>
      <c r="E19" s="10" t="n">
        <f aca="false">E18+D19</f>
        <v>188546.12</v>
      </c>
      <c r="F19" s="8" t="n">
        <f aca="false">E19/$E$80</f>
        <v>0.368395498006911</v>
      </c>
      <c r="G19" s="3" t="str">
        <f aca="false">IF(A19&lt;=15,"Yes","No")</f>
        <v>Yes</v>
      </c>
    </row>
    <row r="20" customFormat="false" ht="15" hidden="false" customHeight="false" outlineLevel="0" collapsed="false">
      <c r="A20" s="3" t="n">
        <v>16</v>
      </c>
      <c r="B20" s="3" t="s">
        <v>131</v>
      </c>
      <c r="C20" s="3" t="s">
        <v>132</v>
      </c>
      <c r="D20" s="10" t="n">
        <f aca="false">SUMIFS(OnlineRetail[LineRevenue],OnlineRetail[StockCode],B20)</f>
        <v>4837.53</v>
      </c>
      <c r="E20" s="10" t="n">
        <f aca="false">E19+D20</f>
        <v>193383.65</v>
      </c>
      <c r="F20" s="8" t="n">
        <f aca="false">E20/$E$80</f>
        <v>0.377847425596157</v>
      </c>
      <c r="G20" s="3" t="str">
        <f aca="false">IF(A20&lt;=15,"Yes","No")</f>
        <v>No</v>
      </c>
    </row>
    <row r="21" customFormat="false" ht="15" hidden="false" customHeight="false" outlineLevel="0" collapsed="false">
      <c r="A21" s="3" t="n">
        <v>17</v>
      </c>
      <c r="B21" s="3" t="s">
        <v>53</v>
      </c>
      <c r="C21" s="3" t="s">
        <v>54</v>
      </c>
      <c r="D21" s="10" t="n">
        <f aca="false">SUMIFS(OnlineRetail[LineRevenue],OnlineRetail[StockCode],B21)</f>
        <v>4354.2</v>
      </c>
      <c r="E21" s="10" t="n">
        <f aca="false">E20+D21</f>
        <v>197737.85</v>
      </c>
      <c r="F21" s="8" t="n">
        <f aca="false">E21/$E$80</f>
        <v>0.386354986915487</v>
      </c>
      <c r="G21" s="3" t="str">
        <f aca="false">IF(A21&lt;=15,"Yes","No")</f>
        <v>No</v>
      </c>
    </row>
    <row r="22" customFormat="false" ht="15" hidden="false" customHeight="false" outlineLevel="0" collapsed="false">
      <c r="A22" s="3" t="n">
        <v>18</v>
      </c>
      <c r="B22" s="3" t="s">
        <v>88</v>
      </c>
      <c r="C22" s="3" t="s">
        <v>89</v>
      </c>
      <c r="D22" s="10" t="n">
        <f aca="false">SUMIFS(OnlineRetail[LineRevenue],OnlineRetail[StockCode],B22)</f>
        <v>4009.5</v>
      </c>
      <c r="E22" s="10" t="n">
        <f aca="false">E21+D22</f>
        <v>201747.35</v>
      </c>
      <c r="F22" s="8" t="n">
        <f aca="false">E22/$E$80</f>
        <v>0.394189047617764</v>
      </c>
      <c r="G22" s="3" t="str">
        <f aca="false">IF(A22&lt;=15,"Yes","No")</f>
        <v>No</v>
      </c>
    </row>
    <row r="23" customFormat="false" ht="15" hidden="false" customHeight="false" outlineLevel="0" collapsed="false">
      <c r="A23" s="3" t="n">
        <v>19</v>
      </c>
      <c r="B23" s="3" t="s">
        <v>121</v>
      </c>
      <c r="C23" s="3" t="s">
        <v>122</v>
      </c>
      <c r="D23" s="10" t="n">
        <f aca="false">SUMIFS(OnlineRetail[LineRevenue],OnlineRetail[StockCode],B23)</f>
        <v>3750.6</v>
      </c>
      <c r="E23" s="10" t="n">
        <f aca="false">E22+D23</f>
        <v>205497.95</v>
      </c>
      <c r="F23" s="8" t="n">
        <f aca="false">E23/$E$80</f>
        <v>0.401517250154229</v>
      </c>
      <c r="G23" s="3" t="str">
        <f aca="false">IF(A23&lt;=15,"Yes","No")</f>
        <v>No</v>
      </c>
    </row>
    <row r="24" customFormat="false" ht="15" hidden="false" customHeight="false" outlineLevel="0" collapsed="false">
      <c r="A24" s="3" t="n">
        <v>20</v>
      </c>
      <c r="B24" s="3" t="s">
        <v>57</v>
      </c>
      <c r="C24" s="3" t="s">
        <v>58</v>
      </c>
      <c r="D24" s="10" t="n">
        <f aca="false">SUMIFS(OnlineRetail[LineRevenue],OnlineRetail[StockCode],B24)</f>
        <v>3654.56</v>
      </c>
      <c r="E24" s="10" t="n">
        <f aca="false">E23+D24</f>
        <v>209152.51</v>
      </c>
      <c r="F24" s="8" t="n">
        <f aca="false">E24/$E$80</f>
        <v>0.408657802562288</v>
      </c>
      <c r="G24" s="3" t="str">
        <f aca="false">IF(A24&lt;=15,"Yes","No")</f>
        <v>No</v>
      </c>
    </row>
    <row r="25" customFormat="false" ht="15" hidden="false" customHeight="false" outlineLevel="0" collapsed="false">
      <c r="A25" s="3" t="n">
        <v>21</v>
      </c>
      <c r="B25" s="3" t="s">
        <v>140</v>
      </c>
      <c r="C25" s="3" t="s">
        <v>141</v>
      </c>
      <c r="D25" s="10" t="n">
        <f aca="false">SUMIFS(OnlineRetail[LineRevenue],OnlineRetail[StockCode],B25)</f>
        <v>3565.12</v>
      </c>
      <c r="E25" s="10" t="n">
        <f aca="false">E24+D25</f>
        <v>212717.63</v>
      </c>
      <c r="F25" s="8" t="n">
        <f aca="false">E25/$E$80</f>
        <v>0.415623600415112</v>
      </c>
      <c r="G25" s="3" t="str">
        <f aca="false">IF(A25&lt;=15,"Yes","No")</f>
        <v>No</v>
      </c>
    </row>
    <row r="26" customFormat="false" ht="15" hidden="false" customHeight="false" outlineLevel="0" collapsed="false">
      <c r="A26" s="3" t="n">
        <v>22</v>
      </c>
      <c r="B26" s="3" t="s">
        <v>63</v>
      </c>
      <c r="C26" s="3" t="s">
        <v>64</v>
      </c>
      <c r="D26" s="10" t="n">
        <f aca="false">SUMIFS(OnlineRetail[LineRevenue],OnlineRetail[StockCode],B26)</f>
        <v>3228.25</v>
      </c>
      <c r="E26" s="10" t="n">
        <f aca="false">E25+D26</f>
        <v>215945.88</v>
      </c>
      <c r="F26" s="8" t="n">
        <f aca="false">E26/$E$80</f>
        <v>0.421931196489966</v>
      </c>
      <c r="G26" s="3" t="str">
        <f aca="false">IF(A26&lt;=15,"Yes","No")</f>
        <v>No</v>
      </c>
    </row>
    <row r="27" customFormat="false" ht="15" hidden="false" customHeight="false" outlineLevel="0" collapsed="false">
      <c r="A27" s="3" t="n">
        <v>23</v>
      </c>
      <c r="B27" s="3" t="s">
        <v>93</v>
      </c>
      <c r="C27" s="3" t="s">
        <v>94</v>
      </c>
      <c r="D27" s="10" t="n">
        <f aca="false">SUMIFS(OnlineRetail[LineRevenue],OnlineRetail[StockCode],B27)</f>
        <v>3160.3</v>
      </c>
      <c r="E27" s="10" t="n">
        <f aca="false">E26+D27</f>
        <v>219106.18</v>
      </c>
      <c r="F27" s="8" t="n">
        <f aca="false">E27/$E$80</f>
        <v>0.428106026777384</v>
      </c>
      <c r="G27" s="3" t="str">
        <f aca="false">IF(A27&lt;=15,"Yes","No")</f>
        <v>No</v>
      </c>
    </row>
    <row r="28" customFormat="false" ht="15" hidden="false" customHeight="false" outlineLevel="0" collapsed="false">
      <c r="A28" s="3" t="n">
        <v>24</v>
      </c>
      <c r="B28" s="3" t="s">
        <v>145</v>
      </c>
      <c r="C28" s="3" t="s">
        <v>146</v>
      </c>
      <c r="D28" s="10" t="n">
        <f aca="false">SUMIFS(OnlineRetail[LineRevenue],OnlineRetail[StockCode],B28)</f>
        <v>3093.2</v>
      </c>
      <c r="E28" s="10" t="n">
        <f aca="false">E27+D28</f>
        <v>222199.38</v>
      </c>
      <c r="F28" s="8" t="n">
        <f aca="false">E28/$E$80</f>
        <v>0.434149752070883</v>
      </c>
      <c r="G28" s="3" t="str">
        <f aca="false">IF(A28&lt;=15,"Yes","No")</f>
        <v>No</v>
      </c>
    </row>
    <row r="29" customFormat="false" ht="15" hidden="false" customHeight="false" outlineLevel="0" collapsed="false">
      <c r="A29" s="3" t="n">
        <v>25</v>
      </c>
      <c r="B29" s="3" t="s">
        <v>99</v>
      </c>
      <c r="C29" s="3" t="s">
        <v>100</v>
      </c>
      <c r="D29" s="10" t="n">
        <f aca="false">SUMIFS(OnlineRetail[LineRevenue],OnlineRetail[StockCode],B29)</f>
        <v>3070.08</v>
      </c>
      <c r="E29" s="10" t="n">
        <f aca="false">E28+D29</f>
        <v>225269.46</v>
      </c>
      <c r="F29" s="8" t="n">
        <f aca="false">E29/$E$80</f>
        <v>0.440148303780783</v>
      </c>
      <c r="G29" s="3" t="str">
        <f aca="false">IF(A29&lt;=15,"Yes","No")</f>
        <v>No</v>
      </c>
    </row>
    <row r="30" customFormat="false" ht="15" hidden="false" customHeight="false" outlineLevel="0" collapsed="false">
      <c r="A30" s="3" t="n">
        <v>26</v>
      </c>
      <c r="B30" s="3" t="s">
        <v>55</v>
      </c>
      <c r="C30" s="3" t="s">
        <v>56</v>
      </c>
      <c r="D30" s="10" t="n">
        <f aca="false">SUMIFS(OnlineRetail[LineRevenue],OnlineRetail[StockCode],B30)</f>
        <v>3024.45</v>
      </c>
      <c r="E30" s="10" t="n">
        <f aca="false">E29+D30</f>
        <v>228293.91</v>
      </c>
      <c r="F30" s="8" t="n">
        <f aca="false">E30/$E$80</f>
        <v>0.446057700187068</v>
      </c>
      <c r="G30" s="3" t="str">
        <f aca="false">IF(A30&lt;=15,"Yes","No")</f>
        <v>No</v>
      </c>
    </row>
    <row r="31" customFormat="false" ht="15" hidden="false" customHeight="false" outlineLevel="0" collapsed="false">
      <c r="A31" s="3" t="n">
        <v>27</v>
      </c>
      <c r="B31" s="3" t="s">
        <v>45</v>
      </c>
      <c r="C31" s="3" t="s">
        <v>46</v>
      </c>
      <c r="D31" s="10" t="n">
        <f aca="false">SUMIFS(OnlineRetail[LineRevenue],OnlineRetail[StockCode],B31)</f>
        <v>2961</v>
      </c>
      <c r="E31" s="10" t="n">
        <f aca="false">E30+D31</f>
        <v>231254.91</v>
      </c>
      <c r="F31" s="8" t="n">
        <f aca="false">E31/$E$80</f>
        <v>0.451843123242172</v>
      </c>
      <c r="G31" s="3" t="str">
        <f aca="false">IF(A31&lt;=15,"Yes","No")</f>
        <v>No</v>
      </c>
    </row>
    <row r="32" customFormat="false" ht="15" hidden="false" customHeight="false" outlineLevel="0" collapsed="false">
      <c r="A32" s="3" t="n">
        <v>28</v>
      </c>
      <c r="B32" s="3" t="s">
        <v>61</v>
      </c>
      <c r="C32" s="3" t="s">
        <v>62</v>
      </c>
      <c r="D32" s="10" t="n">
        <f aca="false">SUMIFS(OnlineRetail[LineRevenue],OnlineRetail[StockCode],B32)</f>
        <v>2851.2</v>
      </c>
      <c r="E32" s="10" t="n">
        <f aca="false">E31+D32</f>
        <v>234106.11</v>
      </c>
      <c r="F32" s="8" t="n">
        <f aca="false">E32/$E$80</f>
        <v>0.45741401085268</v>
      </c>
      <c r="G32" s="3" t="str">
        <f aca="false">IF(A32&lt;=15,"Yes","No")</f>
        <v>No</v>
      </c>
    </row>
    <row r="33" customFormat="false" ht="15" hidden="false" customHeight="false" outlineLevel="0" collapsed="false">
      <c r="A33" s="3" t="n">
        <v>29</v>
      </c>
      <c r="B33" s="3" t="s">
        <v>116</v>
      </c>
      <c r="C33" s="3" t="s">
        <v>117</v>
      </c>
      <c r="D33" s="10" t="n">
        <f aca="false">SUMIFS(OnlineRetail[LineRevenue],OnlineRetail[StockCode],B33)</f>
        <v>2864.55</v>
      </c>
      <c r="E33" s="10" t="n">
        <f aca="false">E32+D33</f>
        <v>236970.66</v>
      </c>
      <c r="F33" s="8" t="n">
        <f aca="false">E33/$E$80</f>
        <v>0.463010982690741</v>
      </c>
      <c r="G33" s="3" t="str">
        <f aca="false">IF(A33&lt;=15,"Yes","No")</f>
        <v>No</v>
      </c>
    </row>
    <row r="34" customFormat="false" ht="15" hidden="false" customHeight="false" outlineLevel="0" collapsed="false">
      <c r="A34" s="3" t="n">
        <v>30</v>
      </c>
      <c r="B34" s="3" t="s">
        <v>104</v>
      </c>
      <c r="C34" s="3" t="s">
        <v>105</v>
      </c>
      <c r="D34" s="10" t="n">
        <f aca="false">SUMIFS(OnlineRetail[LineRevenue],OnlineRetail[StockCode],B34)</f>
        <v>2760.45</v>
      </c>
      <c r="E34" s="10" t="n">
        <f aca="false">E33+D34</f>
        <v>239731.11</v>
      </c>
      <c r="F34" s="8" t="n">
        <f aca="false">E34/$E$80</f>
        <v>0.468404556170127</v>
      </c>
      <c r="G34" s="3" t="str">
        <f aca="false">IF(A34&lt;=15,"Yes","No")</f>
        <v>No</v>
      </c>
    </row>
    <row r="35" customFormat="false" ht="15" hidden="false" customHeight="false" outlineLevel="0" collapsed="false">
      <c r="A35" s="3" t="n">
        <v>31</v>
      </c>
      <c r="B35" s="3" t="s">
        <v>77</v>
      </c>
      <c r="C35" s="3" t="s">
        <v>78</v>
      </c>
      <c r="D35" s="10" t="n">
        <f aca="false">SUMIFS(OnlineRetail[LineRevenue],OnlineRetail[StockCode],B35)</f>
        <v>2648.25</v>
      </c>
      <c r="E35" s="10" t="n">
        <f aca="false">E34+D35</f>
        <v>242379.36</v>
      </c>
      <c r="F35" s="8" t="n">
        <f aca="false">E35/$E$80</f>
        <v>0.473578904905582</v>
      </c>
      <c r="G35" s="3" t="str">
        <f aca="false">IF(A35&lt;=15,"Yes","No")</f>
        <v>No</v>
      </c>
    </row>
    <row r="36" customFormat="false" ht="15" hidden="false" customHeight="false" outlineLevel="0" collapsed="false">
      <c r="A36" s="3" t="n">
        <v>32</v>
      </c>
      <c r="B36" s="3" t="s">
        <v>137</v>
      </c>
      <c r="C36" s="3" t="s">
        <v>138</v>
      </c>
      <c r="D36" s="10" t="n">
        <f aca="false">SUMIFS(OnlineRetail[LineRevenue],OnlineRetail[StockCode],B36)</f>
        <v>2715.3</v>
      </c>
      <c r="E36" s="10" t="n">
        <f aca="false">E35+D36</f>
        <v>245094.66</v>
      </c>
      <c r="F36" s="8" t="n">
        <f aca="false">E36/$E$80</f>
        <v>0.47888426094122</v>
      </c>
      <c r="G36" s="3" t="str">
        <f aca="false">IF(A36&lt;=15,"Yes","No")</f>
        <v>No</v>
      </c>
    </row>
    <row r="37" customFormat="false" ht="15" hidden="false" customHeight="false" outlineLevel="0" collapsed="false">
      <c r="A37" s="3" t="n">
        <v>33</v>
      </c>
      <c r="B37" s="3" t="s">
        <v>127</v>
      </c>
      <c r="C37" s="3" t="s">
        <v>128</v>
      </c>
      <c r="D37" s="10" t="n">
        <f aca="false">SUMIFS(OnlineRetail[LineRevenue],OnlineRetail[StockCode],B37)</f>
        <v>2511.4</v>
      </c>
      <c r="E37" s="10" t="n">
        <f aca="false">E36+D37</f>
        <v>247606.06</v>
      </c>
      <c r="F37" s="8" t="n">
        <f aca="false">E37/$E$80</f>
        <v>0.483791221920818</v>
      </c>
      <c r="G37" s="3" t="str">
        <f aca="false">IF(A37&lt;=15,"Yes","No")</f>
        <v>No</v>
      </c>
    </row>
    <row r="38" customFormat="false" ht="15" hidden="false" customHeight="false" outlineLevel="0" collapsed="false">
      <c r="A38" s="3" t="n">
        <v>34</v>
      </c>
      <c r="B38" s="3" t="s">
        <v>65</v>
      </c>
      <c r="C38" s="3" t="s">
        <v>66</v>
      </c>
      <c r="D38" s="10" t="n">
        <f aca="false">SUMIFS(OnlineRetail[LineRevenue],OnlineRetail[StockCode],B38)</f>
        <v>2483.25</v>
      </c>
      <c r="E38" s="10" t="n">
        <f aca="false">E37+D38</f>
        <v>250089.31</v>
      </c>
      <c r="F38" s="8" t="n">
        <f aca="false">E38/$E$80</f>
        <v>0.48864318132696</v>
      </c>
      <c r="G38" s="3" t="str">
        <f aca="false">IF(A38&lt;=15,"Yes","No")</f>
        <v>No</v>
      </c>
    </row>
    <row r="39" customFormat="false" ht="15" hidden="false" customHeight="false" outlineLevel="0" collapsed="false">
      <c r="A39" s="3" t="n">
        <v>35</v>
      </c>
      <c r="B39" s="3" t="s">
        <v>114</v>
      </c>
      <c r="C39" s="3" t="s">
        <v>115</v>
      </c>
      <c r="D39" s="10" t="n">
        <f aca="false">SUMIFS(OnlineRetail[LineRevenue],OnlineRetail[StockCode],B39)</f>
        <v>2377.44</v>
      </c>
      <c r="E39" s="10" t="n">
        <f aca="false">E38+D39</f>
        <v>252466.75</v>
      </c>
      <c r="F39" s="8" t="n">
        <f aca="false">E39/$E$80</f>
        <v>0.493288401248651</v>
      </c>
      <c r="G39" s="3" t="str">
        <f aca="false">IF(A39&lt;=15,"Yes","No")</f>
        <v>No</v>
      </c>
    </row>
    <row r="40" customFormat="false" ht="15" hidden="false" customHeight="false" outlineLevel="0" collapsed="false">
      <c r="A40" s="3" t="n">
        <v>36</v>
      </c>
      <c r="B40" s="3" t="s">
        <v>125</v>
      </c>
      <c r="C40" s="3" t="s">
        <v>126</v>
      </c>
      <c r="D40" s="10" t="n">
        <f aca="false">SUMIFS(OnlineRetail[LineRevenue],OnlineRetail[StockCode],B40)</f>
        <v>2175</v>
      </c>
      <c r="E40" s="10" t="n">
        <f aca="false">E39+D40</f>
        <v>254641.75</v>
      </c>
      <c r="F40" s="8" t="n">
        <f aca="false">E40/$E$80</f>
        <v>0.497538078771397</v>
      </c>
      <c r="G40" s="3" t="str">
        <f aca="false">IF(A40&lt;=15,"Yes","No")</f>
        <v>No</v>
      </c>
    </row>
    <row r="41" customFormat="false" ht="15" hidden="false" customHeight="false" outlineLevel="0" collapsed="false">
      <c r="A41" s="3" t="n">
        <v>37</v>
      </c>
      <c r="B41" s="3" t="s">
        <v>81</v>
      </c>
      <c r="C41" s="3" t="s">
        <v>82</v>
      </c>
      <c r="D41" s="10" t="n">
        <f aca="false">SUMIFS(OnlineRetail[LineRevenue],OnlineRetail[StockCode],B41)</f>
        <v>2125.2</v>
      </c>
      <c r="E41" s="10" t="n">
        <f aca="false">E40+D41</f>
        <v>256766.95</v>
      </c>
      <c r="F41" s="8" t="n">
        <f aca="false">E41/$E$80</f>
        <v>0.501690453332933</v>
      </c>
      <c r="G41" s="3" t="str">
        <f aca="false">IF(A41&lt;=15,"Yes","No")</f>
        <v>No</v>
      </c>
    </row>
    <row r="42" customFormat="false" ht="15" hidden="false" customHeight="false" outlineLevel="0" collapsed="false">
      <c r="A42" s="3" t="n">
        <v>38</v>
      </c>
      <c r="B42" s="3" t="s">
        <v>109</v>
      </c>
      <c r="C42" s="3" t="s">
        <v>110</v>
      </c>
      <c r="D42" s="10" t="n">
        <f aca="false">SUMIFS(OnlineRetail[LineRevenue],OnlineRetail[StockCode],B42)</f>
        <v>1559.75</v>
      </c>
      <c r="E42" s="10" t="n">
        <f aca="false">E41+D42</f>
        <v>258326.7</v>
      </c>
      <c r="F42" s="8" t="n">
        <f aca="false">E42/$E$80</f>
        <v>0.504738009432291</v>
      </c>
      <c r="G42" s="3" t="str">
        <f aca="false">IF(A42&lt;=15,"Yes","No")</f>
        <v>No</v>
      </c>
    </row>
    <row r="43" customFormat="false" ht="15" hidden="false" customHeight="false" outlineLevel="0" collapsed="false">
      <c r="A43" s="3" t="n">
        <v>39</v>
      </c>
      <c r="B43" s="3" t="s">
        <v>40</v>
      </c>
      <c r="C43" s="3" t="s">
        <v>41</v>
      </c>
      <c r="D43" s="10" t="n">
        <f aca="false">SUMIFS(OnlineRetail[LineRevenue],OnlineRetail[StockCode],B43)</f>
        <v>1475.52</v>
      </c>
      <c r="E43" s="10" t="n">
        <f aca="false">E42+D43</f>
        <v>259802.22</v>
      </c>
      <c r="F43" s="8" t="n">
        <f aca="false">E43/$E$80</f>
        <v>0.507620990663722</v>
      </c>
      <c r="G43" s="3" t="str">
        <f aca="false">IF(A43&lt;=15,"Yes","No")</f>
        <v>No</v>
      </c>
    </row>
    <row r="44" customFormat="false" ht="15" hidden="false" customHeight="false" outlineLevel="0" collapsed="false">
      <c r="A44" s="3" t="n">
        <v>40</v>
      </c>
      <c r="B44" s="3" t="s">
        <v>102</v>
      </c>
      <c r="C44" s="3" t="s">
        <v>1104</v>
      </c>
      <c r="D44" s="10" t="n">
        <f aca="false">SUMIFS(OnlineRetail[LineRevenue],OnlineRetail[StockCode],B44)</f>
        <v>29231.5</v>
      </c>
      <c r="E44" s="10" t="n">
        <f aca="false">E43+D44</f>
        <v>289033.72</v>
      </c>
      <c r="F44" s="8" t="n">
        <f aca="false">E44/$E$80</f>
        <v>0.564735679632071</v>
      </c>
      <c r="G44" s="3" t="str">
        <f aca="false">IF(A44&lt;=15,"Yes","No")</f>
        <v>No</v>
      </c>
    </row>
    <row r="45" customFormat="false" ht="15" hidden="false" customHeight="false" outlineLevel="0" collapsed="false">
      <c r="A45" s="3" t="n">
        <v>41</v>
      </c>
      <c r="B45" s="3" t="s">
        <v>47</v>
      </c>
      <c r="C45" s="3" t="s">
        <v>1104</v>
      </c>
      <c r="D45" s="10" t="n">
        <f aca="false">SUMIFS(OnlineRetail[LineRevenue],OnlineRetail[StockCode],B45)</f>
        <v>41718</v>
      </c>
      <c r="E45" s="10" t="n">
        <f aca="false">E44+D45</f>
        <v>330751.72</v>
      </c>
      <c r="F45" s="8" t="n">
        <f aca="false">E45/$E$80</f>
        <v>0.64624742533043</v>
      </c>
      <c r="G45" s="3" t="str">
        <f aca="false">IF(A45&lt;=15,"Yes","No")</f>
        <v>No</v>
      </c>
    </row>
    <row r="46" customFormat="false" ht="15" hidden="false" customHeight="false" outlineLevel="0" collapsed="false">
      <c r="A46" s="3" t="n">
        <v>42</v>
      </c>
      <c r="B46" s="3" t="s">
        <v>59</v>
      </c>
      <c r="C46" s="3" t="s">
        <v>60</v>
      </c>
      <c r="D46" s="10" t="n">
        <f aca="false">SUMIFS(OnlineRetail[LineRevenue],OnlineRetail[StockCode],B46)</f>
        <v>629.16</v>
      </c>
      <c r="E46" s="10" t="n">
        <f aca="false">E45+D46</f>
        <v>331380.88</v>
      </c>
      <c r="F46" s="8" t="n">
        <f aca="false">E46/$E$80</f>
        <v>0.647476725151217</v>
      </c>
      <c r="G46" s="3" t="str">
        <f aca="false">IF(A46&lt;=15,"Yes","No")</f>
        <v>No</v>
      </c>
    </row>
    <row r="47" customFormat="false" ht="15" hidden="false" customHeight="false" outlineLevel="0" collapsed="false">
      <c r="A47" s="3" t="n">
        <v>43</v>
      </c>
      <c r="B47" s="3" t="s">
        <v>50</v>
      </c>
      <c r="C47" s="3" t="s">
        <v>1104</v>
      </c>
      <c r="D47" s="10" t="n">
        <f aca="false">SUMIFS(OnlineRetail[LineRevenue],OnlineRetail[StockCode],B47)</f>
        <v>8972.6</v>
      </c>
      <c r="E47" s="10" t="n">
        <f aca="false">E46+D47</f>
        <v>340353.48</v>
      </c>
      <c r="F47" s="8" t="n">
        <f aca="false">E47/$E$80</f>
        <v>0.66500806149172</v>
      </c>
      <c r="G47" s="3" t="str">
        <f aca="false">IF(A47&lt;=15,"Yes","No")</f>
        <v>No</v>
      </c>
    </row>
    <row r="48" customFormat="false" ht="15" hidden="false" customHeight="false" outlineLevel="0" collapsed="false">
      <c r="A48" s="3" t="n">
        <v>44</v>
      </c>
      <c r="B48" s="3" t="s">
        <v>72</v>
      </c>
      <c r="C48" s="3" t="s">
        <v>1104</v>
      </c>
      <c r="D48" s="10" t="n">
        <f aca="false">SUMIFS(OnlineRetail[LineRevenue],OnlineRetail[StockCode],B48)</f>
        <v>14315.4</v>
      </c>
      <c r="E48" s="10" t="n">
        <f aca="false">E47+D48</f>
        <v>354668.88</v>
      </c>
      <c r="F48" s="8" t="n">
        <f aca="false">E48/$E$80</f>
        <v>0.692978559702811</v>
      </c>
      <c r="G48" s="3" t="str">
        <f aca="false">IF(A48&lt;=15,"Yes","No")</f>
        <v>No</v>
      </c>
    </row>
    <row r="49" customFormat="false" ht="15" hidden="false" customHeight="false" outlineLevel="0" collapsed="false">
      <c r="A49" s="3" t="n">
        <v>45</v>
      </c>
      <c r="B49" s="3" t="s">
        <v>107</v>
      </c>
      <c r="C49" s="3" t="s">
        <v>1104</v>
      </c>
      <c r="D49" s="10" t="n">
        <f aca="false">SUMIFS(OnlineRetail[LineRevenue],OnlineRetail[StockCode],B49)</f>
        <v>5898.75</v>
      </c>
      <c r="E49" s="10" t="n">
        <f aca="false">E48+D49</f>
        <v>360567.63</v>
      </c>
      <c r="F49" s="8" t="n">
        <f aca="false">E49/$E$80</f>
        <v>0.704503978225707</v>
      </c>
      <c r="G49" s="3" t="str">
        <f aca="false">IF(A49&lt;=15,"Yes","No")</f>
        <v>No</v>
      </c>
    </row>
    <row r="50" customFormat="false" ht="15" hidden="false" customHeight="false" outlineLevel="0" collapsed="false">
      <c r="A50" s="3" t="n">
        <v>46</v>
      </c>
      <c r="B50" s="3" t="s">
        <v>118</v>
      </c>
      <c r="C50" s="3" t="s">
        <v>1104</v>
      </c>
      <c r="D50" s="10" t="n">
        <f aca="false">SUMIFS(OnlineRetail[LineRevenue],OnlineRetail[StockCode],B50)</f>
        <v>17567.55</v>
      </c>
      <c r="E50" s="10" t="n">
        <f aca="false">E49+D50</f>
        <v>378135.18</v>
      </c>
      <c r="F50" s="8" t="n">
        <f aca="false">E50/$E$80</f>
        <v>0.738828770117534</v>
      </c>
      <c r="G50" s="3" t="str">
        <f aca="false">IF(A50&lt;=15,"Yes","No")</f>
        <v>No</v>
      </c>
    </row>
    <row r="51" customFormat="false" ht="15" hidden="false" customHeight="false" outlineLevel="0" collapsed="false">
      <c r="A51" s="3" t="n">
        <v>47</v>
      </c>
      <c r="B51" s="3" t="s">
        <v>134</v>
      </c>
      <c r="C51" s="3" t="s">
        <v>1104</v>
      </c>
      <c r="D51" s="10" t="n">
        <f aca="false">SUMIFS(OnlineRetail[LineRevenue],OnlineRetail[StockCode],B51)</f>
        <v>10864.7</v>
      </c>
      <c r="E51" s="10" t="n">
        <f aca="false">E50+D51</f>
        <v>388999.88</v>
      </c>
      <c r="F51" s="8" t="n">
        <f aca="false">E51/$E$80</f>
        <v>0.760057032821617</v>
      </c>
      <c r="G51" s="3" t="str">
        <f aca="false">IF(A51&lt;=15,"Yes","No")</f>
        <v>No</v>
      </c>
    </row>
    <row r="52" customFormat="false" ht="15" hidden="false" customHeight="false" outlineLevel="0" collapsed="false">
      <c r="A52" s="3" t="n">
        <v>48</v>
      </c>
      <c r="B52" s="3" t="s">
        <v>83</v>
      </c>
      <c r="C52" s="3" t="s">
        <v>1104</v>
      </c>
      <c r="D52" s="10" t="n">
        <f aca="false">SUMIFS(OnlineRetail[LineRevenue],OnlineRetail[StockCode],B52)</f>
        <v>5551.9</v>
      </c>
      <c r="E52" s="10" t="n">
        <f aca="false">E51+D52</f>
        <v>394551.78</v>
      </c>
      <c r="F52" s="8" t="n">
        <f aca="false">E52/$E$80</f>
        <v>0.770904749896806</v>
      </c>
      <c r="G52" s="3" t="str">
        <f aca="false">IF(A52&lt;=15,"Yes","No")</f>
        <v>No</v>
      </c>
    </row>
    <row r="53" customFormat="false" ht="15" hidden="false" customHeight="false" outlineLevel="0" collapsed="false">
      <c r="A53" s="3" t="n">
        <v>49</v>
      </c>
      <c r="B53" s="3" t="s">
        <v>91</v>
      </c>
      <c r="C53" s="3" t="s">
        <v>1104</v>
      </c>
      <c r="D53" s="10" t="n">
        <f aca="false">SUMIFS(OnlineRetail[LineRevenue],OnlineRetail[StockCode],B53)</f>
        <v>13418.1</v>
      </c>
      <c r="E53" s="10" t="n">
        <f aca="false">E52+D53</f>
        <v>407969.88</v>
      </c>
      <c r="F53" s="8" t="n">
        <f aca="false">E53/$E$80</f>
        <v>0.797122036318858</v>
      </c>
      <c r="G53" s="3" t="str">
        <f aca="false">IF(A53&lt;=15,"Yes","No")</f>
        <v>No</v>
      </c>
    </row>
    <row r="54" customFormat="false" ht="15" hidden="false" customHeight="false" outlineLevel="0" collapsed="false">
      <c r="A54" s="3" t="n">
        <v>50</v>
      </c>
      <c r="B54" s="3" t="s">
        <v>55</v>
      </c>
      <c r="C54" s="3" t="s">
        <v>1104</v>
      </c>
      <c r="D54" s="10" t="n">
        <f aca="false">SUMIFS(OnlineRetail[LineRevenue],OnlineRetail[StockCode],B54)</f>
        <v>3024.45</v>
      </c>
      <c r="E54" s="10" t="n">
        <f aca="false">E53+D54</f>
        <v>410994.33</v>
      </c>
      <c r="F54" s="8" t="n">
        <f aca="false">E54/$E$80</f>
        <v>0.803031432725143</v>
      </c>
      <c r="G54" s="3" t="str">
        <f aca="false">IF(A54&lt;=15,"Yes","No")</f>
        <v>No</v>
      </c>
    </row>
    <row r="55" customFormat="false" ht="15" hidden="false" customHeight="false" outlineLevel="0" collapsed="false">
      <c r="A55" s="3" t="n">
        <v>51</v>
      </c>
      <c r="B55" s="3" t="s">
        <v>79</v>
      </c>
      <c r="C55" s="3" t="s">
        <v>1104</v>
      </c>
      <c r="D55" s="10" t="n">
        <f aca="false">SUMIFS(OnlineRetail[LineRevenue],OnlineRetail[StockCode],B55)</f>
        <v>5718.93</v>
      </c>
      <c r="E55" s="10" t="n">
        <f aca="false">E54+D55</f>
        <v>416713.26</v>
      </c>
      <c r="F55" s="8" t="n">
        <f aca="false">E55/$E$80</f>
        <v>0.814205505495331</v>
      </c>
      <c r="G55" s="3" t="str">
        <f aca="false">IF(A55&lt;=15,"Yes","No")</f>
        <v>No</v>
      </c>
    </row>
    <row r="56" customFormat="false" ht="15" hidden="false" customHeight="false" outlineLevel="0" collapsed="false">
      <c r="A56" s="3" t="n">
        <v>52</v>
      </c>
      <c r="B56" s="3" t="s">
        <v>69</v>
      </c>
      <c r="C56" s="3" t="s">
        <v>1104</v>
      </c>
      <c r="D56" s="10" t="n">
        <f aca="false">SUMIFS(OnlineRetail[LineRevenue],OnlineRetail[StockCode],B56)</f>
        <v>7795.84</v>
      </c>
      <c r="E56" s="10" t="n">
        <f aca="false">E55+D56</f>
        <v>424509.1</v>
      </c>
      <c r="F56" s="8" t="n">
        <f aca="false">E56/$E$80</f>
        <v>0.829437600216677</v>
      </c>
      <c r="G56" s="3" t="str">
        <f aca="false">IF(A56&lt;=15,"Yes","No")</f>
        <v>No</v>
      </c>
    </row>
    <row r="57" customFormat="false" ht="15" hidden="false" customHeight="false" outlineLevel="0" collapsed="false">
      <c r="A57" s="3" t="n">
        <v>53</v>
      </c>
      <c r="B57" s="3" t="s">
        <v>137</v>
      </c>
      <c r="C57" s="3" t="s">
        <v>1104</v>
      </c>
      <c r="D57" s="10" t="n">
        <f aca="false">SUMIFS(OnlineRetail[LineRevenue],OnlineRetail[StockCode],B57)</f>
        <v>2715.3</v>
      </c>
      <c r="E57" s="10" t="n">
        <f aca="false">E56+D57</f>
        <v>427224.4</v>
      </c>
      <c r="F57" s="8" t="n">
        <f aca="false">E57/$E$80</f>
        <v>0.834742956252315</v>
      </c>
      <c r="G57" s="3" t="str">
        <f aca="false">IF(A57&lt;=15,"Yes","No")</f>
        <v>No</v>
      </c>
    </row>
    <row r="58" customFormat="false" ht="15" hidden="false" customHeight="false" outlineLevel="0" collapsed="false">
      <c r="A58" s="3" t="n">
        <v>54</v>
      </c>
      <c r="B58" s="3" t="s">
        <v>88</v>
      </c>
      <c r="C58" s="3" t="s">
        <v>1104</v>
      </c>
      <c r="D58" s="10" t="n">
        <f aca="false">SUMIFS(OnlineRetail[LineRevenue],OnlineRetail[StockCode],B58)</f>
        <v>4009.5</v>
      </c>
      <c r="E58" s="10" t="n">
        <f aca="false">E57+D58</f>
        <v>431233.9</v>
      </c>
      <c r="F58" s="8" t="n">
        <f aca="false">E58/$E$80</f>
        <v>0.842577016954592</v>
      </c>
      <c r="G58" s="3" t="str">
        <f aca="false">IF(A58&lt;=15,"Yes","No")</f>
        <v>No</v>
      </c>
    </row>
    <row r="59" customFormat="false" ht="15" hidden="false" customHeight="false" outlineLevel="0" collapsed="false">
      <c r="A59" s="3" t="n">
        <v>55</v>
      </c>
      <c r="B59" s="3" t="s">
        <v>131</v>
      </c>
      <c r="C59" s="3" t="s">
        <v>1104</v>
      </c>
      <c r="D59" s="10" t="n">
        <f aca="false">SUMIFS(OnlineRetail[LineRevenue],OnlineRetail[StockCode],B59)</f>
        <v>4837.53</v>
      </c>
      <c r="E59" s="10" t="n">
        <f aca="false">E58+D59</f>
        <v>436071.43</v>
      </c>
      <c r="F59" s="8" t="n">
        <f aca="false">E59/$E$80</f>
        <v>0.852028944543838</v>
      </c>
      <c r="G59" s="3" t="str">
        <f aca="false">IF(A59&lt;=15,"Yes","No")</f>
        <v>No</v>
      </c>
    </row>
    <row r="60" customFormat="false" ht="15" hidden="false" customHeight="false" outlineLevel="0" collapsed="false">
      <c r="A60" s="3" t="n">
        <v>56</v>
      </c>
      <c r="B60" s="3" t="s">
        <v>45</v>
      </c>
      <c r="C60" s="3" t="s">
        <v>1104</v>
      </c>
      <c r="D60" s="10" t="n">
        <f aca="false">SUMIFS(OnlineRetail[LineRevenue],OnlineRetail[StockCode],B60)</f>
        <v>2961</v>
      </c>
      <c r="E60" s="10" t="n">
        <f aca="false">E59+D60</f>
        <v>439032.43</v>
      </c>
      <c r="F60" s="8" t="n">
        <f aca="false">E60/$E$80</f>
        <v>0.857814367598942</v>
      </c>
      <c r="G60" s="3" t="str">
        <f aca="false">IF(A60&lt;=15,"Yes","No")</f>
        <v>No</v>
      </c>
    </row>
    <row r="61" customFormat="false" ht="15" hidden="false" customHeight="false" outlineLevel="0" collapsed="false">
      <c r="A61" s="3" t="n">
        <v>57</v>
      </c>
      <c r="B61" s="3" t="s">
        <v>75</v>
      </c>
      <c r="C61" s="3" t="s">
        <v>1104</v>
      </c>
      <c r="D61" s="10" t="n">
        <f aca="false">SUMIFS(OnlineRetail[LineRevenue],OnlineRetail[StockCode],B61)</f>
        <v>5322.3</v>
      </c>
      <c r="E61" s="10" t="n">
        <f aca="false">E60+D61</f>
        <v>444354.73</v>
      </c>
      <c r="F61" s="8" t="n">
        <f aca="false">E61/$E$80</f>
        <v>0.868213475037707</v>
      </c>
      <c r="G61" s="3" t="str">
        <f aca="false">IF(A61&lt;=15,"Yes","No")</f>
        <v>No</v>
      </c>
    </row>
    <row r="62" customFormat="false" ht="15" hidden="false" customHeight="false" outlineLevel="0" collapsed="false">
      <c r="A62" s="3" t="n">
        <v>58</v>
      </c>
      <c r="B62" s="3" t="s">
        <v>116</v>
      </c>
      <c r="C62" s="3" t="s">
        <v>1104</v>
      </c>
      <c r="D62" s="10" t="n">
        <f aca="false">SUMIFS(OnlineRetail[LineRevenue],OnlineRetail[StockCode],B62)</f>
        <v>2864.55</v>
      </c>
      <c r="E62" s="10" t="n">
        <f aca="false">E61+D62</f>
        <v>447219.28</v>
      </c>
      <c r="F62" s="8" t="n">
        <f aca="false">E62/$E$80</f>
        <v>0.873810446875768</v>
      </c>
      <c r="G62" s="3" t="str">
        <f aca="false">IF(A62&lt;=15,"Yes","No")</f>
        <v>No</v>
      </c>
    </row>
    <row r="63" customFormat="false" ht="15" hidden="false" customHeight="false" outlineLevel="0" collapsed="false">
      <c r="A63" s="3" t="n">
        <v>59</v>
      </c>
      <c r="B63" s="3" t="s">
        <v>99</v>
      </c>
      <c r="C63" s="3" t="s">
        <v>1104</v>
      </c>
      <c r="D63" s="10" t="n">
        <f aca="false">SUMIFS(OnlineRetail[LineRevenue],OnlineRetail[StockCode],B63)</f>
        <v>3070.08</v>
      </c>
      <c r="E63" s="10" t="n">
        <f aca="false">E62+D63</f>
        <v>450289.36</v>
      </c>
      <c r="F63" s="8" t="n">
        <f aca="false">E63/$E$80</f>
        <v>0.879808998585668</v>
      </c>
      <c r="G63" s="3" t="str">
        <f aca="false">IF(A63&lt;=15,"Yes","No")</f>
        <v>No</v>
      </c>
    </row>
    <row r="64" customFormat="false" ht="15" hidden="false" customHeight="false" outlineLevel="0" collapsed="false">
      <c r="A64" s="3" t="n">
        <v>60</v>
      </c>
      <c r="B64" s="3" t="s">
        <v>65</v>
      </c>
      <c r="C64" s="3" t="s">
        <v>1104</v>
      </c>
      <c r="D64" s="10" t="n">
        <f aca="false">SUMIFS(OnlineRetail[LineRevenue],OnlineRetail[StockCode],B64)</f>
        <v>2483.25</v>
      </c>
      <c r="E64" s="10" t="n">
        <f aca="false">E63+D64</f>
        <v>452772.61</v>
      </c>
      <c r="F64" s="8" t="n">
        <f aca="false">E64/$E$80</f>
        <v>0.884660957991811</v>
      </c>
      <c r="G64" s="3" t="str">
        <f aca="false">IF(A64&lt;=15,"Yes","No")</f>
        <v>No</v>
      </c>
    </row>
    <row r="65" customFormat="false" ht="15" hidden="false" customHeight="false" outlineLevel="0" collapsed="false">
      <c r="A65" s="3" t="n">
        <v>61</v>
      </c>
      <c r="B65" s="3" t="s">
        <v>93</v>
      </c>
      <c r="C65" s="3" t="s">
        <v>1104</v>
      </c>
      <c r="D65" s="10" t="n">
        <f aca="false">SUMIFS(OnlineRetail[LineRevenue],OnlineRetail[StockCode],B65)</f>
        <v>3160.3</v>
      </c>
      <c r="E65" s="10" t="n">
        <f aca="false">E64+D65</f>
        <v>455932.91</v>
      </c>
      <c r="F65" s="8" t="n">
        <f aca="false">E65/$E$80</f>
        <v>0.890835788279229</v>
      </c>
      <c r="G65" s="3" t="str">
        <f aca="false">IF(A65&lt;=15,"Yes","No")</f>
        <v>No</v>
      </c>
    </row>
    <row r="66" customFormat="false" ht="15" hidden="false" customHeight="false" outlineLevel="0" collapsed="false">
      <c r="A66" s="3" t="n">
        <v>62</v>
      </c>
      <c r="B66" s="3" t="s">
        <v>145</v>
      </c>
      <c r="C66" s="3" t="s">
        <v>1104</v>
      </c>
      <c r="D66" s="10" t="n">
        <f aca="false">SUMIFS(OnlineRetail[LineRevenue],OnlineRetail[StockCode],B66)</f>
        <v>3093.2</v>
      </c>
      <c r="E66" s="10" t="n">
        <f aca="false">E65+D66</f>
        <v>459026.11</v>
      </c>
      <c r="F66" s="8" t="n">
        <f aca="false">E66/$E$80</f>
        <v>0.896879513572728</v>
      </c>
      <c r="G66" s="3" t="str">
        <f aca="false">IF(A66&lt;=15,"Yes","No")</f>
        <v>No</v>
      </c>
    </row>
    <row r="67" customFormat="false" ht="15" hidden="false" customHeight="false" outlineLevel="0" collapsed="false">
      <c r="A67" s="3" t="n">
        <v>63</v>
      </c>
      <c r="B67" s="3" t="s">
        <v>140</v>
      </c>
      <c r="C67" s="3" t="s">
        <v>1104</v>
      </c>
      <c r="D67" s="10" t="n">
        <f aca="false">SUMIFS(OnlineRetail[LineRevenue],OnlineRetail[StockCode],B67)</f>
        <v>3565.12</v>
      </c>
      <c r="E67" s="10" t="n">
        <f aca="false">E66+D67</f>
        <v>462591.23</v>
      </c>
      <c r="F67" s="8" t="n">
        <f aca="false">E67/$E$80</f>
        <v>0.903845311425552</v>
      </c>
      <c r="G67" s="3" t="str">
        <f aca="false">IF(A67&lt;=15,"Yes","No")</f>
        <v>No</v>
      </c>
    </row>
    <row r="68" customFormat="false" ht="15" hidden="false" customHeight="false" outlineLevel="0" collapsed="false">
      <c r="A68" s="3" t="n">
        <v>64</v>
      </c>
      <c r="B68" s="3" t="s">
        <v>63</v>
      </c>
      <c r="C68" s="3" t="s">
        <v>1104</v>
      </c>
      <c r="D68" s="10" t="n">
        <f aca="false">SUMIFS(OnlineRetail[LineRevenue],OnlineRetail[StockCode],B68)</f>
        <v>3228.25</v>
      </c>
      <c r="E68" s="10" t="n">
        <f aca="false">E67+D68</f>
        <v>465819.48</v>
      </c>
      <c r="F68" s="8" t="n">
        <f aca="false">E68/$E$80</f>
        <v>0.910152907500405</v>
      </c>
      <c r="G68" s="3" t="str">
        <f aca="false">IF(A68&lt;=15,"Yes","No")</f>
        <v>No</v>
      </c>
    </row>
    <row r="69" customFormat="false" ht="15" hidden="false" customHeight="false" outlineLevel="0" collapsed="false">
      <c r="A69" s="3" t="n">
        <v>65</v>
      </c>
      <c r="B69" s="3" t="s">
        <v>109</v>
      </c>
      <c r="C69" s="3" t="s">
        <v>1104</v>
      </c>
      <c r="D69" s="10" t="n">
        <f aca="false">SUMIFS(OnlineRetail[LineRevenue],OnlineRetail[StockCode],B69)</f>
        <v>1559.75</v>
      </c>
      <c r="E69" s="10" t="n">
        <f aca="false">E68+D69</f>
        <v>467379.23</v>
      </c>
      <c r="F69" s="8" t="n">
        <f aca="false">E69/$E$80</f>
        <v>0.913200463599763</v>
      </c>
      <c r="G69" s="3" t="str">
        <f aca="false">IF(A69&lt;=15,"Yes","No")</f>
        <v>No</v>
      </c>
    </row>
    <row r="70" customFormat="false" ht="15" hidden="false" customHeight="false" outlineLevel="0" collapsed="false">
      <c r="A70" s="3" t="n">
        <v>66</v>
      </c>
      <c r="B70" s="3" t="s">
        <v>81</v>
      </c>
      <c r="C70" s="3" t="s">
        <v>1104</v>
      </c>
      <c r="D70" s="10" t="n">
        <f aca="false">SUMIFS(OnlineRetail[LineRevenue],OnlineRetail[StockCode],B70)</f>
        <v>2125.2</v>
      </c>
      <c r="E70" s="10" t="n">
        <f aca="false">E69+D70</f>
        <v>469504.43</v>
      </c>
      <c r="F70" s="8" t="n">
        <f aca="false">E70/$E$80</f>
        <v>0.917352838161299</v>
      </c>
      <c r="G70" s="3" t="str">
        <f aca="false">IF(A70&lt;=15,"Yes","No")</f>
        <v>No</v>
      </c>
    </row>
    <row r="71" customFormat="false" ht="15" hidden="false" customHeight="false" outlineLevel="0" collapsed="false">
      <c r="A71" s="3" t="n">
        <v>67</v>
      </c>
      <c r="B71" s="3" t="s">
        <v>127</v>
      </c>
      <c r="C71" s="3" t="s">
        <v>1104</v>
      </c>
      <c r="D71" s="10" t="n">
        <f aca="false">SUMIFS(OnlineRetail[LineRevenue],OnlineRetail[StockCode],B71)</f>
        <v>2511.4</v>
      </c>
      <c r="E71" s="10" t="n">
        <f aca="false">E70+D71</f>
        <v>472015.83</v>
      </c>
      <c r="F71" s="8" t="n">
        <f aca="false">E71/$E$80</f>
        <v>0.922259799140897</v>
      </c>
      <c r="G71" s="3" t="str">
        <f aca="false">IF(A71&lt;=15,"Yes","No")</f>
        <v>No</v>
      </c>
    </row>
    <row r="72" customFormat="false" ht="15" hidden="false" customHeight="false" outlineLevel="0" collapsed="false">
      <c r="A72" s="3" t="n">
        <v>68</v>
      </c>
      <c r="B72" s="3" t="s">
        <v>59</v>
      </c>
      <c r="C72" s="3" t="s">
        <v>1104</v>
      </c>
      <c r="D72" s="10" t="n">
        <f aca="false">SUMIFS(OnlineRetail[LineRevenue],OnlineRetail[StockCode],B72)</f>
        <v>629.16</v>
      </c>
      <c r="E72" s="10" t="n">
        <f aca="false">E71+D72</f>
        <v>472644.99</v>
      </c>
      <c r="F72" s="8" t="n">
        <f aca="false">E72/$E$80</f>
        <v>0.923489098961684</v>
      </c>
      <c r="G72" s="3" t="str">
        <f aca="false">IF(A72&lt;=15,"Yes","No")</f>
        <v>No</v>
      </c>
    </row>
    <row r="73" customFormat="false" ht="15" hidden="false" customHeight="false" outlineLevel="0" collapsed="false">
      <c r="A73" s="3" t="n">
        <v>69</v>
      </c>
      <c r="B73" s="3" t="s">
        <v>57</v>
      </c>
      <c r="C73" s="3" t="s">
        <v>1104</v>
      </c>
      <c r="D73" s="10" t="n">
        <f aca="false">SUMIFS(OnlineRetail[LineRevenue],OnlineRetail[StockCode],B73)</f>
        <v>3654.56</v>
      </c>
      <c r="E73" s="10" t="n">
        <f aca="false">E72+D73</f>
        <v>476299.55</v>
      </c>
      <c r="F73" s="8" t="n">
        <f aca="false">E73/$E$80</f>
        <v>0.930629651369742</v>
      </c>
      <c r="G73" s="3" t="str">
        <f aca="false">IF(A73&lt;=15,"Yes","No")</f>
        <v>No</v>
      </c>
    </row>
    <row r="74" customFormat="false" ht="15" hidden="false" customHeight="false" outlineLevel="0" collapsed="false">
      <c r="A74" s="3" t="n">
        <v>70</v>
      </c>
      <c r="B74" s="3" t="s">
        <v>95</v>
      </c>
      <c r="C74" s="3" t="s">
        <v>1104</v>
      </c>
      <c r="D74" s="10" t="n">
        <f aca="false">SUMIFS(OnlineRetail[LineRevenue],OnlineRetail[StockCode],B74)</f>
        <v>9705.3</v>
      </c>
      <c r="E74" s="10" t="n">
        <f aca="false">E73+D74</f>
        <v>486004.85</v>
      </c>
      <c r="F74" s="8" t="n">
        <f aca="false">E74/$E$80</f>
        <v>0.949592591719862</v>
      </c>
      <c r="G74" s="3" t="str">
        <f aca="false">IF(A74&lt;=15,"Yes","No")</f>
        <v>No</v>
      </c>
    </row>
    <row r="75" customFormat="false" ht="15" hidden="false" customHeight="false" outlineLevel="0" collapsed="false">
      <c r="A75" s="3" t="n">
        <v>71</v>
      </c>
      <c r="B75" s="3" t="s">
        <v>121</v>
      </c>
      <c r="C75" s="3" t="s">
        <v>1104</v>
      </c>
      <c r="D75" s="10" t="n">
        <f aca="false">SUMIFS(OnlineRetail[LineRevenue],OnlineRetail[StockCode],B75)</f>
        <v>3750.6</v>
      </c>
      <c r="E75" s="10" t="n">
        <f aca="false">E74+D75</f>
        <v>489755.45</v>
      </c>
      <c r="F75" s="8" t="n">
        <f aca="false">E75/$E$80</f>
        <v>0.956920794256327</v>
      </c>
      <c r="G75" s="3" t="str">
        <f aca="false">IF(A75&lt;=15,"Yes","No")</f>
        <v>No</v>
      </c>
    </row>
    <row r="76" customFormat="false" ht="15" hidden="false" customHeight="false" outlineLevel="0" collapsed="false">
      <c r="A76" s="3" t="n">
        <v>72</v>
      </c>
      <c r="B76" s="3" t="s">
        <v>86</v>
      </c>
      <c r="C76" s="3" t="s">
        <v>1104</v>
      </c>
      <c r="D76" s="10" t="n">
        <f aca="false">SUMIFS(OnlineRetail[LineRevenue],OnlineRetail[StockCode],B76)</f>
        <v>6451.5</v>
      </c>
      <c r="E76" s="10" t="n">
        <f aca="false">E75+D76</f>
        <v>496206.95</v>
      </c>
      <c r="F76" s="8" t="n">
        <f aca="false">E76/$E$80</f>
        <v>0.969526217032418</v>
      </c>
      <c r="G76" s="3" t="str">
        <f aca="false">IF(A76&lt;=15,"Yes","No")</f>
        <v>No</v>
      </c>
    </row>
    <row r="77" customFormat="false" ht="15" hidden="false" customHeight="false" outlineLevel="0" collapsed="false">
      <c r="A77" s="3" t="n">
        <v>73</v>
      </c>
      <c r="B77" s="3" t="s">
        <v>43</v>
      </c>
      <c r="C77" s="3" t="s">
        <v>1104</v>
      </c>
      <c r="D77" s="10" t="n">
        <f aca="false">SUMIFS(OnlineRetail[LineRevenue],OnlineRetail[StockCode],B77)</f>
        <v>6013.75</v>
      </c>
      <c r="E77" s="10" t="n">
        <f aca="false">E76+D77</f>
        <v>502220.7</v>
      </c>
      <c r="F77" s="8" t="n">
        <f aca="false">E77/$E$80</f>
        <v>0.981276331148472</v>
      </c>
      <c r="G77" s="3" t="str">
        <f aca="false">IF(A77&lt;=15,"Yes","No")</f>
        <v>No</v>
      </c>
    </row>
    <row r="78" customFormat="false" ht="15" hidden="false" customHeight="false" outlineLevel="0" collapsed="false">
      <c r="A78" s="3" t="n">
        <v>74</v>
      </c>
      <c r="B78" s="3" t="s">
        <v>53</v>
      </c>
      <c r="C78" s="3" t="s">
        <v>1104</v>
      </c>
      <c r="D78" s="10" t="n">
        <f aca="false">SUMIFS(OnlineRetail[LineRevenue],OnlineRetail[StockCode],B78)</f>
        <v>4354.2</v>
      </c>
      <c r="E78" s="10" t="n">
        <f aca="false">E77+D78</f>
        <v>506574.9</v>
      </c>
      <c r="F78" s="8" t="n">
        <f aca="false">E78/$E$80</f>
        <v>0.989783892467801</v>
      </c>
      <c r="G78" s="3" t="str">
        <f aca="false">IF(A78&lt;=15,"Yes","No")</f>
        <v>No</v>
      </c>
    </row>
    <row r="79" customFormat="false" ht="15" hidden="false" customHeight="false" outlineLevel="0" collapsed="false">
      <c r="A79" s="3" t="n">
        <v>75</v>
      </c>
      <c r="B79" s="3" t="s">
        <v>114</v>
      </c>
      <c r="C79" s="3" t="s">
        <v>1104</v>
      </c>
      <c r="D79" s="10" t="n">
        <f aca="false">SUMIFS(OnlineRetail[LineRevenue],OnlineRetail[StockCode],B79)</f>
        <v>2377.44</v>
      </c>
      <c r="E79" s="10" t="n">
        <f aca="false">E78+D79</f>
        <v>508952.34</v>
      </c>
      <c r="F79" s="8" t="n">
        <f aca="false">E79/$E$80</f>
        <v>0.994429112389492</v>
      </c>
      <c r="G79" s="3" t="str">
        <f aca="false">IF(A79&lt;=15,"Yes","No")</f>
        <v>No</v>
      </c>
    </row>
    <row r="80" customFormat="false" ht="15" hidden="false" customHeight="false" outlineLevel="0" collapsed="false">
      <c r="A80" s="3" t="n">
        <v>76</v>
      </c>
      <c r="B80" s="3" t="s">
        <v>61</v>
      </c>
      <c r="C80" s="3" t="s">
        <v>1104</v>
      </c>
      <c r="D80" s="10" t="n">
        <f aca="false">SUMIFS(OnlineRetail[LineRevenue],OnlineRetail[StockCode],B80)</f>
        <v>2851.2</v>
      </c>
      <c r="E80" s="10" t="n">
        <f aca="false">E79+D80</f>
        <v>511803.54</v>
      </c>
      <c r="F80" s="8" t="n">
        <f aca="false">E80/$E$80</f>
        <v>1</v>
      </c>
      <c r="G80" s="3" t="str">
        <f aca="false">IF(A80&lt;=15,"Yes","No")</f>
        <v>No</v>
      </c>
    </row>
  </sheetData>
  <conditionalFormatting sqref="G5:G80">
    <cfRule type="cellIs" priority="2" operator="equal" aboveAverage="0" equalAverage="0" bottom="0" percent="0" rank="0" text="" dxfId="4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1105</v>
      </c>
    </row>
    <row r="2" customFormat="false" ht="15" hidden="false" customHeight="false" outlineLevel="0" collapsed="false">
      <c r="A2" s="2" t="s">
        <v>1106</v>
      </c>
    </row>
    <row r="3" customFormat="false" ht="15" hidden="false" customHeight="false" outlineLevel="0" collapsed="false">
      <c r="A3" s="11" t="s">
        <v>1107</v>
      </c>
    </row>
    <row r="5" customFormat="false" ht="15" hidden="false" customHeight="false" outlineLevel="0" collapsed="false">
      <c r="A5" s="7" t="s">
        <v>1108</v>
      </c>
      <c r="B5" s="7" t="s">
        <v>1094</v>
      </c>
      <c r="C5" s="7" t="s">
        <v>1109</v>
      </c>
      <c r="D5" s="7" t="s">
        <v>1110</v>
      </c>
      <c r="E5" s="7" t="s">
        <v>1111</v>
      </c>
    </row>
    <row r="6" customFormat="false" ht="15" hidden="false" customHeight="false" outlineLevel="0" collapsed="false">
      <c r="A6" s="12" t="n">
        <v>45292</v>
      </c>
      <c r="B6" s="13" t="n">
        <v>32182.88</v>
      </c>
      <c r="C6" s="14" t="n">
        <f aca="false">TREND($B$6:$B$29,$A$6:$A$29,A6)</f>
        <v>37000.5193825695</v>
      </c>
      <c r="D6" s="14" t="n">
        <f aca="false">B6-C6</f>
        <v>-4817.63938256947</v>
      </c>
      <c r="E6" s="8" t="n">
        <f aca="false">IFERROR(D6/C6,0)</f>
        <v>-0.130204642068863</v>
      </c>
    </row>
    <row r="7" customFormat="false" ht="15" hidden="false" customHeight="false" outlineLevel="0" collapsed="false">
      <c r="A7" s="12" t="n">
        <v>45323</v>
      </c>
      <c r="B7" s="13" t="n">
        <v>32030.2</v>
      </c>
      <c r="C7" s="14" t="n">
        <f aca="false">TREND($B$6:$B$29,$A$6:$A$29,A7)</f>
        <v>38354.4529273859</v>
      </c>
      <c r="D7" s="14" t="n">
        <f aca="false">B7-C7</f>
        <v>-6324.25292738592</v>
      </c>
      <c r="E7" s="8" t="n">
        <f aca="false">IFERROR(D7/C7,0)</f>
        <v>-0.164889665858596</v>
      </c>
    </row>
    <row r="8" customFormat="false" ht="15" hidden="false" customHeight="false" outlineLevel="0" collapsed="false">
      <c r="A8" s="12" t="n">
        <v>45352</v>
      </c>
      <c r="B8" s="13" t="n">
        <v>43750.53</v>
      </c>
      <c r="C8" s="14" t="n">
        <f aca="false">TREND($B$6:$B$29,$A$6:$A$29,A8)</f>
        <v>39621.0359209238</v>
      </c>
      <c r="D8" s="14" t="n">
        <f aca="false">B8-C8</f>
        <v>4129.49407907619</v>
      </c>
      <c r="E8" s="8" t="n">
        <f aca="false">IFERROR(D8/C8,0)</f>
        <v>0.1042247882493</v>
      </c>
    </row>
    <row r="9" customFormat="false" ht="15" hidden="false" customHeight="false" outlineLevel="0" collapsed="false">
      <c r="A9" s="12" t="n">
        <v>45383</v>
      </c>
      <c r="B9" s="13" t="n">
        <v>41783.68</v>
      </c>
      <c r="C9" s="14" t="n">
        <f aca="false">TREND($B$6:$B$29,$A$6:$A$29,A9)</f>
        <v>40974.9694657403</v>
      </c>
      <c r="D9" s="14" t="n">
        <f aca="false">B9-C9</f>
        <v>808.710534259742</v>
      </c>
      <c r="E9" s="8" t="n">
        <f aca="false">IFERROR(D9/C9,0)</f>
        <v>0.0197366964467397</v>
      </c>
    </row>
    <row r="10" customFormat="false" ht="15" hidden="false" customHeight="false" outlineLevel="0" collapsed="false">
      <c r="A10" s="12" t="n">
        <v>45413</v>
      </c>
      <c r="B10" s="13" t="n">
        <v>44358.6</v>
      </c>
      <c r="C10" s="14" t="n">
        <f aca="false">TREND($B$6:$B$29,$A$6:$A$29,A10)</f>
        <v>42285.2277349175</v>
      </c>
      <c r="D10" s="14" t="n">
        <f aca="false">B10-C10</f>
        <v>2073.37226508246</v>
      </c>
      <c r="E10" s="8" t="n">
        <f aca="false">IFERROR(D10/C10,0)</f>
        <v>0.0490330164018567</v>
      </c>
    </row>
    <row r="11" customFormat="false" ht="15" hidden="false" customHeight="false" outlineLevel="0" collapsed="false">
      <c r="A11" s="12" t="n">
        <v>45444</v>
      </c>
      <c r="B11" s="13" t="n">
        <v>49446.83</v>
      </c>
      <c r="C11" s="14" t="n">
        <f aca="false">TREND($B$6:$B$29,$A$6:$A$29,A11)</f>
        <v>43639.161279734</v>
      </c>
      <c r="D11" s="14" t="n">
        <f aca="false">B11-C11</f>
        <v>5807.66872026601</v>
      </c>
      <c r="E11" s="8" t="n">
        <f aca="false">IFERROR(D11/C11,0)</f>
        <v>0.133083875811405</v>
      </c>
    </row>
    <row r="12" customFormat="false" ht="15" hidden="false" customHeight="false" outlineLevel="0" collapsed="false">
      <c r="A12" s="12" t="n">
        <v>45474</v>
      </c>
      <c r="B12" s="13" t="n">
        <v>48493.46</v>
      </c>
      <c r="C12" s="14" t="n">
        <f aca="false">TREND($B$6:$B$29,$A$6:$A$29,A12)</f>
        <v>44949.419548911</v>
      </c>
      <c r="D12" s="14" t="n">
        <f aca="false">B12-C12</f>
        <v>3544.04045108896</v>
      </c>
      <c r="E12" s="8" t="n">
        <f aca="false">IFERROR(D12/C12,0)</f>
        <v>0.0788450771256915</v>
      </c>
    </row>
    <row r="13" customFormat="false" ht="15" hidden="false" customHeight="false" outlineLevel="0" collapsed="false">
      <c r="A13" s="12" t="n">
        <v>45505</v>
      </c>
      <c r="B13" s="13" t="n">
        <v>51390.18</v>
      </c>
      <c r="C13" s="14" t="n">
        <f aca="false">TREND($B$6:$B$29,$A$6:$A$29,A13)</f>
        <v>46303.3530937275</v>
      </c>
      <c r="D13" s="14" t="n">
        <f aca="false">B13-C13</f>
        <v>5086.82690627251</v>
      </c>
      <c r="E13" s="8" t="n">
        <f aca="false">IFERROR(D13/C13,0)</f>
        <v>0.109858715760298</v>
      </c>
    </row>
    <row r="14" customFormat="false" ht="15" hidden="false" customHeight="false" outlineLevel="0" collapsed="false">
      <c r="A14" s="12" t="n">
        <v>45536</v>
      </c>
      <c r="B14" s="13" t="n">
        <v>44253.98</v>
      </c>
      <c r="C14" s="14" t="n">
        <f aca="false">TREND($B$6:$B$29,$A$6:$A$29,A14)</f>
        <v>47657.2866385439</v>
      </c>
      <c r="D14" s="14" t="n">
        <f aca="false">B14-C14</f>
        <v>-3403.30663854394</v>
      </c>
      <c r="E14" s="8" t="n">
        <f aca="false">IFERROR(D14/C14,0)</f>
        <v>-0.0714120941117834</v>
      </c>
    </row>
    <row r="15" customFormat="false" ht="15" hidden="false" customHeight="false" outlineLevel="0" collapsed="false">
      <c r="A15" s="12" t="n">
        <v>45566</v>
      </c>
      <c r="B15" s="13" t="n">
        <v>46638.47</v>
      </c>
      <c r="C15" s="14" t="n">
        <f aca="false">TREND($B$6:$B$29,$A$6:$A$29,A15)</f>
        <v>48967.5449077212</v>
      </c>
      <c r="D15" s="14" t="n">
        <f aca="false">B15-C15</f>
        <v>-2329.07490772122</v>
      </c>
      <c r="E15" s="8" t="n">
        <f aca="false">IFERROR(D15/C15,0)</f>
        <v>-0.047563644697939</v>
      </c>
    </row>
    <row r="16" customFormat="false" ht="15" hidden="false" customHeight="false" outlineLevel="0" collapsed="false">
      <c r="A16" s="12" t="n">
        <v>45597</v>
      </c>
      <c r="B16" s="13" t="n">
        <v>70458.06</v>
      </c>
      <c r="C16" s="14" t="n">
        <f aca="false">TREND($B$6:$B$29,$A$6:$A$29,A16)</f>
        <v>50321.4784525377</v>
      </c>
      <c r="D16" s="14" t="n">
        <f aca="false">B16-C16</f>
        <v>20136.5815474623</v>
      </c>
      <c r="E16" s="8" t="n">
        <f aca="false">IFERROR(D16/C16,0)</f>
        <v>0.400158782426371</v>
      </c>
    </row>
    <row r="17" customFormat="false" ht="15" hidden="false" customHeight="false" outlineLevel="0" collapsed="false">
      <c r="A17" s="12" t="n">
        <v>45627</v>
      </c>
      <c r="B17" s="13" t="n">
        <v>71429.23</v>
      </c>
      <c r="C17" s="14" t="n">
        <f aca="false">TREND($B$6:$B$29,$A$6:$A$29,A17)</f>
        <v>51631.7367217147</v>
      </c>
      <c r="D17" s="14" t="n">
        <f aca="false">B17-C17</f>
        <v>19797.4932782853</v>
      </c>
      <c r="E17" s="8" t="n">
        <f aca="false">IFERROR(D17/C17,0)</f>
        <v>0.383436516671713</v>
      </c>
    </row>
    <row r="18" customFormat="false" ht="15" hidden="false" customHeight="false" outlineLevel="0" collapsed="false">
      <c r="A18" s="12" t="n">
        <v>45658</v>
      </c>
      <c r="B18" s="13" t="n">
        <v>37621.87</v>
      </c>
      <c r="C18" s="14" t="n">
        <f aca="false">TREND($B$6:$B$29,$A$6:$A$29,A18)</f>
        <v>52985.6702665312</v>
      </c>
      <c r="D18" s="14" t="n">
        <f aca="false">B18-C18</f>
        <v>-15363.8002665312</v>
      </c>
      <c r="E18" s="8" t="n">
        <f aca="false">IFERROR(D18/C18,0)</f>
        <v>-0.289961421441824</v>
      </c>
    </row>
    <row r="19" customFormat="false" ht="15" hidden="false" customHeight="false" outlineLevel="0" collapsed="false">
      <c r="A19" s="12" t="n">
        <v>45689</v>
      </c>
      <c r="B19" s="13" t="n">
        <v>39590.05</v>
      </c>
      <c r="C19" s="14" t="n">
        <f aca="false">TREND($B$6:$B$29,$A$6:$A$29,A19)</f>
        <v>54339.6038113476</v>
      </c>
      <c r="D19" s="14" t="n">
        <f aca="false">B19-C19</f>
        <v>-14749.5538113476</v>
      </c>
      <c r="E19" s="8" t="n">
        <f aca="false">IFERROR(D19/C19,0)</f>
        <v>-0.271432855170495</v>
      </c>
    </row>
    <row r="20" customFormat="false" ht="15" hidden="false" customHeight="false" outlineLevel="0" collapsed="false">
      <c r="A20" s="12" t="n">
        <v>45717</v>
      </c>
      <c r="B20" s="13" t="n">
        <v>47830.3</v>
      </c>
      <c r="C20" s="14" t="n">
        <f aca="false">TREND($B$6:$B$29,$A$6:$A$29,A20)</f>
        <v>55562.5115292463</v>
      </c>
      <c r="D20" s="14" t="n">
        <f aca="false">B20-C20</f>
        <v>-7732.21152924634</v>
      </c>
      <c r="E20" s="8" t="n">
        <f aca="false">IFERROR(D20/C20,0)</f>
        <v>-0.139162383348642</v>
      </c>
    </row>
    <row r="21" customFormat="false" ht="15" hidden="false" customHeight="false" outlineLevel="0" collapsed="false">
      <c r="A21" s="12" t="n">
        <v>45748</v>
      </c>
      <c r="B21" s="13" t="n">
        <v>48859.28</v>
      </c>
      <c r="C21" s="14" t="n">
        <f aca="false">TREND($B$6:$B$29,$A$6:$A$29,A21)</f>
        <v>56916.4450740628</v>
      </c>
      <c r="D21" s="14" t="n">
        <f aca="false">B21-C21</f>
        <v>-8057.1650740628</v>
      </c>
      <c r="E21" s="8" t="n">
        <f aca="false">IFERROR(D21/C21,0)</f>
        <v>-0.141561284503598</v>
      </c>
    </row>
    <row r="22" customFormat="false" ht="15" hidden="false" customHeight="false" outlineLevel="0" collapsed="false">
      <c r="A22" s="12" t="n">
        <v>45778</v>
      </c>
      <c r="B22" s="13" t="n">
        <v>51447.36</v>
      </c>
      <c r="C22" s="14" t="n">
        <f aca="false">TREND($B$6:$B$29,$A$6:$A$29,A22)</f>
        <v>58226.7033432401</v>
      </c>
      <c r="D22" s="14" t="n">
        <f aca="false">B22-C22</f>
        <v>-6779.34334324008</v>
      </c>
      <c r="E22" s="8" t="n">
        <f aca="false">IFERROR(D22/C22,0)</f>
        <v>-0.116430142082346</v>
      </c>
    </row>
    <row r="23" customFormat="false" ht="15" hidden="false" customHeight="false" outlineLevel="0" collapsed="false">
      <c r="A23" s="12" t="n">
        <v>45809</v>
      </c>
      <c r="B23" s="13" t="n">
        <v>60086.86</v>
      </c>
      <c r="C23" s="14" t="n">
        <f aca="false">TREND($B$6:$B$29,$A$6:$A$29,A23)</f>
        <v>59580.6368880563</v>
      </c>
      <c r="D23" s="14" t="n">
        <f aca="false">B23-C23</f>
        <v>506.223111943706</v>
      </c>
      <c r="E23" s="8" t="n">
        <f aca="false">IFERROR(D23/C23,0)</f>
        <v>0.00849643673488802</v>
      </c>
    </row>
    <row r="24" customFormat="false" ht="15" hidden="false" customHeight="false" outlineLevel="0" collapsed="false">
      <c r="A24" s="12" t="n">
        <v>45839</v>
      </c>
      <c r="B24" s="13" t="n">
        <v>58576.18</v>
      </c>
      <c r="C24" s="14" t="n">
        <f aca="false">TREND($B$6:$B$29,$A$6:$A$29,A24)</f>
        <v>60890.8951572336</v>
      </c>
      <c r="D24" s="14" t="n">
        <f aca="false">B24-C24</f>
        <v>-2314.71515723358</v>
      </c>
      <c r="E24" s="8" t="n">
        <f aca="false">IFERROR(D24/C24,0)</f>
        <v>-0.038014142364905</v>
      </c>
    </row>
    <row r="25" customFormat="false" ht="15" hidden="false" customHeight="false" outlineLevel="0" collapsed="false">
      <c r="A25" s="12" t="n">
        <v>45870</v>
      </c>
      <c r="B25" s="13" t="n">
        <v>58137.06</v>
      </c>
      <c r="C25" s="14" t="n">
        <f aca="false">TREND($B$6:$B$29,$A$6:$A$29,A25)</f>
        <v>62244.82870205</v>
      </c>
      <c r="D25" s="14" t="n">
        <f aca="false">B25-C25</f>
        <v>-4107.76870205003</v>
      </c>
      <c r="E25" s="8" t="n">
        <f aca="false">IFERROR(D25/C25,0)</f>
        <v>-0.0659937345431998</v>
      </c>
    </row>
    <row r="26" customFormat="false" ht="15" hidden="false" customHeight="false" outlineLevel="0" collapsed="false">
      <c r="A26" s="12" t="n">
        <v>45901</v>
      </c>
      <c r="B26" s="13" t="n">
        <v>55524.15</v>
      </c>
      <c r="C26" s="14" t="n">
        <f aca="false">TREND($B$6:$B$29,$A$6:$A$29,A26)</f>
        <v>63598.7622468665</v>
      </c>
      <c r="D26" s="14" t="n">
        <f aca="false">B26-C26</f>
        <v>-8074.61224686648</v>
      </c>
      <c r="E26" s="8" t="n">
        <f aca="false">IFERROR(D26/C26,0)</f>
        <v>-0.126961782927848</v>
      </c>
    </row>
    <row r="27" customFormat="false" ht="15" hidden="false" customHeight="false" outlineLevel="0" collapsed="false">
      <c r="A27" s="12" t="n">
        <v>45931</v>
      </c>
      <c r="B27" s="13" t="n">
        <v>51121.95</v>
      </c>
      <c r="C27" s="14" t="n">
        <f aca="false">TREND($B$6:$B$29,$A$6:$A$29,A27)</f>
        <v>64909.0205160435</v>
      </c>
      <c r="D27" s="14" t="n">
        <f aca="false">B27-C27</f>
        <v>-13787.0705160435</v>
      </c>
      <c r="E27" s="8" t="n">
        <f aca="false">IFERROR(D27/C27,0)</f>
        <v>-0.212406078637957</v>
      </c>
    </row>
    <row r="28" customFormat="false" ht="15" hidden="false" customHeight="false" outlineLevel="0" collapsed="false">
      <c r="A28" s="12" t="n">
        <v>45962</v>
      </c>
      <c r="B28" s="13" t="n">
        <v>86860.94</v>
      </c>
      <c r="C28" s="14" t="n">
        <f aca="false">TREND($B$6:$B$29,$A$6:$A$29,A28)</f>
        <v>66262.95406086</v>
      </c>
      <c r="D28" s="14" t="n">
        <f aca="false">B28-C28</f>
        <v>20597.98593914</v>
      </c>
      <c r="E28" s="8" t="n">
        <f aca="false">IFERROR(D28/C28,0)</f>
        <v>0.310852213443753</v>
      </c>
    </row>
    <row r="29" customFormat="false" ht="15" hidden="false" customHeight="false" outlineLevel="0" collapsed="false">
      <c r="A29" s="12" t="n">
        <v>45992</v>
      </c>
      <c r="B29" s="13" t="n">
        <v>82925.33</v>
      </c>
      <c r="C29" s="14" t="n">
        <f aca="false">TREND($B$6:$B$29,$A$6:$A$29,A29)</f>
        <v>67573.2123300373</v>
      </c>
      <c r="D29" s="14" t="n">
        <f aca="false">B29-C29</f>
        <v>15352.1176699627</v>
      </c>
      <c r="E29" s="8" t="n">
        <f aca="false">IFERROR(D29/C29,0)</f>
        <v>0.227192361301114</v>
      </c>
    </row>
    <row r="31" customFormat="false" ht="15" hidden="false" customHeight="false" outlineLevel="0" collapsed="false">
      <c r="A31" s="15" t="s">
        <v>1112</v>
      </c>
    </row>
    <row r="32" customFormat="false" ht="15" hidden="false" customHeight="false" outlineLevel="0" collapsed="false">
      <c r="A32" s="7" t="s">
        <v>1108</v>
      </c>
      <c r="B32" s="7" t="s">
        <v>1113</v>
      </c>
    </row>
    <row r="33" customFormat="false" ht="15" hidden="false" customHeight="false" outlineLevel="0" collapsed="false">
      <c r="A33" s="12" t="n">
        <v>46023</v>
      </c>
      <c r="B33" s="14" t="n">
        <f aca="false">TREND($B$6:$B$29,$A$6:$A$29,A33)</f>
        <v>68927.1458748537</v>
      </c>
    </row>
    <row r="34" customFormat="false" ht="15" hidden="false" customHeight="false" outlineLevel="0" collapsed="false">
      <c r="A34" s="12" t="n">
        <v>46054</v>
      </c>
      <c r="B34" s="14" t="n">
        <f aca="false">TREND($B$6:$B$29,$A$6:$A$29,A34)</f>
        <v>70281.0794196702</v>
      </c>
    </row>
    <row r="35" customFormat="false" ht="15" hidden="false" customHeight="false" outlineLevel="0" collapsed="false">
      <c r="A35" s="12" t="n">
        <v>46082</v>
      </c>
      <c r="B35" s="14" t="n">
        <f aca="false">TREND($B$6:$B$29,$A$6:$A$29,A35)</f>
        <v>71503.9871375689</v>
      </c>
    </row>
  </sheetData>
  <conditionalFormatting sqref="E6:E29">
    <cfRule type="cellIs" priority="2" operator="notBetween" aboveAverage="0" equalAverage="0" bottom="0" percent="0" rank="0" text="" dxfId="5">
      <formula>-0.1</formula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2026-08-08T15:17:18Z</dcterms:created>
  <dc:creator>openpyxl</dc:creator>
  <dc:description/>
  <dc:language>en-US</dc:language>
  <cp:lastModifiedBy/>
  <dcterms:modified xsi:type="dcterms:W3CDTF">2026-08-08T15:17:23Z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