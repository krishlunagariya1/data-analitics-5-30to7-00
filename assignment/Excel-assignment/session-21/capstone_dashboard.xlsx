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Orders" sheetId="2" state="visible" r:id="rId4"/>
    <sheet name="RestaurantDetails" sheetId="3" state="visible" r:id="rId5"/>
    <sheet name="Orders_Cleaned" sheetId="4" state="visible" r:id="rId6"/>
    <sheet name="City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<sst xmlns="http://schemas.openxmlformats.org/spreadsheetml/2006/main" count="507" uniqueCount="122">
  <si>
    <t xml:space="preserve">SWIGGY/ZOMATO-STYLE ORDERS — MINI DASHBOARD</t>
  </si>
  <si>
    <t xml:space="preserve">Cleaned dataset · June 2024 · Filter by city using the Slicer (add in Excel — see note)</t>
  </si>
  <si>
    <t xml:space="preserve">TOTAL ORDERS</t>
  </si>
  <si>
    <t xml:space="preserve">AVG DELIVERY TIME (MIN)</t>
  </si>
  <si>
    <t xml:space="preserve">TOTAL DELIVERY CHARGES</t>
  </si>
  <si>
    <t xml:space="preserve">CITIES COVERED</t>
  </si>
  <si>
    <t xml:space="preserve">TOP 3 RESTAURANTS BY ORDER COUNT</t>
  </si>
  <si>
    <t xml:space="preserve">Rank</t>
  </si>
  <si>
    <t xml:space="preserve">Restaurant</t>
  </si>
  <si>
    <t xml:space="preserve">Orders</t>
  </si>
  <si>
    <t xml:space="preserve">NOTE: A live Slicer must be added inside Excel itself (Insert &gt; Slicer, after building a PivotTable/PivotChart from Orders_Cleaned) — it can't be pre-generated in a script. See the markdown guide, Task 5, for the exact steps to wire one City slicer to every visual on this sheet.</t>
  </si>
  <si>
    <t xml:space="preserve">Order ID</t>
  </si>
  <si>
    <t xml:space="preserve">Restaurant ID</t>
  </si>
  <si>
    <t xml:space="preserve">Delivery Date</t>
  </si>
  <si>
    <t xml:space="preserve">Delivery Partner</t>
  </si>
  <si>
    <t xml:space="preserve">Delivery Charges (₹)</t>
  </si>
  <si>
    <t xml:space="preserve">Delivery Time (mins)</t>
  </si>
  <si>
    <t xml:space="preserve">R108</t>
  </si>
  <si>
    <t xml:space="preserve">09/06/2024</t>
  </si>
  <si>
    <t xml:space="preserve">R102</t>
  </si>
  <si>
    <t xml:space="preserve">24/06/2024</t>
  </si>
  <si>
    <t xml:space="preserve">Sunil Yadav</t>
  </si>
  <si>
    <t xml:space="preserve">R105</t>
  </si>
  <si>
    <t xml:space="preserve">29/06/2024</t>
  </si>
  <si>
    <t xml:space="preserve">Rekha Singh</t>
  </si>
  <si>
    <t xml:space="preserve">30-Jun-2024</t>
  </si>
  <si>
    <t xml:space="preserve">2024-06-09</t>
  </si>
  <si>
    <t xml:space="preserve">Amit Kumar</t>
  </si>
  <si>
    <t xml:space="preserve">R104</t>
  </si>
  <si>
    <t xml:space="preserve">11.06.2024</t>
  </si>
  <si>
    <t xml:space="preserve">23/06/2024</t>
  </si>
  <si>
    <t xml:space="preserve">Farhan Khan</t>
  </si>
  <si>
    <t xml:space="preserve">2024-06-05</t>
  </si>
  <si>
    <t xml:space="preserve">R101</t>
  </si>
  <si>
    <t xml:space="preserve">20/06/2024</t>
  </si>
  <si>
    <t xml:space="preserve">R103</t>
  </si>
  <si>
    <t xml:space="preserve">07.06.2024</t>
  </si>
  <si>
    <t xml:space="preserve">08.06.2024</t>
  </si>
  <si>
    <t xml:space="preserve">Deepa Nair</t>
  </si>
  <si>
    <t xml:space="preserve">R110</t>
  </si>
  <si>
    <t xml:space="preserve">01/06/2024</t>
  </si>
  <si>
    <t xml:space="preserve">R106</t>
  </si>
  <si>
    <t xml:space="preserve">23.06.2024</t>
  </si>
  <si>
    <t xml:space="preserve">14/06/2024</t>
  </si>
  <si>
    <t xml:space="preserve">30/06/2024</t>
  </si>
  <si>
    <t xml:space="preserve">13.06.2024</t>
  </si>
  <si>
    <t xml:space="preserve">2024-06-22</t>
  </si>
  <si>
    <t xml:space="preserve">05/06/2024</t>
  </si>
  <si>
    <t xml:space="preserve">15-Jun-2024</t>
  </si>
  <si>
    <t xml:space="preserve">R107</t>
  </si>
  <si>
    <t xml:space="preserve">27.06.2024</t>
  </si>
  <si>
    <t xml:space="preserve">2024-06-17</t>
  </si>
  <si>
    <t xml:space="preserve">10/06/2024</t>
  </si>
  <si>
    <t xml:space="preserve">R109</t>
  </si>
  <si>
    <t xml:space="preserve">01-Jun-2024</t>
  </si>
  <si>
    <t xml:space="preserve">2024-06-15</t>
  </si>
  <si>
    <t xml:space="preserve">10-Jun-2024</t>
  </si>
  <si>
    <t xml:space="preserve">21-Jun-2024</t>
  </si>
  <si>
    <t xml:space="preserve">08-Jun-2024</t>
  </si>
  <si>
    <t xml:space="preserve">19/06/2024</t>
  </si>
  <si>
    <t xml:space="preserve">2024-06-11</t>
  </si>
  <si>
    <t xml:space="preserve">18/06/2024</t>
  </si>
  <si>
    <t xml:space="preserve">20-Jun-2024</t>
  </si>
  <si>
    <t xml:space="preserve">16/06/2024</t>
  </si>
  <si>
    <t xml:space="preserve">21.06.2024</t>
  </si>
  <si>
    <t xml:space="preserve">03.06.2024</t>
  </si>
  <si>
    <t xml:space="preserve">28/06/2024</t>
  </si>
  <si>
    <t xml:space="preserve">17-Jun-2024</t>
  </si>
  <si>
    <t xml:space="preserve">2024-06-07</t>
  </si>
  <si>
    <t xml:space="preserve">09.06.2024</t>
  </si>
  <si>
    <t xml:space="preserve">11-Jun-2024</t>
  </si>
  <si>
    <t xml:space="preserve">28.06.2024</t>
  </si>
  <si>
    <t xml:space="preserve">01.06.2024</t>
  </si>
  <si>
    <t xml:space="preserve">03/06/2024</t>
  </si>
  <si>
    <t xml:space="preserve">17/06/2024</t>
  </si>
  <si>
    <t xml:space="preserve">14.06.2024</t>
  </si>
  <si>
    <t xml:space="preserve">05.06.2024</t>
  </si>
  <si>
    <t xml:space="preserve">07-Jun-2024</t>
  </si>
  <si>
    <t xml:space="preserve">06.06.2024</t>
  </si>
  <si>
    <t xml:space="preserve">2024-06-29</t>
  </si>
  <si>
    <t xml:space="preserve">04.06.2024</t>
  </si>
  <si>
    <t xml:space="preserve">15/06/2024</t>
  </si>
  <si>
    <t xml:space="preserve">06-Jun-2024</t>
  </si>
  <si>
    <t xml:space="preserve">15.06.2024</t>
  </si>
  <si>
    <t xml:space="preserve">2024-06-06</t>
  </si>
  <si>
    <t xml:space="preserve">25/06/2024</t>
  </si>
  <si>
    <t xml:space="preserve">2024-06-20</t>
  </si>
  <si>
    <t xml:space="preserve">09-Jun-2024</t>
  </si>
  <si>
    <t xml:space="preserve">30.06.2024</t>
  </si>
  <si>
    <t xml:space="preserve">2024-06-03</t>
  </si>
  <si>
    <t xml:space="preserve">2024-06-16</t>
  </si>
  <si>
    <t xml:space="preserve">08/06/2024</t>
  </si>
  <si>
    <t xml:space="preserve">2024-06-30</t>
  </si>
  <si>
    <t xml:space="preserve">2024-06-24</t>
  </si>
  <si>
    <t xml:space="preserve">21/06/2024</t>
  </si>
  <si>
    <t xml:space="preserve">13-Jun-2024</t>
  </si>
  <si>
    <t xml:space="preserve">13/06/2024</t>
  </si>
  <si>
    <t xml:space="preserve">25-Jun-2024</t>
  </si>
  <si>
    <t xml:space="preserve">22-Jun-2024</t>
  </si>
  <si>
    <t xml:space="preserve">2024-06-28</t>
  </si>
  <si>
    <t xml:space="preserve">Restaurant Name</t>
  </si>
  <si>
    <t xml:space="preserve">City</t>
  </si>
  <si>
    <t xml:space="preserve">Order Count</t>
  </si>
  <si>
    <t xml:space="preserve">Burger King</t>
  </si>
  <si>
    <t xml:space="preserve">Ahmedabad</t>
  </si>
  <si>
    <t xml:space="preserve">Domino's Pizza</t>
  </si>
  <si>
    <t xml:space="preserve">Mumbai</t>
  </si>
  <si>
    <t xml:space="preserve">McDonald's</t>
  </si>
  <si>
    <t xml:space="preserve">Delhi</t>
  </si>
  <si>
    <t xml:space="preserve">KFC</t>
  </si>
  <si>
    <t xml:space="preserve">Bangalore</t>
  </si>
  <si>
    <t xml:space="preserve">Pizza Hut</t>
  </si>
  <si>
    <t xml:space="preserve">Pune</t>
  </si>
  <si>
    <t xml:space="preserve">Subway</t>
  </si>
  <si>
    <t xml:space="preserve">Behrouz Biryani</t>
  </si>
  <si>
    <t xml:space="preserve">Wow! Momo</t>
  </si>
  <si>
    <t xml:space="preserve">Barbeque Nation</t>
  </si>
  <si>
    <t xml:space="preserve">Haldiram's</t>
  </si>
  <si>
    <t xml:space="preserve">Day of Week</t>
  </si>
  <si>
    <t xml:space="preserve">Unassigned</t>
  </si>
  <si>
    <t xml:space="preserve">Total Orders</t>
  </si>
  <si>
    <t xml:space="preserve">Total Delivery Charges (₹)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</si>
</sst>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\₹#,##0"/>
    <numFmt numFmtId="168" formatCode="General"/>
    <numFmt numFmtId="169" formatCode="dd\-mmm\-yyyy"/>
    <numFmt numFmtId="170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B3B3B3"/>
      <name val="Arial"/>
      <family val="0"/>
      <charset val="1"/>
    </font>
    <font>
      <b val="true"/>
      <sz val="11"/>
      <color rgb="FFB3B3B3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22"/>
      <color rgb="FF1DB954"/>
      <name val="Arial"/>
      <family val="0"/>
      <charset val="1"/>
    </font>
    <font>
      <b val="true"/>
      <sz val="22"/>
      <color rgb="FF1ED760"/>
      <name val="Arial"/>
      <family val="0"/>
      <charset val="1"/>
    </font>
    <font>
      <b val="true"/>
      <sz val="12"/>
      <color rgb="FF1DB95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1DB954"/>
      <name val="Arial"/>
      <family val="0"/>
      <charset val="1"/>
    </font>
    <font>
      <i val="true"/>
      <sz val="10"/>
      <color rgb="FFB3B3B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91414"/>
        <bgColor rgb="FF282828"/>
      </patternFill>
    </fill>
    <fill>
      <patternFill patternType="solid">
        <fgColor rgb="FF282828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ED760"/>
      <rgbColor rgb="FF99CC00"/>
      <rgbColor rgb="FFFFCC00"/>
      <rgbColor rgb="FFFF9900"/>
      <rgbColor rgb="FFFF6600"/>
      <rgbColor rgb="FF4F81BD"/>
      <rgbColor rgb="FF969696"/>
      <rgbColor rgb="FF003366"/>
      <rgbColor rgb="FF1DB954"/>
      <rgbColor rgb="FF191414"/>
      <rgbColor rgb="FF333300"/>
      <rgbColor rgb="FF993300"/>
      <rgbColor rgb="FF993366"/>
      <rgbColor rgb="FF333399"/>
      <rgbColor rgb="FF2828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Orders &amp; Delivery Charges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CitySummary!B1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CitySummary!$A$2:$A$6</c:f>
              <c:strCache>
                <c:ptCount val="5"/>
                <c:pt idx="0">
                  <c:v>Ahmedabad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  <c:pt idx="4">
                  <c:v>Pune</c:v>
                </c:pt>
              </c:strCache>
            </c:strRef>
          </c:cat>
          <c:val>
            <c:numRef>
              <c:f>CitySummary!$B$2:$B$6</c:f>
              <c:numCache>
                <c:formatCode>General</c:formatCode>
                <c:ptCount val="5"/>
                <c:pt idx="0">
                  <c:v>14</c:v>
                </c:pt>
                <c:pt idx="1">
                  <c:v>24</c:v>
                </c:pt>
                <c:pt idx="2">
                  <c:v>16</c:v>
                </c:pt>
                <c:pt idx="3">
                  <c:v>18</c:v>
                </c:pt>
                <c:pt idx="4">
                  <c:v>18</c:v>
                </c:pt>
              </c:numCache>
            </c:numRef>
          </c:val>
        </c:ser>
        <c:ser>
          <c:idx val="1"/>
          <c:order val="1"/>
          <c:tx>
            <c:strRef>
              <c:f>CitySummary!C1</c:f>
              <c:strCache>
                <c:ptCount val="1"/>
                <c:pt idx="0">
                  <c:v>Total Delivery Charges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CitySummary!$A$2:$A$6</c:f>
              <c:strCache>
                <c:ptCount val="5"/>
                <c:pt idx="0">
                  <c:v>Ahmedabad</c:v>
                </c:pt>
                <c:pt idx="1">
                  <c:v>Mumbai</c:v>
                </c:pt>
                <c:pt idx="2">
                  <c:v>Delhi</c:v>
                </c:pt>
                <c:pt idx="3">
                  <c:v>Bangalore</c:v>
                </c:pt>
                <c:pt idx="4">
                  <c:v>Pune</c:v>
                </c:pt>
              </c:strCache>
            </c:strRef>
          </c:cat>
          <c:val>
            <c:numRef>
              <c:f>CitySummary!$C$2:$C$6</c:f>
              <c:numCache>
                <c:formatCode>#,##0.00</c:formatCode>
                <c:ptCount val="5"/>
                <c:pt idx="0">
                  <c:v>598.06</c:v>
                </c:pt>
                <c:pt idx="1">
                  <c:v>1254.95</c:v>
                </c:pt>
                <c:pt idx="2">
                  <c:v>784.84</c:v>
                </c:pt>
                <c:pt idx="3">
                  <c:v>964.96</c:v>
                </c:pt>
                <c:pt idx="4">
                  <c:v>834.28</c:v>
                </c:pt>
              </c:numCache>
            </c:numRef>
          </c:val>
        </c:ser>
        <c:gapWidth val="150"/>
        <c:overlap val="0"/>
        <c:axId val="26266063"/>
        <c:axId val="26470602"/>
      </c:barChart>
      <c:catAx>
        <c:axId val="2626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70602"/>
        <c:crosses val="autoZero"/>
        <c:auto val="1"/>
        <c:lblAlgn val="ctr"/>
        <c:lblOffset val="100"/>
        <c:noMultiLvlLbl val="0"/>
      </c:catAx>
      <c:valAx>
        <c:axId val="26470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660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13</xdr:col>
      <xdr:colOff>256320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427680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5" hidden="false" customHeight="false" outlineLevel="0" collapsed="false">
      <c r="A6" s="4" t="s">
        <v>2</v>
      </c>
      <c r="B6" s="4"/>
      <c r="C6" s="4"/>
      <c r="D6" s="4"/>
      <c r="E6" s="4" t="s">
        <v>3</v>
      </c>
      <c r="F6" s="4"/>
      <c r="G6" s="4"/>
      <c r="H6" s="4"/>
      <c r="I6" s="4" t="s">
        <v>4</v>
      </c>
      <c r="J6" s="4"/>
      <c r="K6" s="4"/>
      <c r="L6" s="4"/>
      <c r="M6" s="4" t="s">
        <v>5</v>
      </c>
      <c r="N6" s="4"/>
      <c r="O6" s="4"/>
      <c r="P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customFormat="false" ht="15" hidden="false" customHeight="false" outlineLevel="0" collapsed="false">
      <c r="A8" s="5" t="n">
        <f aca="false">COUNTA(Orders_Cleaned!A2:A91)</f>
        <v>90</v>
      </c>
      <c r="B8" s="5"/>
      <c r="C8" s="5"/>
      <c r="D8" s="5"/>
      <c r="E8" s="6" t="n">
        <f aca="false">AVERAGE(Orders_Cleaned!F2:F91)</f>
        <v>34.2444444444445</v>
      </c>
      <c r="F8" s="6"/>
      <c r="G8" s="6"/>
      <c r="H8" s="6"/>
      <c r="I8" s="7" t="n">
        <f aca="false">SUM(Orders_Cleaned!E2:E91)</f>
        <v>4437.09</v>
      </c>
      <c r="J8" s="7"/>
      <c r="K8" s="7"/>
      <c r="L8" s="7"/>
      <c r="M8" s="5" t="n">
        <f aca="false">COUNTA(CitySummary!A2:A6)</f>
        <v>5</v>
      </c>
      <c r="N8" s="5"/>
      <c r="O8" s="5"/>
      <c r="P8" s="5"/>
    </row>
    <row r="9" customFormat="false" ht="15" hidden="false" customHeight="false" outlineLevel="0" collapsed="false">
      <c r="A9" s="5"/>
      <c r="B9" s="5"/>
      <c r="C9" s="5"/>
      <c r="D9" s="5"/>
      <c r="E9" s="6"/>
      <c r="F9" s="6"/>
      <c r="G9" s="6"/>
      <c r="H9" s="6"/>
      <c r="I9" s="7"/>
      <c r="J9" s="7"/>
      <c r="K9" s="7"/>
      <c r="L9" s="7"/>
      <c r="M9" s="5"/>
      <c r="N9" s="5"/>
      <c r="O9" s="5"/>
      <c r="P9" s="5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5" hidden="false" customHeight="false" outlineLevel="0" collapsed="false">
      <c r="A12" s="8" t="s">
        <v>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5" hidden="false" customHeight="false" outlineLevel="0" collapsed="false">
      <c r="A14" s="9" t="s">
        <v>7</v>
      </c>
      <c r="B14" s="9" t="s">
        <v>8</v>
      </c>
      <c r="C14" s="9" t="s">
        <v>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5" hidden="false" customHeight="false" outlineLevel="0" collapsed="false">
      <c r="A15" s="10" t="n">
        <v>1</v>
      </c>
      <c r="B15" s="10" t="str">
        <f aca="false">INDEX(RestaurantDetails!$B$2:$B$11,MATCH(LARGE(RestaurantDetails!$D$2:$D$11,1),RestaurantDetails!$D$2:$D$11,0))</f>
        <v>Domino's Pizza</v>
      </c>
      <c r="C15" s="11" t="n">
        <f aca="false">LARGE(RestaurantDetails!$D$2:$D$11,1)</f>
        <v>13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5" hidden="false" customHeight="false" outlineLevel="0" collapsed="false">
      <c r="A16" s="10" t="n">
        <v>2</v>
      </c>
      <c r="B16" s="10" t="str">
        <f aca="false">INDEX(RestaurantDetails!$B$2:$B$11,MATCH(LARGE(RestaurantDetails!$D$2:$D$11,2),RestaurantDetails!$D$2:$D$11,0))</f>
        <v>Behrouz Biryani</v>
      </c>
      <c r="C16" s="11" t="n">
        <f aca="false">LARGE(RestaurantDetails!$D$2:$D$11,2)</f>
        <v>11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5" hidden="false" customHeight="false" outlineLevel="0" collapsed="false">
      <c r="A17" s="10" t="n">
        <v>3</v>
      </c>
      <c r="B17" s="10" t="str">
        <f aca="false">INDEX(RestaurantDetails!$B$2:$B$11,MATCH(LARGE(RestaurantDetails!$D$2:$D$11,3),RestaurantDetails!$D$2:$D$11,0))</f>
        <v>Haldiram's</v>
      </c>
      <c r="C17" s="11" t="n">
        <f aca="false">LARGE(RestaurantDetails!$D$2:$D$11,3)</f>
        <v>10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5" hidden="false" customHeight="true" outlineLevel="0" collapsed="false">
      <c r="A19" s="12" t="s">
        <v>10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</sheetData>
  <mergeCells count="12">
    <mergeCell ref="A1:P2"/>
    <mergeCell ref="A3:P3"/>
    <mergeCell ref="A6:D7"/>
    <mergeCell ref="E6:H7"/>
    <mergeCell ref="I6:L7"/>
    <mergeCell ref="M6:P7"/>
    <mergeCell ref="A8:D9"/>
    <mergeCell ref="E8:H9"/>
    <mergeCell ref="I8:L9"/>
    <mergeCell ref="M8:P9"/>
    <mergeCell ref="A12:P12"/>
    <mergeCell ref="A19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6" min="4" style="0" width="18"/>
  </cols>
  <sheetData>
    <row r="1" customFormat="false" ht="15" hidden="false" customHeight="false" outlineLevel="0" collapsed="false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</row>
    <row r="2" customFormat="false" ht="15" hidden="false" customHeight="false" outlineLevel="0" collapsed="false">
      <c r="A2" s="14" t="n">
        <v>4020</v>
      </c>
      <c r="B2" s="14" t="s">
        <v>17</v>
      </c>
      <c r="C2" s="14" t="s">
        <v>18</v>
      </c>
      <c r="D2" s="14"/>
      <c r="E2" s="14" t="n">
        <v>56.62</v>
      </c>
      <c r="F2" s="14" t="n">
        <v>36</v>
      </c>
    </row>
    <row r="3" customFormat="false" ht="15" hidden="false" customHeight="false" outlineLevel="0" collapsed="false">
      <c r="A3" s="14" t="n">
        <v>4063</v>
      </c>
      <c r="B3" s="14" t="s">
        <v>19</v>
      </c>
      <c r="C3" s="14" t="s">
        <v>20</v>
      </c>
      <c r="D3" s="14" t="s">
        <v>21</v>
      </c>
      <c r="E3" s="14" t="n">
        <v>34.54</v>
      </c>
      <c r="F3" s="14" t="n">
        <v>42</v>
      </c>
    </row>
    <row r="4" customFormat="false" ht="15" hidden="false" customHeight="false" outlineLevel="0" collapsed="false">
      <c r="A4" s="14" t="n">
        <v>4045</v>
      </c>
      <c r="B4" s="14" t="s">
        <v>22</v>
      </c>
      <c r="C4" s="14" t="s">
        <v>23</v>
      </c>
      <c r="D4" s="14" t="s">
        <v>24</v>
      </c>
      <c r="E4" s="14" t="n">
        <v>38.06</v>
      </c>
      <c r="F4" s="14" t="n">
        <v>30</v>
      </c>
    </row>
    <row r="5" customFormat="false" ht="15" hidden="false" customHeight="false" outlineLevel="0" collapsed="false">
      <c r="A5" s="14" t="n">
        <v>4034</v>
      </c>
      <c r="B5" s="14" t="s">
        <v>17</v>
      </c>
      <c r="C5" s="14" t="s">
        <v>25</v>
      </c>
      <c r="D5" s="14"/>
      <c r="E5" s="14" t="n">
        <v>38.71</v>
      </c>
      <c r="F5" s="14" t="n">
        <v>20</v>
      </c>
    </row>
    <row r="6" customFormat="false" ht="15" hidden="false" customHeight="false" outlineLevel="0" collapsed="false">
      <c r="A6" s="14" t="n">
        <v>4050</v>
      </c>
      <c r="B6" s="14" t="s">
        <v>19</v>
      </c>
      <c r="C6" s="14" t="s">
        <v>26</v>
      </c>
      <c r="D6" s="14" t="s">
        <v>27</v>
      </c>
      <c r="E6" s="14" t="n">
        <v>47.04</v>
      </c>
      <c r="F6" s="14" t="n">
        <v>35</v>
      </c>
    </row>
    <row r="7" customFormat="false" ht="15" hidden="false" customHeight="false" outlineLevel="0" collapsed="false">
      <c r="A7" s="14" t="n">
        <v>4047</v>
      </c>
      <c r="B7" s="14" t="s">
        <v>28</v>
      </c>
      <c r="C7" s="14" t="s">
        <v>29</v>
      </c>
      <c r="D7" s="14"/>
      <c r="E7" s="14" t="n">
        <v>35.04</v>
      </c>
      <c r="F7" s="14" t="n">
        <v>45</v>
      </c>
    </row>
    <row r="8" customFormat="false" ht="15" hidden="false" customHeight="false" outlineLevel="0" collapsed="false">
      <c r="A8" s="14" t="n">
        <v>4044</v>
      </c>
      <c r="B8" s="14" t="s">
        <v>28</v>
      </c>
      <c r="C8" s="14" t="s">
        <v>30</v>
      </c>
      <c r="D8" s="14" t="s">
        <v>31</v>
      </c>
      <c r="E8" s="14" t="n">
        <v>66.8</v>
      </c>
      <c r="F8" s="14" t="n">
        <v>49</v>
      </c>
    </row>
    <row r="9" customFormat="false" ht="15" hidden="false" customHeight="false" outlineLevel="0" collapsed="false">
      <c r="A9" s="14" t="n">
        <v>4086</v>
      </c>
      <c r="B9" s="14" t="s">
        <v>19</v>
      </c>
      <c r="C9" s="14" t="s">
        <v>32</v>
      </c>
      <c r="D9" s="14" t="s">
        <v>21</v>
      </c>
      <c r="E9" s="14" t="n">
        <v>63.59</v>
      </c>
      <c r="F9" s="14" t="n">
        <v>34</v>
      </c>
    </row>
    <row r="10" customFormat="false" ht="15" hidden="false" customHeight="false" outlineLevel="0" collapsed="false">
      <c r="A10" s="14" t="n">
        <v>4035</v>
      </c>
      <c r="B10" s="14" t="s">
        <v>33</v>
      </c>
      <c r="C10" s="14" t="s">
        <v>34</v>
      </c>
      <c r="D10" s="14" t="s">
        <v>31</v>
      </c>
      <c r="E10" s="14" t="n">
        <v>24.04</v>
      </c>
      <c r="F10" s="14" t="n">
        <v>37</v>
      </c>
    </row>
    <row r="11" customFormat="false" ht="15" hidden="false" customHeight="false" outlineLevel="0" collapsed="false">
      <c r="A11" s="14" t="n">
        <v>4088</v>
      </c>
      <c r="B11" s="14" t="s">
        <v>35</v>
      </c>
      <c r="C11" s="14" t="s">
        <v>36</v>
      </c>
      <c r="D11" s="14"/>
      <c r="E11" s="14" t="n">
        <v>61.11</v>
      </c>
      <c r="F11" s="14" t="n">
        <v>19</v>
      </c>
    </row>
    <row r="12" customFormat="false" ht="15" hidden="false" customHeight="false" outlineLevel="0" collapsed="false">
      <c r="A12" s="14" t="n">
        <v>4029</v>
      </c>
      <c r="B12" s="14" t="s">
        <v>35</v>
      </c>
      <c r="C12" s="14" t="s">
        <v>37</v>
      </c>
      <c r="D12" s="14" t="s">
        <v>38</v>
      </c>
      <c r="E12" s="14" t="n">
        <v>59.21</v>
      </c>
      <c r="F12" s="14" t="n">
        <v>22</v>
      </c>
    </row>
    <row r="13" customFormat="false" ht="15" hidden="false" customHeight="false" outlineLevel="0" collapsed="false">
      <c r="A13" s="14" t="n">
        <v>4005</v>
      </c>
      <c r="B13" s="14" t="s">
        <v>39</v>
      </c>
      <c r="C13" s="14" t="s">
        <v>40</v>
      </c>
      <c r="D13" s="14" t="s">
        <v>27</v>
      </c>
      <c r="E13" s="14" t="n">
        <v>22.14</v>
      </c>
      <c r="F13" s="14" t="n">
        <v>33</v>
      </c>
    </row>
    <row r="14" customFormat="false" ht="15" hidden="false" customHeight="false" outlineLevel="0" collapsed="false">
      <c r="A14" s="14" t="n">
        <v>4076</v>
      </c>
      <c r="B14" s="14" t="s">
        <v>22</v>
      </c>
      <c r="C14" s="14" t="s">
        <v>37</v>
      </c>
      <c r="D14" s="14" t="s">
        <v>31</v>
      </c>
      <c r="E14" s="14" t="n">
        <v>27.62</v>
      </c>
      <c r="F14" s="14" t="n">
        <v>45</v>
      </c>
    </row>
    <row r="15" customFormat="false" ht="15" hidden="false" customHeight="false" outlineLevel="0" collapsed="false">
      <c r="A15" s="14" t="n">
        <v>4005</v>
      </c>
      <c r="B15" s="14" t="s">
        <v>39</v>
      </c>
      <c r="C15" s="14" t="s">
        <v>40</v>
      </c>
      <c r="D15" s="14" t="s">
        <v>27</v>
      </c>
      <c r="E15" s="14" t="n">
        <v>22.14</v>
      </c>
      <c r="F15" s="14" t="n">
        <v>33</v>
      </c>
    </row>
    <row r="16" customFormat="false" ht="15" hidden="false" customHeight="false" outlineLevel="0" collapsed="false">
      <c r="A16" s="14" t="n">
        <v>4052</v>
      </c>
      <c r="B16" s="14" t="s">
        <v>41</v>
      </c>
      <c r="C16" s="14" t="s">
        <v>42</v>
      </c>
      <c r="D16" s="14" t="s">
        <v>24</v>
      </c>
      <c r="E16" s="14" t="n">
        <v>24.48</v>
      </c>
      <c r="F16" s="14" t="n">
        <v>20</v>
      </c>
    </row>
    <row r="17" customFormat="false" ht="15" hidden="false" customHeight="false" outlineLevel="0" collapsed="false">
      <c r="A17" s="14" t="n">
        <v>4067</v>
      </c>
      <c r="B17" s="14" t="s">
        <v>19</v>
      </c>
      <c r="C17" s="14" t="s">
        <v>43</v>
      </c>
      <c r="D17" s="14" t="s">
        <v>21</v>
      </c>
      <c r="E17" s="14" t="n">
        <v>51.99</v>
      </c>
      <c r="F17" s="14" t="n">
        <v>26</v>
      </c>
    </row>
    <row r="18" customFormat="false" ht="15" hidden="false" customHeight="false" outlineLevel="0" collapsed="false">
      <c r="A18" s="14" t="n">
        <v>4012</v>
      </c>
      <c r="B18" s="14" t="s">
        <v>28</v>
      </c>
      <c r="C18" s="14" t="s">
        <v>44</v>
      </c>
      <c r="D18" s="14" t="s">
        <v>31</v>
      </c>
      <c r="E18" s="14" t="n">
        <v>42.53</v>
      </c>
      <c r="F18" s="14" t="n">
        <v>43</v>
      </c>
    </row>
    <row r="19" customFormat="false" ht="15" hidden="false" customHeight="false" outlineLevel="0" collapsed="false">
      <c r="A19" s="14" t="n">
        <v>4052</v>
      </c>
      <c r="B19" s="14" t="s">
        <v>41</v>
      </c>
      <c r="C19" s="14" t="s">
        <v>42</v>
      </c>
      <c r="D19" s="14" t="s">
        <v>24</v>
      </c>
      <c r="E19" s="14" t="n">
        <v>24.48</v>
      </c>
      <c r="F19" s="14" t="n">
        <v>20</v>
      </c>
    </row>
    <row r="20" customFormat="false" ht="15" hidden="false" customHeight="false" outlineLevel="0" collapsed="false">
      <c r="A20" s="14" t="n">
        <v>4004</v>
      </c>
      <c r="B20" s="14" t="s">
        <v>39</v>
      </c>
      <c r="C20" s="14" t="s">
        <v>45</v>
      </c>
      <c r="D20" s="14"/>
      <c r="E20" s="14" t="n">
        <v>64.33</v>
      </c>
      <c r="F20" s="14" t="n">
        <v>28</v>
      </c>
    </row>
    <row r="21" customFormat="false" ht="15" hidden="false" customHeight="false" outlineLevel="0" collapsed="false">
      <c r="A21" s="14" t="n">
        <v>4016</v>
      </c>
      <c r="B21" s="14" t="s">
        <v>35</v>
      </c>
      <c r="C21" s="14" t="s">
        <v>46</v>
      </c>
      <c r="D21" s="14" t="s">
        <v>31</v>
      </c>
      <c r="E21" s="14" t="n">
        <v>50.53</v>
      </c>
      <c r="F21" s="14" t="n">
        <v>26</v>
      </c>
    </row>
    <row r="22" customFormat="false" ht="15" hidden="false" customHeight="false" outlineLevel="0" collapsed="false">
      <c r="A22" s="14" t="n">
        <v>4078</v>
      </c>
      <c r="B22" s="14" t="s">
        <v>22</v>
      </c>
      <c r="C22" s="14" t="s">
        <v>47</v>
      </c>
      <c r="D22" s="14" t="s">
        <v>27</v>
      </c>
      <c r="E22" s="14" t="n">
        <v>31.65</v>
      </c>
      <c r="F22" s="14" t="n">
        <v>32</v>
      </c>
    </row>
    <row r="23" customFormat="false" ht="15" hidden="false" customHeight="false" outlineLevel="0" collapsed="false">
      <c r="A23" s="14" t="n">
        <v>4036</v>
      </c>
      <c r="B23" s="14" t="s">
        <v>41</v>
      </c>
      <c r="C23" s="14" t="s">
        <v>47</v>
      </c>
      <c r="D23" s="14" t="s">
        <v>27</v>
      </c>
      <c r="E23" s="14" t="n">
        <v>47.19</v>
      </c>
      <c r="F23" s="14" t="n">
        <v>41</v>
      </c>
    </row>
    <row r="24" customFormat="false" ht="15" hidden="false" customHeight="false" outlineLevel="0" collapsed="false">
      <c r="A24" s="14" t="n">
        <v>4003</v>
      </c>
      <c r="B24" s="14" t="s">
        <v>19</v>
      </c>
      <c r="C24" s="14" t="s">
        <v>48</v>
      </c>
      <c r="D24" s="14" t="s">
        <v>21</v>
      </c>
      <c r="E24" s="14" t="n">
        <v>25.44</v>
      </c>
      <c r="F24" s="14" t="n">
        <v>20</v>
      </c>
    </row>
    <row r="25" customFormat="false" ht="15" hidden="false" customHeight="false" outlineLevel="0" collapsed="false">
      <c r="A25" s="14" t="n">
        <v>4028</v>
      </c>
      <c r="B25" s="14" t="s">
        <v>49</v>
      </c>
      <c r="C25" s="14" t="s">
        <v>50</v>
      </c>
      <c r="D25" s="14" t="s">
        <v>24</v>
      </c>
      <c r="E25" s="14" t="n">
        <v>51.2</v>
      </c>
      <c r="F25" s="14" t="n">
        <v>22</v>
      </c>
    </row>
    <row r="26" customFormat="false" ht="15" hidden="false" customHeight="false" outlineLevel="0" collapsed="false">
      <c r="A26" s="14" t="n">
        <v>4032</v>
      </c>
      <c r="B26" s="14" t="s">
        <v>41</v>
      </c>
      <c r="C26" s="14" t="s">
        <v>51</v>
      </c>
      <c r="D26" s="14" t="s">
        <v>27</v>
      </c>
      <c r="E26" s="14" t="n">
        <v>41.73</v>
      </c>
      <c r="F26" s="14" t="n">
        <v>46</v>
      </c>
    </row>
    <row r="27" customFormat="false" ht="15" hidden="false" customHeight="false" outlineLevel="0" collapsed="false">
      <c r="A27" s="14" t="n">
        <v>4054</v>
      </c>
      <c r="B27" s="14" t="s">
        <v>41</v>
      </c>
      <c r="C27" s="14" t="s">
        <v>52</v>
      </c>
      <c r="D27" s="14"/>
      <c r="E27" s="14" t="n">
        <v>28.15</v>
      </c>
      <c r="F27" s="14" t="n">
        <v>47</v>
      </c>
    </row>
    <row r="28" customFormat="false" ht="15" hidden="false" customHeight="false" outlineLevel="0" collapsed="false">
      <c r="A28" s="14" t="n">
        <v>4043</v>
      </c>
      <c r="B28" s="14" t="s">
        <v>53</v>
      </c>
      <c r="C28" s="14" t="s">
        <v>54</v>
      </c>
      <c r="D28" s="14" t="s">
        <v>38</v>
      </c>
      <c r="E28" s="14" t="n">
        <v>25.26</v>
      </c>
      <c r="F28" s="14" t="n">
        <v>19</v>
      </c>
    </row>
    <row r="29" customFormat="false" ht="15" hidden="false" customHeight="false" outlineLevel="0" collapsed="false">
      <c r="A29" s="14" t="n">
        <v>4049</v>
      </c>
      <c r="B29" s="14" t="s">
        <v>28</v>
      </c>
      <c r="C29" s="14" t="s">
        <v>32</v>
      </c>
      <c r="D29" s="14" t="s">
        <v>31</v>
      </c>
      <c r="E29" s="14" t="n">
        <v>41.04</v>
      </c>
      <c r="F29" s="14" t="n">
        <v>20</v>
      </c>
    </row>
    <row r="30" customFormat="false" ht="15" hidden="false" customHeight="false" outlineLevel="0" collapsed="false">
      <c r="A30" s="14" t="n">
        <v>4031</v>
      </c>
      <c r="B30" s="14" t="s">
        <v>49</v>
      </c>
      <c r="C30" s="14" t="s">
        <v>55</v>
      </c>
      <c r="D30" s="14" t="s">
        <v>27</v>
      </c>
      <c r="E30" s="14" t="n">
        <v>22.8</v>
      </c>
      <c r="F30" s="14" t="n">
        <v>36</v>
      </c>
    </row>
    <row r="31" customFormat="false" ht="15" hidden="false" customHeight="false" outlineLevel="0" collapsed="false">
      <c r="A31" s="14" t="n">
        <v>4014</v>
      </c>
      <c r="B31" s="14" t="s">
        <v>19</v>
      </c>
      <c r="C31" s="14" t="s">
        <v>56</v>
      </c>
      <c r="D31" s="14" t="s">
        <v>27</v>
      </c>
      <c r="E31" s="14" t="n">
        <v>77.84</v>
      </c>
      <c r="F31" s="14" t="n">
        <v>25</v>
      </c>
    </row>
    <row r="32" customFormat="false" ht="15" hidden="false" customHeight="false" outlineLevel="0" collapsed="false">
      <c r="A32" s="14" t="n">
        <v>4090</v>
      </c>
      <c r="B32" s="14" t="s">
        <v>53</v>
      </c>
      <c r="C32" s="14" t="s">
        <v>57</v>
      </c>
      <c r="D32" s="14" t="s">
        <v>38</v>
      </c>
      <c r="E32" s="14" t="n">
        <v>79.92</v>
      </c>
      <c r="F32" s="14" t="n">
        <v>30</v>
      </c>
    </row>
    <row r="33" customFormat="false" ht="15" hidden="false" customHeight="false" outlineLevel="0" collapsed="false">
      <c r="A33" s="14" t="n">
        <v>4059</v>
      </c>
      <c r="B33" s="14" t="s">
        <v>35</v>
      </c>
      <c r="C33" s="14" t="s">
        <v>58</v>
      </c>
      <c r="D33" s="14"/>
      <c r="E33" s="14" t="n">
        <v>40.74</v>
      </c>
      <c r="F33" s="14" t="n">
        <v>51</v>
      </c>
    </row>
    <row r="34" customFormat="false" ht="15" hidden="false" customHeight="false" outlineLevel="0" collapsed="false">
      <c r="A34" s="14" t="n">
        <v>4040</v>
      </c>
      <c r="B34" s="14" t="s">
        <v>49</v>
      </c>
      <c r="C34" s="14" t="s">
        <v>59</v>
      </c>
      <c r="D34" s="14" t="s">
        <v>38</v>
      </c>
      <c r="E34" s="14" t="n">
        <v>24.33</v>
      </c>
      <c r="F34" s="14" t="n">
        <v>23</v>
      </c>
    </row>
    <row r="35" customFormat="false" ht="15" hidden="false" customHeight="false" outlineLevel="0" collapsed="false">
      <c r="A35" s="14" t="n">
        <v>4009</v>
      </c>
      <c r="B35" s="14" t="s">
        <v>22</v>
      </c>
      <c r="C35" s="14" t="s">
        <v>60</v>
      </c>
      <c r="D35" s="14" t="s">
        <v>38</v>
      </c>
      <c r="E35" s="14" t="n">
        <v>37.34</v>
      </c>
      <c r="F35" s="14" t="n">
        <v>22</v>
      </c>
    </row>
    <row r="36" customFormat="false" ht="15" hidden="false" customHeight="false" outlineLevel="0" collapsed="false">
      <c r="A36" s="14" t="n">
        <v>4074</v>
      </c>
      <c r="B36" s="14" t="s">
        <v>49</v>
      </c>
      <c r="C36" s="14" t="s">
        <v>61</v>
      </c>
      <c r="D36" s="14" t="s">
        <v>31</v>
      </c>
      <c r="E36" s="14" t="n">
        <v>25.59</v>
      </c>
      <c r="F36" s="14" t="n">
        <v>28</v>
      </c>
    </row>
    <row r="37" customFormat="false" ht="15" hidden="false" customHeight="false" outlineLevel="0" collapsed="false">
      <c r="A37" s="14" t="n">
        <v>4031</v>
      </c>
      <c r="B37" s="14" t="s">
        <v>49</v>
      </c>
      <c r="C37" s="14" t="s">
        <v>55</v>
      </c>
      <c r="D37" s="14" t="s">
        <v>27</v>
      </c>
      <c r="E37" s="14" t="n">
        <v>22.8</v>
      </c>
      <c r="F37" s="14" t="n">
        <v>36</v>
      </c>
    </row>
    <row r="38" customFormat="false" ht="15" hidden="false" customHeight="false" outlineLevel="0" collapsed="false">
      <c r="A38" s="14" t="n">
        <v>4081</v>
      </c>
      <c r="B38" s="14" t="s">
        <v>53</v>
      </c>
      <c r="C38" s="14" t="s">
        <v>62</v>
      </c>
      <c r="D38" s="14"/>
      <c r="E38" s="14" t="n">
        <v>31.86</v>
      </c>
      <c r="F38" s="14" t="n">
        <v>51</v>
      </c>
    </row>
    <row r="39" customFormat="false" ht="15" hidden="false" customHeight="false" outlineLevel="0" collapsed="false">
      <c r="A39" s="14" t="n">
        <v>4080</v>
      </c>
      <c r="B39" s="14" t="s">
        <v>39</v>
      </c>
      <c r="C39" s="14" t="s">
        <v>63</v>
      </c>
      <c r="D39" s="14" t="s">
        <v>31</v>
      </c>
      <c r="E39" s="14" t="n">
        <v>63.85</v>
      </c>
      <c r="F39" s="14" t="n">
        <v>25</v>
      </c>
    </row>
    <row r="40" customFormat="false" ht="15" hidden="false" customHeight="false" outlineLevel="0" collapsed="false">
      <c r="A40" s="14" t="n">
        <v>4017</v>
      </c>
      <c r="B40" s="14" t="s">
        <v>49</v>
      </c>
      <c r="C40" s="14" t="s">
        <v>64</v>
      </c>
      <c r="D40" s="14" t="s">
        <v>27</v>
      </c>
      <c r="E40" s="14" t="n">
        <v>43.69</v>
      </c>
      <c r="F40" s="14" t="n">
        <v>31</v>
      </c>
    </row>
    <row r="41" customFormat="false" ht="15" hidden="false" customHeight="false" outlineLevel="0" collapsed="false">
      <c r="A41" s="14" t="n">
        <v>4022</v>
      </c>
      <c r="B41" s="14" t="s">
        <v>33</v>
      </c>
      <c r="C41" s="14" t="s">
        <v>62</v>
      </c>
      <c r="D41" s="14" t="s">
        <v>24</v>
      </c>
      <c r="E41" s="14" t="n">
        <v>57.33</v>
      </c>
      <c r="F41" s="14" t="n">
        <v>26</v>
      </c>
    </row>
    <row r="42" customFormat="false" ht="15" hidden="false" customHeight="false" outlineLevel="0" collapsed="false">
      <c r="A42" s="14" t="n">
        <v>4038</v>
      </c>
      <c r="B42" s="14" t="s">
        <v>41</v>
      </c>
      <c r="C42" s="14" t="s">
        <v>65</v>
      </c>
      <c r="D42" s="14" t="s">
        <v>27</v>
      </c>
      <c r="E42" s="14" t="n">
        <v>72.27</v>
      </c>
      <c r="F42" s="14" t="n">
        <v>44</v>
      </c>
    </row>
    <row r="43" customFormat="false" ht="15" hidden="false" customHeight="false" outlineLevel="0" collapsed="false">
      <c r="A43" s="14" t="n">
        <v>4053</v>
      </c>
      <c r="B43" s="14" t="s">
        <v>22</v>
      </c>
      <c r="C43" s="14" t="s">
        <v>66</v>
      </c>
      <c r="D43" s="14"/>
      <c r="E43" s="14" t="n">
        <v>62.52</v>
      </c>
      <c r="F43" s="14" t="n">
        <v>54</v>
      </c>
    </row>
    <row r="44" customFormat="false" ht="15" hidden="false" customHeight="false" outlineLevel="0" collapsed="false">
      <c r="A44" s="14" t="n">
        <v>4057</v>
      </c>
      <c r="B44" s="14" t="s">
        <v>19</v>
      </c>
      <c r="C44" s="14" t="s">
        <v>46</v>
      </c>
      <c r="D44" s="14" t="s">
        <v>21</v>
      </c>
      <c r="E44" s="14" t="n">
        <v>69.43</v>
      </c>
      <c r="F44" s="14" t="n">
        <v>34</v>
      </c>
    </row>
    <row r="45" customFormat="false" ht="15" hidden="false" customHeight="false" outlineLevel="0" collapsed="false">
      <c r="A45" s="14" t="n">
        <v>4070</v>
      </c>
      <c r="B45" s="14" t="s">
        <v>53</v>
      </c>
      <c r="C45" s="14" t="s">
        <v>67</v>
      </c>
      <c r="D45" s="14" t="s">
        <v>24</v>
      </c>
      <c r="E45" s="14" t="n">
        <v>60.28</v>
      </c>
      <c r="F45" s="14" t="n">
        <v>31</v>
      </c>
    </row>
    <row r="46" customFormat="false" ht="15" hidden="false" customHeight="false" outlineLevel="0" collapsed="false">
      <c r="A46" s="14" t="n">
        <v>4084</v>
      </c>
      <c r="B46" s="14" t="s">
        <v>53</v>
      </c>
      <c r="C46" s="14" t="s">
        <v>68</v>
      </c>
      <c r="D46" s="14" t="s">
        <v>21</v>
      </c>
      <c r="E46" s="14" t="n">
        <v>74.89</v>
      </c>
      <c r="F46" s="14" t="n">
        <v>40</v>
      </c>
    </row>
    <row r="47" customFormat="false" ht="15" hidden="false" customHeight="false" outlineLevel="0" collapsed="false">
      <c r="A47" s="14" t="n">
        <v>4058</v>
      </c>
      <c r="B47" s="14" t="s">
        <v>35</v>
      </c>
      <c r="C47" s="14" t="s">
        <v>30</v>
      </c>
      <c r="D47" s="14"/>
      <c r="E47" s="14" t="n">
        <v>48.33</v>
      </c>
      <c r="F47" s="14" t="n">
        <v>20</v>
      </c>
    </row>
    <row r="48" customFormat="false" ht="15" hidden="false" customHeight="false" outlineLevel="0" collapsed="false">
      <c r="A48" s="14" t="n">
        <v>4041</v>
      </c>
      <c r="B48" s="14" t="s">
        <v>19</v>
      </c>
      <c r="C48" s="14" t="s">
        <v>69</v>
      </c>
      <c r="D48" s="14"/>
      <c r="E48" s="14" t="n">
        <v>39.81</v>
      </c>
      <c r="F48" s="14" t="n">
        <v>55</v>
      </c>
    </row>
    <row r="49" customFormat="false" ht="15" hidden="false" customHeight="false" outlineLevel="0" collapsed="false">
      <c r="A49" s="14" t="n">
        <v>4003</v>
      </c>
      <c r="B49" s="14" t="s">
        <v>19</v>
      </c>
      <c r="C49" s="14" t="s">
        <v>48</v>
      </c>
      <c r="D49" s="14" t="s">
        <v>21</v>
      </c>
      <c r="E49" s="14" t="n">
        <v>25.44</v>
      </c>
      <c r="F49" s="14" t="n">
        <v>20</v>
      </c>
    </row>
    <row r="50" customFormat="false" ht="15" hidden="false" customHeight="false" outlineLevel="0" collapsed="false">
      <c r="A50" s="14" t="n">
        <v>4072</v>
      </c>
      <c r="B50" s="14" t="s">
        <v>17</v>
      </c>
      <c r="C50" s="14" t="s">
        <v>36</v>
      </c>
      <c r="D50" s="14" t="s">
        <v>38</v>
      </c>
      <c r="E50" s="14" t="n">
        <v>26.86</v>
      </c>
      <c r="F50" s="14" t="n">
        <v>18</v>
      </c>
    </row>
    <row r="51" customFormat="false" ht="15" hidden="false" customHeight="false" outlineLevel="0" collapsed="false">
      <c r="A51" s="14" t="n">
        <v>4085</v>
      </c>
      <c r="B51" s="14" t="s">
        <v>35</v>
      </c>
      <c r="C51" s="14" t="s">
        <v>70</v>
      </c>
      <c r="D51" s="14" t="s">
        <v>21</v>
      </c>
      <c r="E51" s="14" t="n">
        <v>33.09</v>
      </c>
      <c r="F51" s="14" t="n">
        <v>30</v>
      </c>
    </row>
    <row r="52" customFormat="false" ht="15" hidden="false" customHeight="false" outlineLevel="0" collapsed="false">
      <c r="A52" s="14" t="n">
        <v>4001</v>
      </c>
      <c r="B52" s="14" t="s">
        <v>17</v>
      </c>
      <c r="C52" s="14" t="s">
        <v>71</v>
      </c>
      <c r="D52" s="14" t="s">
        <v>31</v>
      </c>
      <c r="E52" s="14" t="n">
        <v>50.47</v>
      </c>
      <c r="F52" s="14" t="n">
        <v>55</v>
      </c>
    </row>
    <row r="53" customFormat="false" ht="15" hidden="false" customHeight="false" outlineLevel="0" collapsed="false">
      <c r="A53" s="14" t="n">
        <v>4082</v>
      </c>
      <c r="B53" s="14" t="s">
        <v>49</v>
      </c>
      <c r="C53" s="14" t="s">
        <v>72</v>
      </c>
      <c r="D53" s="14"/>
      <c r="E53" s="14" t="n">
        <v>44.8</v>
      </c>
      <c r="F53" s="14" t="n">
        <v>51</v>
      </c>
    </row>
    <row r="54" customFormat="false" ht="15" hidden="false" customHeight="false" outlineLevel="0" collapsed="false">
      <c r="A54" s="14" t="n">
        <v>4033</v>
      </c>
      <c r="B54" s="14" t="s">
        <v>41</v>
      </c>
      <c r="C54" s="14" t="s">
        <v>46</v>
      </c>
      <c r="D54" s="14" t="s">
        <v>38</v>
      </c>
      <c r="E54" s="14" t="n">
        <v>22.1</v>
      </c>
      <c r="F54" s="14" t="n">
        <v>19</v>
      </c>
    </row>
    <row r="55" customFormat="false" ht="15" hidden="false" customHeight="false" outlineLevel="0" collapsed="false">
      <c r="A55" s="14" t="n">
        <v>4007</v>
      </c>
      <c r="B55" s="14" t="s">
        <v>53</v>
      </c>
      <c r="C55" s="14" t="s">
        <v>58</v>
      </c>
      <c r="D55" s="14" t="s">
        <v>31</v>
      </c>
      <c r="E55" s="14" t="n">
        <v>20.28</v>
      </c>
      <c r="F55" s="14" t="n">
        <v>23</v>
      </c>
    </row>
    <row r="56" customFormat="false" ht="15" hidden="false" customHeight="false" outlineLevel="0" collapsed="false">
      <c r="A56" s="14" t="n">
        <v>4011</v>
      </c>
      <c r="B56" s="14" t="s">
        <v>49</v>
      </c>
      <c r="C56" s="14" t="s">
        <v>73</v>
      </c>
      <c r="D56" s="14"/>
      <c r="E56" s="14" t="n">
        <v>61.09</v>
      </c>
      <c r="F56" s="14" t="n">
        <v>31</v>
      </c>
    </row>
    <row r="57" customFormat="false" ht="15" hidden="false" customHeight="false" outlineLevel="0" collapsed="false">
      <c r="A57" s="14" t="n">
        <v>4039</v>
      </c>
      <c r="B57" s="14" t="s">
        <v>33</v>
      </c>
      <c r="C57" s="14" t="s">
        <v>71</v>
      </c>
      <c r="D57" s="14" t="s">
        <v>38</v>
      </c>
      <c r="E57" s="14" t="n">
        <v>20.87</v>
      </c>
      <c r="F57" s="14" t="n">
        <v>42</v>
      </c>
    </row>
    <row r="58" customFormat="false" ht="15" hidden="false" customHeight="false" outlineLevel="0" collapsed="false">
      <c r="A58" s="14" t="n">
        <v>4077</v>
      </c>
      <c r="B58" s="14" t="s">
        <v>17</v>
      </c>
      <c r="C58" s="14" t="s">
        <v>67</v>
      </c>
      <c r="D58" s="14" t="s">
        <v>27</v>
      </c>
      <c r="E58" s="14" t="n">
        <v>31.49</v>
      </c>
      <c r="F58" s="14" t="n">
        <v>19</v>
      </c>
    </row>
    <row r="59" customFormat="false" ht="15" hidden="false" customHeight="false" outlineLevel="0" collapsed="false">
      <c r="A59" s="14" t="n">
        <v>4065</v>
      </c>
      <c r="B59" s="14" t="s">
        <v>41</v>
      </c>
      <c r="C59" s="14" t="s">
        <v>74</v>
      </c>
      <c r="D59" s="14" t="s">
        <v>27</v>
      </c>
      <c r="E59" s="14" t="n">
        <v>46.45</v>
      </c>
      <c r="F59" s="14" t="n">
        <v>53</v>
      </c>
    </row>
    <row r="60" customFormat="false" ht="15" hidden="false" customHeight="false" outlineLevel="0" collapsed="false">
      <c r="A60" s="14" t="n">
        <v>4061</v>
      </c>
      <c r="B60" s="14" t="s">
        <v>19</v>
      </c>
      <c r="C60" s="14" t="s">
        <v>75</v>
      </c>
      <c r="D60" s="14" t="s">
        <v>21</v>
      </c>
      <c r="E60" s="14" t="n">
        <v>47.03</v>
      </c>
      <c r="F60" s="14" t="n">
        <v>30</v>
      </c>
    </row>
    <row r="61" customFormat="false" ht="15" hidden="false" customHeight="false" outlineLevel="0" collapsed="false">
      <c r="A61" s="14" t="n">
        <v>4068</v>
      </c>
      <c r="B61" s="14" t="s">
        <v>17</v>
      </c>
      <c r="C61" s="14" t="s">
        <v>76</v>
      </c>
      <c r="D61" s="14" t="s">
        <v>31</v>
      </c>
      <c r="E61" s="14" t="n">
        <v>54.74</v>
      </c>
      <c r="F61" s="14" t="n">
        <v>23</v>
      </c>
    </row>
    <row r="62" customFormat="false" ht="15" hidden="false" customHeight="false" outlineLevel="0" collapsed="false">
      <c r="A62" s="14" t="n">
        <v>4064</v>
      </c>
      <c r="B62" s="14" t="s">
        <v>19</v>
      </c>
      <c r="C62" s="14" t="s">
        <v>56</v>
      </c>
      <c r="D62" s="14" t="s">
        <v>24</v>
      </c>
      <c r="E62" s="14" t="n">
        <v>74.6</v>
      </c>
      <c r="F62" s="14" t="n">
        <v>19</v>
      </c>
    </row>
    <row r="63" customFormat="false" ht="15" hidden="false" customHeight="false" outlineLevel="0" collapsed="false">
      <c r="A63" s="14" t="n">
        <v>4030</v>
      </c>
      <c r="B63" s="14" t="s">
        <v>22</v>
      </c>
      <c r="C63" s="14" t="s">
        <v>68</v>
      </c>
      <c r="D63" s="14"/>
      <c r="E63" s="14" t="n">
        <v>20.99</v>
      </c>
      <c r="F63" s="14" t="n">
        <v>35</v>
      </c>
    </row>
    <row r="64" customFormat="false" ht="15" hidden="false" customHeight="false" outlineLevel="0" collapsed="false">
      <c r="A64" s="14" t="n">
        <v>4069</v>
      </c>
      <c r="B64" s="14" t="s">
        <v>28</v>
      </c>
      <c r="C64" s="14" t="s">
        <v>48</v>
      </c>
      <c r="D64" s="14"/>
      <c r="E64" s="14" t="n">
        <v>63.73</v>
      </c>
      <c r="F64" s="14" t="n">
        <v>28</v>
      </c>
    </row>
    <row r="65" customFormat="false" ht="15" hidden="false" customHeight="false" outlineLevel="0" collapsed="false">
      <c r="A65" s="14" t="n">
        <v>4089</v>
      </c>
      <c r="B65" s="14" t="s">
        <v>19</v>
      </c>
      <c r="C65" s="14" t="s">
        <v>77</v>
      </c>
      <c r="D65" s="14"/>
      <c r="E65" s="14" t="n">
        <v>78.1</v>
      </c>
      <c r="F65" s="14" t="n">
        <v>25</v>
      </c>
    </row>
    <row r="66" customFormat="false" ht="15" hidden="false" customHeight="false" outlineLevel="0" collapsed="false">
      <c r="A66" s="14" t="n">
        <v>4026</v>
      </c>
      <c r="B66" s="14" t="s">
        <v>39</v>
      </c>
      <c r="C66" s="14" t="s">
        <v>65</v>
      </c>
      <c r="D66" s="14" t="s">
        <v>27</v>
      </c>
      <c r="E66" s="14" t="n">
        <v>26.23</v>
      </c>
      <c r="F66" s="14" t="n">
        <v>20</v>
      </c>
    </row>
    <row r="67" customFormat="false" ht="15" hidden="false" customHeight="false" outlineLevel="0" collapsed="false">
      <c r="A67" s="14" t="n">
        <v>4006</v>
      </c>
      <c r="B67" s="14" t="s">
        <v>39</v>
      </c>
      <c r="C67" s="14" t="s">
        <v>72</v>
      </c>
      <c r="D67" s="14" t="s">
        <v>24</v>
      </c>
      <c r="E67" s="14" t="n">
        <v>46.43</v>
      </c>
      <c r="F67" s="14" t="n">
        <v>30</v>
      </c>
    </row>
    <row r="68" customFormat="false" ht="15" hidden="false" customHeight="false" outlineLevel="0" collapsed="false">
      <c r="A68" s="14" t="n">
        <v>4002</v>
      </c>
      <c r="B68" s="14" t="s">
        <v>28</v>
      </c>
      <c r="C68" s="14" t="s">
        <v>78</v>
      </c>
      <c r="D68" s="14"/>
      <c r="E68" s="14" t="n">
        <v>56.84</v>
      </c>
      <c r="F68" s="14" t="n">
        <v>29</v>
      </c>
    </row>
    <row r="69" customFormat="false" ht="15" hidden="false" customHeight="false" outlineLevel="0" collapsed="false">
      <c r="A69" s="14" t="n">
        <v>4048</v>
      </c>
      <c r="B69" s="14" t="s">
        <v>28</v>
      </c>
      <c r="C69" s="14" t="s">
        <v>79</v>
      </c>
      <c r="D69" s="14" t="s">
        <v>31</v>
      </c>
      <c r="E69" s="14" t="n">
        <v>33.17</v>
      </c>
      <c r="F69" s="14" t="n">
        <v>38</v>
      </c>
    </row>
    <row r="70" customFormat="false" ht="15" hidden="false" customHeight="false" outlineLevel="0" collapsed="false">
      <c r="A70" s="14" t="n">
        <v>4087</v>
      </c>
      <c r="B70" s="14" t="s">
        <v>49</v>
      </c>
      <c r="C70" s="14" t="s">
        <v>80</v>
      </c>
      <c r="D70" s="14"/>
      <c r="E70" s="14" t="n">
        <v>76.47</v>
      </c>
      <c r="F70" s="14" t="n">
        <v>52</v>
      </c>
    </row>
    <row r="71" customFormat="false" ht="15" hidden="false" customHeight="false" outlineLevel="0" collapsed="false">
      <c r="A71" s="14" t="n">
        <v>4056</v>
      </c>
      <c r="B71" s="14" t="s">
        <v>19</v>
      </c>
      <c r="C71" s="14" t="s">
        <v>81</v>
      </c>
      <c r="D71" s="14"/>
      <c r="E71" s="14" t="n">
        <v>52.12</v>
      </c>
      <c r="F71" s="14" t="n">
        <v>41</v>
      </c>
    </row>
    <row r="72" customFormat="false" ht="15" hidden="false" customHeight="false" outlineLevel="0" collapsed="false">
      <c r="A72" s="14" t="n">
        <v>4046</v>
      </c>
      <c r="B72" s="14" t="s">
        <v>53</v>
      </c>
      <c r="C72" s="14" t="s">
        <v>82</v>
      </c>
      <c r="D72" s="14"/>
      <c r="E72" s="14" t="n">
        <v>75.82</v>
      </c>
      <c r="F72" s="14" t="n">
        <v>49</v>
      </c>
    </row>
    <row r="73" customFormat="false" ht="15" hidden="false" customHeight="false" outlineLevel="0" collapsed="false">
      <c r="A73" s="14" t="n">
        <v>4007</v>
      </c>
      <c r="B73" s="14" t="s">
        <v>53</v>
      </c>
      <c r="C73" s="14" t="s">
        <v>58</v>
      </c>
      <c r="D73" s="14" t="s">
        <v>31</v>
      </c>
      <c r="E73" s="14" t="n">
        <v>20.28</v>
      </c>
      <c r="F73" s="14" t="n">
        <v>23</v>
      </c>
    </row>
    <row r="74" customFormat="false" ht="15" hidden="false" customHeight="false" outlineLevel="0" collapsed="false">
      <c r="A74" s="14" t="n">
        <v>4055</v>
      </c>
      <c r="B74" s="14" t="s">
        <v>28</v>
      </c>
      <c r="C74" s="14" t="s">
        <v>54</v>
      </c>
      <c r="D74" s="14" t="s">
        <v>21</v>
      </c>
      <c r="E74" s="14" t="n">
        <v>66.76</v>
      </c>
      <c r="F74" s="14" t="n">
        <v>21</v>
      </c>
    </row>
    <row r="75" customFormat="false" ht="15" hidden="false" customHeight="false" outlineLevel="0" collapsed="false">
      <c r="A75" s="14" t="n">
        <v>4002</v>
      </c>
      <c r="B75" s="14" t="s">
        <v>28</v>
      </c>
      <c r="C75" s="14" t="s">
        <v>78</v>
      </c>
      <c r="D75" s="14"/>
      <c r="E75" s="14" t="n">
        <v>56.84</v>
      </c>
      <c r="F75" s="14" t="n">
        <v>29</v>
      </c>
    </row>
    <row r="76" customFormat="false" ht="15" hidden="false" customHeight="false" outlineLevel="0" collapsed="false">
      <c r="A76" s="14" t="n">
        <v>4051</v>
      </c>
      <c r="B76" s="14" t="s">
        <v>28</v>
      </c>
      <c r="C76" s="14" t="s">
        <v>50</v>
      </c>
      <c r="D76" s="14" t="s">
        <v>31</v>
      </c>
      <c r="E76" s="14" t="n">
        <v>57.54</v>
      </c>
      <c r="F76" s="14" t="n">
        <v>49</v>
      </c>
    </row>
    <row r="77" customFormat="false" ht="15" hidden="false" customHeight="false" outlineLevel="0" collapsed="false">
      <c r="A77" s="14" t="n">
        <v>4042</v>
      </c>
      <c r="B77" s="14" t="s">
        <v>17</v>
      </c>
      <c r="C77" s="14" t="s">
        <v>83</v>
      </c>
      <c r="D77" s="14"/>
      <c r="E77" s="14" t="n">
        <v>52.48</v>
      </c>
      <c r="F77" s="14" t="n">
        <v>51</v>
      </c>
    </row>
    <row r="78" customFormat="false" ht="15" hidden="false" customHeight="false" outlineLevel="0" collapsed="false">
      <c r="A78" s="14" t="n">
        <v>4083</v>
      </c>
      <c r="B78" s="14" t="s">
        <v>39</v>
      </c>
      <c r="C78" s="14" t="s">
        <v>84</v>
      </c>
      <c r="D78" s="14"/>
      <c r="E78" s="14" t="n">
        <v>57.88</v>
      </c>
      <c r="F78" s="14" t="n">
        <v>31</v>
      </c>
    </row>
    <row r="79" customFormat="false" ht="15" hidden="false" customHeight="false" outlineLevel="0" collapsed="false">
      <c r="A79" s="14" t="n">
        <v>4010</v>
      </c>
      <c r="B79" s="14" t="s">
        <v>39</v>
      </c>
      <c r="C79" s="14" t="s">
        <v>85</v>
      </c>
      <c r="D79" s="14" t="s">
        <v>31</v>
      </c>
      <c r="E79" s="14" t="n">
        <v>26.47</v>
      </c>
      <c r="F79" s="14" t="n">
        <v>36</v>
      </c>
    </row>
    <row r="80" customFormat="false" ht="15" hidden="false" customHeight="false" outlineLevel="0" collapsed="false">
      <c r="A80" s="14" t="n">
        <v>4060</v>
      </c>
      <c r="B80" s="14" t="s">
        <v>53</v>
      </c>
      <c r="C80" s="14" t="s">
        <v>86</v>
      </c>
      <c r="D80" s="14" t="s">
        <v>31</v>
      </c>
      <c r="E80" s="14" t="n">
        <v>70.93</v>
      </c>
      <c r="F80" s="14" t="n">
        <v>32</v>
      </c>
    </row>
    <row r="81" customFormat="false" ht="15" hidden="false" customHeight="false" outlineLevel="0" collapsed="false">
      <c r="A81" s="14" t="n">
        <v>4018</v>
      </c>
      <c r="B81" s="14" t="s">
        <v>33</v>
      </c>
      <c r="C81" s="14" t="s">
        <v>87</v>
      </c>
      <c r="D81" s="14" t="s">
        <v>27</v>
      </c>
      <c r="E81" s="14" t="n">
        <v>32.64</v>
      </c>
      <c r="F81" s="14" t="n">
        <v>43</v>
      </c>
    </row>
    <row r="82" customFormat="false" ht="15" hidden="false" customHeight="false" outlineLevel="0" collapsed="false">
      <c r="A82" s="14" t="n">
        <v>4008</v>
      </c>
      <c r="B82" s="14" t="s">
        <v>17</v>
      </c>
      <c r="C82" s="14" t="s">
        <v>57</v>
      </c>
      <c r="D82" s="14" t="s">
        <v>31</v>
      </c>
      <c r="E82" s="14" t="n">
        <v>79.86</v>
      </c>
      <c r="F82" s="14" t="n">
        <v>23</v>
      </c>
    </row>
    <row r="83" customFormat="false" ht="15" hidden="false" customHeight="false" outlineLevel="0" collapsed="false">
      <c r="A83" s="14" t="n">
        <v>4075</v>
      </c>
      <c r="B83" s="14" t="s">
        <v>19</v>
      </c>
      <c r="C83" s="14" t="s">
        <v>88</v>
      </c>
      <c r="D83" s="14" t="s">
        <v>31</v>
      </c>
      <c r="E83" s="14" t="n">
        <v>75.25</v>
      </c>
      <c r="F83" s="14" t="n">
        <v>43</v>
      </c>
    </row>
    <row r="84" customFormat="false" ht="15" hidden="false" customHeight="false" outlineLevel="0" collapsed="false">
      <c r="A84" s="14" t="n">
        <v>4013</v>
      </c>
      <c r="B84" s="14" t="s">
        <v>49</v>
      </c>
      <c r="C84" s="14" t="s">
        <v>89</v>
      </c>
      <c r="D84" s="14"/>
      <c r="E84" s="14" t="n">
        <v>60.49</v>
      </c>
      <c r="F84" s="14" t="n">
        <v>39</v>
      </c>
    </row>
    <row r="85" customFormat="false" ht="15" hidden="false" customHeight="false" outlineLevel="0" collapsed="false">
      <c r="A85" s="14" t="n">
        <v>4037</v>
      </c>
      <c r="B85" s="14" t="s">
        <v>33</v>
      </c>
      <c r="C85" s="14" t="s">
        <v>79</v>
      </c>
      <c r="D85" s="14"/>
      <c r="E85" s="14" t="n">
        <v>77.8</v>
      </c>
      <c r="F85" s="14" t="n">
        <v>39</v>
      </c>
    </row>
    <row r="86" customFormat="false" ht="15" hidden="false" customHeight="false" outlineLevel="0" collapsed="false">
      <c r="A86" s="14" t="n">
        <v>4021</v>
      </c>
      <c r="B86" s="14" t="s">
        <v>49</v>
      </c>
      <c r="C86" s="14" t="s">
        <v>73</v>
      </c>
      <c r="D86" s="14" t="s">
        <v>27</v>
      </c>
      <c r="E86" s="14" t="n">
        <v>32.52</v>
      </c>
      <c r="F86" s="14" t="n">
        <v>33</v>
      </c>
    </row>
    <row r="87" customFormat="false" ht="15" hidden="false" customHeight="false" outlineLevel="0" collapsed="false">
      <c r="A87" s="14" t="n">
        <v>4023</v>
      </c>
      <c r="B87" s="14" t="s">
        <v>39</v>
      </c>
      <c r="C87" s="14" t="s">
        <v>90</v>
      </c>
      <c r="D87" s="14"/>
      <c r="E87" s="14" t="n">
        <v>43.17</v>
      </c>
      <c r="F87" s="14" t="n">
        <v>27</v>
      </c>
    </row>
    <row r="88" customFormat="false" ht="15" hidden="false" customHeight="false" outlineLevel="0" collapsed="false">
      <c r="A88" s="14" t="n">
        <v>4027</v>
      </c>
      <c r="B88" s="14" t="s">
        <v>53</v>
      </c>
      <c r="C88" s="14" t="s">
        <v>26</v>
      </c>
      <c r="D88" s="14"/>
      <c r="E88" s="14" t="n">
        <v>62.27</v>
      </c>
      <c r="F88" s="14" t="n">
        <v>34</v>
      </c>
    </row>
    <row r="89" customFormat="false" ht="15" hidden="false" customHeight="false" outlineLevel="0" collapsed="false">
      <c r="A89" s="14" t="n">
        <v>4015</v>
      </c>
      <c r="B89" s="14" t="s">
        <v>35</v>
      </c>
      <c r="C89" s="14" t="s">
        <v>91</v>
      </c>
      <c r="D89" s="14" t="s">
        <v>27</v>
      </c>
      <c r="E89" s="14" t="n">
        <v>23.59</v>
      </c>
      <c r="F89" s="14" t="n">
        <v>49</v>
      </c>
    </row>
    <row r="90" customFormat="false" ht="15" hidden="false" customHeight="false" outlineLevel="0" collapsed="false">
      <c r="A90" s="14" t="n">
        <v>4024</v>
      </c>
      <c r="B90" s="14" t="s">
        <v>22</v>
      </c>
      <c r="C90" s="14" t="s">
        <v>92</v>
      </c>
      <c r="D90" s="14"/>
      <c r="E90" s="14" t="n">
        <v>56.63</v>
      </c>
      <c r="F90" s="14" t="n">
        <v>30</v>
      </c>
    </row>
    <row r="91" customFormat="false" ht="15" hidden="false" customHeight="false" outlineLevel="0" collapsed="false">
      <c r="A91" s="14" t="n">
        <v>4025</v>
      </c>
      <c r="B91" s="14" t="s">
        <v>35</v>
      </c>
      <c r="C91" s="14" t="s">
        <v>93</v>
      </c>
      <c r="D91" s="14"/>
      <c r="E91" s="14" t="n">
        <v>77.01</v>
      </c>
      <c r="F91" s="14" t="n">
        <v>48</v>
      </c>
    </row>
    <row r="92" customFormat="false" ht="15" hidden="false" customHeight="false" outlineLevel="0" collapsed="false">
      <c r="A92" s="14" t="n">
        <v>4019</v>
      </c>
      <c r="B92" s="14" t="s">
        <v>39</v>
      </c>
      <c r="C92" s="14" t="s">
        <v>94</v>
      </c>
      <c r="D92" s="14" t="s">
        <v>27</v>
      </c>
      <c r="E92" s="14" t="n">
        <v>79.36</v>
      </c>
      <c r="F92" s="14" t="n">
        <v>31</v>
      </c>
    </row>
    <row r="93" customFormat="false" ht="15" hidden="false" customHeight="false" outlineLevel="0" collapsed="false">
      <c r="A93" s="14" t="n">
        <v>4062</v>
      </c>
      <c r="B93" s="14" t="s">
        <v>33</v>
      </c>
      <c r="C93" s="14" t="s">
        <v>95</v>
      </c>
      <c r="D93" s="14" t="s">
        <v>31</v>
      </c>
      <c r="E93" s="14" t="n">
        <v>39.59</v>
      </c>
      <c r="F93" s="14" t="n">
        <v>31</v>
      </c>
    </row>
    <row r="94" customFormat="false" ht="15" hidden="false" customHeight="false" outlineLevel="0" collapsed="false">
      <c r="A94" s="14" t="n">
        <v>4073</v>
      </c>
      <c r="B94" s="14" t="s">
        <v>39</v>
      </c>
      <c r="C94" s="14" t="s">
        <v>96</v>
      </c>
      <c r="D94" s="14" t="s">
        <v>38</v>
      </c>
      <c r="E94" s="14" t="n">
        <v>78.16</v>
      </c>
      <c r="F94" s="14" t="n">
        <v>51</v>
      </c>
    </row>
    <row r="95" customFormat="false" ht="15" hidden="false" customHeight="false" outlineLevel="0" collapsed="false">
      <c r="A95" s="14" t="n">
        <v>4066</v>
      </c>
      <c r="B95" s="14" t="s">
        <v>49</v>
      </c>
      <c r="C95" s="14" t="s">
        <v>97</v>
      </c>
      <c r="D95" s="14" t="s">
        <v>31</v>
      </c>
      <c r="E95" s="14" t="n">
        <v>75.19</v>
      </c>
      <c r="F95" s="14" t="n">
        <v>31</v>
      </c>
    </row>
    <row r="96" customFormat="false" ht="15" hidden="false" customHeight="false" outlineLevel="0" collapsed="false">
      <c r="A96" s="14" t="n">
        <v>4079</v>
      </c>
      <c r="B96" s="14" t="s">
        <v>33</v>
      </c>
      <c r="C96" s="14" t="s">
        <v>98</v>
      </c>
      <c r="D96" s="14" t="s">
        <v>24</v>
      </c>
      <c r="E96" s="14" t="n">
        <v>63.42</v>
      </c>
      <c r="F96" s="14" t="n">
        <v>33</v>
      </c>
    </row>
    <row r="97" customFormat="false" ht="15" hidden="false" customHeight="false" outlineLevel="0" collapsed="false">
      <c r="A97" s="14" t="n">
        <v>4071</v>
      </c>
      <c r="B97" s="14" t="s">
        <v>22</v>
      </c>
      <c r="C97" s="14" t="s">
        <v>99</v>
      </c>
      <c r="D97" s="14" t="s">
        <v>38</v>
      </c>
      <c r="E97" s="14" t="n">
        <v>51.45</v>
      </c>
      <c r="F97" s="14" t="n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13" t="s">
        <v>12</v>
      </c>
      <c r="B1" s="13" t="s">
        <v>100</v>
      </c>
      <c r="C1" s="13" t="s">
        <v>101</v>
      </c>
      <c r="D1" s="13" t="s">
        <v>102</v>
      </c>
    </row>
    <row r="2" customFormat="false" ht="15" hidden="false" customHeight="false" outlineLevel="0" collapsed="false">
      <c r="A2" s="14" t="s">
        <v>33</v>
      </c>
      <c r="B2" s="14" t="s">
        <v>103</v>
      </c>
      <c r="C2" s="14" t="s">
        <v>104</v>
      </c>
      <c r="D2" s="14" t="n">
        <f aca="false">COUNTIF(Orders_Cleaned!$B$2:$B$91,A2)</f>
        <v>7</v>
      </c>
    </row>
    <row r="3" customFormat="false" ht="15" hidden="false" customHeight="false" outlineLevel="0" collapsed="false">
      <c r="A3" s="14" t="s">
        <v>19</v>
      </c>
      <c r="B3" s="14" t="s">
        <v>105</v>
      </c>
      <c r="C3" s="14" t="s">
        <v>106</v>
      </c>
      <c r="D3" s="14" t="n">
        <f aca="false">COUNTIF(Orders_Cleaned!$B$2:$B$91,A3)</f>
        <v>13</v>
      </c>
    </row>
    <row r="4" customFormat="false" ht="15" hidden="false" customHeight="false" outlineLevel="0" collapsed="false">
      <c r="A4" s="14" t="s">
        <v>35</v>
      </c>
      <c r="B4" s="14" t="s">
        <v>107</v>
      </c>
      <c r="C4" s="14" t="s">
        <v>108</v>
      </c>
      <c r="D4" s="14" t="n">
        <f aca="false">COUNTIF(Orders_Cleaned!$B$2:$B$91,A4)</f>
        <v>8</v>
      </c>
    </row>
    <row r="5" customFormat="false" ht="15" hidden="false" customHeight="false" outlineLevel="0" collapsed="false">
      <c r="A5" s="14" t="s">
        <v>28</v>
      </c>
      <c r="B5" s="14" t="s">
        <v>109</v>
      </c>
      <c r="C5" s="14" t="s">
        <v>110</v>
      </c>
      <c r="D5" s="14" t="n">
        <f aca="false">COUNTIF(Orders_Cleaned!$B$2:$B$91,A5)</f>
        <v>9</v>
      </c>
    </row>
    <row r="6" customFormat="false" ht="15" hidden="false" customHeight="false" outlineLevel="0" collapsed="false">
      <c r="A6" s="14" t="s">
        <v>22</v>
      </c>
      <c r="B6" s="14" t="s">
        <v>111</v>
      </c>
      <c r="C6" s="14" t="s">
        <v>112</v>
      </c>
      <c r="D6" s="14" t="n">
        <f aca="false">COUNTIF(Orders_Cleaned!$B$2:$B$91,A6)</f>
        <v>8</v>
      </c>
    </row>
    <row r="7" customFormat="false" ht="15" hidden="false" customHeight="false" outlineLevel="0" collapsed="false">
      <c r="A7" s="14" t="s">
        <v>41</v>
      </c>
      <c r="B7" s="14" t="s">
        <v>113</v>
      </c>
      <c r="C7" s="14" t="s">
        <v>104</v>
      </c>
      <c r="D7" s="14" t="n">
        <f aca="false">COUNTIF(Orders_Cleaned!$B$2:$B$91,A7)</f>
        <v>7</v>
      </c>
    </row>
    <row r="8" customFormat="false" ht="15" hidden="false" customHeight="false" outlineLevel="0" collapsed="false">
      <c r="A8" s="14" t="s">
        <v>49</v>
      </c>
      <c r="B8" s="14" t="s">
        <v>114</v>
      </c>
      <c r="C8" s="14" t="s">
        <v>106</v>
      </c>
      <c r="D8" s="14" t="n">
        <f aca="false">COUNTIF(Orders_Cleaned!$B$2:$B$91,A8)</f>
        <v>11</v>
      </c>
    </row>
    <row r="9" customFormat="false" ht="15" hidden="false" customHeight="false" outlineLevel="0" collapsed="false">
      <c r="A9" s="14" t="s">
        <v>17</v>
      </c>
      <c r="B9" s="14" t="s">
        <v>115</v>
      </c>
      <c r="C9" s="14" t="s">
        <v>108</v>
      </c>
      <c r="D9" s="14" t="n">
        <f aca="false">COUNTIF(Orders_Cleaned!$B$2:$B$91,A9)</f>
        <v>8</v>
      </c>
    </row>
    <row r="10" customFormat="false" ht="15" hidden="false" customHeight="false" outlineLevel="0" collapsed="false">
      <c r="A10" s="14" t="s">
        <v>53</v>
      </c>
      <c r="B10" s="14" t="s">
        <v>116</v>
      </c>
      <c r="C10" s="14" t="s">
        <v>110</v>
      </c>
      <c r="D10" s="14" t="n">
        <f aca="false">COUNTIF(Orders_Cleaned!$B$2:$B$91,A10)</f>
        <v>9</v>
      </c>
    </row>
    <row r="11" customFormat="false" ht="15" hidden="false" customHeight="false" outlineLevel="0" collapsed="false">
      <c r="A11" s="14" t="s">
        <v>39</v>
      </c>
      <c r="B11" s="14" t="s">
        <v>117</v>
      </c>
      <c r="C11" s="14" t="s">
        <v>112</v>
      </c>
      <c r="D11" s="14" t="n">
        <f aca="false">COUNTIF(Orders_Cleaned!$B$2:$B$91,A11)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6" min="4" style="0" width="18"/>
    <col collapsed="false" customWidth="true" hidden="false" outlineLevel="0" max="7" min="7" style="0" width="20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100</v>
      </c>
      <c r="H1" s="13" t="s">
        <v>101</v>
      </c>
      <c r="I1" s="13" t="s">
        <v>118</v>
      </c>
    </row>
    <row r="2" customFormat="false" ht="15" hidden="false" customHeight="false" outlineLevel="0" collapsed="false">
      <c r="A2" s="14" t="n">
        <v>4001</v>
      </c>
      <c r="B2" s="14" t="s">
        <v>17</v>
      </c>
      <c r="C2" s="15" t="n">
        <v>45471</v>
      </c>
      <c r="D2" s="14" t="s">
        <v>31</v>
      </c>
      <c r="E2" s="16" t="n">
        <v>50.47</v>
      </c>
      <c r="F2" s="14" t="n">
        <v>55</v>
      </c>
      <c r="G2" s="14" t="str">
        <f aca="false">VLOOKUP(B2,RestaurantDetails!$A$2:$C$11,2,FALSE())</f>
        <v>Wow! Momo</v>
      </c>
      <c r="H2" s="14" t="str">
        <f aca="false">VLOOKUP(B2,RestaurantDetails!$A$2:$C$11,3,FALSE())</f>
        <v>Delhi</v>
      </c>
      <c r="I2" s="14" t="str">
        <f aca="false">TEXT(C2,"dddd")</f>
        <v>Friday</v>
      </c>
    </row>
    <row r="3" customFormat="false" ht="15" hidden="false" customHeight="false" outlineLevel="0" collapsed="false">
      <c r="A3" s="14" t="n">
        <v>4002</v>
      </c>
      <c r="B3" s="14" t="s">
        <v>28</v>
      </c>
      <c r="C3" s="15" t="n">
        <v>45449</v>
      </c>
      <c r="D3" s="14" t="s">
        <v>119</v>
      </c>
      <c r="E3" s="16" t="n">
        <v>56.84</v>
      </c>
      <c r="F3" s="14" t="n">
        <v>29</v>
      </c>
      <c r="G3" s="14" t="str">
        <f aca="false">VLOOKUP(B3,RestaurantDetails!$A$2:$C$11,2,FALSE())</f>
        <v>KFC</v>
      </c>
      <c r="H3" s="14" t="str">
        <f aca="false">VLOOKUP(B3,RestaurantDetails!$A$2:$C$11,3,FALSE())</f>
        <v>Bangalore</v>
      </c>
      <c r="I3" s="14" t="str">
        <f aca="false">TEXT(C3,"dddd")</f>
        <v>Thursday</v>
      </c>
    </row>
    <row r="4" customFormat="false" ht="15" hidden="false" customHeight="false" outlineLevel="0" collapsed="false">
      <c r="A4" s="14" t="n">
        <v>4003</v>
      </c>
      <c r="B4" s="14" t="s">
        <v>19</v>
      </c>
      <c r="C4" s="15" t="n">
        <v>45458</v>
      </c>
      <c r="D4" s="14" t="s">
        <v>21</v>
      </c>
      <c r="E4" s="16" t="n">
        <v>25.44</v>
      </c>
      <c r="F4" s="14" t="n">
        <v>20</v>
      </c>
      <c r="G4" s="14" t="str">
        <f aca="false">VLOOKUP(B4,RestaurantDetails!$A$2:$C$11,2,FALSE())</f>
        <v>Domino's Pizza</v>
      </c>
      <c r="H4" s="14" t="str">
        <f aca="false">VLOOKUP(B4,RestaurantDetails!$A$2:$C$11,3,FALSE())</f>
        <v>Mumbai</v>
      </c>
      <c r="I4" s="14" t="str">
        <f aca="false">TEXT(C4,"dddd")</f>
        <v>Saturday</v>
      </c>
    </row>
    <row r="5" customFormat="false" ht="15" hidden="false" customHeight="false" outlineLevel="0" collapsed="false">
      <c r="A5" s="14" t="n">
        <v>4004</v>
      </c>
      <c r="B5" s="14" t="s">
        <v>39</v>
      </c>
      <c r="C5" s="15" t="n">
        <v>45456</v>
      </c>
      <c r="D5" s="14" t="s">
        <v>119</v>
      </c>
      <c r="E5" s="16" t="n">
        <v>64.33</v>
      </c>
      <c r="F5" s="14" t="n">
        <v>28</v>
      </c>
      <c r="G5" s="14" t="str">
        <f aca="false">VLOOKUP(B5,RestaurantDetails!$A$2:$C$11,2,FALSE())</f>
        <v>Haldiram's</v>
      </c>
      <c r="H5" s="14" t="str">
        <f aca="false">VLOOKUP(B5,RestaurantDetails!$A$2:$C$11,3,FALSE())</f>
        <v>Pune</v>
      </c>
      <c r="I5" s="14" t="str">
        <f aca="false">TEXT(C5,"dddd")</f>
        <v>Thursday</v>
      </c>
    </row>
    <row r="6" customFormat="false" ht="15" hidden="false" customHeight="false" outlineLevel="0" collapsed="false">
      <c r="A6" s="14" t="n">
        <v>4005</v>
      </c>
      <c r="B6" s="14" t="s">
        <v>39</v>
      </c>
      <c r="C6" s="15" t="n">
        <v>45444</v>
      </c>
      <c r="D6" s="14" t="s">
        <v>27</v>
      </c>
      <c r="E6" s="16" t="n">
        <v>22.14</v>
      </c>
      <c r="F6" s="14" t="n">
        <v>33</v>
      </c>
      <c r="G6" s="14" t="str">
        <f aca="false">VLOOKUP(B6,RestaurantDetails!$A$2:$C$11,2,FALSE())</f>
        <v>Haldiram's</v>
      </c>
      <c r="H6" s="14" t="str">
        <f aca="false">VLOOKUP(B6,RestaurantDetails!$A$2:$C$11,3,FALSE())</f>
        <v>Pune</v>
      </c>
      <c r="I6" s="14" t="str">
        <f aca="false">TEXT(C6,"dddd")</f>
        <v>Saturday</v>
      </c>
    </row>
    <row r="7" customFormat="false" ht="15" hidden="false" customHeight="false" outlineLevel="0" collapsed="false">
      <c r="A7" s="14" t="n">
        <v>4006</v>
      </c>
      <c r="B7" s="14" t="s">
        <v>39</v>
      </c>
      <c r="C7" s="15" t="n">
        <v>45444</v>
      </c>
      <c r="D7" s="14" t="s">
        <v>24</v>
      </c>
      <c r="E7" s="16" t="n">
        <v>46.43</v>
      </c>
      <c r="F7" s="14" t="n">
        <v>30</v>
      </c>
      <c r="G7" s="14" t="str">
        <f aca="false">VLOOKUP(B7,RestaurantDetails!$A$2:$C$11,2,FALSE())</f>
        <v>Haldiram's</v>
      </c>
      <c r="H7" s="14" t="str">
        <f aca="false">VLOOKUP(B7,RestaurantDetails!$A$2:$C$11,3,FALSE())</f>
        <v>Pune</v>
      </c>
      <c r="I7" s="14" t="str">
        <f aca="false">TEXT(C7,"dddd")</f>
        <v>Saturday</v>
      </c>
    </row>
    <row r="8" customFormat="false" ht="15" hidden="false" customHeight="false" outlineLevel="0" collapsed="false">
      <c r="A8" s="14" t="n">
        <v>4007</v>
      </c>
      <c r="B8" s="14" t="s">
        <v>53</v>
      </c>
      <c r="C8" s="15" t="n">
        <v>45451</v>
      </c>
      <c r="D8" s="14" t="s">
        <v>31</v>
      </c>
      <c r="E8" s="16" t="n">
        <v>20.28</v>
      </c>
      <c r="F8" s="14" t="n">
        <v>23</v>
      </c>
      <c r="G8" s="14" t="str">
        <f aca="false">VLOOKUP(B8,RestaurantDetails!$A$2:$C$11,2,FALSE())</f>
        <v>Barbeque Nation</v>
      </c>
      <c r="H8" s="14" t="str">
        <f aca="false">VLOOKUP(B8,RestaurantDetails!$A$2:$C$11,3,FALSE())</f>
        <v>Bangalore</v>
      </c>
      <c r="I8" s="14" t="str">
        <f aca="false">TEXT(C8,"dddd")</f>
        <v>Saturday</v>
      </c>
    </row>
    <row r="9" customFormat="false" ht="15" hidden="false" customHeight="false" outlineLevel="0" collapsed="false">
      <c r="A9" s="14" t="n">
        <v>4008</v>
      </c>
      <c r="B9" s="14" t="s">
        <v>17</v>
      </c>
      <c r="C9" s="15" t="n">
        <v>45464</v>
      </c>
      <c r="D9" s="14" t="s">
        <v>31</v>
      </c>
      <c r="E9" s="16" t="n">
        <v>79.86</v>
      </c>
      <c r="F9" s="14" t="n">
        <v>23</v>
      </c>
      <c r="G9" s="14" t="str">
        <f aca="false">VLOOKUP(B9,RestaurantDetails!$A$2:$C$11,2,FALSE())</f>
        <v>Wow! Momo</v>
      </c>
      <c r="H9" s="14" t="str">
        <f aca="false">VLOOKUP(B9,RestaurantDetails!$A$2:$C$11,3,FALSE())</f>
        <v>Delhi</v>
      </c>
      <c r="I9" s="14" t="str">
        <f aca="false">TEXT(C9,"dddd")</f>
        <v>Friday</v>
      </c>
    </row>
    <row r="10" customFormat="false" ht="15" hidden="false" customHeight="false" outlineLevel="0" collapsed="false">
      <c r="A10" s="14" t="n">
        <v>4009</v>
      </c>
      <c r="B10" s="14" t="s">
        <v>22</v>
      </c>
      <c r="C10" s="15" t="n">
        <v>45454</v>
      </c>
      <c r="D10" s="14" t="s">
        <v>38</v>
      </c>
      <c r="E10" s="16" t="n">
        <v>37.34</v>
      </c>
      <c r="F10" s="14" t="n">
        <v>22</v>
      </c>
      <c r="G10" s="14" t="str">
        <f aca="false">VLOOKUP(B10,RestaurantDetails!$A$2:$C$11,2,FALSE())</f>
        <v>Pizza Hut</v>
      </c>
      <c r="H10" s="14" t="str">
        <f aca="false">VLOOKUP(B10,RestaurantDetails!$A$2:$C$11,3,FALSE())</f>
        <v>Pune</v>
      </c>
      <c r="I10" s="14" t="str">
        <f aca="false">TEXT(C10,"dddd")</f>
        <v>Tuesday</v>
      </c>
    </row>
    <row r="11" customFormat="false" ht="15" hidden="false" customHeight="false" outlineLevel="0" collapsed="false">
      <c r="A11" s="14" t="n">
        <v>4010</v>
      </c>
      <c r="B11" s="14" t="s">
        <v>39</v>
      </c>
      <c r="C11" s="15" t="n">
        <v>45468</v>
      </c>
      <c r="D11" s="14" t="s">
        <v>31</v>
      </c>
      <c r="E11" s="16" t="n">
        <v>26.47</v>
      </c>
      <c r="F11" s="14" t="n">
        <v>36</v>
      </c>
      <c r="G11" s="14" t="str">
        <f aca="false">VLOOKUP(B11,RestaurantDetails!$A$2:$C$11,2,FALSE())</f>
        <v>Haldiram's</v>
      </c>
      <c r="H11" s="14" t="str">
        <f aca="false">VLOOKUP(B11,RestaurantDetails!$A$2:$C$11,3,FALSE())</f>
        <v>Pune</v>
      </c>
      <c r="I11" s="14" t="str">
        <f aca="false">TEXT(C11,"dddd")</f>
        <v>Tuesday</v>
      </c>
    </row>
    <row r="12" customFormat="false" ht="15" hidden="false" customHeight="false" outlineLevel="0" collapsed="false">
      <c r="A12" s="14" t="n">
        <v>4011</v>
      </c>
      <c r="B12" s="14" t="s">
        <v>49</v>
      </c>
      <c r="C12" s="15" t="n">
        <v>45446</v>
      </c>
      <c r="D12" s="14" t="s">
        <v>119</v>
      </c>
      <c r="E12" s="16" t="n">
        <v>61.09</v>
      </c>
      <c r="F12" s="14" t="n">
        <v>31</v>
      </c>
      <c r="G12" s="14" t="str">
        <f aca="false">VLOOKUP(B12,RestaurantDetails!$A$2:$C$11,2,FALSE())</f>
        <v>Behrouz Biryani</v>
      </c>
      <c r="H12" s="14" t="str">
        <f aca="false">VLOOKUP(B12,RestaurantDetails!$A$2:$C$11,3,FALSE())</f>
        <v>Mumbai</v>
      </c>
      <c r="I12" s="14" t="str">
        <f aca="false">TEXT(C12,"dddd")</f>
        <v>Monday</v>
      </c>
    </row>
    <row r="13" customFormat="false" ht="15" hidden="false" customHeight="false" outlineLevel="0" collapsed="false">
      <c r="A13" s="14" t="n">
        <v>4012</v>
      </c>
      <c r="B13" s="14" t="s">
        <v>28</v>
      </c>
      <c r="C13" s="15" t="n">
        <v>45473</v>
      </c>
      <c r="D13" s="14" t="s">
        <v>31</v>
      </c>
      <c r="E13" s="16" t="n">
        <v>42.53</v>
      </c>
      <c r="F13" s="14" t="n">
        <v>43</v>
      </c>
      <c r="G13" s="14" t="str">
        <f aca="false">VLOOKUP(B13,RestaurantDetails!$A$2:$C$11,2,FALSE())</f>
        <v>KFC</v>
      </c>
      <c r="H13" s="14" t="str">
        <f aca="false">VLOOKUP(B13,RestaurantDetails!$A$2:$C$11,3,FALSE())</f>
        <v>Bangalore</v>
      </c>
      <c r="I13" s="14" t="str">
        <f aca="false">TEXT(C13,"dddd")</f>
        <v>Sunday</v>
      </c>
    </row>
    <row r="14" customFormat="false" ht="15" hidden="false" customHeight="false" outlineLevel="0" collapsed="false">
      <c r="A14" s="14" t="n">
        <v>4013</v>
      </c>
      <c r="B14" s="14" t="s">
        <v>49</v>
      </c>
      <c r="C14" s="15" t="n">
        <v>45446</v>
      </c>
      <c r="D14" s="14" t="s">
        <v>119</v>
      </c>
      <c r="E14" s="16" t="n">
        <v>60.49</v>
      </c>
      <c r="F14" s="14" t="n">
        <v>39</v>
      </c>
      <c r="G14" s="14" t="str">
        <f aca="false">VLOOKUP(B14,RestaurantDetails!$A$2:$C$11,2,FALSE())</f>
        <v>Behrouz Biryani</v>
      </c>
      <c r="H14" s="14" t="str">
        <f aca="false">VLOOKUP(B14,RestaurantDetails!$A$2:$C$11,3,FALSE())</f>
        <v>Mumbai</v>
      </c>
      <c r="I14" s="14" t="str">
        <f aca="false">TEXT(C14,"dddd")</f>
        <v>Monday</v>
      </c>
    </row>
    <row r="15" customFormat="false" ht="15" hidden="false" customHeight="false" outlineLevel="0" collapsed="false">
      <c r="A15" s="14" t="n">
        <v>4014</v>
      </c>
      <c r="B15" s="14" t="s">
        <v>19</v>
      </c>
      <c r="C15" s="15" t="n">
        <v>45453</v>
      </c>
      <c r="D15" s="14" t="s">
        <v>27</v>
      </c>
      <c r="E15" s="16" t="n">
        <v>77.84</v>
      </c>
      <c r="F15" s="14" t="n">
        <v>25</v>
      </c>
      <c r="G15" s="14" t="str">
        <f aca="false">VLOOKUP(B15,RestaurantDetails!$A$2:$C$11,2,FALSE())</f>
        <v>Domino's Pizza</v>
      </c>
      <c r="H15" s="14" t="str">
        <f aca="false">VLOOKUP(B15,RestaurantDetails!$A$2:$C$11,3,FALSE())</f>
        <v>Mumbai</v>
      </c>
      <c r="I15" s="14" t="str">
        <f aca="false">TEXT(C15,"dddd")</f>
        <v>Monday</v>
      </c>
    </row>
    <row r="16" customFormat="false" ht="15" hidden="false" customHeight="false" outlineLevel="0" collapsed="false">
      <c r="A16" s="14" t="n">
        <v>4015</v>
      </c>
      <c r="B16" s="14" t="s">
        <v>35</v>
      </c>
      <c r="C16" s="15" t="n">
        <v>45451</v>
      </c>
      <c r="D16" s="14" t="s">
        <v>27</v>
      </c>
      <c r="E16" s="16" t="n">
        <v>23.59</v>
      </c>
      <c r="F16" s="14" t="n">
        <v>49</v>
      </c>
      <c r="G16" s="14" t="str">
        <f aca="false">VLOOKUP(B16,RestaurantDetails!$A$2:$C$11,2,FALSE())</f>
        <v>McDonald's</v>
      </c>
      <c r="H16" s="14" t="str">
        <f aca="false">VLOOKUP(B16,RestaurantDetails!$A$2:$C$11,3,FALSE())</f>
        <v>Delhi</v>
      </c>
      <c r="I16" s="14" t="str">
        <f aca="false">TEXT(C16,"dddd")</f>
        <v>Saturday</v>
      </c>
    </row>
    <row r="17" customFormat="false" ht="15" hidden="false" customHeight="false" outlineLevel="0" collapsed="false">
      <c r="A17" s="14" t="n">
        <v>4016</v>
      </c>
      <c r="B17" s="14" t="s">
        <v>35</v>
      </c>
      <c r="C17" s="15" t="n">
        <v>45465</v>
      </c>
      <c r="D17" s="14" t="s">
        <v>31</v>
      </c>
      <c r="E17" s="16" t="n">
        <v>50.53</v>
      </c>
      <c r="F17" s="14" t="n">
        <v>26</v>
      </c>
      <c r="G17" s="14" t="str">
        <f aca="false">VLOOKUP(B17,RestaurantDetails!$A$2:$C$11,2,FALSE())</f>
        <v>McDonald's</v>
      </c>
      <c r="H17" s="14" t="str">
        <f aca="false">VLOOKUP(B17,RestaurantDetails!$A$2:$C$11,3,FALSE())</f>
        <v>Delhi</v>
      </c>
      <c r="I17" s="14" t="str">
        <f aca="false">TEXT(C17,"dddd")</f>
        <v>Saturday</v>
      </c>
    </row>
    <row r="18" customFormat="false" ht="15" hidden="false" customHeight="false" outlineLevel="0" collapsed="false">
      <c r="A18" s="14" t="n">
        <v>4017</v>
      </c>
      <c r="B18" s="14" t="s">
        <v>49</v>
      </c>
      <c r="C18" s="15" t="n">
        <v>45464</v>
      </c>
      <c r="D18" s="14" t="s">
        <v>27</v>
      </c>
      <c r="E18" s="16" t="n">
        <v>43.69</v>
      </c>
      <c r="F18" s="14" t="n">
        <v>31</v>
      </c>
      <c r="G18" s="14" t="str">
        <f aca="false">VLOOKUP(B18,RestaurantDetails!$A$2:$C$11,2,FALSE())</f>
        <v>Behrouz Biryani</v>
      </c>
      <c r="H18" s="14" t="str">
        <f aca="false">VLOOKUP(B18,RestaurantDetails!$A$2:$C$11,3,FALSE())</f>
        <v>Mumbai</v>
      </c>
      <c r="I18" s="14" t="str">
        <f aca="false">TEXT(C18,"dddd")</f>
        <v>Friday</v>
      </c>
    </row>
    <row r="19" customFormat="false" ht="15" hidden="false" customHeight="false" outlineLevel="0" collapsed="false">
      <c r="A19" s="14" t="n">
        <v>4018</v>
      </c>
      <c r="B19" s="14" t="s">
        <v>33</v>
      </c>
      <c r="C19" s="15" t="n">
        <v>45452</v>
      </c>
      <c r="D19" s="14" t="s">
        <v>27</v>
      </c>
      <c r="E19" s="16" t="n">
        <v>32.64</v>
      </c>
      <c r="F19" s="14" t="n">
        <v>43</v>
      </c>
      <c r="G19" s="14" t="str">
        <f aca="false">VLOOKUP(B19,RestaurantDetails!$A$2:$C$11,2,FALSE())</f>
        <v>Burger King</v>
      </c>
      <c r="H19" s="14" t="str">
        <f aca="false">VLOOKUP(B19,RestaurantDetails!$A$2:$C$11,3,FALSE())</f>
        <v>Ahmedabad</v>
      </c>
      <c r="I19" s="14" t="str">
        <f aca="false">TEXT(C19,"dddd")</f>
        <v>Sunday</v>
      </c>
    </row>
    <row r="20" customFormat="false" ht="15" hidden="false" customHeight="false" outlineLevel="0" collapsed="false">
      <c r="A20" s="14" t="n">
        <v>4019</v>
      </c>
      <c r="B20" s="14" t="s">
        <v>39</v>
      </c>
      <c r="C20" s="15" t="n">
        <v>45464</v>
      </c>
      <c r="D20" s="14" t="s">
        <v>27</v>
      </c>
      <c r="E20" s="16" t="n">
        <v>79.36</v>
      </c>
      <c r="F20" s="14" t="n">
        <v>31</v>
      </c>
      <c r="G20" s="14" t="str">
        <f aca="false">VLOOKUP(B20,RestaurantDetails!$A$2:$C$11,2,FALSE())</f>
        <v>Haldiram's</v>
      </c>
      <c r="H20" s="14" t="str">
        <f aca="false">VLOOKUP(B20,RestaurantDetails!$A$2:$C$11,3,FALSE())</f>
        <v>Pune</v>
      </c>
      <c r="I20" s="14" t="str">
        <f aca="false">TEXT(C20,"dddd")</f>
        <v>Friday</v>
      </c>
    </row>
    <row r="21" customFormat="false" ht="15" hidden="false" customHeight="false" outlineLevel="0" collapsed="false">
      <c r="A21" s="14" t="n">
        <v>4020</v>
      </c>
      <c r="B21" s="14" t="s">
        <v>17</v>
      </c>
      <c r="C21" s="15" t="n">
        <v>45452</v>
      </c>
      <c r="D21" s="14" t="s">
        <v>119</v>
      </c>
      <c r="E21" s="16" t="n">
        <v>56.62</v>
      </c>
      <c r="F21" s="14" t="n">
        <v>36</v>
      </c>
      <c r="G21" s="14" t="str">
        <f aca="false">VLOOKUP(B21,RestaurantDetails!$A$2:$C$11,2,FALSE())</f>
        <v>Wow! Momo</v>
      </c>
      <c r="H21" s="14" t="str">
        <f aca="false">VLOOKUP(B21,RestaurantDetails!$A$2:$C$11,3,FALSE())</f>
        <v>Delhi</v>
      </c>
      <c r="I21" s="14" t="str">
        <f aca="false">TEXT(C21,"dddd")</f>
        <v>Sunday</v>
      </c>
    </row>
    <row r="22" customFormat="false" ht="15" hidden="false" customHeight="false" outlineLevel="0" collapsed="false">
      <c r="A22" s="14" t="n">
        <v>4021</v>
      </c>
      <c r="B22" s="14" t="s">
        <v>49</v>
      </c>
      <c r="C22" s="15" t="n">
        <v>45446</v>
      </c>
      <c r="D22" s="14" t="s">
        <v>27</v>
      </c>
      <c r="E22" s="16" t="n">
        <v>32.52</v>
      </c>
      <c r="F22" s="14" t="n">
        <v>33</v>
      </c>
      <c r="G22" s="14" t="str">
        <f aca="false">VLOOKUP(B22,RestaurantDetails!$A$2:$C$11,2,FALSE())</f>
        <v>Behrouz Biryani</v>
      </c>
      <c r="H22" s="14" t="str">
        <f aca="false">VLOOKUP(B22,RestaurantDetails!$A$2:$C$11,3,FALSE())</f>
        <v>Mumbai</v>
      </c>
      <c r="I22" s="14" t="str">
        <f aca="false">TEXT(C22,"dddd")</f>
        <v>Monday</v>
      </c>
    </row>
    <row r="23" customFormat="false" ht="15" hidden="false" customHeight="false" outlineLevel="0" collapsed="false">
      <c r="A23" s="14" t="n">
        <v>4022</v>
      </c>
      <c r="B23" s="14" t="s">
        <v>33</v>
      </c>
      <c r="C23" s="15" t="n">
        <v>45463</v>
      </c>
      <c r="D23" s="14" t="s">
        <v>24</v>
      </c>
      <c r="E23" s="16" t="n">
        <v>57.33</v>
      </c>
      <c r="F23" s="14" t="n">
        <v>26</v>
      </c>
      <c r="G23" s="14" t="str">
        <f aca="false">VLOOKUP(B23,RestaurantDetails!$A$2:$C$11,2,FALSE())</f>
        <v>Burger King</v>
      </c>
      <c r="H23" s="14" t="str">
        <f aca="false">VLOOKUP(B23,RestaurantDetails!$A$2:$C$11,3,FALSE())</f>
        <v>Ahmedabad</v>
      </c>
      <c r="I23" s="14" t="str">
        <f aca="false">TEXT(C23,"dddd")</f>
        <v>Thursday</v>
      </c>
    </row>
    <row r="24" customFormat="false" ht="15" hidden="false" customHeight="false" outlineLevel="0" collapsed="false">
      <c r="A24" s="14" t="n">
        <v>4023</v>
      </c>
      <c r="B24" s="14" t="s">
        <v>39</v>
      </c>
      <c r="C24" s="15" t="n">
        <v>45459</v>
      </c>
      <c r="D24" s="14" t="s">
        <v>119</v>
      </c>
      <c r="E24" s="16" t="n">
        <v>43.17</v>
      </c>
      <c r="F24" s="14" t="n">
        <v>27</v>
      </c>
      <c r="G24" s="14" t="str">
        <f aca="false">VLOOKUP(B24,RestaurantDetails!$A$2:$C$11,2,FALSE())</f>
        <v>Haldiram's</v>
      </c>
      <c r="H24" s="14" t="str">
        <f aca="false">VLOOKUP(B24,RestaurantDetails!$A$2:$C$11,3,FALSE())</f>
        <v>Pune</v>
      </c>
      <c r="I24" s="14" t="str">
        <f aca="false">TEXT(C24,"dddd")</f>
        <v>Sunday</v>
      </c>
    </row>
    <row r="25" customFormat="false" ht="15" hidden="false" customHeight="false" outlineLevel="0" collapsed="false">
      <c r="A25" s="14" t="n">
        <v>4024</v>
      </c>
      <c r="B25" s="14" t="s">
        <v>22</v>
      </c>
      <c r="C25" s="15" t="n">
        <v>45473</v>
      </c>
      <c r="D25" s="14" t="s">
        <v>119</v>
      </c>
      <c r="E25" s="16" t="n">
        <v>56.63</v>
      </c>
      <c r="F25" s="14" t="n">
        <v>30</v>
      </c>
      <c r="G25" s="14" t="str">
        <f aca="false">VLOOKUP(B25,RestaurantDetails!$A$2:$C$11,2,FALSE())</f>
        <v>Pizza Hut</v>
      </c>
      <c r="H25" s="14" t="str">
        <f aca="false">VLOOKUP(B25,RestaurantDetails!$A$2:$C$11,3,FALSE())</f>
        <v>Pune</v>
      </c>
      <c r="I25" s="14" t="str">
        <f aca="false">TEXT(C25,"dddd")</f>
        <v>Sunday</v>
      </c>
    </row>
    <row r="26" customFormat="false" ht="15" hidden="false" customHeight="false" outlineLevel="0" collapsed="false">
      <c r="A26" s="14" t="n">
        <v>4025</v>
      </c>
      <c r="B26" s="14" t="s">
        <v>35</v>
      </c>
      <c r="C26" s="15" t="n">
        <v>45467</v>
      </c>
      <c r="D26" s="14" t="s">
        <v>119</v>
      </c>
      <c r="E26" s="16" t="n">
        <v>77.01</v>
      </c>
      <c r="F26" s="14" t="n">
        <v>48</v>
      </c>
      <c r="G26" s="14" t="str">
        <f aca="false">VLOOKUP(B26,RestaurantDetails!$A$2:$C$11,2,FALSE())</f>
        <v>McDonald's</v>
      </c>
      <c r="H26" s="14" t="str">
        <f aca="false">VLOOKUP(B26,RestaurantDetails!$A$2:$C$11,3,FALSE())</f>
        <v>Delhi</v>
      </c>
      <c r="I26" s="14" t="str">
        <f aca="false">TEXT(C26,"dddd")</f>
        <v>Monday</v>
      </c>
    </row>
    <row r="27" customFormat="false" ht="15" hidden="false" customHeight="false" outlineLevel="0" collapsed="false">
      <c r="A27" s="14" t="n">
        <v>4026</v>
      </c>
      <c r="B27" s="14" t="s">
        <v>39</v>
      </c>
      <c r="C27" s="15" t="n">
        <v>45446</v>
      </c>
      <c r="D27" s="14" t="s">
        <v>27</v>
      </c>
      <c r="E27" s="16" t="n">
        <v>26.23</v>
      </c>
      <c r="F27" s="14" t="n">
        <v>20</v>
      </c>
      <c r="G27" s="14" t="str">
        <f aca="false">VLOOKUP(B27,RestaurantDetails!$A$2:$C$11,2,FALSE())</f>
        <v>Haldiram's</v>
      </c>
      <c r="H27" s="14" t="str">
        <f aca="false">VLOOKUP(B27,RestaurantDetails!$A$2:$C$11,3,FALSE())</f>
        <v>Pune</v>
      </c>
      <c r="I27" s="14" t="str">
        <f aca="false">TEXT(C27,"dddd")</f>
        <v>Monday</v>
      </c>
    </row>
    <row r="28" customFormat="false" ht="15" hidden="false" customHeight="false" outlineLevel="0" collapsed="false">
      <c r="A28" s="14" t="n">
        <v>4027</v>
      </c>
      <c r="B28" s="14" t="s">
        <v>53</v>
      </c>
      <c r="C28" s="15" t="n">
        <v>45452</v>
      </c>
      <c r="D28" s="14" t="s">
        <v>119</v>
      </c>
      <c r="E28" s="16" t="n">
        <v>62.27</v>
      </c>
      <c r="F28" s="14" t="n">
        <v>34</v>
      </c>
      <c r="G28" s="14" t="str">
        <f aca="false">VLOOKUP(B28,RestaurantDetails!$A$2:$C$11,2,FALSE())</f>
        <v>Barbeque Nation</v>
      </c>
      <c r="H28" s="14" t="str">
        <f aca="false">VLOOKUP(B28,RestaurantDetails!$A$2:$C$11,3,FALSE())</f>
        <v>Bangalore</v>
      </c>
      <c r="I28" s="14" t="str">
        <f aca="false">TEXT(C28,"dddd")</f>
        <v>Sunday</v>
      </c>
    </row>
    <row r="29" customFormat="false" ht="15" hidden="false" customHeight="false" outlineLevel="0" collapsed="false">
      <c r="A29" s="14" t="n">
        <v>4028</v>
      </c>
      <c r="B29" s="14" t="s">
        <v>49</v>
      </c>
      <c r="C29" s="15" t="n">
        <v>45470</v>
      </c>
      <c r="D29" s="14" t="s">
        <v>24</v>
      </c>
      <c r="E29" s="16" t="n">
        <v>51.2</v>
      </c>
      <c r="F29" s="14" t="n">
        <v>22</v>
      </c>
      <c r="G29" s="14" t="str">
        <f aca="false">VLOOKUP(B29,RestaurantDetails!$A$2:$C$11,2,FALSE())</f>
        <v>Behrouz Biryani</v>
      </c>
      <c r="H29" s="14" t="str">
        <f aca="false">VLOOKUP(B29,RestaurantDetails!$A$2:$C$11,3,FALSE())</f>
        <v>Mumbai</v>
      </c>
      <c r="I29" s="14" t="str">
        <f aca="false">TEXT(C29,"dddd")</f>
        <v>Thursday</v>
      </c>
    </row>
    <row r="30" customFormat="false" ht="15" hidden="false" customHeight="false" outlineLevel="0" collapsed="false">
      <c r="A30" s="14" t="n">
        <v>4029</v>
      </c>
      <c r="B30" s="14" t="s">
        <v>35</v>
      </c>
      <c r="C30" s="15" t="n">
        <v>45451</v>
      </c>
      <c r="D30" s="14" t="s">
        <v>38</v>
      </c>
      <c r="E30" s="16" t="n">
        <v>59.21</v>
      </c>
      <c r="F30" s="14" t="n">
        <v>22</v>
      </c>
      <c r="G30" s="14" t="str">
        <f aca="false">VLOOKUP(B30,RestaurantDetails!$A$2:$C$11,2,FALSE())</f>
        <v>McDonald's</v>
      </c>
      <c r="H30" s="14" t="str">
        <f aca="false">VLOOKUP(B30,RestaurantDetails!$A$2:$C$11,3,FALSE())</f>
        <v>Delhi</v>
      </c>
      <c r="I30" s="14" t="str">
        <f aca="false">TEXT(C30,"dddd")</f>
        <v>Saturday</v>
      </c>
    </row>
    <row r="31" customFormat="false" ht="15" hidden="false" customHeight="false" outlineLevel="0" collapsed="false">
      <c r="A31" s="14" t="n">
        <v>4030</v>
      </c>
      <c r="B31" s="14" t="s">
        <v>22</v>
      </c>
      <c r="C31" s="15" t="n">
        <v>45450</v>
      </c>
      <c r="D31" s="14" t="s">
        <v>119</v>
      </c>
      <c r="E31" s="16" t="n">
        <v>20.99</v>
      </c>
      <c r="F31" s="14" t="n">
        <v>35</v>
      </c>
      <c r="G31" s="14" t="str">
        <f aca="false">VLOOKUP(B31,RestaurantDetails!$A$2:$C$11,2,FALSE())</f>
        <v>Pizza Hut</v>
      </c>
      <c r="H31" s="14" t="str">
        <f aca="false">VLOOKUP(B31,RestaurantDetails!$A$2:$C$11,3,FALSE())</f>
        <v>Pune</v>
      </c>
      <c r="I31" s="14" t="str">
        <f aca="false">TEXT(C31,"dddd")</f>
        <v>Friday</v>
      </c>
    </row>
    <row r="32" customFormat="false" ht="15" hidden="false" customHeight="false" outlineLevel="0" collapsed="false">
      <c r="A32" s="14" t="n">
        <v>4031</v>
      </c>
      <c r="B32" s="14" t="s">
        <v>49</v>
      </c>
      <c r="C32" s="15" t="n">
        <v>45458</v>
      </c>
      <c r="D32" s="14" t="s">
        <v>27</v>
      </c>
      <c r="E32" s="16" t="n">
        <v>22.8</v>
      </c>
      <c r="F32" s="14" t="n">
        <v>36</v>
      </c>
      <c r="G32" s="14" t="str">
        <f aca="false">VLOOKUP(B32,RestaurantDetails!$A$2:$C$11,2,FALSE())</f>
        <v>Behrouz Biryani</v>
      </c>
      <c r="H32" s="14" t="str">
        <f aca="false">VLOOKUP(B32,RestaurantDetails!$A$2:$C$11,3,FALSE())</f>
        <v>Mumbai</v>
      </c>
      <c r="I32" s="14" t="str">
        <f aca="false">TEXT(C32,"dddd")</f>
        <v>Saturday</v>
      </c>
    </row>
    <row r="33" customFormat="false" ht="15" hidden="false" customHeight="false" outlineLevel="0" collapsed="false">
      <c r="A33" s="14" t="n">
        <v>4032</v>
      </c>
      <c r="B33" s="14" t="s">
        <v>41</v>
      </c>
      <c r="C33" s="15" t="n">
        <v>45460</v>
      </c>
      <c r="D33" s="14" t="s">
        <v>27</v>
      </c>
      <c r="E33" s="16" t="n">
        <v>41.73</v>
      </c>
      <c r="F33" s="14" t="n">
        <v>46</v>
      </c>
      <c r="G33" s="14" t="str">
        <f aca="false">VLOOKUP(B33,RestaurantDetails!$A$2:$C$11,2,FALSE())</f>
        <v>Subway</v>
      </c>
      <c r="H33" s="14" t="str">
        <f aca="false">VLOOKUP(B33,RestaurantDetails!$A$2:$C$11,3,FALSE())</f>
        <v>Ahmedabad</v>
      </c>
      <c r="I33" s="14" t="str">
        <f aca="false">TEXT(C33,"dddd")</f>
        <v>Monday</v>
      </c>
    </row>
    <row r="34" customFormat="false" ht="15" hidden="false" customHeight="false" outlineLevel="0" collapsed="false">
      <c r="A34" s="14" t="n">
        <v>4033</v>
      </c>
      <c r="B34" s="14" t="s">
        <v>41</v>
      </c>
      <c r="C34" s="15" t="n">
        <v>45465</v>
      </c>
      <c r="D34" s="14" t="s">
        <v>38</v>
      </c>
      <c r="E34" s="16" t="n">
        <v>22.1</v>
      </c>
      <c r="F34" s="14" t="n">
        <v>19</v>
      </c>
      <c r="G34" s="14" t="str">
        <f aca="false">VLOOKUP(B34,RestaurantDetails!$A$2:$C$11,2,FALSE())</f>
        <v>Subway</v>
      </c>
      <c r="H34" s="14" t="str">
        <f aca="false">VLOOKUP(B34,RestaurantDetails!$A$2:$C$11,3,FALSE())</f>
        <v>Ahmedabad</v>
      </c>
      <c r="I34" s="14" t="str">
        <f aca="false">TEXT(C34,"dddd")</f>
        <v>Saturday</v>
      </c>
    </row>
    <row r="35" customFormat="false" ht="15" hidden="false" customHeight="false" outlineLevel="0" collapsed="false">
      <c r="A35" s="14" t="n">
        <v>4034</v>
      </c>
      <c r="B35" s="14" t="s">
        <v>17</v>
      </c>
      <c r="C35" s="15" t="n">
        <v>45473</v>
      </c>
      <c r="D35" s="14" t="s">
        <v>119</v>
      </c>
      <c r="E35" s="16" t="n">
        <v>38.71</v>
      </c>
      <c r="F35" s="14" t="n">
        <v>20</v>
      </c>
      <c r="G35" s="14" t="str">
        <f aca="false">VLOOKUP(B35,RestaurantDetails!$A$2:$C$11,2,FALSE())</f>
        <v>Wow! Momo</v>
      </c>
      <c r="H35" s="14" t="str">
        <f aca="false">VLOOKUP(B35,RestaurantDetails!$A$2:$C$11,3,FALSE())</f>
        <v>Delhi</v>
      </c>
      <c r="I35" s="14" t="str">
        <f aca="false">TEXT(C35,"dddd")</f>
        <v>Sunday</v>
      </c>
    </row>
    <row r="36" customFormat="false" ht="15" hidden="false" customHeight="false" outlineLevel="0" collapsed="false">
      <c r="A36" s="14" t="n">
        <v>4035</v>
      </c>
      <c r="B36" s="14" t="s">
        <v>33</v>
      </c>
      <c r="C36" s="15" t="n">
        <v>45463</v>
      </c>
      <c r="D36" s="14" t="s">
        <v>31</v>
      </c>
      <c r="E36" s="16" t="n">
        <v>24.04</v>
      </c>
      <c r="F36" s="14" t="n">
        <v>37</v>
      </c>
      <c r="G36" s="14" t="str">
        <f aca="false">VLOOKUP(B36,RestaurantDetails!$A$2:$C$11,2,FALSE())</f>
        <v>Burger King</v>
      </c>
      <c r="H36" s="14" t="str">
        <f aca="false">VLOOKUP(B36,RestaurantDetails!$A$2:$C$11,3,FALSE())</f>
        <v>Ahmedabad</v>
      </c>
      <c r="I36" s="14" t="str">
        <f aca="false">TEXT(C36,"dddd")</f>
        <v>Thursday</v>
      </c>
    </row>
    <row r="37" customFormat="false" ht="15" hidden="false" customHeight="false" outlineLevel="0" collapsed="false">
      <c r="A37" s="14" t="n">
        <v>4036</v>
      </c>
      <c r="B37" s="14" t="s">
        <v>41</v>
      </c>
      <c r="C37" s="15" t="n">
        <v>45448</v>
      </c>
      <c r="D37" s="14" t="s">
        <v>27</v>
      </c>
      <c r="E37" s="16" t="n">
        <v>47.19</v>
      </c>
      <c r="F37" s="14" t="n">
        <v>41</v>
      </c>
      <c r="G37" s="14" t="str">
        <f aca="false">VLOOKUP(B37,RestaurantDetails!$A$2:$C$11,2,FALSE())</f>
        <v>Subway</v>
      </c>
      <c r="H37" s="14" t="str">
        <f aca="false">VLOOKUP(B37,RestaurantDetails!$A$2:$C$11,3,FALSE())</f>
        <v>Ahmedabad</v>
      </c>
      <c r="I37" s="14" t="str">
        <f aca="false">TEXT(C37,"dddd")</f>
        <v>Wednesday</v>
      </c>
    </row>
    <row r="38" customFormat="false" ht="15" hidden="false" customHeight="false" outlineLevel="0" collapsed="false">
      <c r="A38" s="14" t="n">
        <v>4037</v>
      </c>
      <c r="B38" s="14" t="s">
        <v>33</v>
      </c>
      <c r="C38" s="15" t="n">
        <v>45472</v>
      </c>
      <c r="D38" s="14" t="s">
        <v>119</v>
      </c>
      <c r="E38" s="16" t="n">
        <v>77.8</v>
      </c>
      <c r="F38" s="14" t="n">
        <v>39</v>
      </c>
      <c r="G38" s="14" t="str">
        <f aca="false">VLOOKUP(B38,RestaurantDetails!$A$2:$C$11,2,FALSE())</f>
        <v>Burger King</v>
      </c>
      <c r="H38" s="14" t="str">
        <f aca="false">VLOOKUP(B38,RestaurantDetails!$A$2:$C$11,3,FALSE())</f>
        <v>Ahmedabad</v>
      </c>
      <c r="I38" s="14" t="str">
        <f aca="false">TEXT(C38,"dddd")</f>
        <v>Saturday</v>
      </c>
    </row>
    <row r="39" customFormat="false" ht="15" hidden="false" customHeight="false" outlineLevel="0" collapsed="false">
      <c r="A39" s="14" t="n">
        <v>4038</v>
      </c>
      <c r="B39" s="14" t="s">
        <v>41</v>
      </c>
      <c r="C39" s="15" t="n">
        <v>45446</v>
      </c>
      <c r="D39" s="14" t="s">
        <v>27</v>
      </c>
      <c r="E39" s="16" t="n">
        <v>72.27</v>
      </c>
      <c r="F39" s="14" t="n">
        <v>44</v>
      </c>
      <c r="G39" s="14" t="str">
        <f aca="false">VLOOKUP(B39,RestaurantDetails!$A$2:$C$11,2,FALSE())</f>
        <v>Subway</v>
      </c>
      <c r="H39" s="14" t="str">
        <f aca="false">VLOOKUP(B39,RestaurantDetails!$A$2:$C$11,3,FALSE())</f>
        <v>Ahmedabad</v>
      </c>
      <c r="I39" s="14" t="str">
        <f aca="false">TEXT(C39,"dddd")</f>
        <v>Monday</v>
      </c>
    </row>
    <row r="40" customFormat="false" ht="15" hidden="false" customHeight="false" outlineLevel="0" collapsed="false">
      <c r="A40" s="14" t="n">
        <v>4039</v>
      </c>
      <c r="B40" s="14" t="s">
        <v>33</v>
      </c>
      <c r="C40" s="15" t="n">
        <v>45471</v>
      </c>
      <c r="D40" s="14" t="s">
        <v>38</v>
      </c>
      <c r="E40" s="16" t="n">
        <v>20.87</v>
      </c>
      <c r="F40" s="14" t="n">
        <v>42</v>
      </c>
      <c r="G40" s="14" t="str">
        <f aca="false">VLOOKUP(B40,RestaurantDetails!$A$2:$C$11,2,FALSE())</f>
        <v>Burger King</v>
      </c>
      <c r="H40" s="14" t="str">
        <f aca="false">VLOOKUP(B40,RestaurantDetails!$A$2:$C$11,3,FALSE())</f>
        <v>Ahmedabad</v>
      </c>
      <c r="I40" s="14" t="str">
        <f aca="false">TEXT(C40,"dddd")</f>
        <v>Friday</v>
      </c>
    </row>
    <row r="41" customFormat="false" ht="15" hidden="false" customHeight="false" outlineLevel="0" collapsed="false">
      <c r="A41" s="14" t="n">
        <v>4040</v>
      </c>
      <c r="B41" s="14" t="s">
        <v>49</v>
      </c>
      <c r="C41" s="15" t="n">
        <v>45462</v>
      </c>
      <c r="D41" s="14" t="s">
        <v>38</v>
      </c>
      <c r="E41" s="16" t="n">
        <v>24.33</v>
      </c>
      <c r="F41" s="14" t="n">
        <v>23</v>
      </c>
      <c r="G41" s="14" t="str">
        <f aca="false">VLOOKUP(B41,RestaurantDetails!$A$2:$C$11,2,FALSE())</f>
        <v>Behrouz Biryani</v>
      </c>
      <c r="H41" s="14" t="str">
        <f aca="false">VLOOKUP(B41,RestaurantDetails!$A$2:$C$11,3,FALSE())</f>
        <v>Mumbai</v>
      </c>
      <c r="I41" s="14" t="str">
        <f aca="false">TEXT(C41,"dddd")</f>
        <v>Wednesday</v>
      </c>
    </row>
    <row r="42" customFormat="false" ht="15" hidden="false" customHeight="false" outlineLevel="0" collapsed="false">
      <c r="A42" s="14" t="n">
        <v>4041</v>
      </c>
      <c r="B42" s="14" t="s">
        <v>19</v>
      </c>
      <c r="C42" s="15" t="n">
        <v>45452</v>
      </c>
      <c r="D42" s="14" t="s">
        <v>119</v>
      </c>
      <c r="E42" s="16" t="n">
        <v>39.81</v>
      </c>
      <c r="F42" s="14" t="n">
        <v>55</v>
      </c>
      <c r="G42" s="14" t="str">
        <f aca="false">VLOOKUP(B42,RestaurantDetails!$A$2:$C$11,2,FALSE())</f>
        <v>Domino's Pizza</v>
      </c>
      <c r="H42" s="14" t="str">
        <f aca="false">VLOOKUP(B42,RestaurantDetails!$A$2:$C$11,3,FALSE())</f>
        <v>Mumbai</v>
      </c>
      <c r="I42" s="14" t="str">
        <f aca="false">TEXT(C42,"dddd")</f>
        <v>Sunday</v>
      </c>
    </row>
    <row r="43" customFormat="false" ht="15" hidden="false" customHeight="false" outlineLevel="0" collapsed="false">
      <c r="A43" s="14" t="n">
        <v>4042</v>
      </c>
      <c r="B43" s="14" t="s">
        <v>17</v>
      </c>
      <c r="C43" s="15" t="n">
        <v>45458</v>
      </c>
      <c r="D43" s="14" t="s">
        <v>119</v>
      </c>
      <c r="E43" s="16" t="n">
        <v>52.48</v>
      </c>
      <c r="F43" s="14" t="n">
        <v>51</v>
      </c>
      <c r="G43" s="14" t="str">
        <f aca="false">VLOOKUP(B43,RestaurantDetails!$A$2:$C$11,2,FALSE())</f>
        <v>Wow! Momo</v>
      </c>
      <c r="H43" s="14" t="str">
        <f aca="false">VLOOKUP(B43,RestaurantDetails!$A$2:$C$11,3,FALSE())</f>
        <v>Delhi</v>
      </c>
      <c r="I43" s="14" t="str">
        <f aca="false">TEXT(C43,"dddd")</f>
        <v>Saturday</v>
      </c>
    </row>
    <row r="44" customFormat="false" ht="15" hidden="false" customHeight="false" outlineLevel="0" collapsed="false">
      <c r="A44" s="14" t="n">
        <v>4043</v>
      </c>
      <c r="B44" s="14" t="s">
        <v>53</v>
      </c>
      <c r="C44" s="15" t="n">
        <v>45444</v>
      </c>
      <c r="D44" s="14" t="s">
        <v>38</v>
      </c>
      <c r="E44" s="16" t="n">
        <v>25.26</v>
      </c>
      <c r="F44" s="14" t="n">
        <v>19</v>
      </c>
      <c r="G44" s="14" t="str">
        <f aca="false">VLOOKUP(B44,RestaurantDetails!$A$2:$C$11,2,FALSE())</f>
        <v>Barbeque Nation</v>
      </c>
      <c r="H44" s="14" t="str">
        <f aca="false">VLOOKUP(B44,RestaurantDetails!$A$2:$C$11,3,FALSE())</f>
        <v>Bangalore</v>
      </c>
      <c r="I44" s="14" t="str">
        <f aca="false">TEXT(C44,"dddd")</f>
        <v>Saturday</v>
      </c>
    </row>
    <row r="45" customFormat="false" ht="15" hidden="false" customHeight="false" outlineLevel="0" collapsed="false">
      <c r="A45" s="14" t="n">
        <v>4044</v>
      </c>
      <c r="B45" s="14" t="s">
        <v>28</v>
      </c>
      <c r="C45" s="15" t="n">
        <v>45466</v>
      </c>
      <c r="D45" s="14" t="s">
        <v>31</v>
      </c>
      <c r="E45" s="16" t="n">
        <v>66.8</v>
      </c>
      <c r="F45" s="14" t="n">
        <v>49</v>
      </c>
      <c r="G45" s="14" t="str">
        <f aca="false">VLOOKUP(B45,RestaurantDetails!$A$2:$C$11,2,FALSE())</f>
        <v>KFC</v>
      </c>
      <c r="H45" s="14" t="str">
        <f aca="false">VLOOKUP(B45,RestaurantDetails!$A$2:$C$11,3,FALSE())</f>
        <v>Bangalore</v>
      </c>
      <c r="I45" s="14" t="str">
        <f aca="false">TEXT(C45,"dddd")</f>
        <v>Sunday</v>
      </c>
    </row>
    <row r="46" customFormat="false" ht="15" hidden="false" customHeight="false" outlineLevel="0" collapsed="false">
      <c r="A46" s="14" t="n">
        <v>4045</v>
      </c>
      <c r="B46" s="14" t="s">
        <v>22</v>
      </c>
      <c r="C46" s="15" t="n">
        <v>45472</v>
      </c>
      <c r="D46" s="14" t="s">
        <v>24</v>
      </c>
      <c r="E46" s="16" t="n">
        <v>38.06</v>
      </c>
      <c r="F46" s="14" t="n">
        <v>30</v>
      </c>
      <c r="G46" s="14" t="str">
        <f aca="false">VLOOKUP(B46,RestaurantDetails!$A$2:$C$11,2,FALSE())</f>
        <v>Pizza Hut</v>
      </c>
      <c r="H46" s="14" t="str">
        <f aca="false">VLOOKUP(B46,RestaurantDetails!$A$2:$C$11,3,FALSE())</f>
        <v>Pune</v>
      </c>
      <c r="I46" s="14" t="str">
        <f aca="false">TEXT(C46,"dddd")</f>
        <v>Saturday</v>
      </c>
    </row>
    <row r="47" customFormat="false" ht="15" hidden="false" customHeight="false" outlineLevel="0" collapsed="false">
      <c r="A47" s="14" t="n">
        <v>4046</v>
      </c>
      <c r="B47" s="14" t="s">
        <v>53</v>
      </c>
      <c r="C47" s="15" t="n">
        <v>45449</v>
      </c>
      <c r="D47" s="14" t="s">
        <v>119</v>
      </c>
      <c r="E47" s="16" t="n">
        <v>75.82</v>
      </c>
      <c r="F47" s="14" t="n">
        <v>49</v>
      </c>
      <c r="G47" s="14" t="str">
        <f aca="false">VLOOKUP(B47,RestaurantDetails!$A$2:$C$11,2,FALSE())</f>
        <v>Barbeque Nation</v>
      </c>
      <c r="H47" s="14" t="str">
        <f aca="false">VLOOKUP(B47,RestaurantDetails!$A$2:$C$11,3,FALSE())</f>
        <v>Bangalore</v>
      </c>
      <c r="I47" s="14" t="str">
        <f aca="false">TEXT(C47,"dddd")</f>
        <v>Thursday</v>
      </c>
    </row>
    <row r="48" customFormat="false" ht="15" hidden="false" customHeight="false" outlineLevel="0" collapsed="false">
      <c r="A48" s="14" t="n">
        <v>4047</v>
      </c>
      <c r="B48" s="14" t="s">
        <v>28</v>
      </c>
      <c r="C48" s="15" t="n">
        <v>45454</v>
      </c>
      <c r="D48" s="14" t="s">
        <v>119</v>
      </c>
      <c r="E48" s="16" t="n">
        <v>35.04</v>
      </c>
      <c r="F48" s="14" t="n">
        <v>45</v>
      </c>
      <c r="G48" s="14" t="str">
        <f aca="false">VLOOKUP(B48,RestaurantDetails!$A$2:$C$11,2,FALSE())</f>
        <v>KFC</v>
      </c>
      <c r="H48" s="14" t="str">
        <f aca="false">VLOOKUP(B48,RestaurantDetails!$A$2:$C$11,3,FALSE())</f>
        <v>Bangalore</v>
      </c>
      <c r="I48" s="14" t="str">
        <f aca="false">TEXT(C48,"dddd")</f>
        <v>Tuesday</v>
      </c>
    </row>
    <row r="49" customFormat="false" ht="15" hidden="false" customHeight="false" outlineLevel="0" collapsed="false">
      <c r="A49" s="14" t="n">
        <v>4048</v>
      </c>
      <c r="B49" s="14" t="s">
        <v>28</v>
      </c>
      <c r="C49" s="15" t="n">
        <v>45472</v>
      </c>
      <c r="D49" s="14" t="s">
        <v>31</v>
      </c>
      <c r="E49" s="16" t="n">
        <v>33.17</v>
      </c>
      <c r="F49" s="14" t="n">
        <v>38</v>
      </c>
      <c r="G49" s="14" t="str">
        <f aca="false">VLOOKUP(B49,RestaurantDetails!$A$2:$C$11,2,FALSE())</f>
        <v>KFC</v>
      </c>
      <c r="H49" s="14" t="str">
        <f aca="false">VLOOKUP(B49,RestaurantDetails!$A$2:$C$11,3,FALSE())</f>
        <v>Bangalore</v>
      </c>
      <c r="I49" s="14" t="str">
        <f aca="false">TEXT(C49,"dddd")</f>
        <v>Saturday</v>
      </c>
    </row>
    <row r="50" customFormat="false" ht="15" hidden="false" customHeight="false" outlineLevel="0" collapsed="false">
      <c r="A50" s="14" t="n">
        <v>4049</v>
      </c>
      <c r="B50" s="14" t="s">
        <v>28</v>
      </c>
      <c r="C50" s="15" t="n">
        <v>45448</v>
      </c>
      <c r="D50" s="14" t="s">
        <v>31</v>
      </c>
      <c r="E50" s="16" t="n">
        <v>41.04</v>
      </c>
      <c r="F50" s="14" t="n">
        <v>20</v>
      </c>
      <c r="G50" s="14" t="str">
        <f aca="false">VLOOKUP(B50,RestaurantDetails!$A$2:$C$11,2,FALSE())</f>
        <v>KFC</v>
      </c>
      <c r="H50" s="14" t="str">
        <f aca="false">VLOOKUP(B50,RestaurantDetails!$A$2:$C$11,3,FALSE())</f>
        <v>Bangalore</v>
      </c>
      <c r="I50" s="14" t="str">
        <f aca="false">TEXT(C50,"dddd")</f>
        <v>Wednesday</v>
      </c>
    </row>
    <row r="51" customFormat="false" ht="15" hidden="false" customHeight="false" outlineLevel="0" collapsed="false">
      <c r="A51" s="14" t="n">
        <v>4050</v>
      </c>
      <c r="B51" s="14" t="s">
        <v>19</v>
      </c>
      <c r="C51" s="15" t="n">
        <v>45452</v>
      </c>
      <c r="D51" s="14" t="s">
        <v>27</v>
      </c>
      <c r="E51" s="16" t="n">
        <v>47.04</v>
      </c>
      <c r="F51" s="14" t="n">
        <v>35</v>
      </c>
      <c r="G51" s="14" t="str">
        <f aca="false">VLOOKUP(B51,RestaurantDetails!$A$2:$C$11,2,FALSE())</f>
        <v>Domino's Pizza</v>
      </c>
      <c r="H51" s="14" t="str">
        <f aca="false">VLOOKUP(B51,RestaurantDetails!$A$2:$C$11,3,FALSE())</f>
        <v>Mumbai</v>
      </c>
      <c r="I51" s="14" t="str">
        <f aca="false">TEXT(C51,"dddd")</f>
        <v>Sunday</v>
      </c>
    </row>
    <row r="52" customFormat="false" ht="15" hidden="false" customHeight="false" outlineLevel="0" collapsed="false">
      <c r="A52" s="14" t="n">
        <v>4051</v>
      </c>
      <c r="B52" s="14" t="s">
        <v>28</v>
      </c>
      <c r="C52" s="15" t="n">
        <v>45470</v>
      </c>
      <c r="D52" s="14" t="s">
        <v>31</v>
      </c>
      <c r="E52" s="16" t="n">
        <v>57.54</v>
      </c>
      <c r="F52" s="14" t="n">
        <v>49</v>
      </c>
      <c r="G52" s="14" t="str">
        <f aca="false">VLOOKUP(B52,RestaurantDetails!$A$2:$C$11,2,FALSE())</f>
        <v>KFC</v>
      </c>
      <c r="H52" s="14" t="str">
        <f aca="false">VLOOKUP(B52,RestaurantDetails!$A$2:$C$11,3,FALSE())</f>
        <v>Bangalore</v>
      </c>
      <c r="I52" s="14" t="str">
        <f aca="false">TEXT(C52,"dddd")</f>
        <v>Thursday</v>
      </c>
    </row>
    <row r="53" customFormat="false" ht="15" hidden="false" customHeight="false" outlineLevel="0" collapsed="false">
      <c r="A53" s="14" t="n">
        <v>4052</v>
      </c>
      <c r="B53" s="14" t="s">
        <v>41</v>
      </c>
      <c r="C53" s="15" t="n">
        <v>45466</v>
      </c>
      <c r="D53" s="14" t="s">
        <v>24</v>
      </c>
      <c r="E53" s="16" t="n">
        <v>24.48</v>
      </c>
      <c r="F53" s="14" t="n">
        <v>20</v>
      </c>
      <c r="G53" s="14" t="str">
        <f aca="false">VLOOKUP(B53,RestaurantDetails!$A$2:$C$11,2,FALSE())</f>
        <v>Subway</v>
      </c>
      <c r="H53" s="14" t="str">
        <f aca="false">VLOOKUP(B53,RestaurantDetails!$A$2:$C$11,3,FALSE())</f>
        <v>Ahmedabad</v>
      </c>
      <c r="I53" s="14" t="str">
        <f aca="false">TEXT(C53,"dddd")</f>
        <v>Sunday</v>
      </c>
    </row>
    <row r="54" customFormat="false" ht="15" hidden="false" customHeight="false" outlineLevel="0" collapsed="false">
      <c r="A54" s="14" t="n">
        <v>4053</v>
      </c>
      <c r="B54" s="14" t="s">
        <v>22</v>
      </c>
      <c r="C54" s="15" t="n">
        <v>45471</v>
      </c>
      <c r="D54" s="14" t="s">
        <v>119</v>
      </c>
      <c r="E54" s="16" t="n">
        <v>62.52</v>
      </c>
      <c r="F54" s="14" t="n">
        <v>54</v>
      </c>
      <c r="G54" s="14" t="str">
        <f aca="false">VLOOKUP(B54,RestaurantDetails!$A$2:$C$11,2,FALSE())</f>
        <v>Pizza Hut</v>
      </c>
      <c r="H54" s="14" t="str">
        <f aca="false">VLOOKUP(B54,RestaurantDetails!$A$2:$C$11,3,FALSE())</f>
        <v>Pune</v>
      </c>
      <c r="I54" s="14" t="str">
        <f aca="false">TEXT(C54,"dddd")</f>
        <v>Friday</v>
      </c>
    </row>
    <row r="55" customFormat="false" ht="15" hidden="false" customHeight="false" outlineLevel="0" collapsed="false">
      <c r="A55" s="14" t="n">
        <v>4054</v>
      </c>
      <c r="B55" s="14" t="s">
        <v>41</v>
      </c>
      <c r="C55" s="15" t="n">
        <v>45453</v>
      </c>
      <c r="D55" s="14" t="s">
        <v>119</v>
      </c>
      <c r="E55" s="16" t="n">
        <v>28.15</v>
      </c>
      <c r="F55" s="14" t="n">
        <v>47</v>
      </c>
      <c r="G55" s="14" t="str">
        <f aca="false">VLOOKUP(B55,RestaurantDetails!$A$2:$C$11,2,FALSE())</f>
        <v>Subway</v>
      </c>
      <c r="H55" s="14" t="str">
        <f aca="false">VLOOKUP(B55,RestaurantDetails!$A$2:$C$11,3,FALSE())</f>
        <v>Ahmedabad</v>
      </c>
      <c r="I55" s="14" t="str">
        <f aca="false">TEXT(C55,"dddd")</f>
        <v>Monday</v>
      </c>
    </row>
    <row r="56" customFormat="false" ht="15" hidden="false" customHeight="false" outlineLevel="0" collapsed="false">
      <c r="A56" s="14" t="n">
        <v>4055</v>
      </c>
      <c r="B56" s="14" t="s">
        <v>28</v>
      </c>
      <c r="C56" s="15" t="n">
        <v>45444</v>
      </c>
      <c r="D56" s="14" t="s">
        <v>21</v>
      </c>
      <c r="E56" s="16" t="n">
        <v>66.76</v>
      </c>
      <c r="F56" s="14" t="n">
        <v>21</v>
      </c>
      <c r="G56" s="14" t="str">
        <f aca="false">VLOOKUP(B56,RestaurantDetails!$A$2:$C$11,2,FALSE())</f>
        <v>KFC</v>
      </c>
      <c r="H56" s="14" t="str">
        <f aca="false">VLOOKUP(B56,RestaurantDetails!$A$2:$C$11,3,FALSE())</f>
        <v>Bangalore</v>
      </c>
      <c r="I56" s="14" t="str">
        <f aca="false">TEXT(C56,"dddd")</f>
        <v>Saturday</v>
      </c>
    </row>
    <row r="57" customFormat="false" ht="15" hidden="false" customHeight="false" outlineLevel="0" collapsed="false">
      <c r="A57" s="14" t="n">
        <v>4056</v>
      </c>
      <c r="B57" s="14" t="s">
        <v>19</v>
      </c>
      <c r="C57" s="15" t="n">
        <v>45458</v>
      </c>
      <c r="D57" s="14" t="s">
        <v>119</v>
      </c>
      <c r="E57" s="16" t="n">
        <v>52.12</v>
      </c>
      <c r="F57" s="14" t="n">
        <v>41</v>
      </c>
      <c r="G57" s="14" t="str">
        <f aca="false">VLOOKUP(B57,RestaurantDetails!$A$2:$C$11,2,FALSE())</f>
        <v>Domino's Pizza</v>
      </c>
      <c r="H57" s="14" t="str">
        <f aca="false">VLOOKUP(B57,RestaurantDetails!$A$2:$C$11,3,FALSE())</f>
        <v>Mumbai</v>
      </c>
      <c r="I57" s="14" t="str">
        <f aca="false">TEXT(C57,"dddd")</f>
        <v>Saturday</v>
      </c>
    </row>
    <row r="58" customFormat="false" ht="15" hidden="false" customHeight="false" outlineLevel="0" collapsed="false">
      <c r="A58" s="14" t="n">
        <v>4057</v>
      </c>
      <c r="B58" s="14" t="s">
        <v>19</v>
      </c>
      <c r="C58" s="15" t="n">
        <v>45465</v>
      </c>
      <c r="D58" s="14" t="s">
        <v>21</v>
      </c>
      <c r="E58" s="16" t="n">
        <v>69.43</v>
      </c>
      <c r="F58" s="14" t="n">
        <v>34</v>
      </c>
      <c r="G58" s="14" t="str">
        <f aca="false">VLOOKUP(B58,RestaurantDetails!$A$2:$C$11,2,FALSE())</f>
        <v>Domino's Pizza</v>
      </c>
      <c r="H58" s="14" t="str">
        <f aca="false">VLOOKUP(B58,RestaurantDetails!$A$2:$C$11,3,FALSE())</f>
        <v>Mumbai</v>
      </c>
      <c r="I58" s="14" t="str">
        <f aca="false">TEXT(C58,"dddd")</f>
        <v>Saturday</v>
      </c>
    </row>
    <row r="59" customFormat="false" ht="15" hidden="false" customHeight="false" outlineLevel="0" collapsed="false">
      <c r="A59" s="14" t="n">
        <v>4058</v>
      </c>
      <c r="B59" s="14" t="s">
        <v>35</v>
      </c>
      <c r="C59" s="15" t="n">
        <v>45466</v>
      </c>
      <c r="D59" s="14" t="s">
        <v>119</v>
      </c>
      <c r="E59" s="16" t="n">
        <v>48.33</v>
      </c>
      <c r="F59" s="14" t="n">
        <v>20</v>
      </c>
      <c r="G59" s="14" t="str">
        <f aca="false">VLOOKUP(B59,RestaurantDetails!$A$2:$C$11,2,FALSE())</f>
        <v>McDonald's</v>
      </c>
      <c r="H59" s="14" t="str">
        <f aca="false">VLOOKUP(B59,RestaurantDetails!$A$2:$C$11,3,FALSE())</f>
        <v>Delhi</v>
      </c>
      <c r="I59" s="14" t="str">
        <f aca="false">TEXT(C59,"dddd")</f>
        <v>Sunday</v>
      </c>
    </row>
    <row r="60" customFormat="false" ht="15" hidden="false" customHeight="false" outlineLevel="0" collapsed="false">
      <c r="A60" s="14" t="n">
        <v>4059</v>
      </c>
      <c r="B60" s="14" t="s">
        <v>35</v>
      </c>
      <c r="C60" s="15" t="n">
        <v>45451</v>
      </c>
      <c r="D60" s="14" t="s">
        <v>119</v>
      </c>
      <c r="E60" s="16" t="n">
        <v>40.74</v>
      </c>
      <c r="F60" s="14" t="n">
        <v>51</v>
      </c>
      <c r="G60" s="14" t="str">
        <f aca="false">VLOOKUP(B60,RestaurantDetails!$A$2:$C$11,2,FALSE())</f>
        <v>McDonald's</v>
      </c>
      <c r="H60" s="14" t="str">
        <f aca="false">VLOOKUP(B60,RestaurantDetails!$A$2:$C$11,3,FALSE())</f>
        <v>Delhi</v>
      </c>
      <c r="I60" s="14" t="str">
        <f aca="false">TEXT(C60,"dddd")</f>
        <v>Saturday</v>
      </c>
    </row>
    <row r="61" customFormat="false" ht="15" hidden="false" customHeight="false" outlineLevel="0" collapsed="false">
      <c r="A61" s="14" t="n">
        <v>4060</v>
      </c>
      <c r="B61" s="14" t="s">
        <v>53</v>
      </c>
      <c r="C61" s="15" t="n">
        <v>45463</v>
      </c>
      <c r="D61" s="14" t="s">
        <v>31</v>
      </c>
      <c r="E61" s="16" t="n">
        <v>70.93</v>
      </c>
      <c r="F61" s="14" t="n">
        <v>32</v>
      </c>
      <c r="G61" s="14" t="str">
        <f aca="false">VLOOKUP(B61,RestaurantDetails!$A$2:$C$11,2,FALSE())</f>
        <v>Barbeque Nation</v>
      </c>
      <c r="H61" s="14" t="str">
        <f aca="false">VLOOKUP(B61,RestaurantDetails!$A$2:$C$11,3,FALSE())</f>
        <v>Bangalore</v>
      </c>
      <c r="I61" s="14" t="str">
        <f aca="false">TEXT(C61,"dddd")</f>
        <v>Thursday</v>
      </c>
    </row>
    <row r="62" customFormat="false" ht="15" hidden="false" customHeight="false" outlineLevel="0" collapsed="false">
      <c r="A62" s="14" t="n">
        <v>4061</v>
      </c>
      <c r="B62" s="14" t="s">
        <v>19</v>
      </c>
      <c r="C62" s="15" t="n">
        <v>45457</v>
      </c>
      <c r="D62" s="14" t="s">
        <v>21</v>
      </c>
      <c r="E62" s="16" t="n">
        <v>47.03</v>
      </c>
      <c r="F62" s="14" t="n">
        <v>30</v>
      </c>
      <c r="G62" s="14" t="str">
        <f aca="false">VLOOKUP(B62,RestaurantDetails!$A$2:$C$11,2,FALSE())</f>
        <v>Domino's Pizza</v>
      </c>
      <c r="H62" s="14" t="str">
        <f aca="false">VLOOKUP(B62,RestaurantDetails!$A$2:$C$11,3,FALSE())</f>
        <v>Mumbai</v>
      </c>
      <c r="I62" s="14" t="str">
        <f aca="false">TEXT(C62,"dddd")</f>
        <v>Friday</v>
      </c>
    </row>
    <row r="63" customFormat="false" ht="15" hidden="false" customHeight="false" outlineLevel="0" collapsed="false">
      <c r="A63" s="14" t="n">
        <v>4062</v>
      </c>
      <c r="B63" s="14" t="s">
        <v>33</v>
      </c>
      <c r="C63" s="15" t="n">
        <v>45456</v>
      </c>
      <c r="D63" s="14" t="s">
        <v>31</v>
      </c>
      <c r="E63" s="16" t="n">
        <v>39.59</v>
      </c>
      <c r="F63" s="14" t="n">
        <v>31</v>
      </c>
      <c r="G63" s="14" t="str">
        <f aca="false">VLOOKUP(B63,RestaurantDetails!$A$2:$C$11,2,FALSE())</f>
        <v>Burger King</v>
      </c>
      <c r="H63" s="14" t="str">
        <f aca="false">VLOOKUP(B63,RestaurantDetails!$A$2:$C$11,3,FALSE())</f>
        <v>Ahmedabad</v>
      </c>
      <c r="I63" s="14" t="str">
        <f aca="false">TEXT(C63,"dddd")</f>
        <v>Thursday</v>
      </c>
    </row>
    <row r="64" customFormat="false" ht="15" hidden="false" customHeight="false" outlineLevel="0" collapsed="false">
      <c r="A64" s="14" t="n">
        <v>4063</v>
      </c>
      <c r="B64" s="14" t="s">
        <v>19</v>
      </c>
      <c r="C64" s="15" t="n">
        <v>45467</v>
      </c>
      <c r="D64" s="14" t="s">
        <v>21</v>
      </c>
      <c r="E64" s="16" t="n">
        <v>34.54</v>
      </c>
      <c r="F64" s="14" t="n">
        <v>42</v>
      </c>
      <c r="G64" s="14" t="str">
        <f aca="false">VLOOKUP(B64,RestaurantDetails!$A$2:$C$11,2,FALSE())</f>
        <v>Domino's Pizza</v>
      </c>
      <c r="H64" s="14" t="str">
        <f aca="false">VLOOKUP(B64,RestaurantDetails!$A$2:$C$11,3,FALSE())</f>
        <v>Mumbai</v>
      </c>
      <c r="I64" s="14" t="str">
        <f aca="false">TEXT(C64,"dddd")</f>
        <v>Monday</v>
      </c>
    </row>
    <row r="65" customFormat="false" ht="15" hidden="false" customHeight="false" outlineLevel="0" collapsed="false">
      <c r="A65" s="14" t="n">
        <v>4064</v>
      </c>
      <c r="B65" s="14" t="s">
        <v>19</v>
      </c>
      <c r="C65" s="15" t="n">
        <v>45453</v>
      </c>
      <c r="D65" s="14" t="s">
        <v>24</v>
      </c>
      <c r="E65" s="16" t="n">
        <v>74.6</v>
      </c>
      <c r="F65" s="14" t="n">
        <v>19</v>
      </c>
      <c r="G65" s="14" t="str">
        <f aca="false">VLOOKUP(B65,RestaurantDetails!$A$2:$C$11,2,FALSE())</f>
        <v>Domino's Pizza</v>
      </c>
      <c r="H65" s="14" t="str">
        <f aca="false">VLOOKUP(B65,RestaurantDetails!$A$2:$C$11,3,FALSE())</f>
        <v>Mumbai</v>
      </c>
      <c r="I65" s="14" t="str">
        <f aca="false">TEXT(C65,"dddd")</f>
        <v>Monday</v>
      </c>
    </row>
    <row r="66" customFormat="false" ht="15" hidden="false" customHeight="false" outlineLevel="0" collapsed="false">
      <c r="A66" s="14" t="n">
        <v>4065</v>
      </c>
      <c r="B66" s="14" t="s">
        <v>41</v>
      </c>
      <c r="C66" s="15" t="n">
        <v>45460</v>
      </c>
      <c r="D66" s="14" t="s">
        <v>27</v>
      </c>
      <c r="E66" s="16" t="n">
        <v>46.45</v>
      </c>
      <c r="F66" s="14" t="n">
        <v>53</v>
      </c>
      <c r="G66" s="14" t="str">
        <f aca="false">VLOOKUP(B66,RestaurantDetails!$A$2:$C$11,2,FALSE())</f>
        <v>Subway</v>
      </c>
      <c r="H66" s="14" t="str">
        <f aca="false">VLOOKUP(B66,RestaurantDetails!$A$2:$C$11,3,FALSE())</f>
        <v>Ahmedabad</v>
      </c>
      <c r="I66" s="14" t="str">
        <f aca="false">TEXT(C66,"dddd")</f>
        <v>Monday</v>
      </c>
    </row>
    <row r="67" customFormat="false" ht="15" hidden="false" customHeight="false" outlineLevel="0" collapsed="false">
      <c r="A67" s="14" t="n">
        <v>4066</v>
      </c>
      <c r="B67" s="14" t="s">
        <v>49</v>
      </c>
      <c r="C67" s="15" t="n">
        <v>45468</v>
      </c>
      <c r="D67" s="14" t="s">
        <v>31</v>
      </c>
      <c r="E67" s="16" t="n">
        <v>75.19</v>
      </c>
      <c r="F67" s="14" t="n">
        <v>31</v>
      </c>
      <c r="G67" s="14" t="str">
        <f aca="false">VLOOKUP(B67,RestaurantDetails!$A$2:$C$11,2,FALSE())</f>
        <v>Behrouz Biryani</v>
      </c>
      <c r="H67" s="14" t="str">
        <f aca="false">VLOOKUP(B67,RestaurantDetails!$A$2:$C$11,3,FALSE())</f>
        <v>Mumbai</v>
      </c>
      <c r="I67" s="14" t="str">
        <f aca="false">TEXT(C67,"dddd")</f>
        <v>Tuesday</v>
      </c>
    </row>
    <row r="68" customFormat="false" ht="15" hidden="false" customHeight="false" outlineLevel="0" collapsed="false">
      <c r="A68" s="14" t="n">
        <v>4067</v>
      </c>
      <c r="B68" s="14" t="s">
        <v>19</v>
      </c>
      <c r="C68" s="15" t="n">
        <v>45457</v>
      </c>
      <c r="D68" s="14" t="s">
        <v>21</v>
      </c>
      <c r="E68" s="16" t="n">
        <v>51.99</v>
      </c>
      <c r="F68" s="14" t="n">
        <v>26</v>
      </c>
      <c r="G68" s="14" t="str">
        <f aca="false">VLOOKUP(B68,RestaurantDetails!$A$2:$C$11,2,FALSE())</f>
        <v>Domino's Pizza</v>
      </c>
      <c r="H68" s="14" t="str">
        <f aca="false">VLOOKUP(B68,RestaurantDetails!$A$2:$C$11,3,FALSE())</f>
        <v>Mumbai</v>
      </c>
      <c r="I68" s="14" t="str">
        <f aca="false">TEXT(C68,"dddd")</f>
        <v>Friday</v>
      </c>
    </row>
    <row r="69" customFormat="false" ht="15" hidden="false" customHeight="false" outlineLevel="0" collapsed="false">
      <c r="A69" s="14" t="n">
        <v>4068</v>
      </c>
      <c r="B69" s="14" t="s">
        <v>17</v>
      </c>
      <c r="C69" s="15" t="n">
        <v>45448</v>
      </c>
      <c r="D69" s="14" t="s">
        <v>31</v>
      </c>
      <c r="E69" s="16" t="n">
        <v>54.74</v>
      </c>
      <c r="F69" s="14" t="n">
        <v>23</v>
      </c>
      <c r="G69" s="14" t="str">
        <f aca="false">VLOOKUP(B69,RestaurantDetails!$A$2:$C$11,2,FALSE())</f>
        <v>Wow! Momo</v>
      </c>
      <c r="H69" s="14" t="str">
        <f aca="false">VLOOKUP(B69,RestaurantDetails!$A$2:$C$11,3,FALSE())</f>
        <v>Delhi</v>
      </c>
      <c r="I69" s="14" t="str">
        <f aca="false">TEXT(C69,"dddd")</f>
        <v>Wednesday</v>
      </c>
    </row>
    <row r="70" customFormat="false" ht="15" hidden="false" customHeight="false" outlineLevel="0" collapsed="false">
      <c r="A70" s="14" t="n">
        <v>4069</v>
      </c>
      <c r="B70" s="14" t="s">
        <v>28</v>
      </c>
      <c r="C70" s="15" t="n">
        <v>45458</v>
      </c>
      <c r="D70" s="14" t="s">
        <v>119</v>
      </c>
      <c r="E70" s="16" t="n">
        <v>63.73</v>
      </c>
      <c r="F70" s="14" t="n">
        <v>28</v>
      </c>
      <c r="G70" s="14" t="str">
        <f aca="false">VLOOKUP(B70,RestaurantDetails!$A$2:$C$11,2,FALSE())</f>
        <v>KFC</v>
      </c>
      <c r="H70" s="14" t="str">
        <f aca="false">VLOOKUP(B70,RestaurantDetails!$A$2:$C$11,3,FALSE())</f>
        <v>Bangalore</v>
      </c>
      <c r="I70" s="14" t="str">
        <f aca="false">TEXT(C70,"dddd")</f>
        <v>Saturday</v>
      </c>
    </row>
    <row r="71" customFormat="false" ht="15" hidden="false" customHeight="false" outlineLevel="0" collapsed="false">
      <c r="A71" s="14" t="n">
        <v>4070</v>
      </c>
      <c r="B71" s="14" t="s">
        <v>53</v>
      </c>
      <c r="C71" s="15" t="n">
        <v>45460</v>
      </c>
      <c r="D71" s="14" t="s">
        <v>24</v>
      </c>
      <c r="E71" s="16" t="n">
        <v>60.28</v>
      </c>
      <c r="F71" s="14" t="n">
        <v>31</v>
      </c>
      <c r="G71" s="14" t="str">
        <f aca="false">VLOOKUP(B71,RestaurantDetails!$A$2:$C$11,2,FALSE())</f>
        <v>Barbeque Nation</v>
      </c>
      <c r="H71" s="14" t="str">
        <f aca="false">VLOOKUP(B71,RestaurantDetails!$A$2:$C$11,3,FALSE())</f>
        <v>Bangalore</v>
      </c>
      <c r="I71" s="14" t="str">
        <f aca="false">TEXT(C71,"dddd")</f>
        <v>Monday</v>
      </c>
    </row>
    <row r="72" customFormat="false" ht="15" hidden="false" customHeight="false" outlineLevel="0" collapsed="false">
      <c r="A72" s="14" t="n">
        <v>4071</v>
      </c>
      <c r="B72" s="14" t="s">
        <v>22</v>
      </c>
      <c r="C72" s="15" t="n">
        <v>45471</v>
      </c>
      <c r="D72" s="14" t="s">
        <v>38</v>
      </c>
      <c r="E72" s="16" t="n">
        <v>51.45</v>
      </c>
      <c r="F72" s="14" t="n">
        <v>54</v>
      </c>
      <c r="G72" s="14" t="str">
        <f aca="false">VLOOKUP(B72,RestaurantDetails!$A$2:$C$11,2,FALSE())</f>
        <v>Pizza Hut</v>
      </c>
      <c r="H72" s="14" t="str">
        <f aca="false">VLOOKUP(B72,RestaurantDetails!$A$2:$C$11,3,FALSE())</f>
        <v>Pune</v>
      </c>
      <c r="I72" s="14" t="str">
        <f aca="false">TEXT(C72,"dddd")</f>
        <v>Friday</v>
      </c>
    </row>
    <row r="73" customFormat="false" ht="15" hidden="false" customHeight="false" outlineLevel="0" collapsed="false">
      <c r="A73" s="14" t="n">
        <v>4072</v>
      </c>
      <c r="B73" s="14" t="s">
        <v>17</v>
      </c>
      <c r="C73" s="15" t="n">
        <v>45450</v>
      </c>
      <c r="D73" s="14" t="s">
        <v>38</v>
      </c>
      <c r="E73" s="16" t="n">
        <v>26.86</v>
      </c>
      <c r="F73" s="14" t="n">
        <v>18</v>
      </c>
      <c r="G73" s="14" t="str">
        <f aca="false">VLOOKUP(B73,RestaurantDetails!$A$2:$C$11,2,FALSE())</f>
        <v>Wow! Momo</v>
      </c>
      <c r="H73" s="14" t="str">
        <f aca="false">VLOOKUP(B73,RestaurantDetails!$A$2:$C$11,3,FALSE())</f>
        <v>Delhi</v>
      </c>
      <c r="I73" s="14" t="str">
        <f aca="false">TEXT(C73,"dddd")</f>
        <v>Friday</v>
      </c>
    </row>
    <row r="74" customFormat="false" ht="15" hidden="false" customHeight="false" outlineLevel="0" collapsed="false">
      <c r="A74" s="14" t="n">
        <v>4073</v>
      </c>
      <c r="B74" s="14" t="s">
        <v>39</v>
      </c>
      <c r="C74" s="15" t="n">
        <v>45456</v>
      </c>
      <c r="D74" s="14" t="s">
        <v>38</v>
      </c>
      <c r="E74" s="16" t="n">
        <v>78.16</v>
      </c>
      <c r="F74" s="14" t="n">
        <v>51</v>
      </c>
      <c r="G74" s="14" t="str">
        <f aca="false">VLOOKUP(B74,RestaurantDetails!$A$2:$C$11,2,FALSE())</f>
        <v>Haldiram's</v>
      </c>
      <c r="H74" s="14" t="str">
        <f aca="false">VLOOKUP(B74,RestaurantDetails!$A$2:$C$11,3,FALSE())</f>
        <v>Pune</v>
      </c>
      <c r="I74" s="14" t="str">
        <f aca="false">TEXT(C74,"dddd")</f>
        <v>Thursday</v>
      </c>
    </row>
    <row r="75" customFormat="false" ht="15" hidden="false" customHeight="false" outlineLevel="0" collapsed="false">
      <c r="A75" s="14" t="n">
        <v>4074</v>
      </c>
      <c r="B75" s="14" t="s">
        <v>49</v>
      </c>
      <c r="C75" s="15" t="n">
        <v>45461</v>
      </c>
      <c r="D75" s="14" t="s">
        <v>31</v>
      </c>
      <c r="E75" s="16" t="n">
        <v>25.59</v>
      </c>
      <c r="F75" s="14" t="n">
        <v>28</v>
      </c>
      <c r="G75" s="14" t="str">
        <f aca="false">VLOOKUP(B75,RestaurantDetails!$A$2:$C$11,2,FALSE())</f>
        <v>Behrouz Biryani</v>
      </c>
      <c r="H75" s="14" t="str">
        <f aca="false">VLOOKUP(B75,RestaurantDetails!$A$2:$C$11,3,FALSE())</f>
        <v>Mumbai</v>
      </c>
      <c r="I75" s="14" t="str">
        <f aca="false">TEXT(C75,"dddd")</f>
        <v>Tuesday</v>
      </c>
    </row>
    <row r="76" customFormat="false" ht="15" hidden="false" customHeight="false" outlineLevel="0" collapsed="false">
      <c r="A76" s="14" t="n">
        <v>4075</v>
      </c>
      <c r="B76" s="14" t="s">
        <v>19</v>
      </c>
      <c r="C76" s="15" t="n">
        <v>45473</v>
      </c>
      <c r="D76" s="14" t="s">
        <v>31</v>
      </c>
      <c r="E76" s="16" t="n">
        <v>75.25</v>
      </c>
      <c r="F76" s="14" t="n">
        <v>43</v>
      </c>
      <c r="G76" s="14" t="str">
        <f aca="false">VLOOKUP(B76,RestaurantDetails!$A$2:$C$11,2,FALSE())</f>
        <v>Domino's Pizza</v>
      </c>
      <c r="H76" s="14" t="str">
        <f aca="false">VLOOKUP(B76,RestaurantDetails!$A$2:$C$11,3,FALSE())</f>
        <v>Mumbai</v>
      </c>
      <c r="I76" s="14" t="str">
        <f aca="false">TEXT(C76,"dddd")</f>
        <v>Sunday</v>
      </c>
    </row>
    <row r="77" customFormat="false" ht="15" hidden="false" customHeight="false" outlineLevel="0" collapsed="false">
      <c r="A77" s="14" t="n">
        <v>4076</v>
      </c>
      <c r="B77" s="14" t="s">
        <v>22</v>
      </c>
      <c r="C77" s="15" t="n">
        <v>45451</v>
      </c>
      <c r="D77" s="14" t="s">
        <v>31</v>
      </c>
      <c r="E77" s="16" t="n">
        <v>27.62</v>
      </c>
      <c r="F77" s="14" t="n">
        <v>45</v>
      </c>
      <c r="G77" s="14" t="str">
        <f aca="false">VLOOKUP(B77,RestaurantDetails!$A$2:$C$11,2,FALSE())</f>
        <v>Pizza Hut</v>
      </c>
      <c r="H77" s="14" t="str">
        <f aca="false">VLOOKUP(B77,RestaurantDetails!$A$2:$C$11,3,FALSE())</f>
        <v>Pune</v>
      </c>
      <c r="I77" s="14" t="str">
        <f aca="false">TEXT(C77,"dddd")</f>
        <v>Saturday</v>
      </c>
    </row>
    <row r="78" customFormat="false" ht="15" hidden="false" customHeight="false" outlineLevel="0" collapsed="false">
      <c r="A78" s="14" t="n">
        <v>4077</v>
      </c>
      <c r="B78" s="14" t="s">
        <v>17</v>
      </c>
      <c r="C78" s="15" t="n">
        <v>45460</v>
      </c>
      <c r="D78" s="14" t="s">
        <v>27</v>
      </c>
      <c r="E78" s="16" t="n">
        <v>31.49</v>
      </c>
      <c r="F78" s="14" t="n">
        <v>19</v>
      </c>
      <c r="G78" s="14" t="str">
        <f aca="false">VLOOKUP(B78,RestaurantDetails!$A$2:$C$11,2,FALSE())</f>
        <v>Wow! Momo</v>
      </c>
      <c r="H78" s="14" t="str">
        <f aca="false">VLOOKUP(B78,RestaurantDetails!$A$2:$C$11,3,FALSE())</f>
        <v>Delhi</v>
      </c>
      <c r="I78" s="14" t="str">
        <f aca="false">TEXT(C78,"dddd")</f>
        <v>Monday</v>
      </c>
    </row>
    <row r="79" customFormat="false" ht="15" hidden="false" customHeight="false" outlineLevel="0" collapsed="false">
      <c r="A79" s="14" t="n">
        <v>4078</v>
      </c>
      <c r="B79" s="14" t="s">
        <v>22</v>
      </c>
      <c r="C79" s="15" t="n">
        <v>45448</v>
      </c>
      <c r="D79" s="14" t="s">
        <v>27</v>
      </c>
      <c r="E79" s="16" t="n">
        <v>31.65</v>
      </c>
      <c r="F79" s="14" t="n">
        <v>32</v>
      </c>
      <c r="G79" s="14" t="str">
        <f aca="false">VLOOKUP(B79,RestaurantDetails!$A$2:$C$11,2,FALSE())</f>
        <v>Pizza Hut</v>
      </c>
      <c r="H79" s="14" t="str">
        <f aca="false">VLOOKUP(B79,RestaurantDetails!$A$2:$C$11,3,FALSE())</f>
        <v>Pune</v>
      </c>
      <c r="I79" s="14" t="str">
        <f aca="false">TEXT(C79,"dddd")</f>
        <v>Wednesday</v>
      </c>
    </row>
    <row r="80" customFormat="false" ht="15" hidden="false" customHeight="false" outlineLevel="0" collapsed="false">
      <c r="A80" s="14" t="n">
        <v>4079</v>
      </c>
      <c r="B80" s="14" t="s">
        <v>33</v>
      </c>
      <c r="C80" s="15" t="n">
        <v>45465</v>
      </c>
      <c r="D80" s="14" t="s">
        <v>24</v>
      </c>
      <c r="E80" s="16" t="n">
        <v>63.42</v>
      </c>
      <c r="F80" s="14" t="n">
        <v>33</v>
      </c>
      <c r="G80" s="14" t="str">
        <f aca="false">VLOOKUP(B80,RestaurantDetails!$A$2:$C$11,2,FALSE())</f>
        <v>Burger King</v>
      </c>
      <c r="H80" s="14" t="str">
        <f aca="false">VLOOKUP(B80,RestaurantDetails!$A$2:$C$11,3,FALSE())</f>
        <v>Ahmedabad</v>
      </c>
      <c r="I80" s="14" t="str">
        <f aca="false">TEXT(C80,"dddd")</f>
        <v>Saturday</v>
      </c>
    </row>
    <row r="81" customFormat="false" ht="15" hidden="false" customHeight="false" outlineLevel="0" collapsed="false">
      <c r="A81" s="14" t="n">
        <v>4080</v>
      </c>
      <c r="B81" s="14" t="s">
        <v>39</v>
      </c>
      <c r="C81" s="15" t="n">
        <v>45459</v>
      </c>
      <c r="D81" s="14" t="s">
        <v>31</v>
      </c>
      <c r="E81" s="16" t="n">
        <v>63.85</v>
      </c>
      <c r="F81" s="14" t="n">
        <v>25</v>
      </c>
      <c r="G81" s="14" t="str">
        <f aca="false">VLOOKUP(B81,RestaurantDetails!$A$2:$C$11,2,FALSE())</f>
        <v>Haldiram's</v>
      </c>
      <c r="H81" s="14" t="str">
        <f aca="false">VLOOKUP(B81,RestaurantDetails!$A$2:$C$11,3,FALSE())</f>
        <v>Pune</v>
      </c>
      <c r="I81" s="14" t="str">
        <f aca="false">TEXT(C81,"dddd")</f>
        <v>Sunday</v>
      </c>
    </row>
    <row r="82" customFormat="false" ht="15" hidden="false" customHeight="false" outlineLevel="0" collapsed="false">
      <c r="A82" s="14" t="n">
        <v>4081</v>
      </c>
      <c r="B82" s="14" t="s">
        <v>53</v>
      </c>
      <c r="C82" s="15" t="n">
        <v>45463</v>
      </c>
      <c r="D82" s="14" t="s">
        <v>119</v>
      </c>
      <c r="E82" s="16" t="n">
        <v>31.86</v>
      </c>
      <c r="F82" s="14" t="n">
        <v>51</v>
      </c>
      <c r="G82" s="14" t="str">
        <f aca="false">VLOOKUP(B82,RestaurantDetails!$A$2:$C$11,2,FALSE())</f>
        <v>Barbeque Nation</v>
      </c>
      <c r="H82" s="14" t="str">
        <f aca="false">VLOOKUP(B82,RestaurantDetails!$A$2:$C$11,3,FALSE())</f>
        <v>Bangalore</v>
      </c>
      <c r="I82" s="14" t="str">
        <f aca="false">TEXT(C82,"dddd")</f>
        <v>Thursday</v>
      </c>
    </row>
    <row r="83" customFormat="false" ht="15" hidden="false" customHeight="false" outlineLevel="0" collapsed="false">
      <c r="A83" s="14" t="n">
        <v>4082</v>
      </c>
      <c r="B83" s="14" t="s">
        <v>49</v>
      </c>
      <c r="C83" s="15" t="n">
        <v>45444</v>
      </c>
      <c r="D83" s="14" t="s">
        <v>119</v>
      </c>
      <c r="E83" s="16" t="n">
        <v>44.8</v>
      </c>
      <c r="F83" s="14" t="n">
        <v>51</v>
      </c>
      <c r="G83" s="14" t="str">
        <f aca="false">VLOOKUP(B83,RestaurantDetails!$A$2:$C$11,2,FALSE())</f>
        <v>Behrouz Biryani</v>
      </c>
      <c r="H83" s="14" t="str">
        <f aca="false">VLOOKUP(B83,RestaurantDetails!$A$2:$C$11,3,FALSE())</f>
        <v>Mumbai</v>
      </c>
      <c r="I83" s="14" t="str">
        <f aca="false">TEXT(C83,"dddd")</f>
        <v>Saturday</v>
      </c>
    </row>
    <row r="84" customFormat="false" ht="15" hidden="false" customHeight="false" outlineLevel="0" collapsed="false">
      <c r="A84" s="14" t="n">
        <v>4083</v>
      </c>
      <c r="B84" s="14" t="s">
        <v>39</v>
      </c>
      <c r="C84" s="15" t="n">
        <v>45449</v>
      </c>
      <c r="D84" s="14" t="s">
        <v>119</v>
      </c>
      <c r="E84" s="16" t="n">
        <v>57.88</v>
      </c>
      <c r="F84" s="14" t="n">
        <v>31</v>
      </c>
      <c r="G84" s="14" t="str">
        <f aca="false">VLOOKUP(B84,RestaurantDetails!$A$2:$C$11,2,FALSE())</f>
        <v>Haldiram's</v>
      </c>
      <c r="H84" s="14" t="str">
        <f aca="false">VLOOKUP(B84,RestaurantDetails!$A$2:$C$11,3,FALSE())</f>
        <v>Pune</v>
      </c>
      <c r="I84" s="14" t="str">
        <f aca="false">TEXT(C84,"dddd")</f>
        <v>Thursday</v>
      </c>
    </row>
    <row r="85" customFormat="false" ht="15" hidden="false" customHeight="false" outlineLevel="0" collapsed="false">
      <c r="A85" s="14" t="n">
        <v>4084</v>
      </c>
      <c r="B85" s="14" t="s">
        <v>53</v>
      </c>
      <c r="C85" s="15" t="n">
        <v>45450</v>
      </c>
      <c r="D85" s="14" t="s">
        <v>21</v>
      </c>
      <c r="E85" s="16" t="n">
        <v>74.89</v>
      </c>
      <c r="F85" s="14" t="n">
        <v>40</v>
      </c>
      <c r="G85" s="14" t="str">
        <f aca="false">VLOOKUP(B85,RestaurantDetails!$A$2:$C$11,2,FALSE())</f>
        <v>Barbeque Nation</v>
      </c>
      <c r="H85" s="14" t="str">
        <f aca="false">VLOOKUP(B85,RestaurantDetails!$A$2:$C$11,3,FALSE())</f>
        <v>Bangalore</v>
      </c>
      <c r="I85" s="14" t="str">
        <f aca="false">TEXT(C85,"dddd")</f>
        <v>Friday</v>
      </c>
    </row>
    <row r="86" customFormat="false" ht="15" hidden="false" customHeight="false" outlineLevel="0" collapsed="false">
      <c r="A86" s="14" t="n">
        <v>4085</v>
      </c>
      <c r="B86" s="14" t="s">
        <v>35</v>
      </c>
      <c r="C86" s="15" t="n">
        <v>45454</v>
      </c>
      <c r="D86" s="14" t="s">
        <v>21</v>
      </c>
      <c r="E86" s="16" t="n">
        <v>33.09</v>
      </c>
      <c r="F86" s="14" t="n">
        <v>30</v>
      </c>
      <c r="G86" s="14" t="str">
        <f aca="false">VLOOKUP(B86,RestaurantDetails!$A$2:$C$11,2,FALSE())</f>
        <v>McDonald's</v>
      </c>
      <c r="H86" s="14" t="str">
        <f aca="false">VLOOKUP(B86,RestaurantDetails!$A$2:$C$11,3,FALSE())</f>
        <v>Delhi</v>
      </c>
      <c r="I86" s="14" t="str">
        <f aca="false">TEXT(C86,"dddd")</f>
        <v>Tuesday</v>
      </c>
    </row>
    <row r="87" customFormat="false" ht="15" hidden="false" customHeight="false" outlineLevel="0" collapsed="false">
      <c r="A87" s="14" t="n">
        <v>4086</v>
      </c>
      <c r="B87" s="14" t="s">
        <v>19</v>
      </c>
      <c r="C87" s="15" t="n">
        <v>45448</v>
      </c>
      <c r="D87" s="14" t="s">
        <v>21</v>
      </c>
      <c r="E87" s="16" t="n">
        <v>63.59</v>
      </c>
      <c r="F87" s="14" t="n">
        <v>34</v>
      </c>
      <c r="G87" s="14" t="str">
        <f aca="false">VLOOKUP(B87,RestaurantDetails!$A$2:$C$11,2,FALSE())</f>
        <v>Domino's Pizza</v>
      </c>
      <c r="H87" s="14" t="str">
        <f aca="false">VLOOKUP(B87,RestaurantDetails!$A$2:$C$11,3,FALSE())</f>
        <v>Mumbai</v>
      </c>
      <c r="I87" s="14" t="str">
        <f aca="false">TEXT(C87,"dddd")</f>
        <v>Wednesday</v>
      </c>
    </row>
    <row r="88" customFormat="false" ht="15" hidden="false" customHeight="false" outlineLevel="0" collapsed="false">
      <c r="A88" s="14" t="n">
        <v>4087</v>
      </c>
      <c r="B88" s="14" t="s">
        <v>49</v>
      </c>
      <c r="C88" s="15" t="n">
        <v>45447</v>
      </c>
      <c r="D88" s="14" t="s">
        <v>119</v>
      </c>
      <c r="E88" s="16" t="n">
        <v>76.47</v>
      </c>
      <c r="F88" s="14" t="n">
        <v>52</v>
      </c>
      <c r="G88" s="14" t="str">
        <f aca="false">VLOOKUP(B88,RestaurantDetails!$A$2:$C$11,2,FALSE())</f>
        <v>Behrouz Biryani</v>
      </c>
      <c r="H88" s="14" t="str">
        <f aca="false">VLOOKUP(B88,RestaurantDetails!$A$2:$C$11,3,FALSE())</f>
        <v>Mumbai</v>
      </c>
      <c r="I88" s="14" t="str">
        <f aca="false">TEXT(C88,"dddd")</f>
        <v>Tuesday</v>
      </c>
    </row>
    <row r="89" customFormat="false" ht="15" hidden="false" customHeight="false" outlineLevel="0" collapsed="false">
      <c r="A89" s="14" t="n">
        <v>4088</v>
      </c>
      <c r="B89" s="14" t="s">
        <v>35</v>
      </c>
      <c r="C89" s="15" t="n">
        <v>45450</v>
      </c>
      <c r="D89" s="14" t="s">
        <v>119</v>
      </c>
      <c r="E89" s="16" t="n">
        <v>61.11</v>
      </c>
      <c r="F89" s="14" t="n">
        <v>19</v>
      </c>
      <c r="G89" s="14" t="str">
        <f aca="false">VLOOKUP(B89,RestaurantDetails!$A$2:$C$11,2,FALSE())</f>
        <v>McDonald's</v>
      </c>
      <c r="H89" s="14" t="str">
        <f aca="false">VLOOKUP(B89,RestaurantDetails!$A$2:$C$11,3,FALSE())</f>
        <v>Delhi</v>
      </c>
      <c r="I89" s="14" t="str">
        <f aca="false">TEXT(C89,"dddd")</f>
        <v>Friday</v>
      </c>
    </row>
    <row r="90" customFormat="false" ht="15" hidden="false" customHeight="false" outlineLevel="0" collapsed="false">
      <c r="A90" s="14" t="n">
        <v>4089</v>
      </c>
      <c r="B90" s="14" t="s">
        <v>19</v>
      </c>
      <c r="C90" s="15" t="n">
        <v>45450</v>
      </c>
      <c r="D90" s="14" t="s">
        <v>119</v>
      </c>
      <c r="E90" s="16" t="n">
        <v>78.1</v>
      </c>
      <c r="F90" s="14" t="n">
        <v>25</v>
      </c>
      <c r="G90" s="14" t="str">
        <f aca="false">VLOOKUP(B90,RestaurantDetails!$A$2:$C$11,2,FALSE())</f>
        <v>Domino's Pizza</v>
      </c>
      <c r="H90" s="14" t="str">
        <f aca="false">VLOOKUP(B90,RestaurantDetails!$A$2:$C$11,3,FALSE())</f>
        <v>Mumbai</v>
      </c>
      <c r="I90" s="14" t="str">
        <f aca="false">TEXT(C90,"dddd")</f>
        <v>Friday</v>
      </c>
    </row>
    <row r="91" customFormat="false" ht="15" hidden="false" customHeight="false" outlineLevel="0" collapsed="false">
      <c r="A91" s="14" t="n">
        <v>4090</v>
      </c>
      <c r="B91" s="14" t="s">
        <v>53</v>
      </c>
      <c r="C91" s="15" t="n">
        <v>45464</v>
      </c>
      <c r="D91" s="14" t="s">
        <v>38</v>
      </c>
      <c r="E91" s="16" t="n">
        <v>79.92</v>
      </c>
      <c r="F91" s="14" t="n">
        <v>30</v>
      </c>
      <c r="G91" s="14" t="str">
        <f aca="false">VLOOKUP(B91,RestaurantDetails!$A$2:$C$11,2,FALSE())</f>
        <v>Barbeque Nation</v>
      </c>
      <c r="H91" s="14" t="str">
        <f aca="false">VLOOKUP(B91,RestaurantDetails!$A$2:$C$11,3,FALSE())</f>
        <v>Bangalore</v>
      </c>
      <c r="I91" s="14" t="str">
        <f aca="false">TEXT(C91,"dddd")</f>
        <v>Friday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13" t="s">
        <v>101</v>
      </c>
      <c r="B1" s="13" t="s">
        <v>120</v>
      </c>
      <c r="C1" s="13" t="s">
        <v>121</v>
      </c>
    </row>
    <row r="2" customFormat="false" ht="15" hidden="false" customHeight="false" outlineLevel="0" collapsed="false">
      <c r="A2" s="14" t="s">
        <v>104</v>
      </c>
      <c r="B2" s="14" t="n">
        <f aca="false">COUNTIF(Orders_Cleaned!$H$2:$H$91,A2)</f>
        <v>14</v>
      </c>
      <c r="C2" s="16" t="n">
        <f aca="false">SUMIF(Orders_Cleaned!$H$2:$H$91,A2,Orders_Cleaned!$E$2:$E$91)</f>
        <v>598.06</v>
      </c>
    </row>
    <row r="3" customFormat="false" ht="15" hidden="false" customHeight="false" outlineLevel="0" collapsed="false">
      <c r="A3" s="14" t="s">
        <v>106</v>
      </c>
      <c r="B3" s="14" t="n">
        <f aca="false">COUNTIF(Orders_Cleaned!$H$2:$H$91,A3)</f>
        <v>24</v>
      </c>
      <c r="C3" s="16" t="n">
        <f aca="false">SUMIF(Orders_Cleaned!$H$2:$H$91,A3,Orders_Cleaned!$E$2:$E$91)</f>
        <v>1254.95</v>
      </c>
    </row>
    <row r="4" customFormat="false" ht="15" hidden="false" customHeight="false" outlineLevel="0" collapsed="false">
      <c r="A4" s="14" t="s">
        <v>108</v>
      </c>
      <c r="B4" s="14" t="n">
        <f aca="false">COUNTIF(Orders_Cleaned!$H$2:$H$91,A4)</f>
        <v>16</v>
      </c>
      <c r="C4" s="16" t="n">
        <f aca="false">SUMIF(Orders_Cleaned!$H$2:$H$91,A4,Orders_Cleaned!$E$2:$E$91)</f>
        <v>784.84</v>
      </c>
    </row>
    <row r="5" customFormat="false" ht="15" hidden="false" customHeight="false" outlineLevel="0" collapsed="false">
      <c r="A5" s="14" t="s">
        <v>110</v>
      </c>
      <c r="B5" s="14" t="n">
        <f aca="false">COUNTIF(Orders_Cleaned!$H$2:$H$91,A5)</f>
        <v>18</v>
      </c>
      <c r="C5" s="16" t="n">
        <f aca="false">SUMIF(Orders_Cleaned!$H$2:$H$91,A5,Orders_Cleaned!$E$2:$E$91)</f>
        <v>964.96</v>
      </c>
    </row>
    <row r="6" customFormat="false" ht="15" hidden="false" customHeight="false" outlineLevel="0" collapsed="false">
      <c r="A6" s="14" t="s">
        <v>112</v>
      </c>
      <c r="B6" s="14" t="n">
        <f aca="false">COUNTIF(Orders_Cleaned!$H$2:$H$91,A6)</f>
        <v>18</v>
      </c>
      <c r="C6" s="16" t="n">
        <f aca="false">SUMIF(Orders_Cleaned!$H$2:$H$91,A6,Orders_Cleaned!$E$2:$E$91)</f>
        <v>834.28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2026-08-08T05:56:21Z</dcterms:created>
  <dc:creator>openpyxl</dc:creator>
  <dc:description/>
  <dc:language>en-US</dc:language>
  <cp:lastModifiedBy/>
  <dcterms:modified xsi:type="dcterms:W3CDTF">2026-08-08T05:57:07Z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