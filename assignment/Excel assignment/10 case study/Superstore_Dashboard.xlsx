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Data_Cleaned" sheetId="2" state="visible" r:id="rId4"/>
    <sheet name="Region_Summary" sheetId="3" state="visible" r:id="rId5"/>
    <sheet name="Category_SubCategory" sheetId="4" state="visible" r:id="rId6"/>
    <sheet name="Top5_Profitable_SubCatego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Findings: Technology sub-categories (Copiers, Phones, Accessories) and select Office Supplies items dominate the most-profitable list, reflecting healthy margins and low average discounting. By contrast, Furniture sub-categories such as Tables and Bookcases are notably absent from the top performers — in the full dataset they are frequently discounted above 20%, which erodes or reverses their profit. Recommendation: tighten discount limits on low-margin Furniture items and prioritize inventory/marketing investment toward the top 5 sub-categories shown here.</t>
        </r>
      </text>
    </comment>
  </commentList>
</comments>
</file>

<file path=xl/sharedStrings.xml><?xml version="1.0" encoding="utf-8"?>
<sst xmlns="http://schemas.openxmlformats.org/spreadsheetml/2006/main" count="4948" uniqueCount="1312">
  <si>
    <t xml:space="preserve">Retail Sales Performance Dashboard</t>
  </si>
  <si>
    <t xml:space="preserve">Source: SampleSuperstore.csv (cleaned) — Sales, Profit &amp; Category performance overview</t>
  </si>
  <si>
    <t xml:space="preserve">Total Sales</t>
  </si>
  <si>
    <t xml:space="preserve">Total Profit</t>
  </si>
  <si>
    <t xml:space="preserve">Total Orders</t>
  </si>
  <si>
    <t xml:space="preserve">Overall Profit Margin</t>
  </si>
  <si>
    <t xml:space="preserve">Sales by Category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</si>
  <si>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</si>
  <si>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</si>
  <si>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</si>
  <si>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</si>
  <si>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</si>
  <si>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Segment</t>
  </si>
  <si>
    <t xml:space="preserve">Country</t>
  </si>
  <si>
    <t xml:space="preserve">City</t>
  </si>
  <si>
    <t xml:space="preserve">State</t>
  </si>
  <si>
    <t xml:space="preserve">Region</t>
  </si>
  <si>
    <t xml:space="preserve">Product ID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</si>
  <si>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</si>
  <si>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</si>
  <si>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</si>
  <si>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</si>
  <si>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</si>
  <si>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</si>
  <si>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US-2022-101155</t>
  </si>
  <si>
    <t xml:space="preserve">2022-11-29</t>
  </si>
  <si>
    <t xml:space="preserve">2022-12-06</t>
  </si>
  <si>
    <t xml:space="preserve">First Class</t>
  </si>
  <si>
    <t xml:space="preserve">CU-10025</t>
  </si>
  <si>
    <t xml:space="preserve">Consumer</t>
  </si>
  <si>
    <t xml:space="preserve">United States</t>
  </si>
  <si>
    <t xml:space="preserve">Los Angeles</t>
  </si>
  <si>
    <t xml:space="preserve">California</t>
  </si>
  <si>
    <t xml:space="preserve">West</t>
  </si>
  <si>
    <t xml:space="preserve">OFF-PAP-5475</t>
  </si>
  <si>
    <t xml:space="preserve">Office Supplies</t>
  </si>
  <si>
    <t xml:space="preserve">Paper</t>
  </si>
  <si>
    <t xml:space="preserve">US-2022-101041</t>
  </si>
  <si>
    <t xml:space="preserve">2022-01-29</t>
  </si>
  <si>
    <t xml:space="preserve">2022-01-30</t>
  </si>
  <si>
    <t xml:space="preserve">Standard Class</t>
  </si>
  <si>
    <t xml:space="preserve">CU-10222</t>
  </si>
  <si>
    <t xml:space="preserve">Springfield</t>
  </si>
  <si>
    <t xml:space="preserve">Illinois</t>
  </si>
  <si>
    <t xml:space="preserve">Central</t>
  </si>
  <si>
    <t xml:space="preserve">TEC-PHO-4114</t>
  </si>
  <si>
    <t xml:space="preserve">Technology</t>
  </si>
  <si>
    <t xml:space="preserve">Phones</t>
  </si>
  <si>
    <t xml:space="preserve">US-2023-101351</t>
  </si>
  <si>
    <t xml:space="preserve">2022-03-11</t>
  </si>
  <si>
    <t xml:space="preserve">2022-03-12</t>
  </si>
  <si>
    <t xml:space="preserve">Same Day</t>
  </si>
  <si>
    <t xml:space="preserve">CU-10203</t>
  </si>
  <si>
    <t xml:space="preserve">Chicago</t>
  </si>
  <si>
    <t xml:space="preserve">OFF-SUP-2350</t>
  </si>
  <si>
    <t xml:space="preserve">Supplies</t>
  </si>
  <si>
    <t xml:space="preserve">US-2022-101118</t>
  </si>
  <si>
    <t xml:space="preserve">2023-03-29</t>
  </si>
  <si>
    <t xml:space="preserve">2023-04-01</t>
  </si>
  <si>
    <t xml:space="preserve">CU-10101</t>
  </si>
  <si>
    <t xml:space="preserve">Corporate</t>
  </si>
  <si>
    <t xml:space="preserve">Cleveland</t>
  </si>
  <si>
    <t xml:space="preserve">Ohio</t>
  </si>
  <si>
    <t xml:space="preserve">TEC-MAC-5497</t>
  </si>
  <si>
    <t xml:space="preserve">Machines</t>
  </si>
  <si>
    <t xml:space="preserve">US-2023-101380</t>
  </si>
  <si>
    <t xml:space="preserve">2023-04-29</t>
  </si>
  <si>
    <t xml:space="preserve">2023-05-04</t>
  </si>
  <si>
    <t xml:space="preserve">CU-10123</t>
  </si>
  <si>
    <t xml:space="preserve">TEC-ACC-6813</t>
  </si>
  <si>
    <t xml:space="preserve">Accessories</t>
  </si>
  <si>
    <t xml:space="preserve">US-2022-101268</t>
  </si>
  <si>
    <t xml:space="preserve">2023-07-07</t>
  </si>
  <si>
    <t xml:space="preserve">2023-07-09</t>
  </si>
  <si>
    <t xml:space="preserve">CU-10294</t>
  </si>
  <si>
    <t xml:space="preserve">Spokane</t>
  </si>
  <si>
    <t xml:space="preserve">Washington</t>
  </si>
  <si>
    <t xml:space="preserve">OFF-LAB-9540</t>
  </si>
  <si>
    <t xml:space="preserve">Labels</t>
  </si>
  <si>
    <t xml:space="preserve">US-2024-101523</t>
  </si>
  <si>
    <t xml:space="preserve">2022-10-11</t>
  </si>
  <si>
    <t xml:space="preserve">2022-10-13</t>
  </si>
  <si>
    <t xml:space="preserve">CU-10089</t>
  </si>
  <si>
    <t xml:space="preserve">Home Office</t>
  </si>
  <si>
    <t xml:space="preserve">Worcester</t>
  </si>
  <si>
    <t xml:space="preserve">Massachusetts</t>
  </si>
  <si>
    <t xml:space="preserve">East</t>
  </si>
  <si>
    <t xml:space="preserve">FUR-BOO-9409</t>
  </si>
  <si>
    <t xml:space="preserve">Furniture</t>
  </si>
  <si>
    <t xml:space="preserve">Bookcases</t>
  </si>
  <si>
    <t xml:space="preserve">US-2022-101342</t>
  </si>
  <si>
    <t xml:space="preserve">2022-03-14</t>
  </si>
  <si>
    <t xml:space="preserve">2022-03-16</t>
  </si>
  <si>
    <t xml:space="preserve">CU-10188</t>
  </si>
  <si>
    <t xml:space="preserve">Tampa</t>
  </si>
  <si>
    <t xml:space="preserve">Florida</t>
  </si>
  <si>
    <t xml:space="preserve">South</t>
  </si>
  <si>
    <t xml:space="preserve">OFF-BIN-3480</t>
  </si>
  <si>
    <t xml:space="preserve">Binders</t>
  </si>
  <si>
    <t xml:space="preserve">US-2024-101447</t>
  </si>
  <si>
    <t xml:space="preserve">2023-05-26</t>
  </si>
  <si>
    <t xml:space="preserve">2023-05-30</t>
  </si>
  <si>
    <t xml:space="preserve">Second Class</t>
  </si>
  <si>
    <t xml:space="preserve">CU-10052</t>
  </si>
  <si>
    <t xml:space="preserve">Dallas</t>
  </si>
  <si>
    <t xml:space="preserve">Texas</t>
  </si>
  <si>
    <t xml:space="preserve">FUR-BOO-5990</t>
  </si>
  <si>
    <t xml:space="preserve">US-2024-101016</t>
  </si>
  <si>
    <t xml:space="preserve">2023-11-07</t>
  </si>
  <si>
    <t xml:space="preserve">2023-11-11</t>
  </si>
  <si>
    <t xml:space="preserve">CU-10102</t>
  </si>
  <si>
    <t xml:space="preserve">Jersey City</t>
  </si>
  <si>
    <t xml:space="preserve">New Jersey</t>
  </si>
  <si>
    <t xml:space="preserve">OFF-ART-4770</t>
  </si>
  <si>
    <t xml:space="preserve">Art</t>
  </si>
  <si>
    <t xml:space="preserve">US-2023-101317</t>
  </si>
  <si>
    <t xml:space="preserve">2022-07-11</t>
  </si>
  <si>
    <t xml:space="preserve">2022-07-14</t>
  </si>
  <si>
    <t xml:space="preserve">CU-10250</t>
  </si>
  <si>
    <t xml:space="preserve">OFF-PAP-6766</t>
  </si>
  <si>
    <t xml:space="preserve">US-2024-101282</t>
  </si>
  <si>
    <t xml:space="preserve">2023-05-15</t>
  </si>
  <si>
    <t xml:space="preserve">2023-05-16</t>
  </si>
  <si>
    <t xml:space="preserve">CU-10140</t>
  </si>
  <si>
    <t xml:space="preserve">Las Vegas</t>
  </si>
  <si>
    <t xml:space="preserve">Nevada</t>
  </si>
  <si>
    <t xml:space="preserve">OFF-SUP-2753</t>
  </si>
  <si>
    <t xml:space="preserve">US-2022-101309</t>
  </si>
  <si>
    <t xml:space="preserve">2022-04-11</t>
  </si>
  <si>
    <t xml:space="preserve">2022-04-14</t>
  </si>
  <si>
    <t xml:space="preserve">CU-10256</t>
  </si>
  <si>
    <t xml:space="preserve">Pittsburgh</t>
  </si>
  <si>
    <t xml:space="preserve">Pennsylvania</t>
  </si>
  <si>
    <t xml:space="preserve">TEC-PHO-2901</t>
  </si>
  <si>
    <t xml:space="preserve">US-2024-101160</t>
  </si>
  <si>
    <t xml:space="preserve">2023-03-17</t>
  </si>
  <si>
    <t xml:space="preserve">2023-03-19</t>
  </si>
  <si>
    <t xml:space="preserve">CU-10181</t>
  </si>
  <si>
    <t xml:space="preserve">Boston</t>
  </si>
  <si>
    <t xml:space="preserve">TEC-ACC-6129</t>
  </si>
  <si>
    <t xml:space="preserve">US-2022-101134</t>
  </si>
  <si>
    <t xml:space="preserve">2023-01-03</t>
  </si>
  <si>
    <t xml:space="preserve">2023-01-04</t>
  </si>
  <si>
    <t xml:space="preserve">CU-10232</t>
  </si>
  <si>
    <t xml:space="preserve">Charlotte</t>
  </si>
  <si>
    <t xml:space="preserve">North Carolina</t>
  </si>
  <si>
    <t xml:space="preserve">FUR-BOO-3063</t>
  </si>
  <si>
    <t xml:space="preserve">US-2022-101511</t>
  </si>
  <si>
    <t xml:space="preserve">2022-04-20</t>
  </si>
  <si>
    <t xml:space="preserve">2022-04-22</t>
  </si>
  <si>
    <t xml:space="preserve">CU-10187</t>
  </si>
  <si>
    <t xml:space="preserve">Raleigh</t>
  </si>
  <si>
    <t xml:space="preserve">FUR-FUR-6641</t>
  </si>
  <si>
    <t xml:space="preserve">Furnishings</t>
  </si>
  <si>
    <t xml:space="preserve">US-2022-101212</t>
  </si>
  <si>
    <t xml:space="preserve">2022-06-06</t>
  </si>
  <si>
    <t xml:space="preserve">2022-06-09</t>
  </si>
  <si>
    <t xml:space="preserve">CU-10265</t>
  </si>
  <si>
    <t xml:space="preserve">TEC-MAC-5496</t>
  </si>
  <si>
    <t xml:space="preserve">US-2023-101184</t>
  </si>
  <si>
    <t xml:space="preserve">2022-10-16</t>
  </si>
  <si>
    <t xml:space="preserve">2022-10-23</t>
  </si>
  <si>
    <t xml:space="preserve">CU-10070</t>
  </si>
  <si>
    <t xml:space="preserve">Richmond</t>
  </si>
  <si>
    <t xml:space="preserve">Virginia</t>
  </si>
  <si>
    <t xml:space="preserve">FUR-FUR-9452</t>
  </si>
  <si>
    <t xml:space="preserve">US-2022-101075</t>
  </si>
  <si>
    <t xml:space="preserve">2022-01-11</t>
  </si>
  <si>
    <t xml:space="preserve">2022-01-16</t>
  </si>
  <si>
    <t xml:space="preserve">CU-10284</t>
  </si>
  <si>
    <t xml:space="preserve">New York City</t>
  </si>
  <si>
    <t xml:space="preserve">New York</t>
  </si>
  <si>
    <t xml:space="preserve">OFF-STO-5820</t>
  </si>
  <si>
    <t xml:space="preserve">Storage</t>
  </si>
  <si>
    <t xml:space="preserve">US-2022-101221</t>
  </si>
  <si>
    <t xml:space="preserve">2022-11-23</t>
  </si>
  <si>
    <t xml:space="preserve">CU-10054</t>
  </si>
  <si>
    <t xml:space="preserve">Columbus</t>
  </si>
  <si>
    <t xml:space="preserve">OFF-FAS-1829</t>
  </si>
  <si>
    <t xml:space="preserve">Fasteners</t>
  </si>
  <si>
    <t xml:space="preserve">US-2024-101516</t>
  </si>
  <si>
    <t xml:space="preserve">2023-10-14</t>
  </si>
  <si>
    <t xml:space="preserve">2023-10-15</t>
  </si>
  <si>
    <t xml:space="preserve">CU-10032</t>
  </si>
  <si>
    <t xml:space="preserve">OFF-APP-9536</t>
  </si>
  <si>
    <t xml:space="preserve">Appliances</t>
  </si>
  <si>
    <t xml:space="preserve">US-2024-101403</t>
  </si>
  <si>
    <t xml:space="preserve">2022-06-12</t>
  </si>
  <si>
    <t xml:space="preserve">2022-06-13</t>
  </si>
  <si>
    <t xml:space="preserve">CU-10014</t>
  </si>
  <si>
    <t xml:space="preserve">TEC-COP-1828</t>
  </si>
  <si>
    <t xml:space="preserve">Copiers</t>
  </si>
  <si>
    <t xml:space="preserve">US-2024-101249</t>
  </si>
  <si>
    <t xml:space="preserve">2022-10-01</t>
  </si>
  <si>
    <t xml:space="preserve">2022-10-04</t>
  </si>
  <si>
    <t xml:space="preserve">CU-10120</t>
  </si>
  <si>
    <t xml:space="preserve">FUR-TAB-6095</t>
  </si>
  <si>
    <t xml:space="preserve">Tables</t>
  </si>
  <si>
    <t xml:space="preserve">US-2023-101151</t>
  </si>
  <si>
    <t xml:space="preserve">2022-04-17</t>
  </si>
  <si>
    <t xml:space="preserve">CU-10179</t>
  </si>
  <si>
    <t xml:space="preserve">OFF-FAS-6567</t>
  </si>
  <si>
    <t xml:space="preserve">US-2023-101325</t>
  </si>
  <si>
    <t xml:space="preserve">2022-07-19</t>
  </si>
  <si>
    <t xml:space="preserve">2022-07-26</t>
  </si>
  <si>
    <t xml:space="preserve">CU-10227</t>
  </si>
  <si>
    <t xml:space="preserve">Norfolk</t>
  </si>
  <si>
    <t xml:space="preserve">FUR-BOO-4683</t>
  </si>
  <si>
    <t xml:space="preserve">US-2023-101538</t>
  </si>
  <si>
    <t xml:space="preserve">2022-06-30</t>
  </si>
  <si>
    <t xml:space="preserve">2022-07-04</t>
  </si>
  <si>
    <t xml:space="preserve">CU-10287</t>
  </si>
  <si>
    <t xml:space="preserve">Savannah</t>
  </si>
  <si>
    <t xml:space="preserve">Georgia</t>
  </si>
  <si>
    <t xml:space="preserve">OFF-ART-6914</t>
  </si>
  <si>
    <t xml:space="preserve">US-2022-101082</t>
  </si>
  <si>
    <t xml:space="preserve">2022-10-27</t>
  </si>
  <si>
    <t xml:space="preserve">2022-11-02</t>
  </si>
  <si>
    <t xml:space="preserve">CU-10240</t>
  </si>
  <si>
    <t xml:space="preserve">OFF-APP-2869</t>
  </si>
  <si>
    <t xml:space="preserve">US-2022-101430</t>
  </si>
  <si>
    <t xml:space="preserve">2022-01-21</t>
  </si>
  <si>
    <t xml:space="preserve">2022-01-22</t>
  </si>
  <si>
    <t xml:space="preserve">CU-10129</t>
  </si>
  <si>
    <t xml:space="preserve">Reno</t>
  </si>
  <si>
    <t xml:space="preserve">FUR-BOO-9524</t>
  </si>
  <si>
    <t xml:space="preserve">US-2022-101396</t>
  </si>
  <si>
    <t xml:space="preserve">2022-03-04</t>
  </si>
  <si>
    <t xml:space="preserve">CU-10243</t>
  </si>
  <si>
    <t xml:space="preserve">OFF-APP-3415</t>
  </si>
  <si>
    <t xml:space="preserve">US-2024-101122</t>
  </si>
  <si>
    <t xml:space="preserve">2023-03-02</t>
  </si>
  <si>
    <t xml:space="preserve">2023-03-04</t>
  </si>
  <si>
    <t xml:space="preserve">CU-10139</t>
  </si>
  <si>
    <t xml:space="preserve">OFF-ART-7511</t>
  </si>
  <si>
    <t xml:space="preserve">US-2023-101037</t>
  </si>
  <si>
    <t xml:space="preserve">2022-04-16</t>
  </si>
  <si>
    <t xml:space="preserve">2022-04-19</t>
  </si>
  <si>
    <t xml:space="preserve">CU-10090</t>
  </si>
  <si>
    <t xml:space="preserve">Atlanta</t>
  </si>
  <si>
    <t xml:space="preserve">FUR-BOO-4644</t>
  </si>
  <si>
    <t xml:space="preserve">US-2023-101113</t>
  </si>
  <si>
    <t xml:space="preserve">2023-10-04</t>
  </si>
  <si>
    <t xml:space="preserve">2023-10-10</t>
  </si>
  <si>
    <t xml:space="preserve">CU-10147</t>
  </si>
  <si>
    <t xml:space="preserve">OFF-PAP-8269</t>
  </si>
  <si>
    <t xml:space="preserve">US-2024-101073</t>
  </si>
  <si>
    <t xml:space="preserve">2022-09-09</t>
  </si>
  <si>
    <t xml:space="preserve">2022-09-16</t>
  </si>
  <si>
    <t xml:space="preserve">CU-10291</t>
  </si>
  <si>
    <t xml:space="preserve">Eugene</t>
  </si>
  <si>
    <t xml:space="preserve">Oregon</t>
  </si>
  <si>
    <t xml:space="preserve">FUR-TAB-5526</t>
  </si>
  <si>
    <t xml:space="preserve">US-2024-101333</t>
  </si>
  <si>
    <t xml:space="preserve">2023-05-18</t>
  </si>
  <si>
    <t xml:space="preserve">CU-10183</t>
  </si>
  <si>
    <t xml:space="preserve">San Diego</t>
  </si>
  <si>
    <t xml:space="preserve">TEC-PHO-9105</t>
  </si>
  <si>
    <t xml:space="preserve">US-2023-101477</t>
  </si>
  <si>
    <t xml:space="preserve">2022-12-07</t>
  </si>
  <si>
    <t xml:space="preserve">CU-10285</t>
  </si>
  <si>
    <t xml:space="preserve">TEC-MAC-8094</t>
  </si>
  <si>
    <t xml:space="preserve">US-2022-101239</t>
  </si>
  <si>
    <t xml:space="preserve">2022-12-24</t>
  </si>
  <si>
    <t xml:space="preserve">2022-12-29</t>
  </si>
  <si>
    <t xml:space="preserve">CU-10194</t>
  </si>
  <si>
    <t xml:space="preserve">Detroit</t>
  </si>
  <si>
    <t xml:space="preserve">Michigan</t>
  </si>
  <si>
    <t xml:space="preserve">OFF-LAB-2294</t>
  </si>
  <si>
    <t xml:space="preserve">US-2023-101465</t>
  </si>
  <si>
    <t xml:space="preserve">2023-06-08</t>
  </si>
  <si>
    <t xml:space="preserve">2023-06-15</t>
  </si>
  <si>
    <t xml:space="preserve">CU-10160</t>
  </si>
  <si>
    <t xml:space="preserve">TEC-MAC-4170</t>
  </si>
  <si>
    <t xml:space="preserve">US-2024-101394</t>
  </si>
  <si>
    <t xml:space="preserve">2023-04-22</t>
  </si>
  <si>
    <t xml:space="preserve">2023-04-25</t>
  </si>
  <si>
    <t xml:space="preserve">CU-10049</t>
  </si>
  <si>
    <t xml:space="preserve">Newark</t>
  </si>
  <si>
    <t xml:space="preserve">OFF-SUP-4727</t>
  </si>
  <si>
    <t xml:space="preserve">US-2023-101085</t>
  </si>
  <si>
    <t xml:space="preserve">2023-02-15</t>
  </si>
  <si>
    <t xml:space="preserve">2023-02-19</t>
  </si>
  <si>
    <t xml:space="preserve">CU-10155</t>
  </si>
  <si>
    <t xml:space="preserve">OFF-SUP-4697</t>
  </si>
  <si>
    <t xml:space="preserve">US-2023-101206</t>
  </si>
  <si>
    <t xml:space="preserve">2023-12-28</t>
  </si>
  <si>
    <t xml:space="preserve">2024-01-03</t>
  </si>
  <si>
    <t xml:space="preserve">CU-10071</t>
  </si>
  <si>
    <t xml:space="preserve">OFF-LAB-3126</t>
  </si>
  <si>
    <t xml:space="preserve">US-2023-101392</t>
  </si>
  <si>
    <t xml:space="preserve">2022-04-29</t>
  </si>
  <si>
    <t xml:space="preserve">2022-05-02</t>
  </si>
  <si>
    <t xml:space="preserve">CU-10278</t>
  </si>
  <si>
    <t xml:space="preserve">OFF-PAP-5313</t>
  </si>
  <si>
    <t xml:space="preserve">US-2024-101301</t>
  </si>
  <si>
    <t xml:space="preserve">2022-09-10</t>
  </si>
  <si>
    <t xml:space="preserve">CU-10003</t>
  </si>
  <si>
    <t xml:space="preserve">OFF-STO-7437</t>
  </si>
  <si>
    <t xml:space="preserve">US-2022-101367</t>
  </si>
  <si>
    <t xml:space="preserve">2023-08-05</t>
  </si>
  <si>
    <t xml:space="preserve">2023-08-06</t>
  </si>
  <si>
    <t xml:space="preserve">CU-10161</t>
  </si>
  <si>
    <t xml:space="preserve">OFF-LAB-2223</t>
  </si>
  <si>
    <t xml:space="preserve">US-2023-101137</t>
  </si>
  <si>
    <t xml:space="preserve">2022-07-30</t>
  </si>
  <si>
    <t xml:space="preserve">2022-07-31</t>
  </si>
  <si>
    <t xml:space="preserve">CU-10001</t>
  </si>
  <si>
    <t xml:space="preserve">Philadelphia</t>
  </si>
  <si>
    <t xml:space="preserve">TEC-COP-2801</t>
  </si>
  <si>
    <t xml:space="preserve">US-2023-101177</t>
  </si>
  <si>
    <t xml:space="preserve">2023-01-21</t>
  </si>
  <si>
    <t xml:space="preserve">2023-01-27</t>
  </si>
  <si>
    <t xml:space="preserve">CU-10260</t>
  </si>
  <si>
    <t xml:space="preserve">OFF-BIN-8967</t>
  </si>
  <si>
    <t xml:space="preserve">OFF-FAS-8951</t>
  </si>
  <si>
    <t xml:space="preserve">US-2023-101408</t>
  </si>
  <si>
    <t xml:space="preserve">2023-08-09</t>
  </si>
  <si>
    <t xml:space="preserve">2023-08-16</t>
  </si>
  <si>
    <t xml:space="preserve">CU-10209</t>
  </si>
  <si>
    <t xml:space="preserve">TEC-ACC-1138</t>
  </si>
  <si>
    <t xml:space="preserve">US-2023-101171</t>
  </si>
  <si>
    <t xml:space="preserve">2022-04-03</t>
  </si>
  <si>
    <t xml:space="preserve">2022-04-08</t>
  </si>
  <si>
    <t xml:space="preserve">CU-10292</t>
  </si>
  <si>
    <t xml:space="preserve">FUR-TAB-1641</t>
  </si>
  <si>
    <t xml:space="preserve">US-2022-101227</t>
  </si>
  <si>
    <t xml:space="preserve">2022-09-28</t>
  </si>
  <si>
    <t xml:space="preserve">OFF-FAS-5582</t>
  </si>
  <si>
    <t xml:space="preserve">US-2022-101089</t>
  </si>
  <si>
    <t xml:space="preserve">2023-09-01</t>
  </si>
  <si>
    <t xml:space="preserve">2023-09-05</t>
  </si>
  <si>
    <t xml:space="preserve">Houston</t>
  </si>
  <si>
    <t xml:space="preserve">OFF-FAS-4683</t>
  </si>
  <si>
    <t xml:space="preserve">US-2022-101246</t>
  </si>
  <si>
    <t xml:space="preserve">2023-05-23</t>
  </si>
  <si>
    <t xml:space="preserve">2023-05-25</t>
  </si>
  <si>
    <t xml:space="preserve">OFF-APP-4164</t>
  </si>
  <si>
    <t xml:space="preserve">US-2024-101006</t>
  </si>
  <si>
    <t xml:space="preserve">2023-04-16</t>
  </si>
  <si>
    <t xml:space="preserve">2023-04-21</t>
  </si>
  <si>
    <t xml:space="preserve">CU-10185</t>
  </si>
  <si>
    <t xml:space="preserve">OFF-APP-4814</t>
  </si>
  <si>
    <t xml:space="preserve">US-2024-101435</t>
  </si>
  <si>
    <t xml:space="preserve">2023-01-02</t>
  </si>
  <si>
    <t xml:space="preserve">2023-01-08</t>
  </si>
  <si>
    <t xml:space="preserve">CU-10106</t>
  </si>
  <si>
    <t xml:space="preserve">TEC-PHO-2229</t>
  </si>
  <si>
    <t xml:space="preserve">US-2023-101235</t>
  </si>
  <si>
    <t xml:space="preserve">2023-03-28</t>
  </si>
  <si>
    <t xml:space="preserve">2023-03-31</t>
  </si>
  <si>
    <t xml:space="preserve">TEC-PHO-8531</t>
  </si>
  <si>
    <t xml:space="preserve">US-2024-101381</t>
  </si>
  <si>
    <t xml:space="preserve">2022-07-02</t>
  </si>
  <si>
    <t xml:space="preserve">CU-10290</t>
  </si>
  <si>
    <t xml:space="preserve">OFF-ENV-9035</t>
  </si>
  <si>
    <t xml:space="preserve">Envelopes</t>
  </si>
  <si>
    <t xml:space="preserve">US-2022-101390</t>
  </si>
  <si>
    <t xml:space="preserve">2023-11-08</t>
  </si>
  <si>
    <t xml:space="preserve">CU-10281</t>
  </si>
  <si>
    <t xml:space="preserve">FUR-TAB-8869</t>
  </si>
  <si>
    <t xml:space="preserve">US-2022-101329</t>
  </si>
  <si>
    <t xml:space="preserve">2022-12-23</t>
  </si>
  <si>
    <t xml:space="preserve">2022-12-30</t>
  </si>
  <si>
    <t xml:space="preserve">TEC-MAC-3758</t>
  </si>
  <si>
    <t xml:space="preserve">US-2022-101098</t>
  </si>
  <si>
    <t xml:space="preserve">2023-11-18</t>
  </si>
  <si>
    <t xml:space="preserve">2023-11-19</t>
  </si>
  <si>
    <t xml:space="preserve">CU-10205</t>
  </si>
  <si>
    <t xml:space="preserve">OFF-STO-2899</t>
  </si>
  <si>
    <t xml:space="preserve">US-2023-101470</t>
  </si>
  <si>
    <t xml:space="preserve">2022-04-05</t>
  </si>
  <si>
    <t xml:space="preserve">CU-10111</t>
  </si>
  <si>
    <t xml:space="preserve">OFF-STO-2879</t>
  </si>
  <si>
    <t xml:space="preserve">OFF-FAS-1430</t>
  </si>
  <si>
    <t xml:space="preserve">US-2022-101034</t>
  </si>
  <si>
    <t xml:space="preserve">2022-01-10</t>
  </si>
  <si>
    <t xml:space="preserve">CU-10075</t>
  </si>
  <si>
    <t xml:space="preserve">Seattle</t>
  </si>
  <si>
    <t xml:space="preserve">FUR-TAB-5088</t>
  </si>
  <si>
    <t xml:space="preserve">US-2024-101400</t>
  </si>
  <si>
    <t xml:space="preserve">2022-06-01</t>
  </si>
  <si>
    <t xml:space="preserve">CU-10274</t>
  </si>
  <si>
    <t xml:space="preserve">TEC-MAC-8750</t>
  </si>
  <si>
    <t xml:space="preserve">OFF-PAP-8404</t>
  </si>
  <si>
    <t xml:space="preserve">US-2023-101491</t>
  </si>
  <si>
    <t xml:space="preserve">2023-05-13</t>
  </si>
  <si>
    <t xml:space="preserve">2023-05-17</t>
  </si>
  <si>
    <t xml:space="preserve">FUR-TAB-5533</t>
  </si>
  <si>
    <t xml:space="preserve">US-2024-101209</t>
  </si>
  <si>
    <t xml:space="preserve">2022-03-30</t>
  </si>
  <si>
    <t xml:space="preserve">2022-03-31</t>
  </si>
  <si>
    <t xml:space="preserve">FUR-TAB-6644</t>
  </si>
  <si>
    <t xml:space="preserve">US-2023-101310</t>
  </si>
  <si>
    <t xml:space="preserve">2022-05-26</t>
  </si>
  <si>
    <t xml:space="preserve">2022-05-29</t>
  </si>
  <si>
    <t xml:space="preserve">CU-10178</t>
  </si>
  <si>
    <t xml:space="preserve">Ann Arbor</t>
  </si>
  <si>
    <t xml:space="preserve">OFF-STO-2885</t>
  </si>
  <si>
    <t xml:space="preserve">OFF-APP-8988</t>
  </si>
  <si>
    <t xml:space="preserve">US-2023-101344</t>
  </si>
  <si>
    <t xml:space="preserve">2023-09-23</t>
  </si>
  <si>
    <t xml:space="preserve">2023-09-29</t>
  </si>
  <si>
    <t xml:space="preserve">CU-10063</t>
  </si>
  <si>
    <t xml:space="preserve">OFF-PAP-5537</t>
  </si>
  <si>
    <t xml:space="preserve">US-2024-101487</t>
  </si>
  <si>
    <t xml:space="preserve">2023-10-24</t>
  </si>
  <si>
    <t xml:space="preserve">2023-10-31</t>
  </si>
  <si>
    <t xml:space="preserve">FUR-BOO-2198</t>
  </si>
  <si>
    <t xml:space="preserve">FUR-BOO-4770</t>
  </si>
  <si>
    <t xml:space="preserve">US-2024-101504</t>
  </si>
  <si>
    <t xml:space="preserve">2022-06-20</t>
  </si>
  <si>
    <t xml:space="preserve">2022-06-23</t>
  </si>
  <si>
    <t xml:space="preserve">CU-10145</t>
  </si>
  <si>
    <t xml:space="preserve">OFF-ART-2778</t>
  </si>
  <si>
    <t xml:space="preserve">OFF-ENV-8753</t>
  </si>
  <si>
    <t xml:space="preserve">US-2023-101502</t>
  </si>
  <si>
    <t xml:space="preserve">2023-09-09</t>
  </si>
  <si>
    <t xml:space="preserve">2023-09-15</t>
  </si>
  <si>
    <t xml:space="preserve">CU-10246</t>
  </si>
  <si>
    <t xml:space="preserve">OFF-BIN-3406</t>
  </si>
  <si>
    <t xml:space="preserve">OFF-STO-4994</t>
  </si>
  <si>
    <t xml:space="preserve">US-2023-101506</t>
  </si>
  <si>
    <t xml:space="preserve">2022-08-23</t>
  </si>
  <si>
    <t xml:space="preserve">2022-08-30</t>
  </si>
  <si>
    <t xml:space="preserve">FUR-FUR-5641</t>
  </si>
  <si>
    <t xml:space="preserve">US-2023-101262</t>
  </si>
  <si>
    <t xml:space="preserve">TEC-PHO-4762</t>
  </si>
  <si>
    <t xml:space="preserve">TEC-ACC-5847</t>
  </si>
  <si>
    <t xml:space="preserve">US-2024-101244</t>
  </si>
  <si>
    <t xml:space="preserve">2022-12-05</t>
  </si>
  <si>
    <t xml:space="preserve">2022-12-11</t>
  </si>
  <si>
    <t xml:space="preserve">OFF-APP-1595</t>
  </si>
  <si>
    <t xml:space="preserve">US-2023-101269</t>
  </si>
  <si>
    <t xml:space="preserve">2023-02-28</t>
  </si>
  <si>
    <t xml:space="preserve">2023-03-03</t>
  </si>
  <si>
    <t xml:space="preserve">Austin</t>
  </si>
  <si>
    <t xml:space="preserve">OFF-STO-9592</t>
  </si>
  <si>
    <t xml:space="preserve">US-2024-101384</t>
  </si>
  <si>
    <t xml:space="preserve">2022-07-01</t>
  </si>
  <si>
    <t xml:space="preserve">2022-07-07</t>
  </si>
  <si>
    <t xml:space="preserve">CU-10113</t>
  </si>
  <si>
    <t xml:space="preserve">FUR-FUR-4899</t>
  </si>
  <si>
    <t xml:space="preserve">OFF-PAP-4390</t>
  </si>
  <si>
    <t xml:space="preserve">TEC-ACC-6325</t>
  </si>
  <si>
    <t xml:space="preserve">US-2023-101543</t>
  </si>
  <si>
    <t xml:space="preserve">2023-11-03</t>
  </si>
  <si>
    <t xml:space="preserve">OFF-STO-3048</t>
  </si>
  <si>
    <t xml:space="preserve">US-2022-101385</t>
  </si>
  <si>
    <t xml:space="preserve">2022-01-12</t>
  </si>
  <si>
    <t xml:space="preserve">2022-01-15</t>
  </si>
  <si>
    <t xml:space="preserve">CU-10055</t>
  </si>
  <si>
    <t xml:space="preserve">TEC-MAC-4695</t>
  </si>
  <si>
    <t xml:space="preserve">US-2022-101467</t>
  </si>
  <si>
    <t xml:space="preserve">2023-09-30</t>
  </si>
  <si>
    <t xml:space="preserve">CU-10162</t>
  </si>
  <si>
    <t xml:space="preserve">TEC-ACC-9798</t>
  </si>
  <si>
    <t xml:space="preserve">US-2024-101360</t>
  </si>
  <si>
    <t xml:space="preserve">2023-06-06</t>
  </si>
  <si>
    <t xml:space="preserve">2023-06-07</t>
  </si>
  <si>
    <t xml:space="preserve">CU-10196</t>
  </si>
  <si>
    <t xml:space="preserve">OFF-PAP-7108</t>
  </si>
  <si>
    <t xml:space="preserve">US-2023-101444</t>
  </si>
  <si>
    <t xml:space="preserve">2023-09-20</t>
  </si>
  <si>
    <t xml:space="preserve">2023-09-21</t>
  </si>
  <si>
    <t xml:space="preserve">CU-10038</t>
  </si>
  <si>
    <t xml:space="preserve">OFF-LAB-7203</t>
  </si>
  <si>
    <t xml:space="preserve">US-2022-101017</t>
  </si>
  <si>
    <t xml:space="preserve">2022-08-14</t>
  </si>
  <si>
    <t xml:space="preserve">2022-08-15</t>
  </si>
  <si>
    <t xml:space="preserve">CU-10169</t>
  </si>
  <si>
    <t xml:space="preserve">OFF-STO-8744</t>
  </si>
  <si>
    <t xml:space="preserve">US-2022-101361</t>
  </si>
  <si>
    <t xml:space="preserve">CU-10004</t>
  </si>
  <si>
    <t xml:space="preserve">OFF-FAS-9083</t>
  </si>
  <si>
    <t xml:space="preserve">US-2022-101279</t>
  </si>
  <si>
    <t xml:space="preserve">2023-10-20</t>
  </si>
  <si>
    <t xml:space="preserve">2023-10-26</t>
  </si>
  <si>
    <t xml:space="preserve">CU-10086</t>
  </si>
  <si>
    <t xml:space="preserve">OFF-BIN-9584</t>
  </si>
  <si>
    <t xml:space="preserve">US-2024-101180</t>
  </si>
  <si>
    <t xml:space="preserve">2022-08-20</t>
  </si>
  <si>
    <t xml:space="preserve">2022-08-22</t>
  </si>
  <si>
    <t xml:space="preserve">CU-10276</t>
  </si>
  <si>
    <t xml:space="preserve">Buffalo</t>
  </si>
  <si>
    <t xml:space="preserve">TEC-ACC-3147</t>
  </si>
  <si>
    <t xml:space="preserve">US-2022-101125</t>
  </si>
  <si>
    <t xml:space="preserve">2023-01-10</t>
  </si>
  <si>
    <t xml:space="preserve">2023-01-11</t>
  </si>
  <si>
    <t xml:space="preserve">Orlando</t>
  </si>
  <si>
    <t xml:space="preserve">FUR-TAB-5951</t>
  </si>
  <si>
    <t xml:space="preserve">US-2022-101056</t>
  </si>
  <si>
    <t xml:space="preserve">2023-09-02</t>
  </si>
  <si>
    <t xml:space="preserve">OFF-FAS-5499</t>
  </si>
  <si>
    <t xml:space="preserve">US-2023-101003</t>
  </si>
  <si>
    <t xml:space="preserve">2022-07-23</t>
  </si>
  <si>
    <t xml:space="preserve">2022-07-29</t>
  </si>
  <si>
    <t xml:space="preserve">FUR-FUR-5333</t>
  </si>
  <si>
    <t xml:space="preserve">US-2023-101092</t>
  </si>
  <si>
    <t xml:space="preserve">2022-06-02</t>
  </si>
  <si>
    <t xml:space="preserve">2022-06-05</t>
  </si>
  <si>
    <t xml:space="preserve">OFF-STO-6280</t>
  </si>
  <si>
    <t xml:space="preserve">US-2024-101186</t>
  </si>
  <si>
    <t xml:space="preserve">2022-05-31</t>
  </si>
  <si>
    <t xml:space="preserve">2022-06-07</t>
  </si>
  <si>
    <t xml:space="preserve">CU-10013</t>
  </si>
  <si>
    <t xml:space="preserve">Miami</t>
  </si>
  <si>
    <t xml:space="preserve">OFF-LAB-7142</t>
  </si>
  <si>
    <t xml:space="preserve">US-2023-101331</t>
  </si>
  <si>
    <t xml:space="preserve">2023-12-22</t>
  </si>
  <si>
    <t xml:space="preserve">2023-12-25</t>
  </si>
  <si>
    <t xml:space="preserve">CU-10210</t>
  </si>
  <si>
    <t xml:space="preserve">OFF-ART-7046</t>
  </si>
  <si>
    <t xml:space="preserve">US-2023-101439</t>
  </si>
  <si>
    <t xml:space="preserve">2023-01-06</t>
  </si>
  <si>
    <t xml:space="preserve">OFF-PAP-2852</t>
  </si>
  <si>
    <t xml:space="preserve">US-2023-101531</t>
  </si>
  <si>
    <t xml:space="preserve">2022-02-03</t>
  </si>
  <si>
    <t xml:space="preserve">2022-02-08</t>
  </si>
  <si>
    <t xml:space="preserve">OFF-APP-6331</t>
  </si>
  <si>
    <t xml:space="preserve">US-2023-101363</t>
  </si>
  <si>
    <t xml:space="preserve">2023-07-14</t>
  </si>
  <si>
    <t xml:space="preserve">2023-07-21</t>
  </si>
  <si>
    <t xml:space="preserve">CU-10277</t>
  </si>
  <si>
    <t xml:space="preserve">TEC-ACC-7164</t>
  </si>
  <si>
    <t xml:space="preserve">US-2022-101110</t>
  </si>
  <si>
    <t xml:space="preserve">2023-04-13</t>
  </si>
  <si>
    <t xml:space="preserve">2023-04-14</t>
  </si>
  <si>
    <t xml:space="preserve">CU-10135</t>
  </si>
  <si>
    <t xml:space="preserve">OFF-ART-7226</t>
  </si>
  <si>
    <t xml:space="preserve">US-2023-101254</t>
  </si>
  <si>
    <t xml:space="preserve">2022-08-12</t>
  </si>
  <si>
    <t xml:space="preserve">2022-08-19</t>
  </si>
  <si>
    <t xml:space="preserve">CU-10039</t>
  </si>
  <si>
    <t xml:space="preserve">OFF-ENV-8298</t>
  </si>
  <si>
    <t xml:space="preserve">US-2022-101410</t>
  </si>
  <si>
    <t xml:space="preserve">2023-01-19</t>
  </si>
  <si>
    <t xml:space="preserve">2023-01-24</t>
  </si>
  <si>
    <t xml:space="preserve">CU-10141</t>
  </si>
  <si>
    <t xml:space="preserve">TEC-PHO-9148</t>
  </si>
  <si>
    <t xml:space="preserve">FUR-BOO-4678</t>
  </si>
  <si>
    <t xml:space="preserve">US-2022-101198</t>
  </si>
  <si>
    <t xml:space="preserve">2023-03-11</t>
  </si>
  <si>
    <t xml:space="preserve">2023-03-12</t>
  </si>
  <si>
    <t xml:space="preserve">CU-10167</t>
  </si>
  <si>
    <t xml:space="preserve">FUR-TAB-1939</t>
  </si>
  <si>
    <t xml:space="preserve">US-2022-101530</t>
  </si>
  <si>
    <t xml:space="preserve">2023-11-24</t>
  </si>
  <si>
    <t xml:space="preserve">2023-11-30</t>
  </si>
  <si>
    <t xml:space="preserve">CU-10190</t>
  </si>
  <si>
    <t xml:space="preserve">OFF-FAS-5591</t>
  </si>
  <si>
    <t xml:space="preserve">US-2024-101131</t>
  </si>
  <si>
    <t xml:space="preserve">2022-06-08</t>
  </si>
  <si>
    <t xml:space="preserve">CU-10189</t>
  </si>
  <si>
    <t xml:space="preserve">OFF-ENV-9920</t>
  </si>
  <si>
    <t xml:space="preserve">US-2024-101508</t>
  </si>
  <si>
    <t xml:space="preserve">2023-07-11</t>
  </si>
  <si>
    <t xml:space="preserve">2023-07-15</t>
  </si>
  <si>
    <t xml:space="preserve">FUR-BOO-7698</t>
  </si>
  <si>
    <t xml:space="preserve">US-2023-101418</t>
  </si>
  <si>
    <t xml:space="preserve">FUR-FUR-3595</t>
  </si>
  <si>
    <t xml:space="preserve">TEC-PHO-9889</t>
  </si>
  <si>
    <t xml:space="preserve">US-2023-101241</t>
  </si>
  <si>
    <t xml:space="preserve">2022-10-05</t>
  </si>
  <si>
    <t xml:space="preserve">2022-10-10</t>
  </si>
  <si>
    <t xml:space="preserve">CU-10122</t>
  </si>
  <si>
    <t xml:space="preserve">OFF-SUP-2641</t>
  </si>
  <si>
    <t xml:space="preserve">FUR-BOO-8972</t>
  </si>
  <si>
    <t xml:space="preserve">US-2023-101100</t>
  </si>
  <si>
    <t xml:space="preserve">2023-03-01</t>
  </si>
  <si>
    <t xml:space="preserve">CU-10026</t>
  </si>
  <si>
    <t xml:space="preserve">OFF-FAS-2989</t>
  </si>
  <si>
    <t xml:space="preserve">US-2022-101495</t>
  </si>
  <si>
    <t xml:space="preserve">2022-08-17</t>
  </si>
  <si>
    <t xml:space="preserve">2022-08-24</t>
  </si>
  <si>
    <t xml:space="preserve">FUR-CHA-8310</t>
  </si>
  <si>
    <t xml:space="preserve">Chairs</t>
  </si>
  <si>
    <t xml:space="preserve">US-2022-101525</t>
  </si>
  <si>
    <t xml:space="preserve">2023-07-05</t>
  </si>
  <si>
    <t xml:space="preserve">2023-07-12</t>
  </si>
  <si>
    <t xml:space="preserve">CU-10124</t>
  </si>
  <si>
    <t xml:space="preserve">FUR-BOO-4767</t>
  </si>
  <si>
    <t xml:space="preserve">US-2023-101294</t>
  </si>
  <si>
    <t xml:space="preserve">2022-12-21</t>
  </si>
  <si>
    <t xml:space="preserve">2022-12-22</t>
  </si>
  <si>
    <t xml:space="preserve">OFF-FAS-7150</t>
  </si>
  <si>
    <t xml:space="preserve">US-2023-101020</t>
  </si>
  <si>
    <t xml:space="preserve">2023-04-30</t>
  </si>
  <si>
    <t xml:space="preserve">2023-05-07</t>
  </si>
  <si>
    <t xml:space="preserve">OFF-APP-6559</t>
  </si>
  <si>
    <t xml:space="preserve">US-2022-101436</t>
  </si>
  <si>
    <t xml:space="preserve">CU-10051</t>
  </si>
  <si>
    <t xml:space="preserve">TEC-MAC-7979</t>
  </si>
  <si>
    <t xml:space="preserve">US-2024-101231</t>
  </si>
  <si>
    <t xml:space="preserve">2022-02-16</t>
  </si>
  <si>
    <t xml:space="preserve">2022-02-17</t>
  </si>
  <si>
    <t xml:space="preserve">CU-10263</t>
  </si>
  <si>
    <t xml:space="preserve">TEC-MAC-5902</t>
  </si>
  <si>
    <t xml:space="preserve">US-2023-101106</t>
  </si>
  <si>
    <t xml:space="preserve">2022-10-08</t>
  </si>
  <si>
    <t xml:space="preserve">OFF-STO-7180</t>
  </si>
  <si>
    <t xml:space="preserve">US-2022-101322</t>
  </si>
  <si>
    <t xml:space="preserve">2023-01-28</t>
  </si>
  <si>
    <t xml:space="preserve">2023-02-01</t>
  </si>
  <si>
    <t xml:space="preserve">OFF-STO-8939</t>
  </si>
  <si>
    <t xml:space="preserve">US-2022-101273</t>
  </si>
  <si>
    <t xml:space="preserve">2023-10-25</t>
  </si>
  <si>
    <t xml:space="preserve">CU-10097</t>
  </si>
  <si>
    <t xml:space="preserve">OFF-APP-4555</t>
  </si>
  <si>
    <t xml:space="preserve">US-2024-101466</t>
  </si>
  <si>
    <t xml:space="preserve">2023-01-22</t>
  </si>
  <si>
    <t xml:space="preserve">2023-01-23</t>
  </si>
  <si>
    <t xml:space="preserve">CU-10130</t>
  </si>
  <si>
    <t xml:space="preserve">OFF-BIN-1833</t>
  </si>
  <si>
    <t xml:space="preserve">US-2022-101260</t>
  </si>
  <si>
    <t xml:space="preserve">2022-02-02</t>
  </si>
  <si>
    <t xml:space="preserve">2022-02-05</t>
  </si>
  <si>
    <t xml:space="preserve">CU-10215</t>
  </si>
  <si>
    <t xml:space="preserve">TEC-PHO-3178</t>
  </si>
  <si>
    <t xml:space="preserve">US-2023-101195</t>
  </si>
  <si>
    <t xml:space="preserve">2022-03-06</t>
  </si>
  <si>
    <t xml:space="preserve">OFF-ENV-6438</t>
  </si>
  <si>
    <t xml:space="preserve">US-2024-101026</t>
  </si>
  <si>
    <t xml:space="preserve">2022-09-25</t>
  </si>
  <si>
    <t xml:space="preserve">2022-09-27</t>
  </si>
  <si>
    <t xml:space="preserve">CU-10153</t>
  </si>
  <si>
    <t xml:space="preserve">TEC-ACC-2638</t>
  </si>
  <si>
    <t xml:space="preserve">US-2022-101022</t>
  </si>
  <si>
    <t xml:space="preserve">2022-04-06</t>
  </si>
  <si>
    <t xml:space="preserve">2022-04-13</t>
  </si>
  <si>
    <t xml:space="preserve">FUR-BOO-8454</t>
  </si>
  <si>
    <t xml:space="preserve">US-2023-101383</t>
  </si>
  <si>
    <t xml:space="preserve">2023-03-24</t>
  </si>
  <si>
    <t xml:space="preserve">CU-10182</t>
  </si>
  <si>
    <t xml:space="preserve">OFF-BIN-5825</t>
  </si>
  <si>
    <t xml:space="preserve">TEC-ACC-8811</t>
  </si>
  <si>
    <t xml:space="preserve">US-2024-101081</t>
  </si>
  <si>
    <t xml:space="preserve">2022-08-10</t>
  </si>
  <si>
    <t xml:space="preserve">2022-08-16</t>
  </si>
  <si>
    <t xml:space="preserve">CU-10151</t>
  </si>
  <si>
    <t xml:space="preserve">FUR-BOO-1893</t>
  </si>
  <si>
    <t xml:space="preserve">US-2023-101281</t>
  </si>
  <si>
    <t xml:space="preserve">2022-03-18</t>
  </si>
  <si>
    <t xml:space="preserve">2022-03-25</t>
  </si>
  <si>
    <t xml:space="preserve">CU-10118</t>
  </si>
  <si>
    <t xml:space="preserve">San Francisco</t>
  </si>
  <si>
    <t xml:space="preserve">FUR-CHA-8916</t>
  </si>
  <si>
    <t xml:space="preserve">US-2023-101484</t>
  </si>
  <si>
    <t xml:space="preserve">2023-10-29</t>
  </si>
  <si>
    <t xml:space="preserve">CU-10201</t>
  </si>
  <si>
    <t xml:space="preserve">TEC-MAC-4469</t>
  </si>
  <si>
    <t xml:space="preserve">TEC-PHO-8904</t>
  </si>
  <si>
    <t xml:space="preserve">OFF-FAS-2343</t>
  </si>
  <si>
    <t xml:space="preserve">FUR-CHA-3034</t>
  </si>
  <si>
    <t xml:space="preserve">US-2024-101226</t>
  </si>
  <si>
    <t xml:space="preserve">2023-02-07</t>
  </si>
  <si>
    <t xml:space="preserve">2023-02-12</t>
  </si>
  <si>
    <t xml:space="preserve">OFF-STO-8060</t>
  </si>
  <si>
    <t xml:space="preserve">US-2022-101379</t>
  </si>
  <si>
    <t xml:space="preserve">2023-02-03</t>
  </si>
  <si>
    <t xml:space="preserve">CU-10257</t>
  </si>
  <si>
    <t xml:space="preserve">OFF-APP-5602</t>
  </si>
  <si>
    <t xml:space="preserve">US-2022-101150</t>
  </si>
  <si>
    <t xml:space="preserve">2023-12-05</t>
  </si>
  <si>
    <t xml:space="preserve">2023-12-09</t>
  </si>
  <si>
    <t xml:space="preserve">OFF-PAP-6119</t>
  </si>
  <si>
    <t xml:space="preserve">US-2024-101454</t>
  </si>
  <si>
    <t xml:space="preserve">2022-05-04</t>
  </si>
  <si>
    <t xml:space="preserve">2022-05-11</t>
  </si>
  <si>
    <t xml:space="preserve">FUR-BOO-9260</t>
  </si>
  <si>
    <t xml:space="preserve">US-2022-101189</t>
  </si>
  <si>
    <t xml:space="preserve">2022-02-01</t>
  </si>
  <si>
    <t xml:space="preserve">CU-10241</t>
  </si>
  <si>
    <t xml:space="preserve">Portland</t>
  </si>
  <si>
    <t xml:space="preserve">OFF-BIN-9647</t>
  </si>
  <si>
    <t xml:space="preserve">US-2022-101175</t>
  </si>
  <si>
    <t xml:space="preserve">2022-09-22</t>
  </si>
  <si>
    <t xml:space="preserve">OFF-PAP-6072</t>
  </si>
  <si>
    <t xml:space="preserve">US-2022-101382</t>
  </si>
  <si>
    <t xml:space="preserve">2022-04-04</t>
  </si>
  <si>
    <t xml:space="preserve">FUR-CHA-1975</t>
  </si>
  <si>
    <t xml:space="preserve">US-2024-101166</t>
  </si>
  <si>
    <t xml:space="preserve">2023-10-23</t>
  </si>
  <si>
    <t xml:space="preserve">2023-10-30</t>
  </si>
  <si>
    <t xml:space="preserve">CU-10088</t>
  </si>
  <si>
    <t xml:space="preserve">OFF-STO-3473</t>
  </si>
  <si>
    <t xml:space="preserve">OFF-STO-9261</t>
  </si>
  <si>
    <t xml:space="preserve">US-2024-101148</t>
  </si>
  <si>
    <t xml:space="preserve">2023-04-10</t>
  </si>
  <si>
    <t xml:space="preserve">2023-04-15</t>
  </si>
  <si>
    <t xml:space="preserve">CU-10282</t>
  </si>
  <si>
    <t xml:space="preserve">FUR-FUR-7532</t>
  </si>
  <si>
    <t xml:space="preserve">US-2024-101354</t>
  </si>
  <si>
    <t xml:space="preserve">2023-07-04</t>
  </si>
  <si>
    <t xml:space="preserve">CU-10104</t>
  </si>
  <si>
    <t xml:space="preserve">FUR-TAB-6081</t>
  </si>
  <si>
    <t xml:space="preserve">US-2024-101192</t>
  </si>
  <si>
    <t xml:space="preserve">2023-08-08</t>
  </si>
  <si>
    <t xml:space="preserve">2023-08-12</t>
  </si>
  <si>
    <t xml:space="preserve">TEC-ACC-7338</t>
  </si>
  <si>
    <t xml:space="preserve">US-2022-101357</t>
  </si>
  <si>
    <t xml:space="preserve">2023-12-26</t>
  </si>
  <si>
    <t xml:space="preserve">CU-10132</t>
  </si>
  <si>
    <t xml:space="preserve">FUR-TAB-6488</t>
  </si>
  <si>
    <t xml:space="preserve">OFF-FAS-2687</t>
  </si>
  <si>
    <t xml:space="preserve">US-2024-101140</t>
  </si>
  <si>
    <t xml:space="preserve">2022-01-27</t>
  </si>
  <si>
    <t xml:space="preserve">FUR-FUR-8802</t>
  </si>
  <si>
    <t xml:space="preserve">US-2022-101541</t>
  </si>
  <si>
    <t xml:space="preserve">2023-11-21</t>
  </si>
  <si>
    <t xml:space="preserve">2023-11-26</t>
  </si>
  <si>
    <t xml:space="preserve">CU-10237</t>
  </si>
  <si>
    <t xml:space="preserve">TEC-ACC-6136</t>
  </si>
  <si>
    <t xml:space="preserve">US-2024-101479</t>
  </si>
  <si>
    <t xml:space="preserve">2022-01-18</t>
  </si>
  <si>
    <t xml:space="preserve">CU-10299</t>
  </si>
  <si>
    <t xml:space="preserve">TEC-MAC-5937</t>
  </si>
  <si>
    <t xml:space="preserve">US-2022-101474</t>
  </si>
  <si>
    <t xml:space="preserve">2023-07-01</t>
  </si>
  <si>
    <t xml:space="preserve">2023-07-02</t>
  </si>
  <si>
    <t xml:space="preserve">CU-10053</t>
  </si>
  <si>
    <t xml:space="preserve">TEC-PHO-1389</t>
  </si>
  <si>
    <t xml:space="preserve">US-2023-101433</t>
  </si>
  <si>
    <t xml:space="preserve">2023-10-05</t>
  </si>
  <si>
    <t xml:space="preserve">CU-10060</t>
  </si>
  <si>
    <t xml:space="preserve">TEC-PHO-9571</t>
  </si>
  <si>
    <t xml:space="preserve">OFF-BIN-9418</t>
  </si>
  <si>
    <t xml:space="preserve">US-2023-101029</t>
  </si>
  <si>
    <t xml:space="preserve">2023-07-22</t>
  </si>
  <si>
    <t xml:space="preserve">2023-07-25</t>
  </si>
  <si>
    <t xml:space="preserve">CU-10283</t>
  </si>
  <si>
    <t xml:space="preserve">OFF-ENV-9280</t>
  </si>
  <si>
    <t xml:space="preserve">FUR-BOO-1752</t>
  </si>
  <si>
    <t xml:space="preserve">US-2022-101193</t>
  </si>
  <si>
    <t xml:space="preserve">2022-09-17</t>
  </si>
  <si>
    <t xml:space="preserve">2022-09-23</t>
  </si>
  <si>
    <t xml:space="preserve">OFF-LAB-6546</t>
  </si>
  <si>
    <t xml:space="preserve">US-2022-101505</t>
  </si>
  <si>
    <t xml:space="preserve">2022-07-27</t>
  </si>
  <si>
    <t xml:space="preserve">2022-08-01</t>
  </si>
  <si>
    <t xml:space="preserve">CU-10019</t>
  </si>
  <si>
    <t xml:space="preserve">TEC-PHO-9680</t>
  </si>
  <si>
    <t xml:space="preserve">US-2024-101115</t>
  </si>
  <si>
    <t xml:space="preserve">2023-12-07</t>
  </si>
  <si>
    <t xml:space="preserve">CU-10195</t>
  </si>
  <si>
    <t xml:space="preserve">OFF-APP-3588</t>
  </si>
  <si>
    <t xml:space="preserve">US-2023-101305</t>
  </si>
  <si>
    <t xml:space="preserve">CU-10245</t>
  </si>
  <si>
    <t xml:space="preserve">OFF-PAP-9796</t>
  </si>
  <si>
    <t xml:space="preserve">US-2022-101292</t>
  </si>
  <si>
    <t xml:space="preserve">2022-01-17</t>
  </si>
  <si>
    <t xml:space="preserve">2022-01-19</t>
  </si>
  <si>
    <t xml:space="preserve">TEC-MAC-2284</t>
  </si>
  <si>
    <t xml:space="preserve">US-2024-101498</t>
  </si>
  <si>
    <t xml:space="preserve">2023-04-26</t>
  </si>
  <si>
    <t xml:space="preserve">CU-10266</t>
  </si>
  <si>
    <t xml:space="preserve">OFF-FAS-7201</t>
  </si>
  <si>
    <t xml:space="preserve">US-2023-101451</t>
  </si>
  <si>
    <t xml:space="preserve">FUR-CHA-4209</t>
  </si>
  <si>
    <t xml:space="preserve">OFF-STO-9199</t>
  </si>
  <si>
    <t xml:space="preserve">US-2022-101463</t>
  </si>
  <si>
    <t xml:space="preserve">2023-12-01</t>
  </si>
  <si>
    <t xml:space="preserve">2023-12-04</t>
  </si>
  <si>
    <t xml:space="preserve">CU-10016</t>
  </si>
  <si>
    <t xml:space="preserve">OFF-SUP-7371</t>
  </si>
  <si>
    <t xml:space="preserve">US-2023-101145</t>
  </si>
  <si>
    <t xml:space="preserve">2022-04-21</t>
  </si>
  <si>
    <t xml:space="preserve">2022-04-25</t>
  </si>
  <si>
    <t xml:space="preserve">CU-10033</t>
  </si>
  <si>
    <t xml:space="preserve">OFF-SUP-9692</t>
  </si>
  <si>
    <t xml:space="preserve">US-2023-101458</t>
  </si>
  <si>
    <t xml:space="preserve">2022-05-17</t>
  </si>
  <si>
    <t xml:space="preserve">2022-05-19</t>
  </si>
  <si>
    <t xml:space="preserve">OFF-LAB-8870</t>
  </si>
  <si>
    <t xml:space="preserve">OFF-PAP-3230</t>
  </si>
  <si>
    <t xml:space="preserve">US-2022-101103</t>
  </si>
  <si>
    <t xml:space="preserve">2022-10-26</t>
  </si>
  <si>
    <t xml:space="preserve">2022-10-31</t>
  </si>
  <si>
    <t xml:space="preserve">FUR-CHA-6568</t>
  </si>
  <si>
    <t xml:space="preserve">US-2024-101053</t>
  </si>
  <si>
    <t xml:space="preserve">2023-12-15</t>
  </si>
  <si>
    <t xml:space="preserve">2023-12-19</t>
  </si>
  <si>
    <t xml:space="preserve">CU-10002</t>
  </si>
  <si>
    <t xml:space="preserve">FUR-CHA-9702</t>
  </si>
  <si>
    <t xml:space="preserve">US-2024-101061</t>
  </si>
  <si>
    <t xml:space="preserve">2022-12-10</t>
  </si>
  <si>
    <t xml:space="preserve">CU-10199</t>
  </si>
  <si>
    <t xml:space="preserve">OFF-PAP-4613</t>
  </si>
  <si>
    <t xml:space="preserve">FUR-FUR-6262</t>
  </si>
  <si>
    <t xml:space="preserve">US-2023-101402</t>
  </si>
  <si>
    <t xml:space="preserve">2022-11-04</t>
  </si>
  <si>
    <t xml:space="preserve">2022-11-10</t>
  </si>
  <si>
    <t xml:space="preserve">CU-10045</t>
  </si>
  <si>
    <t xml:space="preserve">FUR-FUR-1920</t>
  </si>
  <si>
    <t xml:space="preserve">US-2023-101015</t>
  </si>
  <si>
    <t xml:space="preserve">2023-06-04</t>
  </si>
  <si>
    <t xml:space="preserve">2023-06-05</t>
  </si>
  <si>
    <t xml:space="preserve">TEC-MAC-2290</t>
  </si>
  <si>
    <t xml:space="preserve">US-2024-101364</t>
  </si>
  <si>
    <t xml:space="preserve">2022-11-11</t>
  </si>
  <si>
    <t xml:space="preserve">2022-11-12</t>
  </si>
  <si>
    <t xml:space="preserve">CU-10072</t>
  </si>
  <si>
    <t xml:space="preserve">FUR-CHA-8511</t>
  </si>
  <si>
    <t xml:space="preserve">FUR-BOO-2342</t>
  </si>
  <si>
    <t xml:space="preserve">US-2023-101399</t>
  </si>
  <si>
    <t xml:space="preserve">2023-04-05</t>
  </si>
  <si>
    <t xml:space="preserve">2023-04-07</t>
  </si>
  <si>
    <t xml:space="preserve">CU-10040</t>
  </si>
  <si>
    <t xml:space="preserve">OFF-APP-7790</t>
  </si>
  <si>
    <t xml:space="preserve">US-2023-101358</t>
  </si>
  <si>
    <t xml:space="preserve">2022-10-06</t>
  </si>
  <si>
    <t xml:space="preserve">CU-10184</t>
  </si>
  <si>
    <t xml:space="preserve">TEC-COP-2889</t>
  </si>
  <si>
    <t xml:space="preserve">TEC-COP-3986</t>
  </si>
  <si>
    <t xml:space="preserve">TEC-PHO-8896</t>
  </si>
  <si>
    <t xml:space="preserve">US-2024-101277</t>
  </si>
  <si>
    <t xml:space="preserve">2023-01-09</t>
  </si>
  <si>
    <t xml:space="preserve">CU-10163</t>
  </si>
  <si>
    <t xml:space="preserve">OFF-PAP-3390</t>
  </si>
  <si>
    <t xml:space="preserve">US-2024-101067</t>
  </si>
  <si>
    <t xml:space="preserve">2023-07-08</t>
  </si>
  <si>
    <t xml:space="preserve">CU-10015</t>
  </si>
  <si>
    <t xml:space="preserve">OFF-ART-1420</t>
  </si>
  <si>
    <t xml:space="preserve">US-2022-101375</t>
  </si>
  <si>
    <t xml:space="preserve">2022-03-05</t>
  </si>
  <si>
    <t xml:space="preserve">CU-10043</t>
  </si>
  <si>
    <t xml:space="preserve">OFF-ART-8265</t>
  </si>
  <si>
    <t xml:space="preserve">US-2023-101424</t>
  </si>
  <si>
    <t xml:space="preserve">2023-06-17</t>
  </si>
  <si>
    <t xml:space="preserve">2023-06-22</t>
  </si>
  <si>
    <t xml:space="preserve">FUR-FUR-4460</t>
  </si>
  <si>
    <t xml:space="preserve">US-2024-101265</t>
  </si>
  <si>
    <t xml:space="preserve">2023-03-06</t>
  </si>
  <si>
    <t xml:space="preserve">CU-10017</t>
  </si>
  <si>
    <t xml:space="preserve">OFF-APP-8191</t>
  </si>
  <si>
    <t xml:space="preserve">OFF-FAS-8756</t>
  </si>
  <si>
    <t xml:space="preserve">US-2024-101372</t>
  </si>
  <si>
    <t xml:space="preserve">2022-02-20</t>
  </si>
  <si>
    <t xml:space="preserve">2022-02-26</t>
  </si>
  <si>
    <t xml:space="preserve">CU-10231</t>
  </si>
  <si>
    <t xml:space="preserve">OFF-ART-2989</t>
  </si>
  <si>
    <t xml:space="preserve">US-2023-101008</t>
  </si>
  <si>
    <t xml:space="preserve">2022-02-09</t>
  </si>
  <si>
    <t xml:space="preserve">OFF-ENV-8019</t>
  </si>
  <si>
    <t xml:space="preserve">US-2024-101493</t>
  </si>
  <si>
    <t xml:space="preserve">2022-05-24</t>
  </si>
  <si>
    <t xml:space="preserve">CU-10009</t>
  </si>
  <si>
    <t xml:space="preserve">OFF-SUP-6993</t>
  </si>
  <si>
    <t xml:space="preserve">US-2022-101406</t>
  </si>
  <si>
    <t xml:space="preserve">2023-12-23</t>
  </si>
  <si>
    <t xml:space="preserve">OFF-FAS-1813</t>
  </si>
  <si>
    <t xml:space="preserve">OFF-ENV-2809</t>
  </si>
  <si>
    <t xml:space="preserve">OFF-PAP-4012</t>
  </si>
  <si>
    <t xml:space="preserve">US-2024-101257</t>
  </si>
  <si>
    <t xml:space="preserve">2023-04-19</t>
  </si>
  <si>
    <t xml:space="preserve">FUR-TAB-2130</t>
  </si>
  <si>
    <t xml:space="preserve">US-2022-101416</t>
  </si>
  <si>
    <t xml:space="preserve">2022-02-24</t>
  </si>
  <si>
    <t xml:space="preserve">2022-03-03</t>
  </si>
  <si>
    <t xml:space="preserve">OFF-BIN-7704</t>
  </si>
  <si>
    <t xml:space="preserve">US-2024-101009</t>
  </si>
  <si>
    <t xml:space="preserve">2023-02-13</t>
  </si>
  <si>
    <t xml:space="preserve">2023-02-16</t>
  </si>
  <si>
    <t xml:space="preserve">CU-10056</t>
  </si>
  <si>
    <t xml:space="preserve">FUR-FUR-8668</t>
  </si>
  <si>
    <t xml:space="preserve">TEC-ACC-2226</t>
  </si>
  <si>
    <t xml:space="preserve">FUR-TAB-5371</t>
  </si>
  <si>
    <t xml:space="preserve">US-2024-101415</t>
  </si>
  <si>
    <t xml:space="preserve">CU-10157</t>
  </si>
  <si>
    <t xml:space="preserve">TEC-MAC-2929</t>
  </si>
  <si>
    <t xml:space="preserve">US-2022-101500</t>
  </si>
  <si>
    <t xml:space="preserve">2022-12-28</t>
  </si>
  <si>
    <t xml:space="preserve">OFF-SUP-3578</t>
  </si>
  <si>
    <t xml:space="preserve">US-2024-101086</t>
  </si>
  <si>
    <t xml:space="preserve">2023-01-25</t>
  </si>
  <si>
    <t xml:space="preserve">2023-01-29</t>
  </si>
  <si>
    <t xml:space="preserve">CU-10030</t>
  </si>
  <si>
    <t xml:space="preserve">OFF-ENV-3573</t>
  </si>
  <si>
    <t xml:space="preserve">US-2024-101306</t>
  </si>
  <si>
    <t xml:space="preserve">2023-10-16</t>
  </si>
  <si>
    <t xml:space="preserve">2023-10-17</t>
  </si>
  <si>
    <t xml:space="preserve">CU-10022</t>
  </si>
  <si>
    <t xml:space="preserve">OFF-PAP-2735</t>
  </si>
  <si>
    <t xml:space="preserve">US-2024-101095</t>
  </si>
  <si>
    <t xml:space="preserve">2022-10-03</t>
  </si>
  <si>
    <t xml:space="preserve">CU-10142</t>
  </si>
  <si>
    <t xml:space="preserve">OFF-STO-6460</t>
  </si>
  <si>
    <t xml:space="preserve">TEC-COP-8365</t>
  </si>
  <si>
    <t xml:space="preserve">US-2022-101481</t>
  </si>
  <si>
    <t xml:space="preserve">2022-04-02</t>
  </si>
  <si>
    <t xml:space="preserve">CU-10080</t>
  </si>
  <si>
    <t xml:space="preserve">FUR-FUR-5883</t>
  </si>
  <si>
    <t xml:space="preserve">US-2022-101232</t>
  </si>
  <si>
    <t xml:space="preserve">2022-12-16</t>
  </si>
  <si>
    <t xml:space="preserve">FUR-CHA-4125</t>
  </si>
  <si>
    <t xml:space="preserve">US-2023-101072</t>
  </si>
  <si>
    <t xml:space="preserve">2023-06-03</t>
  </si>
  <si>
    <t xml:space="preserve">2023-06-09</t>
  </si>
  <si>
    <t xml:space="preserve">TEC-COP-5425</t>
  </si>
  <si>
    <t xml:space="preserve">US-2024-101313</t>
  </si>
  <si>
    <t xml:space="preserve">2022-12-18</t>
  </si>
  <si>
    <t xml:space="preserve">CU-10081</t>
  </si>
  <si>
    <t xml:space="preserve">OFF-STO-4053</t>
  </si>
  <si>
    <t xml:space="preserve">TEC-MAC-7322</t>
  </si>
  <si>
    <t xml:space="preserve">US-2023-101043</t>
  </si>
  <si>
    <t xml:space="preserve">2022-02-15</t>
  </si>
  <si>
    <t xml:space="preserve">2022-02-21</t>
  </si>
  <si>
    <t xml:space="preserve">CU-10100</t>
  </si>
  <si>
    <t xml:space="preserve">FUR-TAB-5920</t>
  </si>
  <si>
    <t xml:space="preserve">FUR-FUR-6514</t>
  </si>
  <si>
    <t xml:space="preserve">TEC-PHO-1945</t>
  </si>
  <si>
    <t xml:space="preserve">TEC-MAC-4937</t>
  </si>
  <si>
    <t xml:space="preserve">OFF-LAB-2982</t>
  </si>
  <si>
    <t xml:space="preserve">US-2022-101518</t>
  </si>
  <si>
    <t xml:space="preserve">2023-12-30</t>
  </si>
  <si>
    <t xml:space="preserve">2024-01-04</t>
  </si>
  <si>
    <t xml:space="preserve">FUR-CHA-4919</t>
  </si>
  <si>
    <t xml:space="preserve">US-2022-101012</t>
  </si>
  <si>
    <t xml:space="preserve">2022-09-15</t>
  </si>
  <si>
    <t xml:space="preserve">2022-09-20</t>
  </si>
  <si>
    <t xml:space="preserve">CU-10174</t>
  </si>
  <si>
    <t xml:space="preserve">OFF-STO-9201</t>
  </si>
  <si>
    <t xml:space="preserve">US-2023-101224</t>
  </si>
  <si>
    <t xml:space="preserve">2023-02-05</t>
  </si>
  <si>
    <t xml:space="preserve">FUR-FUR-1379</t>
  </si>
  <si>
    <t xml:space="preserve">OFF-PAP-3235</t>
  </si>
  <si>
    <t xml:space="preserve">US-2023-101527</t>
  </si>
  <si>
    <t xml:space="preserve">2023-02-27</t>
  </si>
  <si>
    <t xml:space="preserve">CU-10175</t>
  </si>
  <si>
    <t xml:space="preserve">TEC-PHO-5408</t>
  </si>
  <si>
    <t xml:space="preserve">OFF-ART-7132</t>
  </si>
  <si>
    <t xml:space="preserve">US-2023-101051</t>
  </si>
  <si>
    <t xml:space="preserve">2023-06-12</t>
  </si>
  <si>
    <t xml:space="preserve">2023-06-18</t>
  </si>
  <si>
    <t xml:space="preserve">FUR-FUR-4185</t>
  </si>
  <si>
    <t xml:space="preserve">OFF-SUP-7730</t>
  </si>
  <si>
    <t xml:space="preserve">FUR-TAB-7581</t>
  </si>
  <si>
    <t xml:space="preserve">OFF-BIN-2097</t>
  </si>
  <si>
    <t xml:space="preserve">US-2023-101387</t>
  </si>
  <si>
    <t xml:space="preserve">2023-04-08</t>
  </si>
  <si>
    <t xml:space="preserve">2023-04-09</t>
  </si>
  <si>
    <t xml:space="preserve">FUR-FUR-2525</t>
  </si>
  <si>
    <t xml:space="preserve">FUR-CHA-7631</t>
  </si>
  <si>
    <t xml:space="preserve">US-2022-101489</t>
  </si>
  <si>
    <t xml:space="preserve">2023-11-20</t>
  </si>
  <si>
    <t xml:space="preserve">OFF-ENV-4170</t>
  </si>
  <si>
    <t xml:space="preserve">OFF-BIN-3712</t>
  </si>
  <si>
    <t xml:space="preserve">US-2022-101251</t>
  </si>
  <si>
    <t xml:space="preserve">2022-05-01</t>
  </si>
  <si>
    <t xml:space="preserve">2022-05-07</t>
  </si>
  <si>
    <t xml:space="preserve">CU-10244</t>
  </si>
  <si>
    <t xml:space="preserve">OFF-LAB-9806</t>
  </si>
  <si>
    <t xml:space="preserve">OFF-ENV-3749</t>
  </si>
  <si>
    <t xml:space="preserve">OFF-APP-9767</t>
  </si>
  <si>
    <t xml:space="preserve">US-2022-101335</t>
  </si>
  <si>
    <t xml:space="preserve">CU-10235</t>
  </si>
  <si>
    <t xml:space="preserve">TEC-COP-4314</t>
  </si>
  <si>
    <t xml:space="preserve">US-2024-101441</t>
  </si>
  <si>
    <t xml:space="preserve">2023-12-14</t>
  </si>
  <si>
    <t xml:space="preserve">2023-12-20</t>
  </si>
  <si>
    <t xml:space="preserve">CU-10247</t>
  </si>
  <si>
    <t xml:space="preserve">OFF-BIN-1472</t>
  </si>
  <si>
    <t xml:space="preserve">US-2022-101181</t>
  </si>
  <si>
    <t xml:space="preserve">2023-03-25</t>
  </si>
  <si>
    <t xml:space="preserve">2023-03-26</t>
  </si>
  <si>
    <t xml:space="preserve">CU-10229</t>
  </si>
  <si>
    <t xml:space="preserve">OFF-STO-8218</t>
  </si>
  <si>
    <t xml:space="preserve">US-2024-101045</t>
  </si>
  <si>
    <t xml:space="preserve">2022-11-13</t>
  </si>
  <si>
    <t xml:space="preserve">2022-11-19</t>
  </si>
  <si>
    <t xml:space="preserve">CU-10065</t>
  </si>
  <si>
    <t xml:space="preserve">OFF-PAP-7653</t>
  </si>
  <si>
    <t xml:space="preserve">OFF-BIN-8529</t>
  </si>
  <si>
    <t xml:space="preserve">US-2022-101448</t>
  </si>
  <si>
    <t xml:space="preserve">2023-07-30</t>
  </si>
  <si>
    <t xml:space="preserve">2023-08-01</t>
  </si>
  <si>
    <t xml:space="preserve">OFF-STO-2596</t>
  </si>
  <si>
    <t xml:space="preserve">US-2023-101199</t>
  </si>
  <si>
    <t xml:space="preserve">2023-11-25</t>
  </si>
  <si>
    <t xml:space="preserve">CU-10224</t>
  </si>
  <si>
    <t xml:space="preserve">FUR-TAB-1530</t>
  </si>
  <si>
    <t xml:space="preserve">US-2024-101218</t>
  </si>
  <si>
    <t xml:space="preserve">2022-11-06</t>
  </si>
  <si>
    <t xml:space="preserve">OFF-STO-6121</t>
  </si>
  <si>
    <t xml:space="preserve">US-2024-101236</t>
  </si>
  <si>
    <t xml:space="preserve">2022-12-17</t>
  </si>
  <si>
    <t xml:space="preserve">OFF-FAS-6194</t>
  </si>
  <si>
    <t xml:space="preserve">OFF-APP-1339</t>
  </si>
  <si>
    <t xml:space="preserve">US-2023-101119</t>
  </si>
  <si>
    <t xml:space="preserve">2022-12-27</t>
  </si>
  <si>
    <t xml:space="preserve">CU-10020</t>
  </si>
  <si>
    <t xml:space="preserve">OFF-LAB-6352</t>
  </si>
  <si>
    <t xml:space="preserve">OFF-SUP-8381</t>
  </si>
  <si>
    <t xml:space="preserve">TEC-COP-7738</t>
  </si>
  <si>
    <t xml:space="preserve">US-2023-101215</t>
  </si>
  <si>
    <t xml:space="preserve">2023-08-18</t>
  </si>
  <si>
    <t xml:space="preserve">2023-08-20</t>
  </si>
  <si>
    <t xml:space="preserve">CU-10295</t>
  </si>
  <si>
    <t xml:space="preserve">FUR-FUR-5745</t>
  </si>
  <si>
    <t xml:space="preserve">US-2022-101349</t>
  </si>
  <si>
    <t xml:space="preserve">2023-10-21</t>
  </si>
  <si>
    <t xml:space="preserve">OFF-BIN-1273</t>
  </si>
  <si>
    <t xml:space="preserve">OFF-FAS-6507</t>
  </si>
  <si>
    <t xml:space="preserve">OFF-ENV-5216</t>
  </si>
  <si>
    <t xml:space="preserve">OFF-LAB-6500</t>
  </si>
  <si>
    <t xml:space="preserve">US-2023-101300</t>
  </si>
  <si>
    <t xml:space="preserve">2023-12-03</t>
  </si>
  <si>
    <t xml:space="preserve">CU-10074</t>
  </si>
  <si>
    <t xml:space="preserve">OFF-PAP-6916</t>
  </si>
  <si>
    <t xml:space="preserve">OFF-ENV-5215</t>
  </si>
  <si>
    <t xml:space="preserve">US-2022-101169</t>
  </si>
  <si>
    <t xml:space="preserve">2022-03-15</t>
  </si>
  <si>
    <t xml:space="preserve">CU-10259</t>
  </si>
  <si>
    <t xml:space="preserve">OFF-APP-2257</t>
  </si>
  <si>
    <t xml:space="preserve">US-2024-101388</t>
  </si>
  <si>
    <t xml:space="preserve">2023-09-06</t>
  </si>
  <si>
    <t xml:space="preserve">FUR-CHA-9849</t>
  </si>
  <si>
    <t xml:space="preserve">FUR-FUR-1311</t>
  </si>
  <si>
    <t xml:space="preserve">US-2024-101529</t>
  </si>
  <si>
    <t xml:space="preserve">FUR-CHA-2964</t>
  </si>
  <si>
    <t xml:space="preserve">OFF-PAP-5269</t>
  </si>
  <si>
    <t xml:space="preserve">OFF-STO-4310</t>
  </si>
  <si>
    <t xml:space="preserve">OFF-PAP-8724</t>
  </si>
  <si>
    <t xml:space="preserve">US-2024-101340</t>
  </si>
  <si>
    <t xml:space="preserve">2023-11-04</t>
  </si>
  <si>
    <t xml:space="preserve">CU-10115</t>
  </si>
  <si>
    <t xml:space="preserve">OFF-APP-3165</t>
  </si>
  <si>
    <t xml:space="preserve">FUR-FUR-9078</t>
  </si>
  <si>
    <t xml:space="preserve">FUR-TAB-3913</t>
  </si>
  <si>
    <t xml:space="preserve">OFF-LAB-7751</t>
  </si>
  <si>
    <t xml:space="preserve">OFF-ENV-8341</t>
  </si>
  <si>
    <t xml:space="preserve">US-2024-101427</t>
  </si>
  <si>
    <t xml:space="preserve">2022-01-23</t>
  </si>
  <si>
    <t xml:space="preserve">2022-01-28</t>
  </si>
  <si>
    <t xml:space="preserve">OFF-SUP-2771</t>
  </si>
  <si>
    <t xml:space="preserve">US-2023-101128</t>
  </si>
  <si>
    <t xml:space="preserve">2023-02-23</t>
  </si>
  <si>
    <t xml:space="preserve">2023-02-24</t>
  </si>
  <si>
    <t xml:space="preserve">CU-10059</t>
  </si>
  <si>
    <t xml:space="preserve">TEC-COP-7866</t>
  </si>
  <si>
    <t xml:space="preserve">US-2022-101007</t>
  </si>
  <si>
    <t xml:space="preserve">CU-10136</t>
  </si>
  <si>
    <t xml:space="preserve">OFF-FAS-1916</t>
  </si>
  <si>
    <t xml:space="preserve">US-2023-101275</t>
  </si>
  <si>
    <t xml:space="preserve">2022-08-02</t>
  </si>
  <si>
    <t xml:space="preserve">2022-08-09</t>
  </si>
  <si>
    <t xml:space="preserve">OFF-ENV-6269</t>
  </si>
  <si>
    <t xml:space="preserve">US-2022-101162</t>
  </si>
  <si>
    <t xml:space="preserve">2023-03-16</t>
  </si>
  <si>
    <t xml:space="preserve">2023-03-21</t>
  </si>
  <si>
    <t xml:space="preserve">CU-10166</t>
  </si>
  <si>
    <t xml:space="preserve">TEC-PHO-2734</t>
  </si>
  <si>
    <t xml:space="preserve">OFF-SUP-5397</t>
  </si>
  <si>
    <t xml:space="preserve">US-2024-101021</t>
  </si>
  <si>
    <t xml:space="preserve">2022-09-12</t>
  </si>
  <si>
    <t xml:space="preserve">2022-09-14</t>
  </si>
  <si>
    <t xml:space="preserve">CU-10236</t>
  </si>
  <si>
    <t xml:space="preserve">TEC-PHO-9856</t>
  </si>
  <si>
    <t xml:space="preserve">OFF-APP-2956</t>
  </si>
  <si>
    <t xml:space="preserve">US-2023-101520</t>
  </si>
  <si>
    <t xml:space="preserve">2022-01-01</t>
  </si>
  <si>
    <t xml:space="preserve">2022-01-03</t>
  </si>
  <si>
    <t xml:space="preserve">CU-10207</t>
  </si>
  <si>
    <t xml:space="preserve">OFF-ART-6703</t>
  </si>
  <si>
    <t xml:space="preserve">US-2023-101165</t>
  </si>
  <si>
    <t xml:space="preserve">2023-03-23</t>
  </si>
  <si>
    <t xml:space="preserve">FUR-BOO-6752</t>
  </si>
  <si>
    <t xml:space="preserve">US-2024-101200</t>
  </si>
  <si>
    <t xml:space="preserve">CU-10293</t>
  </si>
  <si>
    <t xml:space="preserve">OFF-LAB-1424</t>
  </si>
  <si>
    <t xml:space="preserve">US-2024-101460</t>
  </si>
  <si>
    <t xml:space="preserve">2023-08-14</t>
  </si>
  <si>
    <t xml:space="preserve">CU-10012</t>
  </si>
  <si>
    <t xml:space="preserve">FUR-BOO-3636</t>
  </si>
  <si>
    <t xml:space="preserve">FUR-CHA-1138</t>
  </si>
  <si>
    <t xml:space="preserve">US-2024-101326</t>
  </si>
  <si>
    <t xml:space="preserve">2022-10-25</t>
  </si>
  <si>
    <t xml:space="preserve">OFF-APP-2677</t>
  </si>
  <si>
    <t xml:space="preserve">US-2022-101285</t>
  </si>
  <si>
    <t xml:space="preserve">2023-06-21</t>
  </si>
  <si>
    <t xml:space="preserve">2023-06-23</t>
  </si>
  <si>
    <t xml:space="preserve">TEC-PHO-5914</t>
  </si>
  <si>
    <t xml:space="preserve">US-2024-101409</t>
  </si>
  <si>
    <t xml:space="preserve">2022-09-21</t>
  </si>
  <si>
    <t xml:space="preserve">OFF-SUP-9380</t>
  </si>
  <si>
    <t xml:space="preserve">US-2024-101040</t>
  </si>
  <si>
    <t xml:space="preserve">2023-04-17</t>
  </si>
  <si>
    <t xml:space="preserve">2023-04-20</t>
  </si>
  <si>
    <t xml:space="preserve">CU-10204</t>
  </si>
  <si>
    <t xml:space="preserve">TEC-MAC-9785</t>
  </si>
  <si>
    <t xml:space="preserve">FUR-CHA-9525</t>
  </si>
  <si>
    <t xml:space="preserve">US-2024-101270</t>
  </si>
  <si>
    <t xml:space="preserve">2023-05-02</t>
  </si>
  <si>
    <t xml:space="preserve">OFF-SUP-4331</t>
  </si>
  <si>
    <t xml:space="preserve">US-2024-101153</t>
  </si>
  <si>
    <t xml:space="preserve">2022-01-07</t>
  </si>
  <si>
    <t xml:space="preserve">2022-01-09</t>
  </si>
  <si>
    <t xml:space="preserve">OFF-PAP-7062</t>
  </si>
  <si>
    <t xml:space="preserve">US-2024-101297</t>
  </si>
  <si>
    <t xml:space="preserve">2023-01-05</t>
  </si>
  <si>
    <t xml:space="preserve">CU-10138</t>
  </si>
  <si>
    <t xml:space="preserve">FUR-FUR-7685</t>
  </si>
  <si>
    <t xml:space="preserve">US-2022-101314</t>
  </si>
  <si>
    <t xml:space="preserve">2023-11-05</t>
  </si>
  <si>
    <t xml:space="preserve">2023-11-09</t>
  </si>
  <si>
    <t xml:space="preserve">CU-10230</t>
  </si>
  <si>
    <t xml:space="preserve">OFF-ENV-2667</t>
  </si>
  <si>
    <t xml:space="preserve">US-2022-101203</t>
  </si>
  <si>
    <t xml:space="preserve">2022-07-10</t>
  </si>
  <si>
    <t xml:space="preserve">CU-10109</t>
  </si>
  <si>
    <t xml:space="preserve">OFF-STO-2213</t>
  </si>
  <si>
    <t xml:space="preserve">US-2022-101536</t>
  </si>
  <si>
    <t xml:space="preserve">2022-10-14</t>
  </si>
  <si>
    <t xml:space="preserve">2022-10-18</t>
  </si>
  <si>
    <t xml:space="preserve">TEC-COP-8749</t>
  </si>
  <si>
    <t xml:space="preserve">TEC-COP-8296</t>
  </si>
  <si>
    <t xml:space="preserve">US-2022-101299</t>
  </si>
  <si>
    <t xml:space="preserve">CU-10197</t>
  </si>
  <si>
    <t xml:space="preserve">OFF-ART-9537</t>
  </si>
  <si>
    <t xml:space="preserve">US-2023-101248</t>
  </si>
  <si>
    <t xml:space="preserve">2023-09-18</t>
  </si>
  <si>
    <t xml:space="preserve">2023-09-25</t>
  </si>
  <si>
    <t xml:space="preserve">CU-10048</t>
  </si>
  <si>
    <t xml:space="preserve">FUR-TAB-4858</t>
  </si>
  <si>
    <t xml:space="preserve">US-2022-101442</t>
  </si>
  <si>
    <t xml:space="preserve">2022-02-18</t>
  </si>
  <si>
    <t xml:space="preserve">CU-10268</t>
  </si>
  <si>
    <t xml:space="preserve">OFF-ENV-2560</t>
  </si>
  <si>
    <t xml:space="preserve">OFF-STO-6692</t>
  </si>
  <si>
    <t xml:space="preserve">US-2023-101413</t>
  </si>
  <si>
    <t xml:space="preserve">OFF-ENV-6873</t>
  </si>
  <si>
    <t xml:space="preserve">OFF-PAP-8325</t>
  </si>
  <si>
    <t xml:space="preserve">OFF-APP-5892</t>
  </si>
  <si>
    <t xml:space="preserve">OFF-ENV-8368</t>
  </si>
  <si>
    <t xml:space="preserve">US-2023-101066</t>
  </si>
  <si>
    <t xml:space="preserve">TEC-PHO-1317</t>
  </si>
  <si>
    <t xml:space="preserve">US-2023-101078</t>
  </si>
  <si>
    <t xml:space="preserve">2023-06-28</t>
  </si>
  <si>
    <t xml:space="preserve">CU-10156</t>
  </si>
  <si>
    <t xml:space="preserve">FUR-CHA-4033</t>
  </si>
  <si>
    <t xml:space="preserve">US-2024-101539</t>
  </si>
  <si>
    <t xml:space="preserve">2023-07-28</t>
  </si>
  <si>
    <t xml:space="preserve">2023-08-02</t>
  </si>
  <si>
    <t xml:space="preserve">OFF-SUP-6818</t>
  </si>
  <si>
    <t xml:space="preserve">OFF-ART-3793</t>
  </si>
  <si>
    <t xml:space="preserve">US-2023-101513</t>
  </si>
  <si>
    <t xml:space="preserve">2023-02-18</t>
  </si>
  <si>
    <t xml:space="preserve">CU-10082</t>
  </si>
  <si>
    <t xml:space="preserve">OFF-LAB-3633</t>
  </si>
  <si>
    <t xml:space="preserve">OFF-ENV-3435</t>
  </si>
  <si>
    <t xml:space="preserve">TEC-ACC-8611</t>
  </si>
  <si>
    <t xml:space="preserve">US-2022-101401</t>
  </si>
  <si>
    <t xml:space="preserve">2023-02-10</t>
  </si>
  <si>
    <t xml:space="preserve">CU-10010</t>
  </si>
  <si>
    <t xml:space="preserve">TEC-MAC-4734</t>
  </si>
  <si>
    <t xml:space="preserve">US-2023-101190</t>
  </si>
  <si>
    <t xml:space="preserve">2022-04-24</t>
  </si>
  <si>
    <t xml:space="preserve">CU-10214</t>
  </si>
  <si>
    <t xml:space="preserve">FUR-CHA-6780</t>
  </si>
  <si>
    <t xml:space="preserve">FUR-TAB-3762</t>
  </si>
  <si>
    <t xml:space="preserve">OFF-STO-8381</t>
  </si>
  <si>
    <t xml:space="preserve">OFF-ART-9460</t>
  </si>
  <si>
    <t xml:space="preserve">OFF-ART-8601</t>
  </si>
  <si>
    <t xml:space="preserve">FUR-FUR-3060</t>
  </si>
  <si>
    <t xml:space="preserve">FUR-FUR-9514</t>
  </si>
  <si>
    <t xml:space="preserve">US-2022-101070</t>
  </si>
  <si>
    <t xml:space="preserve">2023-08-13</t>
  </si>
  <si>
    <t xml:space="preserve">2023-08-19</t>
  </si>
  <si>
    <t xml:space="preserve">TEC-ACC-7071</t>
  </si>
  <si>
    <t xml:space="preserve">US-2022-101303</t>
  </si>
  <si>
    <t xml:space="preserve">2022-04-27</t>
  </si>
  <si>
    <t xml:space="preserve">CU-10107</t>
  </si>
  <si>
    <t xml:space="preserve">OFF-ART-5961</t>
  </si>
  <si>
    <t xml:space="preserve">TEC-MAC-8361</t>
  </si>
  <si>
    <t xml:space="preserve">US-2023-101023</t>
  </si>
  <si>
    <t xml:space="preserve">2023-06-30</t>
  </si>
  <si>
    <t xml:space="preserve">TEC-COP-9565</t>
  </si>
  <si>
    <t xml:space="preserve">OFF-STO-2886</t>
  </si>
  <si>
    <t xml:space="preserve">US-2024-101196</t>
  </si>
  <si>
    <t xml:space="preserve">2022-05-08</t>
  </si>
  <si>
    <t xml:space="preserve">2022-05-15</t>
  </si>
  <si>
    <t xml:space="preserve">FUR-FUR-5369</t>
  </si>
  <si>
    <t xml:space="preserve">US-2024-101346</t>
  </si>
  <si>
    <t xml:space="preserve">2022-03-28</t>
  </si>
  <si>
    <t xml:space="preserve">OFF-APP-4949</t>
  </si>
  <si>
    <t xml:space="preserve">OFF-BIN-8713</t>
  </si>
  <si>
    <t xml:space="preserve">OFF-ART-9782</t>
  </si>
  <si>
    <t xml:space="preserve">US-2022-101048</t>
  </si>
  <si>
    <t xml:space="preserve">2022-01-04</t>
  </si>
  <si>
    <t xml:space="preserve">CU-10164</t>
  </si>
  <si>
    <t xml:space="preserve">OFF-ENV-2389</t>
  </si>
  <si>
    <t xml:space="preserve">FUR-BOO-5166</t>
  </si>
  <si>
    <t xml:space="preserve">OFF-ART-3677</t>
  </si>
  <si>
    <t xml:space="preserve">OFF-SUP-4566</t>
  </si>
  <si>
    <t xml:space="preserve">OFF-PAP-7786</t>
  </si>
  <si>
    <t xml:space="preserve">US-2023-101228</t>
  </si>
  <si>
    <t xml:space="preserve">2023-11-28</t>
  </si>
  <si>
    <t xml:space="preserve">CU-10173</t>
  </si>
  <si>
    <t xml:space="preserve">OFF-BIN-9193</t>
  </si>
  <si>
    <t xml:space="preserve">US-2023-101337</t>
  </si>
  <si>
    <t xml:space="preserve">2022-05-16</t>
  </si>
  <si>
    <t xml:space="preserve">2022-05-22</t>
  </si>
  <si>
    <t xml:space="preserve">CU-10128</t>
  </si>
  <si>
    <t xml:space="preserve">OFF-BIN-4836</t>
  </si>
  <si>
    <t xml:space="preserve">US-2023-101370</t>
  </si>
  <si>
    <t xml:space="preserve">2023-04-23</t>
  </si>
  <si>
    <t xml:space="preserve">TEC-COP-7492</t>
  </si>
  <si>
    <t xml:space="preserve">TEC-COP-8429</t>
  </si>
  <si>
    <t xml:space="preserve">OFF-APP-4728</t>
  </si>
  <si>
    <t xml:space="preserve">FUR-TAB-4695</t>
  </si>
  <si>
    <t xml:space="preserve">US-2022-101423</t>
  </si>
  <si>
    <t xml:space="preserve">OFF-ART-8469</t>
  </si>
  <si>
    <t xml:space="preserve">OFF-ENV-2900</t>
  </si>
  <si>
    <t xml:space="preserve">TEC-ACC-6947</t>
  </si>
  <si>
    <t xml:space="preserve">OFF-STO-6730</t>
  </si>
  <si>
    <t xml:space="preserve">OFF-LAB-7274</t>
  </si>
  <si>
    <t xml:space="preserve">US-2024-101377</t>
  </si>
  <si>
    <t xml:space="preserve">2022-08-08</t>
  </si>
  <si>
    <t xml:space="preserve">CU-10125</t>
  </si>
  <si>
    <t xml:space="preserve">FUR-CHA-9907</t>
  </si>
  <si>
    <t xml:space="preserve">US-2022-101143</t>
  </si>
  <si>
    <t xml:space="preserve">OFF-APP-7984</t>
  </si>
  <si>
    <t xml:space="preserve">US-2024-101289</t>
  </si>
  <si>
    <t xml:space="preserve">TEC-MAC-3938</t>
  </si>
  <si>
    <t xml:space="preserve">FUR-CHA-2188</t>
  </si>
  <si>
    <t xml:space="preserve">US-2023-101497</t>
  </si>
  <si>
    <t xml:space="preserve">2022-07-03</t>
  </si>
  <si>
    <t xml:space="preserve">2022-07-08</t>
  </si>
  <si>
    <t xml:space="preserve">CU-10249</t>
  </si>
  <si>
    <t xml:space="preserve">OFF-ENV-6918</t>
  </si>
  <si>
    <t xml:space="preserve">OFF-PAP-5037</t>
  </si>
  <si>
    <t xml:space="preserve">OFF-BIN-3095</t>
  </si>
  <si>
    <t xml:space="preserve">OFF-SUP-3580</t>
  </si>
  <si>
    <t xml:space="preserve">US-2023-101059</t>
  </si>
  <si>
    <t xml:space="preserve">2022-03-21</t>
  </si>
  <si>
    <t xml:space="preserve">2022-03-27</t>
  </si>
  <si>
    <t xml:space="preserve">FUR-FUR-7797</t>
  </si>
  <si>
    <t xml:space="preserve">OFF-ENV-6228</t>
  </si>
  <si>
    <t xml:space="preserve">OFF-BIN-8836</t>
  </si>
  <si>
    <t xml:space="preserve">US-2024-101421</t>
  </si>
  <si>
    <t xml:space="preserve">2022-04-01</t>
  </si>
  <si>
    <t xml:space="preserve">OFF-LAB-4122</t>
  </si>
  <si>
    <t xml:space="preserve">OFF-SUP-7275</t>
  </si>
  <si>
    <t xml:space="preserve">US-2024-101174</t>
  </si>
  <si>
    <t xml:space="preserve">CU-10198</t>
  </si>
  <si>
    <t xml:space="preserve">OFF-APP-7333</t>
  </si>
  <si>
    <t xml:space="preserve">TEC-PHO-6053</t>
  </si>
  <si>
    <t xml:space="preserve">OFF-STO-7229</t>
  </si>
  <si>
    <t xml:space="preserve">US-2022-101455</t>
  </si>
  <si>
    <t xml:space="preserve">2023-05-10</t>
  </si>
  <si>
    <t xml:space="preserve">OFF-ENV-5819</t>
  </si>
  <si>
    <t xml:space="preserve">US-2024-101472</t>
  </si>
  <si>
    <t xml:space="preserve">FUR-CHA-3742</t>
  </si>
  <si>
    <t xml:space="preserve">US-2023-101286</t>
  </si>
  <si>
    <t xml:space="preserve">2022-03-24</t>
  </si>
  <si>
    <t xml:space="preserve">FUR-CHA-6427</t>
  </si>
  <si>
    <t xml:space="preserve">FUR-BOO-2874</t>
  </si>
  <si>
    <t xml:space="preserve">OFF-STO-3340</t>
  </si>
  <si>
    <t xml:space="preserve">US-2023-101376</t>
  </si>
  <si>
    <t xml:space="preserve">2022-04-12</t>
  </si>
  <si>
    <t xml:space="preserve">OFF-STO-3831</t>
  </si>
  <si>
    <t xml:space="preserve">FUR-FUR-8091</t>
  </si>
  <si>
    <t xml:space="preserve">FUR-TAB-1919</t>
  </si>
  <si>
    <t xml:space="preserve">US-2022-101000</t>
  </si>
  <si>
    <t xml:space="preserve">2022-04-26</t>
  </si>
  <si>
    <t xml:space="preserve">CU-10279</t>
  </si>
  <si>
    <t xml:space="preserve">OFF-APP-1434</t>
  </si>
  <si>
    <t xml:space="preserve">US-2024-101102</t>
  </si>
  <si>
    <t xml:space="preserve">2023-10-08</t>
  </si>
  <si>
    <t xml:space="preserve">2023-10-13</t>
  </si>
  <si>
    <t xml:space="preserve">CU-10208</t>
  </si>
  <si>
    <t xml:space="preserve">TEC-ACC-9165</t>
  </si>
  <si>
    <t xml:space="preserve">TEC-COP-5055</t>
  </si>
  <si>
    <t xml:space="preserve">US-2022-101063</t>
  </si>
  <si>
    <t xml:space="preserve">2023-11-27</t>
  </si>
  <si>
    <t xml:space="preserve">CU-10273</t>
  </si>
  <si>
    <t xml:space="preserve">OFF-APP-8564</t>
  </si>
  <si>
    <t xml:space="preserve">US-2024-101534</t>
  </si>
  <si>
    <t xml:space="preserve">2023-09-27</t>
  </si>
  <si>
    <t xml:space="preserve">OFF-ENV-6981</t>
  </si>
  <si>
    <t xml:space="preserve">FUR-FUR-3338</t>
  </si>
  <si>
    <t xml:space="preserve">US-2024-101109</t>
  </si>
  <si>
    <t xml:space="preserve">2023-02-25</t>
  </si>
  <si>
    <t xml:space="preserve">2023-02-26</t>
  </si>
  <si>
    <t xml:space="preserve">CU-10077</t>
  </si>
  <si>
    <t xml:space="preserve">FUR-TAB-2633</t>
  </si>
  <si>
    <t xml:space="preserve">US-2022-101028</t>
  </si>
  <si>
    <t xml:space="preserve">OFF-SUP-1128</t>
  </si>
  <si>
    <t xml:space="preserve">FUR-FUR-4768</t>
  </si>
  <si>
    <t xml:space="preserve">OFF-ART-9835</t>
  </si>
  <si>
    <t xml:space="preserve">US-2023-101157</t>
  </si>
  <si>
    <t xml:space="preserve">2023-11-15</t>
  </si>
  <si>
    <t xml:space="preserve">FUR-CHA-1126</t>
  </si>
  <si>
    <t xml:space="preserve">US-2024-101320</t>
  </si>
  <si>
    <t xml:space="preserve">FUR-CHA-3258</t>
  </si>
  <si>
    <t xml:space="preserve">US-2024-101032</t>
  </si>
  <si>
    <t xml:space="preserve">TEC-MAC-8007</t>
  </si>
  <si>
    <t xml:space="preserve">OFF-ART-7383</t>
  </si>
  <si>
    <t xml:space="preserve">OFF-LAB-1527</t>
  </si>
  <si>
    <t xml:space="preserve">Data cleaning note: started with 390 rows; removed 15 exact duplicate row(s) using Data &gt; Remove Duplicates (all columns); 375 rows remain.</t>
  </si>
  <si>
    <t xml:space="preserve">Note: Order ID can legitimately repeat because one order may contain several product line items — duplicates were removed on full-row match, not by forcing one row per Order ID, which would delete genuine sales lines.</t>
  </si>
  <si>
    <t xml:space="preserve">Conditional formatting: rows highlighted in red have Discount &gt; 20% AND Profit &lt; 0 (high-discount loss-making orders).</t>
  </si>
  <si>
    <t xml:space="preserve">Sales &amp; Profit by Region</t>
  </si>
  <si>
    <t xml:space="preserve">(Pivot-style summary — built with SUMIFS/COUNTIFS so it recalculates automatically; can also be reproduced as a native Excel PivotTable via Insert &gt; PivotTable on RawData_Cleaned)</t>
  </si>
  <si>
    <t xml:space="preserve">Order Count</t>
  </si>
  <si>
    <t xml:space="preserve">Profit Margin %</t>
  </si>
  <si>
    <t xml:space="preserve">Total</t>
  </si>
  <si>
    <t xml:space="preserve">Highest-profit region:</t>
  </si>
  <si>
    <t xml:space="preserve">Sales &amp; Profit by Category / Sub-Category</t>
  </si>
  <si>
    <t xml:space="preserve">Top 5 Most Profitable Sub-Categories</t>
  </si>
  <si>
    <t xml:space="preserve">(Findings recorded as a comment on the 'Sub-Category' header cell below — hover/right-click to view)</t>
  </si>
  <si>
    <t xml:space="preserve">Rank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</si>
</sst>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0.0%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9F9F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Category_SubCategory!B3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Category_SubCategory!$A$4:$A$6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Category_SubCategory!$B$4:$B$6</c:f>
              <c:numCache>
                <c:formatCode>\$#,##0.00</c:formatCode>
                <c:ptCount val="3"/>
                <c:pt idx="0">
                  <c:v>91154.9</c:v>
                </c:pt>
                <c:pt idx="1">
                  <c:v>48004.94</c:v>
                </c:pt>
                <c:pt idx="2">
                  <c:v>248745.08</c:v>
                </c:pt>
              </c:numCache>
            </c:numRef>
          </c:val>
        </c:ser>
        <c:gapWidth val="150"/>
        <c:overlap val="0"/>
        <c:axId val="11754770"/>
        <c:axId val="36277915"/>
      </c:barChart>
      <c:catAx>
        <c:axId val="11754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77915"/>
        <c:crosses val="autoZero"/>
        <c:auto val="1"/>
        <c:lblAlgn val="ctr"/>
        <c:lblOffset val="100"/>
        <c:noMultiLvlLbl val="0"/>
      </c:catAx>
      <c:valAx>
        <c:axId val="36277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54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Region_Summary!C4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Region_Summary!$A$5:$A$8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Region_Summary!$C$5:$C$8</c:f>
              <c:numCache>
                <c:formatCode>\$#,##0.00</c:formatCode>
                <c:ptCount val="4"/>
                <c:pt idx="0">
                  <c:v>2782.65</c:v>
                </c:pt>
                <c:pt idx="1">
                  <c:v>6944.33</c:v>
                </c:pt>
                <c:pt idx="2">
                  <c:v>-604.81</c:v>
                </c:pt>
                <c:pt idx="3">
                  <c:v>7023.98</c:v>
                </c:pt>
              </c:numCache>
            </c:numRef>
          </c:val>
        </c:ser>
        <c:gapWidth val="150"/>
        <c:overlap val="0"/>
        <c:axId val="83273737"/>
        <c:axId val="10326799"/>
      </c:barChart>
      <c:catAx>
        <c:axId val="832737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26799"/>
        <c:crosses val="autoZero"/>
        <c:auto val="1"/>
        <c:lblAlgn val="ctr"/>
        <c:lblOffset val="100"/>
        <c:noMultiLvlLbl val="0"/>
      </c:catAx>
      <c:valAx>
        <c:axId val="10326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73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Most Profitable Sub-Categories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Top5_Profitable_SubCategories!C3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Top5_Profitable_SubCategories!$B$4:$B$8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Furnishings</c:v>
                </c:pt>
                <c:pt idx="3">
                  <c:v>Appliances</c:v>
                </c:pt>
                <c:pt idx="4">
                  <c:v>Storage</c:v>
                </c:pt>
              </c:strCache>
            </c:strRef>
          </c:cat>
          <c:val>
            <c:numRef>
              <c:f>Top5_Profitable_SubCategories!$C$4:$C$8</c:f>
              <c:numCache>
                <c:formatCode>\$#,##0.00</c:formatCode>
                <c:ptCount val="5"/>
                <c:pt idx="0">
                  <c:v>18908.82</c:v>
                </c:pt>
                <c:pt idx="1">
                  <c:v>4286.27</c:v>
                </c:pt>
                <c:pt idx="2">
                  <c:v>1733.88</c:v>
                </c:pt>
                <c:pt idx="3">
                  <c:v>1700.84</c:v>
                </c:pt>
                <c:pt idx="4">
                  <c:v>909.02</c:v>
                </c:pt>
              </c:numCache>
            </c:numRef>
          </c:val>
        </c:ser>
        <c:gapWidth val="150"/>
        <c:overlap val="0"/>
        <c:axId val="3145146"/>
        <c:axId val="55621235"/>
      </c:barChart>
      <c:catAx>
        <c:axId val="3145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Sub-Category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21235"/>
        <c:crosses val="autoZero"/>
        <c:auto val="1"/>
        <c:lblAlgn val="ctr"/>
        <c:lblOffset val="100"/>
        <c:noMultiLvlLbl val="0"/>
      </c:catAx>
      <c:valAx>
        <c:axId val="55621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5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130680</xdr:rowOff>
    </xdr:from>
    <xdr:to>
      <xdr:col>7</xdr:col>
      <xdr:colOff>198720</xdr:colOff>
      <xdr:row>25</xdr:row>
      <xdr:rowOff>142560</xdr:rowOff>
    </xdr:to>
    <xdr:graphicFrame>
      <xdr:nvGraphicFramePr>
        <xdr:cNvPr id="0" name="Chart 1"/>
        <xdr:cNvGraphicFramePr/>
      </xdr:nvGraphicFramePr>
      <xdr:xfrm>
        <a:off x="211320" y="21812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130680</xdr:rowOff>
    </xdr:from>
    <xdr:to>
      <xdr:col>17</xdr:col>
      <xdr:colOff>429480</xdr:colOff>
      <xdr:row>25</xdr:row>
      <xdr:rowOff>142560</xdr:rowOff>
    </xdr:to>
    <xdr:graphicFrame>
      <xdr:nvGraphicFramePr>
        <xdr:cNvPr id="1" name="Chart 2"/>
        <xdr:cNvGraphicFramePr/>
      </xdr:nvGraphicFramePr>
      <xdr:xfrm>
        <a:off x="6132240" y="21812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13</xdr:col>
      <xdr:colOff>255960</xdr:colOff>
      <xdr:row>16</xdr:row>
      <xdr:rowOff>153000</xdr:rowOff>
    </xdr:to>
    <xdr:graphicFrame>
      <xdr:nvGraphicFramePr>
        <xdr:cNvPr id="2" name="Chart 1"/>
        <xdr:cNvGraphicFramePr/>
      </xdr:nvGraphicFramePr>
      <xdr:xfrm>
        <a:off x="385380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Q376" headerRowCount="1" totalsRowCount="0" totalsRowShown="0">
  <autoFilter ref="A1:Q376"/>
  <tableColumns count="17">
    <tableColumn id="1" name="Order ID"/>
    <tableColumn id="2" name="Order Date"/>
    <tableColumn id="3" name="Ship Date"/>
    <tableColumn id="4" name="Ship Mode"/>
    <tableColumn id="5" name="Customer ID"/>
    <tableColumn id="6" name="Segment"/>
    <tableColumn id="7" name="Country"/>
    <tableColumn id="8" name="City"/>
    <tableColumn id="9" name="State"/>
    <tableColumn id="10" name="Region"/>
    <tableColumn id="11" name="Product ID"/>
    <tableColumn id="12" name="Category"/>
    <tableColumn id="13" name="Sub-Category"/>
    <tableColumn id="14" name="Sales"/>
    <tableColumn id="15" name="Quantity"/>
    <tableColumn id="16" name="Discount"/>
    <tableColumn id="17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  <col collapsed="false" customWidth="true" hidden="false" outlineLevel="0" max="10" min="9" style="0" width="3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21.7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30" hidden="false" customHeight="true" outlineLevel="0" collapsed="false">
      <c r="B6" s="4" t="n">
        <f aca="false">SUM(RawData_Cleaned!N:N)</f>
        <v>387904.92</v>
      </c>
      <c r="C6" s="4"/>
      <c r="D6" s="4" t="n">
        <f aca="false">SUM(RawData_Cleaned!Q:Q)</f>
        <v>16146.15</v>
      </c>
      <c r="E6" s="4"/>
      <c r="F6" s="5" t="n">
        <f aca="false">SUMPRODUCT((RawData_Cleaned!A2:A376&lt;&gt;"")/COUNTIF(RawData_Cleaned!A2:A376,RawData_Cleaned!A2:A376&amp;""))</f>
        <v>260</v>
      </c>
      <c r="G6" s="5"/>
      <c r="H6" s="6" t="n">
        <f aca="false">SUM(RawData_Cleaned!Q:Q)/SUM(RawData_Cleaned!N:N)</f>
        <v>0.0416239886825875</v>
      </c>
      <c r="I6" s="6"/>
    </row>
    <row r="9" customFormat="false" ht="15" hidden="false" customHeight="false" outlineLevel="0" collapsed="false">
      <c r="B9" s="7" t="s">
        <v>6</v>
      </c>
    </row>
  </sheetData>
  <mergeCells count="10">
    <mergeCell ref="B2:H2"/>
    <mergeCell ref="B3:H3"/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5"/>
    <col collapsed="false" customWidth="true" hidden="false" outlineLevel="0" max="17" min="17" style="0" width="9"/>
  </cols>
  <sheetData>
    <row r="1" customFormat="false" ht="15" hidden="false" customHeight="false" outlineLevel="0" collapsed="false">
      <c r="A1" s="8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  <c r="L1" s="8" t="s">
        <v>18</v>
      </c>
      <c r="M1" s="8" t="s">
        <v>19</v>
      </c>
      <c r="N1" s="8" t="s">
        <v>20</v>
      </c>
      <c r="O1" s="8" t="s">
        <v>21</v>
      </c>
      <c r="P1" s="8" t="s">
        <v>22</v>
      </c>
      <c r="Q1" s="8" t="s">
        <v>23</v>
      </c>
    </row>
    <row r="2" customFormat="false" ht="15" hidden="false" customHeight="false" outlineLevel="0" collapsed="false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n">
        <v>78.8</v>
      </c>
      <c r="O2" s="9" t="n">
        <v>8</v>
      </c>
      <c r="P2" s="9" t="n">
        <v>0.1</v>
      </c>
      <c r="Q2" s="9" t="n">
        <v>26.61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29</v>
      </c>
      <c r="G3" s="9" t="s">
        <v>30</v>
      </c>
      <c r="H3" s="9" t="s">
        <v>42</v>
      </c>
      <c r="I3" s="9" t="s">
        <v>43</v>
      </c>
      <c r="J3" s="9" t="s">
        <v>44</v>
      </c>
      <c r="K3" s="9" t="s">
        <v>45</v>
      </c>
      <c r="L3" s="9" t="s">
        <v>46</v>
      </c>
      <c r="M3" s="9" t="s">
        <v>47</v>
      </c>
      <c r="N3" s="9" t="n">
        <v>3423.42</v>
      </c>
      <c r="O3" s="9" t="n">
        <v>9</v>
      </c>
      <c r="P3" s="9" t="n">
        <v>0.6</v>
      </c>
      <c r="Q3" s="9" t="n">
        <v>-704.3</v>
      </c>
    </row>
    <row r="4" customFormat="false" ht="15" hidden="false" customHeight="false" outlineLevel="0" collapsed="false">
      <c r="A4" s="9" t="s">
        <v>48</v>
      </c>
      <c r="B4" s="9" t="s">
        <v>49</v>
      </c>
      <c r="C4" s="9" t="s">
        <v>50</v>
      </c>
      <c r="D4" s="9" t="s">
        <v>51</v>
      </c>
      <c r="E4" s="9" t="s">
        <v>52</v>
      </c>
      <c r="F4" s="9" t="s">
        <v>29</v>
      </c>
      <c r="G4" s="9" t="s">
        <v>30</v>
      </c>
      <c r="H4" s="9" t="s">
        <v>53</v>
      </c>
      <c r="I4" s="9" t="s">
        <v>43</v>
      </c>
      <c r="J4" s="9" t="s">
        <v>44</v>
      </c>
      <c r="K4" s="9" t="s">
        <v>54</v>
      </c>
      <c r="L4" s="9" t="s">
        <v>35</v>
      </c>
      <c r="M4" s="9" t="s">
        <v>55</v>
      </c>
      <c r="N4" s="9" t="n">
        <v>539.98</v>
      </c>
      <c r="O4" s="9" t="n">
        <v>7</v>
      </c>
      <c r="P4" s="9" t="n">
        <v>0.1</v>
      </c>
      <c r="Q4" s="9" t="n">
        <v>3.6</v>
      </c>
    </row>
    <row r="5" customFormat="false" ht="15" hidden="false" customHeight="false" outlineLevel="0" collapsed="false">
      <c r="A5" s="9" t="s">
        <v>56</v>
      </c>
      <c r="B5" s="9" t="s">
        <v>57</v>
      </c>
      <c r="C5" s="9" t="s">
        <v>58</v>
      </c>
      <c r="D5" s="9" t="s">
        <v>27</v>
      </c>
      <c r="E5" s="9" t="s">
        <v>59</v>
      </c>
      <c r="F5" s="9" t="s">
        <v>60</v>
      </c>
      <c r="G5" s="9" t="s">
        <v>30</v>
      </c>
      <c r="H5" s="9" t="s">
        <v>61</v>
      </c>
      <c r="I5" s="9" t="s">
        <v>62</v>
      </c>
      <c r="J5" s="9" t="s">
        <v>44</v>
      </c>
      <c r="K5" s="9" t="s">
        <v>63</v>
      </c>
      <c r="L5" s="9" t="s">
        <v>46</v>
      </c>
      <c r="M5" s="9" t="s">
        <v>64</v>
      </c>
      <c r="N5" s="9" t="n">
        <v>788.45</v>
      </c>
      <c r="O5" s="9" t="n">
        <v>1</v>
      </c>
      <c r="P5" s="9" t="n">
        <v>0.1</v>
      </c>
      <c r="Q5" s="9" t="n">
        <v>12.98</v>
      </c>
    </row>
    <row r="6" customFormat="false" ht="15" hidden="false" customHeight="false" outlineLevel="0" collapsed="false">
      <c r="A6" s="9" t="s">
        <v>65</v>
      </c>
      <c r="B6" s="9" t="s">
        <v>66</v>
      </c>
      <c r="C6" s="9" t="s">
        <v>67</v>
      </c>
      <c r="D6" s="9" t="s">
        <v>40</v>
      </c>
      <c r="E6" s="9" t="s">
        <v>68</v>
      </c>
      <c r="F6" s="9" t="s">
        <v>29</v>
      </c>
      <c r="G6" s="9" t="s">
        <v>30</v>
      </c>
      <c r="H6" s="9" t="s">
        <v>53</v>
      </c>
      <c r="I6" s="9" t="s">
        <v>43</v>
      </c>
      <c r="J6" s="9" t="s">
        <v>44</v>
      </c>
      <c r="K6" s="9" t="s">
        <v>69</v>
      </c>
      <c r="L6" s="9" t="s">
        <v>46</v>
      </c>
      <c r="M6" s="9" t="s">
        <v>70</v>
      </c>
      <c r="N6" s="9" t="n">
        <v>572.88</v>
      </c>
      <c r="O6" s="9" t="n">
        <v>4</v>
      </c>
      <c r="P6" s="9" t="n">
        <v>0.1</v>
      </c>
      <c r="Q6" s="9" t="n">
        <v>134.71</v>
      </c>
    </row>
    <row r="7" customFormat="false" ht="15" hidden="false" customHeight="false" outlineLevel="0" collapsed="false">
      <c r="A7" s="9" t="s">
        <v>71</v>
      </c>
      <c r="B7" s="9" t="s">
        <v>72</v>
      </c>
      <c r="C7" s="9" t="s">
        <v>73</v>
      </c>
      <c r="D7" s="9" t="s">
        <v>27</v>
      </c>
      <c r="E7" s="9" t="s">
        <v>74</v>
      </c>
      <c r="F7" s="9" t="s">
        <v>29</v>
      </c>
      <c r="G7" s="9" t="s">
        <v>30</v>
      </c>
      <c r="H7" s="9" t="s">
        <v>75</v>
      </c>
      <c r="I7" s="9" t="s">
        <v>76</v>
      </c>
      <c r="J7" s="9" t="s">
        <v>33</v>
      </c>
      <c r="K7" s="9" t="s">
        <v>77</v>
      </c>
      <c r="L7" s="9" t="s">
        <v>35</v>
      </c>
      <c r="M7" s="9" t="s">
        <v>78</v>
      </c>
      <c r="N7" s="9" t="n">
        <v>18.2</v>
      </c>
      <c r="O7" s="9" t="n">
        <v>4</v>
      </c>
      <c r="P7" s="9" t="n">
        <v>0</v>
      </c>
      <c r="Q7" s="9" t="n">
        <v>5.98</v>
      </c>
    </row>
    <row r="8" customFormat="false" ht="15" hidden="false" customHeight="false" outlineLevel="0" collapsed="false">
      <c r="A8" s="9" t="s">
        <v>79</v>
      </c>
      <c r="B8" s="9" t="s">
        <v>80</v>
      </c>
      <c r="C8" s="9" t="s">
        <v>81</v>
      </c>
      <c r="D8" s="9" t="s">
        <v>40</v>
      </c>
      <c r="E8" s="9" t="s">
        <v>82</v>
      </c>
      <c r="F8" s="9" t="s">
        <v>83</v>
      </c>
      <c r="G8" s="9" t="s">
        <v>30</v>
      </c>
      <c r="H8" s="9" t="s">
        <v>84</v>
      </c>
      <c r="I8" s="9" t="s">
        <v>85</v>
      </c>
      <c r="J8" s="9" t="s">
        <v>86</v>
      </c>
      <c r="K8" s="9" t="s">
        <v>87</v>
      </c>
      <c r="L8" s="9" t="s">
        <v>88</v>
      </c>
      <c r="M8" s="9" t="s">
        <v>89</v>
      </c>
      <c r="N8" s="9" t="n">
        <v>2334.15</v>
      </c>
      <c r="O8" s="9" t="n">
        <v>9</v>
      </c>
      <c r="P8" s="9" t="n">
        <v>0.2</v>
      </c>
      <c r="Q8" s="9" t="n">
        <v>-58.93</v>
      </c>
    </row>
    <row r="9" customFormat="false" ht="15" hidden="false" customHeight="false" outlineLevel="0" collapsed="false">
      <c r="A9" s="9" t="s">
        <v>90</v>
      </c>
      <c r="B9" s="9" t="s">
        <v>91</v>
      </c>
      <c r="C9" s="9" t="s">
        <v>92</v>
      </c>
      <c r="D9" s="9" t="s">
        <v>40</v>
      </c>
      <c r="E9" s="9" t="s">
        <v>93</v>
      </c>
      <c r="F9" s="9" t="s">
        <v>29</v>
      </c>
      <c r="G9" s="9" t="s">
        <v>30</v>
      </c>
      <c r="H9" s="9" t="s">
        <v>94</v>
      </c>
      <c r="I9" s="9" t="s">
        <v>95</v>
      </c>
      <c r="J9" s="9" t="s">
        <v>96</v>
      </c>
      <c r="K9" s="9" t="s">
        <v>97</v>
      </c>
      <c r="L9" s="9" t="s">
        <v>35</v>
      </c>
      <c r="M9" s="9" t="s">
        <v>98</v>
      </c>
      <c r="N9" s="9" t="n">
        <v>88.96</v>
      </c>
      <c r="O9" s="9" t="n">
        <v>8</v>
      </c>
      <c r="P9" s="9" t="n">
        <v>0.3</v>
      </c>
      <c r="Q9" s="9" t="n">
        <v>-11.76</v>
      </c>
    </row>
    <row r="10" customFormat="false" ht="15" hidden="false" customHeight="false" outlineLevel="0" collapsed="false">
      <c r="A10" s="9" t="s">
        <v>99</v>
      </c>
      <c r="B10" s="9" t="s">
        <v>100</v>
      </c>
      <c r="C10" s="9" t="s">
        <v>101</v>
      </c>
      <c r="D10" s="9" t="s">
        <v>102</v>
      </c>
      <c r="E10" s="9" t="s">
        <v>103</v>
      </c>
      <c r="F10" s="9" t="s">
        <v>83</v>
      </c>
      <c r="G10" s="9" t="s">
        <v>30</v>
      </c>
      <c r="H10" s="9" t="s">
        <v>104</v>
      </c>
      <c r="I10" s="9" t="s">
        <v>105</v>
      </c>
      <c r="J10" s="9" t="s">
        <v>44</v>
      </c>
      <c r="K10" s="9" t="s">
        <v>106</v>
      </c>
      <c r="L10" s="9" t="s">
        <v>88</v>
      </c>
      <c r="M10" s="9" t="s">
        <v>89</v>
      </c>
      <c r="N10" s="9" t="n">
        <v>539.32</v>
      </c>
      <c r="O10" s="9" t="n">
        <v>2</v>
      </c>
      <c r="P10" s="9" t="n">
        <v>0.15</v>
      </c>
      <c r="Q10" s="9" t="n">
        <v>-1.01</v>
      </c>
    </row>
    <row r="11" customFormat="false" ht="15" hidden="false" customHeight="false" outlineLevel="0" collapsed="false">
      <c r="A11" s="9" t="s">
        <v>107</v>
      </c>
      <c r="B11" s="9" t="s">
        <v>108</v>
      </c>
      <c r="C11" s="9" t="s">
        <v>109</v>
      </c>
      <c r="D11" s="9" t="s">
        <v>51</v>
      </c>
      <c r="E11" s="9" t="s">
        <v>110</v>
      </c>
      <c r="F11" s="9" t="s">
        <v>29</v>
      </c>
      <c r="G11" s="9" t="s">
        <v>30</v>
      </c>
      <c r="H11" s="9" t="s">
        <v>111</v>
      </c>
      <c r="I11" s="9" t="s">
        <v>112</v>
      </c>
      <c r="J11" s="9" t="s">
        <v>86</v>
      </c>
      <c r="K11" s="9" t="s">
        <v>113</v>
      </c>
      <c r="L11" s="9" t="s">
        <v>35</v>
      </c>
      <c r="M11" s="9" t="s">
        <v>114</v>
      </c>
      <c r="N11" s="9" t="n">
        <v>154.38</v>
      </c>
      <c r="O11" s="9" t="n">
        <v>6</v>
      </c>
      <c r="P11" s="9" t="n">
        <v>0.6</v>
      </c>
      <c r="Q11" s="9" t="n">
        <v>-30.99</v>
      </c>
    </row>
    <row r="12" customFormat="false" ht="15" hidden="false" customHeight="false" outlineLevel="0" collapsed="false">
      <c r="A12" s="9" t="s">
        <v>115</v>
      </c>
      <c r="B12" s="9" t="s">
        <v>116</v>
      </c>
      <c r="C12" s="9" t="s">
        <v>117</v>
      </c>
      <c r="D12" s="9" t="s">
        <v>40</v>
      </c>
      <c r="E12" s="9" t="s">
        <v>118</v>
      </c>
      <c r="F12" s="9" t="s">
        <v>29</v>
      </c>
      <c r="G12" s="9" t="s">
        <v>30</v>
      </c>
      <c r="H12" s="9" t="s">
        <v>42</v>
      </c>
      <c r="I12" s="9" t="s">
        <v>43</v>
      </c>
      <c r="J12" s="9" t="s">
        <v>44</v>
      </c>
      <c r="K12" s="9" t="s">
        <v>119</v>
      </c>
      <c r="L12" s="9" t="s">
        <v>35</v>
      </c>
      <c r="M12" s="9" t="s">
        <v>36</v>
      </c>
      <c r="N12" s="9" t="n">
        <v>201.25</v>
      </c>
      <c r="O12" s="9" t="n">
        <v>7</v>
      </c>
      <c r="P12" s="9" t="n">
        <v>0</v>
      </c>
      <c r="Q12" s="9" t="n">
        <v>75.21</v>
      </c>
    </row>
    <row r="13" customFormat="false" ht="15" hidden="false" customHeight="false" outlineLevel="0" collapsed="false">
      <c r="A13" s="9" t="s">
        <v>120</v>
      </c>
      <c r="B13" s="9" t="s">
        <v>121</v>
      </c>
      <c r="C13" s="9" t="s">
        <v>122</v>
      </c>
      <c r="D13" s="9" t="s">
        <v>40</v>
      </c>
      <c r="E13" s="9" t="s">
        <v>123</v>
      </c>
      <c r="F13" s="9" t="s">
        <v>29</v>
      </c>
      <c r="G13" s="9" t="s">
        <v>30</v>
      </c>
      <c r="H13" s="9" t="s">
        <v>124</v>
      </c>
      <c r="I13" s="9" t="s">
        <v>125</v>
      </c>
      <c r="J13" s="9" t="s">
        <v>33</v>
      </c>
      <c r="K13" s="9" t="s">
        <v>126</v>
      </c>
      <c r="L13" s="9" t="s">
        <v>35</v>
      </c>
      <c r="M13" s="9" t="s">
        <v>55</v>
      </c>
      <c r="N13" s="9" t="n">
        <v>583.1</v>
      </c>
      <c r="O13" s="9" t="n">
        <v>7</v>
      </c>
      <c r="P13" s="9" t="n">
        <v>0</v>
      </c>
      <c r="Q13" s="9" t="n">
        <v>3.71</v>
      </c>
    </row>
    <row r="14" customFormat="false" ht="15" hidden="false" customHeight="false" outlineLevel="0" collapsed="false">
      <c r="A14" s="9" t="s">
        <v>127</v>
      </c>
      <c r="B14" s="9" t="s">
        <v>128</v>
      </c>
      <c r="C14" s="9" t="s">
        <v>129</v>
      </c>
      <c r="D14" s="9" t="s">
        <v>40</v>
      </c>
      <c r="E14" s="9" t="s">
        <v>130</v>
      </c>
      <c r="F14" s="9" t="s">
        <v>60</v>
      </c>
      <c r="G14" s="9" t="s">
        <v>30</v>
      </c>
      <c r="H14" s="9" t="s">
        <v>131</v>
      </c>
      <c r="I14" s="9" t="s">
        <v>132</v>
      </c>
      <c r="J14" s="9" t="s">
        <v>86</v>
      </c>
      <c r="K14" s="9" t="s">
        <v>133</v>
      </c>
      <c r="L14" s="9" t="s">
        <v>46</v>
      </c>
      <c r="M14" s="9" t="s">
        <v>47</v>
      </c>
      <c r="N14" s="9" t="n">
        <v>1716.04</v>
      </c>
      <c r="O14" s="9" t="n">
        <v>2</v>
      </c>
      <c r="P14" s="9" t="n">
        <v>0</v>
      </c>
      <c r="Q14" s="9" t="n">
        <v>368.41</v>
      </c>
    </row>
    <row r="15" customFormat="false" ht="15" hidden="false" customHeight="false" outlineLevel="0" collapsed="false">
      <c r="A15" s="9" t="s">
        <v>134</v>
      </c>
      <c r="B15" s="9" t="s">
        <v>135</v>
      </c>
      <c r="C15" s="9" t="s">
        <v>136</v>
      </c>
      <c r="D15" s="9" t="s">
        <v>102</v>
      </c>
      <c r="E15" s="9" t="s">
        <v>137</v>
      </c>
      <c r="F15" s="9" t="s">
        <v>83</v>
      </c>
      <c r="G15" s="9" t="s">
        <v>30</v>
      </c>
      <c r="H15" s="9" t="s">
        <v>138</v>
      </c>
      <c r="I15" s="9" t="s">
        <v>85</v>
      </c>
      <c r="J15" s="9" t="s">
        <v>86</v>
      </c>
      <c r="K15" s="9" t="s">
        <v>139</v>
      </c>
      <c r="L15" s="9" t="s">
        <v>46</v>
      </c>
      <c r="M15" s="9" t="s">
        <v>70</v>
      </c>
      <c r="N15" s="9" t="n">
        <v>109.76</v>
      </c>
      <c r="O15" s="9" t="n">
        <v>7</v>
      </c>
      <c r="P15" s="9" t="n">
        <v>0.2</v>
      </c>
      <c r="Q15" s="9" t="n">
        <v>6.82</v>
      </c>
    </row>
    <row r="16" customFormat="false" ht="15" hidden="false" customHeight="false" outlineLevel="0" collapsed="false">
      <c r="A16" s="9" t="s">
        <v>140</v>
      </c>
      <c r="B16" s="9" t="s">
        <v>141</v>
      </c>
      <c r="C16" s="9" t="s">
        <v>142</v>
      </c>
      <c r="D16" s="9" t="s">
        <v>51</v>
      </c>
      <c r="E16" s="9" t="s">
        <v>143</v>
      </c>
      <c r="F16" s="9" t="s">
        <v>29</v>
      </c>
      <c r="G16" s="9" t="s">
        <v>30</v>
      </c>
      <c r="H16" s="9" t="s">
        <v>144</v>
      </c>
      <c r="I16" s="9" t="s">
        <v>145</v>
      </c>
      <c r="J16" s="9" t="s">
        <v>96</v>
      </c>
      <c r="K16" s="9" t="s">
        <v>146</v>
      </c>
      <c r="L16" s="9" t="s">
        <v>88</v>
      </c>
      <c r="M16" s="9" t="s">
        <v>89</v>
      </c>
      <c r="N16" s="9" t="n">
        <v>284.82</v>
      </c>
      <c r="O16" s="9" t="n">
        <v>1</v>
      </c>
      <c r="P16" s="9" t="n">
        <v>0</v>
      </c>
      <c r="Q16" s="9" t="n">
        <v>-8.37</v>
      </c>
    </row>
    <row r="17" customFormat="false" ht="15" hidden="false" customHeight="false" outlineLevel="0" collapsed="false">
      <c r="A17" s="9" t="s">
        <v>147</v>
      </c>
      <c r="B17" s="9" t="s">
        <v>148</v>
      </c>
      <c r="C17" s="9" t="s">
        <v>149</v>
      </c>
      <c r="D17" s="9" t="s">
        <v>40</v>
      </c>
      <c r="E17" s="9" t="s">
        <v>150</v>
      </c>
      <c r="F17" s="9" t="s">
        <v>83</v>
      </c>
      <c r="G17" s="9" t="s">
        <v>30</v>
      </c>
      <c r="H17" s="9" t="s">
        <v>151</v>
      </c>
      <c r="I17" s="9" t="s">
        <v>145</v>
      </c>
      <c r="J17" s="9" t="s">
        <v>96</v>
      </c>
      <c r="K17" s="9" t="s">
        <v>152</v>
      </c>
      <c r="L17" s="9" t="s">
        <v>88</v>
      </c>
      <c r="M17" s="9" t="s">
        <v>153</v>
      </c>
      <c r="N17" s="9" t="n">
        <v>227.3</v>
      </c>
      <c r="O17" s="9" t="n">
        <v>5</v>
      </c>
      <c r="P17" s="9" t="n">
        <v>0.15</v>
      </c>
      <c r="Q17" s="9" t="n">
        <v>39.09</v>
      </c>
    </row>
    <row r="18" customFormat="false" ht="15" hidden="false" customHeight="false" outlineLevel="0" collapsed="false">
      <c r="A18" s="9" t="s">
        <v>154</v>
      </c>
      <c r="B18" s="9" t="s">
        <v>155</v>
      </c>
      <c r="C18" s="9" t="s">
        <v>156</v>
      </c>
      <c r="D18" s="9" t="s">
        <v>40</v>
      </c>
      <c r="E18" s="9" t="s">
        <v>157</v>
      </c>
      <c r="F18" s="9" t="s">
        <v>83</v>
      </c>
      <c r="G18" s="9" t="s">
        <v>30</v>
      </c>
      <c r="H18" s="9" t="s">
        <v>131</v>
      </c>
      <c r="I18" s="9" t="s">
        <v>132</v>
      </c>
      <c r="J18" s="9" t="s">
        <v>86</v>
      </c>
      <c r="K18" s="9" t="s">
        <v>158</v>
      </c>
      <c r="L18" s="9" t="s">
        <v>46</v>
      </c>
      <c r="M18" s="9" t="s">
        <v>64</v>
      </c>
      <c r="N18" s="9" t="n">
        <v>3203.72</v>
      </c>
      <c r="O18" s="9" t="n">
        <v>4</v>
      </c>
      <c r="P18" s="9" t="n">
        <v>0.15</v>
      </c>
      <c r="Q18" s="9" t="n">
        <v>-388.3</v>
      </c>
    </row>
    <row r="19" customFormat="false" ht="15" hidden="false" customHeight="false" outlineLevel="0" collapsed="false">
      <c r="A19" s="9" t="s">
        <v>159</v>
      </c>
      <c r="B19" s="9" t="s">
        <v>160</v>
      </c>
      <c r="C19" s="9" t="s">
        <v>161</v>
      </c>
      <c r="D19" s="9" t="s">
        <v>27</v>
      </c>
      <c r="E19" s="9" t="s">
        <v>162</v>
      </c>
      <c r="F19" s="9" t="s">
        <v>29</v>
      </c>
      <c r="G19" s="9" t="s">
        <v>30</v>
      </c>
      <c r="H19" s="9" t="s">
        <v>163</v>
      </c>
      <c r="I19" s="9" t="s">
        <v>164</v>
      </c>
      <c r="J19" s="9" t="s">
        <v>96</v>
      </c>
      <c r="K19" s="9" t="s">
        <v>165</v>
      </c>
      <c r="L19" s="9" t="s">
        <v>88</v>
      </c>
      <c r="M19" s="9" t="s">
        <v>153</v>
      </c>
      <c r="N19" s="9" t="n">
        <v>245.28</v>
      </c>
      <c r="O19" s="9" t="n">
        <v>6</v>
      </c>
      <c r="P19" s="9" t="n">
        <v>0</v>
      </c>
      <c r="Q19" s="9" t="n">
        <v>25.72</v>
      </c>
    </row>
    <row r="20" customFormat="false" ht="15" hidden="false" customHeight="false" outlineLevel="0" collapsed="false">
      <c r="A20" s="9" t="s">
        <v>166</v>
      </c>
      <c r="B20" s="9" t="s">
        <v>167</v>
      </c>
      <c r="C20" s="9" t="s">
        <v>168</v>
      </c>
      <c r="D20" s="9" t="s">
        <v>40</v>
      </c>
      <c r="E20" s="9" t="s">
        <v>169</v>
      </c>
      <c r="F20" s="9" t="s">
        <v>83</v>
      </c>
      <c r="G20" s="9" t="s">
        <v>30</v>
      </c>
      <c r="H20" s="9" t="s">
        <v>170</v>
      </c>
      <c r="I20" s="9" t="s">
        <v>171</v>
      </c>
      <c r="J20" s="9" t="s">
        <v>86</v>
      </c>
      <c r="K20" s="9" t="s">
        <v>172</v>
      </c>
      <c r="L20" s="9" t="s">
        <v>35</v>
      </c>
      <c r="M20" s="9" t="s">
        <v>173</v>
      </c>
      <c r="N20" s="9" t="n">
        <v>1100.16</v>
      </c>
      <c r="O20" s="9" t="n">
        <v>8</v>
      </c>
      <c r="P20" s="9" t="n">
        <v>0</v>
      </c>
      <c r="Q20" s="9" t="n">
        <v>101.63</v>
      </c>
    </row>
    <row r="21" customFormat="false" ht="15" hidden="false" customHeight="false" outlineLevel="0" collapsed="false">
      <c r="A21" s="9" t="s">
        <v>174</v>
      </c>
      <c r="B21" s="9" t="s">
        <v>175</v>
      </c>
      <c r="C21" s="9" t="s">
        <v>25</v>
      </c>
      <c r="D21" s="9" t="s">
        <v>40</v>
      </c>
      <c r="E21" s="9" t="s">
        <v>176</v>
      </c>
      <c r="F21" s="9" t="s">
        <v>60</v>
      </c>
      <c r="G21" s="9" t="s">
        <v>30</v>
      </c>
      <c r="H21" s="9" t="s">
        <v>177</v>
      </c>
      <c r="I21" s="9" t="s">
        <v>62</v>
      </c>
      <c r="J21" s="9" t="s">
        <v>44</v>
      </c>
      <c r="K21" s="9" t="s">
        <v>178</v>
      </c>
      <c r="L21" s="9" t="s">
        <v>35</v>
      </c>
      <c r="M21" s="9" t="s">
        <v>179</v>
      </c>
      <c r="N21" s="9" t="n">
        <v>28.16</v>
      </c>
      <c r="O21" s="9" t="n">
        <v>8</v>
      </c>
      <c r="P21" s="9" t="n">
        <v>0</v>
      </c>
      <c r="Q21" s="9" t="n">
        <v>4.43</v>
      </c>
    </row>
    <row r="22" customFormat="false" ht="15" hidden="false" customHeight="false" outlineLevel="0" collapsed="false">
      <c r="A22" s="9" t="s">
        <v>180</v>
      </c>
      <c r="B22" s="9" t="s">
        <v>181</v>
      </c>
      <c r="C22" s="9" t="s">
        <v>182</v>
      </c>
      <c r="D22" s="9" t="s">
        <v>40</v>
      </c>
      <c r="E22" s="9" t="s">
        <v>183</v>
      </c>
      <c r="F22" s="9" t="s">
        <v>83</v>
      </c>
      <c r="G22" s="9" t="s">
        <v>30</v>
      </c>
      <c r="H22" s="9" t="s">
        <v>75</v>
      </c>
      <c r="I22" s="9" t="s">
        <v>76</v>
      </c>
      <c r="J22" s="9" t="s">
        <v>33</v>
      </c>
      <c r="K22" s="9" t="s">
        <v>184</v>
      </c>
      <c r="L22" s="9" t="s">
        <v>35</v>
      </c>
      <c r="M22" s="9" t="s">
        <v>185</v>
      </c>
      <c r="N22" s="9" t="n">
        <v>1380.75</v>
      </c>
      <c r="O22" s="9" t="n">
        <v>7</v>
      </c>
      <c r="P22" s="9" t="n">
        <v>0.1</v>
      </c>
      <c r="Q22" s="9" t="n">
        <v>126.01</v>
      </c>
    </row>
    <row r="23" customFormat="false" ht="15" hidden="false" customHeight="false" outlineLevel="0" collapsed="false">
      <c r="A23" s="9" t="s">
        <v>186</v>
      </c>
      <c r="B23" s="9" t="s">
        <v>187</v>
      </c>
      <c r="C23" s="9" t="s">
        <v>188</v>
      </c>
      <c r="D23" s="9" t="s">
        <v>27</v>
      </c>
      <c r="E23" s="9" t="s">
        <v>189</v>
      </c>
      <c r="F23" s="9" t="s">
        <v>83</v>
      </c>
      <c r="G23" s="9" t="s">
        <v>30</v>
      </c>
      <c r="H23" s="9" t="s">
        <v>177</v>
      </c>
      <c r="I23" s="9" t="s">
        <v>62</v>
      </c>
      <c r="J23" s="9" t="s">
        <v>44</v>
      </c>
      <c r="K23" s="9" t="s">
        <v>190</v>
      </c>
      <c r="L23" s="9" t="s">
        <v>46</v>
      </c>
      <c r="M23" s="9" t="s">
        <v>191</v>
      </c>
      <c r="N23" s="9" t="n">
        <v>527.83</v>
      </c>
      <c r="O23" s="9" t="n">
        <v>1</v>
      </c>
      <c r="P23" s="9" t="n">
        <v>0.1</v>
      </c>
      <c r="Q23" s="9" t="n">
        <v>76.93</v>
      </c>
    </row>
    <row r="24" customFormat="false" ht="15" hidden="false" customHeight="false" outlineLevel="0" collapsed="false">
      <c r="A24" s="9" t="s">
        <v>192</v>
      </c>
      <c r="B24" s="9" t="s">
        <v>193</v>
      </c>
      <c r="C24" s="9" t="s">
        <v>194</v>
      </c>
      <c r="D24" s="9" t="s">
        <v>40</v>
      </c>
      <c r="E24" s="9" t="s">
        <v>195</v>
      </c>
      <c r="F24" s="9" t="s">
        <v>83</v>
      </c>
      <c r="G24" s="9" t="s">
        <v>30</v>
      </c>
      <c r="H24" s="9" t="s">
        <v>104</v>
      </c>
      <c r="I24" s="9" t="s">
        <v>105</v>
      </c>
      <c r="J24" s="9" t="s">
        <v>44</v>
      </c>
      <c r="K24" s="9" t="s">
        <v>196</v>
      </c>
      <c r="L24" s="9" t="s">
        <v>88</v>
      </c>
      <c r="M24" s="9" t="s">
        <v>197</v>
      </c>
      <c r="N24" s="9" t="n">
        <v>355.2</v>
      </c>
      <c r="O24" s="9" t="n">
        <v>3</v>
      </c>
      <c r="P24" s="9" t="n">
        <v>0.15</v>
      </c>
      <c r="Q24" s="9" t="n">
        <v>-82.35</v>
      </c>
    </row>
    <row r="25" customFormat="false" ht="15" hidden="false" customHeight="false" outlineLevel="0" collapsed="false">
      <c r="A25" s="9" t="s">
        <v>198</v>
      </c>
      <c r="B25" s="9" t="s">
        <v>199</v>
      </c>
      <c r="C25" s="9" t="s">
        <v>149</v>
      </c>
      <c r="D25" s="9" t="s">
        <v>27</v>
      </c>
      <c r="E25" s="9" t="s">
        <v>200</v>
      </c>
      <c r="F25" s="9" t="s">
        <v>29</v>
      </c>
      <c r="G25" s="9" t="s">
        <v>30</v>
      </c>
      <c r="H25" s="9" t="s">
        <v>131</v>
      </c>
      <c r="I25" s="9" t="s">
        <v>132</v>
      </c>
      <c r="J25" s="9" t="s">
        <v>86</v>
      </c>
      <c r="K25" s="9" t="s">
        <v>201</v>
      </c>
      <c r="L25" s="9" t="s">
        <v>35</v>
      </c>
      <c r="M25" s="9" t="s">
        <v>179</v>
      </c>
      <c r="N25" s="9" t="n">
        <v>18.08</v>
      </c>
      <c r="O25" s="9" t="n">
        <v>1</v>
      </c>
      <c r="P25" s="9" t="n">
        <v>0</v>
      </c>
      <c r="Q25" s="9" t="n">
        <v>5.53</v>
      </c>
    </row>
    <row r="26" customFormat="false" ht="15" hidden="false" customHeight="false" outlineLevel="0" collapsed="false">
      <c r="A26" s="9" t="s">
        <v>202</v>
      </c>
      <c r="B26" s="9" t="s">
        <v>203</v>
      </c>
      <c r="C26" s="9" t="s">
        <v>204</v>
      </c>
      <c r="D26" s="9" t="s">
        <v>40</v>
      </c>
      <c r="E26" s="9" t="s">
        <v>205</v>
      </c>
      <c r="F26" s="9" t="s">
        <v>83</v>
      </c>
      <c r="G26" s="9" t="s">
        <v>30</v>
      </c>
      <c r="H26" s="9" t="s">
        <v>206</v>
      </c>
      <c r="I26" s="9" t="s">
        <v>164</v>
      </c>
      <c r="J26" s="9" t="s">
        <v>96</v>
      </c>
      <c r="K26" s="9" t="s">
        <v>207</v>
      </c>
      <c r="L26" s="9" t="s">
        <v>88</v>
      </c>
      <c r="M26" s="9" t="s">
        <v>89</v>
      </c>
      <c r="N26" s="9" t="n">
        <v>663.88</v>
      </c>
      <c r="O26" s="9" t="n">
        <v>4</v>
      </c>
      <c r="P26" s="9" t="n">
        <v>0.4</v>
      </c>
      <c r="Q26" s="9" t="n">
        <v>-104.13</v>
      </c>
    </row>
    <row r="27" customFormat="false" ht="15" hidden="false" customHeight="false" outlineLevel="0" collapsed="false">
      <c r="A27" s="9" t="s">
        <v>208</v>
      </c>
      <c r="B27" s="9" t="s">
        <v>209</v>
      </c>
      <c r="C27" s="9" t="s">
        <v>210</v>
      </c>
      <c r="D27" s="9" t="s">
        <v>40</v>
      </c>
      <c r="E27" s="9" t="s">
        <v>211</v>
      </c>
      <c r="F27" s="9" t="s">
        <v>60</v>
      </c>
      <c r="G27" s="9" t="s">
        <v>30</v>
      </c>
      <c r="H27" s="9" t="s">
        <v>212</v>
      </c>
      <c r="I27" s="9" t="s">
        <v>213</v>
      </c>
      <c r="J27" s="9" t="s">
        <v>96</v>
      </c>
      <c r="K27" s="9" t="s">
        <v>214</v>
      </c>
      <c r="L27" s="9" t="s">
        <v>35</v>
      </c>
      <c r="M27" s="9" t="s">
        <v>114</v>
      </c>
      <c r="N27" s="9" t="n">
        <v>162.96</v>
      </c>
      <c r="O27" s="9" t="n">
        <v>8</v>
      </c>
      <c r="P27" s="9" t="n">
        <v>0</v>
      </c>
      <c r="Q27" s="9" t="n">
        <v>36.73</v>
      </c>
    </row>
    <row r="28" customFormat="false" ht="15" hidden="false" customHeight="false" outlineLevel="0" collapsed="false">
      <c r="A28" s="9" t="s">
        <v>215</v>
      </c>
      <c r="B28" s="9" t="s">
        <v>216</v>
      </c>
      <c r="C28" s="9" t="s">
        <v>217</v>
      </c>
      <c r="D28" s="9" t="s">
        <v>102</v>
      </c>
      <c r="E28" s="9" t="s">
        <v>218</v>
      </c>
      <c r="F28" s="9" t="s">
        <v>29</v>
      </c>
      <c r="G28" s="9" t="s">
        <v>30</v>
      </c>
      <c r="H28" s="9" t="s">
        <v>138</v>
      </c>
      <c r="I28" s="9" t="s">
        <v>85</v>
      </c>
      <c r="J28" s="9" t="s">
        <v>86</v>
      </c>
      <c r="K28" s="9" t="s">
        <v>219</v>
      </c>
      <c r="L28" s="9" t="s">
        <v>35</v>
      </c>
      <c r="M28" s="9" t="s">
        <v>185</v>
      </c>
      <c r="N28" s="9" t="n">
        <v>1172.65</v>
      </c>
      <c r="O28" s="9" t="n">
        <v>5</v>
      </c>
      <c r="P28" s="9" t="n">
        <v>0.1</v>
      </c>
      <c r="Q28" s="9" t="n">
        <v>149.37</v>
      </c>
    </row>
    <row r="29" customFormat="false" ht="15" hidden="false" customHeight="false" outlineLevel="0" collapsed="false">
      <c r="A29" s="9" t="s">
        <v>220</v>
      </c>
      <c r="B29" s="9" t="s">
        <v>221</v>
      </c>
      <c r="C29" s="9" t="s">
        <v>222</v>
      </c>
      <c r="D29" s="9" t="s">
        <v>40</v>
      </c>
      <c r="E29" s="9" t="s">
        <v>223</v>
      </c>
      <c r="F29" s="9" t="s">
        <v>60</v>
      </c>
      <c r="G29" s="9" t="s">
        <v>30</v>
      </c>
      <c r="H29" s="9" t="s">
        <v>224</v>
      </c>
      <c r="I29" s="9" t="s">
        <v>125</v>
      </c>
      <c r="J29" s="9" t="s">
        <v>33</v>
      </c>
      <c r="K29" s="9" t="s">
        <v>225</v>
      </c>
      <c r="L29" s="9" t="s">
        <v>88</v>
      </c>
      <c r="M29" s="9" t="s">
        <v>89</v>
      </c>
      <c r="N29" s="9" t="n">
        <v>453.65</v>
      </c>
      <c r="O29" s="9" t="n">
        <v>5</v>
      </c>
      <c r="P29" s="9" t="n">
        <v>0</v>
      </c>
      <c r="Q29" s="9" t="n">
        <v>-12.35</v>
      </c>
    </row>
    <row r="30" customFormat="false" ht="15" hidden="false" customHeight="false" outlineLevel="0" collapsed="false">
      <c r="A30" s="9" t="s">
        <v>226</v>
      </c>
      <c r="B30" s="9" t="s">
        <v>227</v>
      </c>
      <c r="C30" s="9" t="s">
        <v>49</v>
      </c>
      <c r="D30" s="9" t="s">
        <v>27</v>
      </c>
      <c r="E30" s="9" t="s">
        <v>228</v>
      </c>
      <c r="F30" s="9" t="s">
        <v>83</v>
      </c>
      <c r="G30" s="9" t="s">
        <v>30</v>
      </c>
      <c r="H30" s="9" t="s">
        <v>206</v>
      </c>
      <c r="I30" s="9" t="s">
        <v>164</v>
      </c>
      <c r="J30" s="9" t="s">
        <v>96</v>
      </c>
      <c r="K30" s="9" t="s">
        <v>229</v>
      </c>
      <c r="L30" s="9" t="s">
        <v>35</v>
      </c>
      <c r="M30" s="9" t="s">
        <v>185</v>
      </c>
      <c r="N30" s="9" t="n">
        <v>2159.01</v>
      </c>
      <c r="O30" s="9" t="n">
        <v>9</v>
      </c>
      <c r="P30" s="9" t="n">
        <v>0.15</v>
      </c>
      <c r="Q30" s="9" t="n">
        <v>136.12</v>
      </c>
    </row>
    <row r="31" customFormat="false" ht="15" hidden="false" customHeight="false" outlineLevel="0" collapsed="false">
      <c r="A31" s="9" t="s">
        <v>230</v>
      </c>
      <c r="B31" s="9" t="s">
        <v>231</v>
      </c>
      <c r="C31" s="9" t="s">
        <v>232</v>
      </c>
      <c r="D31" s="9" t="s">
        <v>40</v>
      </c>
      <c r="E31" s="9" t="s">
        <v>233</v>
      </c>
      <c r="F31" s="9" t="s">
        <v>83</v>
      </c>
      <c r="G31" s="9" t="s">
        <v>30</v>
      </c>
      <c r="H31" s="9" t="s">
        <v>131</v>
      </c>
      <c r="I31" s="9" t="s">
        <v>132</v>
      </c>
      <c r="J31" s="9" t="s">
        <v>86</v>
      </c>
      <c r="K31" s="9" t="s">
        <v>234</v>
      </c>
      <c r="L31" s="9" t="s">
        <v>35</v>
      </c>
      <c r="M31" s="9" t="s">
        <v>114</v>
      </c>
      <c r="N31" s="9" t="n">
        <v>19.29</v>
      </c>
      <c r="O31" s="9" t="n">
        <v>3</v>
      </c>
      <c r="P31" s="9" t="n">
        <v>0</v>
      </c>
      <c r="Q31" s="9" t="n">
        <v>5.17</v>
      </c>
    </row>
    <row r="32" customFormat="false" ht="15" hidden="false" customHeight="false" outlineLevel="0" collapsed="false">
      <c r="A32" s="9" t="s">
        <v>235</v>
      </c>
      <c r="B32" s="9" t="s">
        <v>236</v>
      </c>
      <c r="C32" s="9" t="s">
        <v>237</v>
      </c>
      <c r="D32" s="9" t="s">
        <v>51</v>
      </c>
      <c r="E32" s="9" t="s">
        <v>238</v>
      </c>
      <c r="F32" s="9" t="s">
        <v>29</v>
      </c>
      <c r="G32" s="9" t="s">
        <v>30</v>
      </c>
      <c r="H32" s="9" t="s">
        <v>239</v>
      </c>
      <c r="I32" s="9" t="s">
        <v>213</v>
      </c>
      <c r="J32" s="9" t="s">
        <v>96</v>
      </c>
      <c r="K32" s="9" t="s">
        <v>240</v>
      </c>
      <c r="L32" s="9" t="s">
        <v>88</v>
      </c>
      <c r="M32" s="9" t="s">
        <v>89</v>
      </c>
      <c r="N32" s="9" t="n">
        <v>568.68</v>
      </c>
      <c r="O32" s="9" t="n">
        <v>7</v>
      </c>
      <c r="P32" s="9" t="n">
        <v>0.1</v>
      </c>
      <c r="Q32" s="9" t="n">
        <v>-45.84</v>
      </c>
    </row>
    <row r="33" customFormat="false" ht="15" hidden="false" customHeight="false" outlineLevel="0" collapsed="false">
      <c r="A33" s="9" t="s">
        <v>241</v>
      </c>
      <c r="B33" s="9" t="s">
        <v>242</v>
      </c>
      <c r="C33" s="9" t="s">
        <v>243</v>
      </c>
      <c r="D33" s="9" t="s">
        <v>40</v>
      </c>
      <c r="E33" s="9" t="s">
        <v>244</v>
      </c>
      <c r="F33" s="9" t="s">
        <v>29</v>
      </c>
      <c r="G33" s="9" t="s">
        <v>30</v>
      </c>
      <c r="H33" s="9" t="s">
        <v>94</v>
      </c>
      <c r="I33" s="9" t="s">
        <v>95</v>
      </c>
      <c r="J33" s="9" t="s">
        <v>96</v>
      </c>
      <c r="K33" s="9" t="s">
        <v>245</v>
      </c>
      <c r="L33" s="9" t="s">
        <v>35</v>
      </c>
      <c r="M33" s="9" t="s">
        <v>36</v>
      </c>
      <c r="N33" s="9" t="n">
        <v>13.08</v>
      </c>
      <c r="O33" s="9" t="n">
        <v>2</v>
      </c>
      <c r="P33" s="9" t="n">
        <v>0</v>
      </c>
      <c r="Q33" s="9" t="n">
        <v>3.42</v>
      </c>
    </row>
    <row r="34" customFormat="false" ht="15" hidden="false" customHeight="false" outlineLevel="0" collapsed="false">
      <c r="A34" s="9" t="s">
        <v>246</v>
      </c>
      <c r="B34" s="9" t="s">
        <v>247</v>
      </c>
      <c r="C34" s="9" t="s">
        <v>248</v>
      </c>
      <c r="D34" s="9" t="s">
        <v>27</v>
      </c>
      <c r="E34" s="9" t="s">
        <v>249</v>
      </c>
      <c r="F34" s="9" t="s">
        <v>29</v>
      </c>
      <c r="G34" s="9" t="s">
        <v>30</v>
      </c>
      <c r="H34" s="9" t="s">
        <v>250</v>
      </c>
      <c r="I34" s="9" t="s">
        <v>251</v>
      </c>
      <c r="J34" s="9" t="s">
        <v>33</v>
      </c>
      <c r="K34" s="9" t="s">
        <v>252</v>
      </c>
      <c r="L34" s="9" t="s">
        <v>88</v>
      </c>
      <c r="M34" s="9" t="s">
        <v>197</v>
      </c>
      <c r="N34" s="9" t="n">
        <v>1354.44</v>
      </c>
      <c r="O34" s="9" t="n">
        <v>6</v>
      </c>
      <c r="P34" s="9" t="n">
        <v>0.6</v>
      </c>
      <c r="Q34" s="9" t="n">
        <v>-553</v>
      </c>
    </row>
    <row r="35" customFormat="false" ht="15" hidden="false" customHeight="false" outlineLevel="0" collapsed="false">
      <c r="A35" s="9" t="s">
        <v>253</v>
      </c>
      <c r="B35" s="9" t="s">
        <v>121</v>
      </c>
      <c r="C35" s="9" t="s">
        <v>254</v>
      </c>
      <c r="D35" s="9" t="s">
        <v>102</v>
      </c>
      <c r="E35" s="9" t="s">
        <v>255</v>
      </c>
      <c r="F35" s="9" t="s">
        <v>60</v>
      </c>
      <c r="G35" s="9" t="s">
        <v>30</v>
      </c>
      <c r="H35" s="9" t="s">
        <v>256</v>
      </c>
      <c r="I35" s="9" t="s">
        <v>32</v>
      </c>
      <c r="J35" s="9" t="s">
        <v>33</v>
      </c>
      <c r="K35" s="9" t="s">
        <v>257</v>
      </c>
      <c r="L35" s="9" t="s">
        <v>46</v>
      </c>
      <c r="M35" s="9" t="s">
        <v>47</v>
      </c>
      <c r="N35" s="9" t="n">
        <v>1472.52</v>
      </c>
      <c r="O35" s="9" t="n">
        <v>4</v>
      </c>
      <c r="P35" s="9" t="n">
        <v>0</v>
      </c>
      <c r="Q35" s="9" t="n">
        <v>256.41</v>
      </c>
    </row>
    <row r="36" customFormat="false" ht="15" hidden="false" customHeight="false" outlineLevel="0" collapsed="false">
      <c r="A36" s="9" t="s">
        <v>258</v>
      </c>
      <c r="B36" s="9" t="s">
        <v>26</v>
      </c>
      <c r="C36" s="9" t="s">
        <v>259</v>
      </c>
      <c r="D36" s="9" t="s">
        <v>27</v>
      </c>
      <c r="E36" s="9" t="s">
        <v>260</v>
      </c>
      <c r="F36" s="9" t="s">
        <v>29</v>
      </c>
      <c r="G36" s="9" t="s">
        <v>30</v>
      </c>
      <c r="H36" s="9" t="s">
        <v>31</v>
      </c>
      <c r="I36" s="9" t="s">
        <v>32</v>
      </c>
      <c r="J36" s="9" t="s">
        <v>33</v>
      </c>
      <c r="K36" s="9" t="s">
        <v>261</v>
      </c>
      <c r="L36" s="9" t="s">
        <v>46</v>
      </c>
      <c r="M36" s="9" t="s">
        <v>64</v>
      </c>
      <c r="N36" s="9" t="n">
        <v>6234.62</v>
      </c>
      <c r="O36" s="9" t="n">
        <v>7</v>
      </c>
      <c r="P36" s="9" t="n">
        <v>0.1</v>
      </c>
      <c r="Q36" s="9" t="n">
        <v>-526.73</v>
      </c>
    </row>
    <row r="37" customFormat="false" ht="15" hidden="false" customHeight="false" outlineLevel="0" collapsed="false">
      <c r="A37" s="9" t="s">
        <v>262</v>
      </c>
      <c r="B37" s="9" t="s">
        <v>263</v>
      </c>
      <c r="C37" s="9" t="s">
        <v>264</v>
      </c>
      <c r="D37" s="9" t="s">
        <v>102</v>
      </c>
      <c r="E37" s="9" t="s">
        <v>265</v>
      </c>
      <c r="F37" s="9" t="s">
        <v>83</v>
      </c>
      <c r="G37" s="9" t="s">
        <v>30</v>
      </c>
      <c r="H37" s="9" t="s">
        <v>266</v>
      </c>
      <c r="I37" s="9" t="s">
        <v>267</v>
      </c>
      <c r="J37" s="9" t="s">
        <v>44</v>
      </c>
      <c r="K37" s="9" t="s">
        <v>268</v>
      </c>
      <c r="L37" s="9" t="s">
        <v>35</v>
      </c>
      <c r="M37" s="9" t="s">
        <v>78</v>
      </c>
      <c r="N37" s="9" t="n">
        <v>64.17</v>
      </c>
      <c r="O37" s="9" t="n">
        <v>3</v>
      </c>
      <c r="P37" s="9" t="n">
        <v>0</v>
      </c>
      <c r="Q37" s="9" t="n">
        <v>21.77</v>
      </c>
    </row>
    <row r="38" customFormat="false" ht="15" hidden="false" customHeight="false" outlineLevel="0" collapsed="false">
      <c r="A38" s="9" t="s">
        <v>269</v>
      </c>
      <c r="B38" s="9" t="s">
        <v>270</v>
      </c>
      <c r="C38" s="9" t="s">
        <v>271</v>
      </c>
      <c r="D38" s="9" t="s">
        <v>40</v>
      </c>
      <c r="E38" s="9" t="s">
        <v>272</v>
      </c>
      <c r="F38" s="9" t="s">
        <v>60</v>
      </c>
      <c r="G38" s="9" t="s">
        <v>30</v>
      </c>
      <c r="H38" s="9" t="s">
        <v>104</v>
      </c>
      <c r="I38" s="9" t="s">
        <v>105</v>
      </c>
      <c r="J38" s="9" t="s">
        <v>44</v>
      </c>
      <c r="K38" s="9" t="s">
        <v>273</v>
      </c>
      <c r="L38" s="9" t="s">
        <v>46</v>
      </c>
      <c r="M38" s="9" t="s">
        <v>64</v>
      </c>
      <c r="N38" s="9" t="n">
        <v>9469.71</v>
      </c>
      <c r="O38" s="9" t="n">
        <v>9</v>
      </c>
      <c r="P38" s="9" t="n">
        <v>0</v>
      </c>
      <c r="Q38" s="9" t="n">
        <v>-14.26</v>
      </c>
    </row>
    <row r="39" customFormat="false" ht="15" hidden="false" customHeight="false" outlineLevel="0" collapsed="false">
      <c r="A39" s="9" t="s">
        <v>274</v>
      </c>
      <c r="B39" s="9" t="s">
        <v>275</v>
      </c>
      <c r="C39" s="9" t="s">
        <v>276</v>
      </c>
      <c r="D39" s="9" t="s">
        <v>27</v>
      </c>
      <c r="E39" s="9" t="s">
        <v>277</v>
      </c>
      <c r="F39" s="9" t="s">
        <v>29</v>
      </c>
      <c r="G39" s="9" t="s">
        <v>30</v>
      </c>
      <c r="H39" s="9" t="s">
        <v>278</v>
      </c>
      <c r="I39" s="9" t="s">
        <v>112</v>
      </c>
      <c r="J39" s="9" t="s">
        <v>86</v>
      </c>
      <c r="K39" s="9" t="s">
        <v>279</v>
      </c>
      <c r="L39" s="9" t="s">
        <v>35</v>
      </c>
      <c r="M39" s="9" t="s">
        <v>55</v>
      </c>
      <c r="N39" s="9" t="n">
        <v>353.85</v>
      </c>
      <c r="O39" s="9" t="n">
        <v>7</v>
      </c>
      <c r="P39" s="9" t="n">
        <v>0.15</v>
      </c>
      <c r="Q39" s="9" t="n">
        <v>-40.4</v>
      </c>
    </row>
    <row r="40" customFormat="false" ht="15" hidden="false" customHeight="false" outlineLevel="0" collapsed="false">
      <c r="A40" s="9" t="s">
        <v>280</v>
      </c>
      <c r="B40" s="9" t="s">
        <v>281</v>
      </c>
      <c r="C40" s="9" t="s">
        <v>282</v>
      </c>
      <c r="D40" s="9" t="s">
        <v>27</v>
      </c>
      <c r="E40" s="9" t="s">
        <v>283</v>
      </c>
      <c r="F40" s="9" t="s">
        <v>29</v>
      </c>
      <c r="G40" s="9" t="s">
        <v>30</v>
      </c>
      <c r="H40" s="9" t="s">
        <v>31</v>
      </c>
      <c r="I40" s="9" t="s">
        <v>32</v>
      </c>
      <c r="J40" s="9" t="s">
        <v>33</v>
      </c>
      <c r="K40" s="9" t="s">
        <v>284</v>
      </c>
      <c r="L40" s="9" t="s">
        <v>35</v>
      </c>
      <c r="M40" s="9" t="s">
        <v>55</v>
      </c>
      <c r="N40" s="9" t="n">
        <v>469.07</v>
      </c>
      <c r="O40" s="9" t="n">
        <v>7</v>
      </c>
      <c r="P40" s="9" t="n">
        <v>0.15</v>
      </c>
      <c r="Q40" s="9" t="n">
        <v>16.09</v>
      </c>
    </row>
    <row r="41" customFormat="false" ht="15" hidden="false" customHeight="false" outlineLevel="0" collapsed="false">
      <c r="A41" s="9" t="s">
        <v>285</v>
      </c>
      <c r="B41" s="9" t="s">
        <v>286</v>
      </c>
      <c r="C41" s="9" t="s">
        <v>287</v>
      </c>
      <c r="D41" s="9" t="s">
        <v>51</v>
      </c>
      <c r="E41" s="9" t="s">
        <v>288</v>
      </c>
      <c r="F41" s="9" t="s">
        <v>29</v>
      </c>
      <c r="G41" s="9" t="s">
        <v>30</v>
      </c>
      <c r="H41" s="9" t="s">
        <v>278</v>
      </c>
      <c r="I41" s="9" t="s">
        <v>112</v>
      </c>
      <c r="J41" s="9" t="s">
        <v>86</v>
      </c>
      <c r="K41" s="9" t="s">
        <v>289</v>
      </c>
      <c r="L41" s="9" t="s">
        <v>35</v>
      </c>
      <c r="M41" s="9" t="s">
        <v>78</v>
      </c>
      <c r="N41" s="9" t="n">
        <v>185.04</v>
      </c>
      <c r="O41" s="9" t="n">
        <v>9</v>
      </c>
      <c r="P41" s="9" t="n">
        <v>0.1</v>
      </c>
      <c r="Q41" s="9" t="n">
        <v>49.96</v>
      </c>
    </row>
    <row r="42" customFormat="false" ht="15" hidden="false" customHeight="false" outlineLevel="0" collapsed="false">
      <c r="A42" s="9" t="s">
        <v>290</v>
      </c>
      <c r="B42" s="9" t="s">
        <v>291</v>
      </c>
      <c r="C42" s="9" t="s">
        <v>292</v>
      </c>
      <c r="D42" s="9" t="s">
        <v>40</v>
      </c>
      <c r="E42" s="9" t="s">
        <v>293</v>
      </c>
      <c r="F42" s="9" t="s">
        <v>83</v>
      </c>
      <c r="G42" s="9" t="s">
        <v>30</v>
      </c>
      <c r="H42" s="9" t="s">
        <v>206</v>
      </c>
      <c r="I42" s="9" t="s">
        <v>164</v>
      </c>
      <c r="J42" s="9" t="s">
        <v>96</v>
      </c>
      <c r="K42" s="9" t="s">
        <v>294</v>
      </c>
      <c r="L42" s="9" t="s">
        <v>35</v>
      </c>
      <c r="M42" s="9" t="s">
        <v>36</v>
      </c>
      <c r="N42" s="9" t="n">
        <v>182.94</v>
      </c>
      <c r="O42" s="9" t="n">
        <v>6</v>
      </c>
      <c r="P42" s="9" t="n">
        <v>0</v>
      </c>
      <c r="Q42" s="9" t="n">
        <v>46.54</v>
      </c>
    </row>
    <row r="43" customFormat="false" ht="15" hidden="false" customHeight="false" outlineLevel="0" collapsed="false">
      <c r="A43" s="9" t="s">
        <v>295</v>
      </c>
      <c r="B43" s="9" t="s">
        <v>296</v>
      </c>
      <c r="C43" s="9" t="s">
        <v>248</v>
      </c>
      <c r="D43" s="9" t="s">
        <v>40</v>
      </c>
      <c r="E43" s="9" t="s">
        <v>297</v>
      </c>
      <c r="F43" s="9" t="s">
        <v>29</v>
      </c>
      <c r="G43" s="9" t="s">
        <v>30</v>
      </c>
      <c r="H43" s="9" t="s">
        <v>212</v>
      </c>
      <c r="I43" s="9" t="s">
        <v>213</v>
      </c>
      <c r="J43" s="9" t="s">
        <v>96</v>
      </c>
      <c r="K43" s="9" t="s">
        <v>298</v>
      </c>
      <c r="L43" s="9" t="s">
        <v>35</v>
      </c>
      <c r="M43" s="9" t="s">
        <v>173</v>
      </c>
      <c r="N43" s="9" t="n">
        <v>232.84</v>
      </c>
      <c r="O43" s="9" t="n">
        <v>4</v>
      </c>
      <c r="P43" s="9" t="n">
        <v>0</v>
      </c>
      <c r="Q43" s="9" t="n">
        <v>47.09</v>
      </c>
    </row>
    <row r="44" customFormat="false" ht="15" hidden="false" customHeight="false" outlineLevel="0" collapsed="false">
      <c r="A44" s="9" t="s">
        <v>299</v>
      </c>
      <c r="B44" s="9" t="s">
        <v>300</v>
      </c>
      <c r="C44" s="9" t="s">
        <v>301</v>
      </c>
      <c r="D44" s="9" t="s">
        <v>40</v>
      </c>
      <c r="E44" s="9" t="s">
        <v>302</v>
      </c>
      <c r="F44" s="9" t="s">
        <v>60</v>
      </c>
      <c r="G44" s="9" t="s">
        <v>30</v>
      </c>
      <c r="H44" s="9" t="s">
        <v>239</v>
      </c>
      <c r="I44" s="9" t="s">
        <v>213</v>
      </c>
      <c r="J44" s="9" t="s">
        <v>96</v>
      </c>
      <c r="K44" s="9" t="s">
        <v>303</v>
      </c>
      <c r="L44" s="9" t="s">
        <v>35</v>
      </c>
      <c r="M44" s="9" t="s">
        <v>78</v>
      </c>
      <c r="N44" s="9" t="n">
        <v>143.46</v>
      </c>
      <c r="O44" s="9" t="n">
        <v>6</v>
      </c>
      <c r="P44" s="9" t="n">
        <v>0</v>
      </c>
      <c r="Q44" s="9" t="n">
        <v>54.24</v>
      </c>
    </row>
    <row r="45" customFormat="false" ht="15" hidden="false" customHeight="false" outlineLevel="0" collapsed="false">
      <c r="A45" s="9" t="s">
        <v>304</v>
      </c>
      <c r="B45" s="9" t="s">
        <v>305</v>
      </c>
      <c r="C45" s="9" t="s">
        <v>306</v>
      </c>
      <c r="D45" s="9" t="s">
        <v>27</v>
      </c>
      <c r="E45" s="9" t="s">
        <v>307</v>
      </c>
      <c r="F45" s="9" t="s">
        <v>60</v>
      </c>
      <c r="G45" s="9" t="s">
        <v>30</v>
      </c>
      <c r="H45" s="9" t="s">
        <v>308</v>
      </c>
      <c r="I45" s="9" t="s">
        <v>132</v>
      </c>
      <c r="J45" s="9" t="s">
        <v>86</v>
      </c>
      <c r="K45" s="9" t="s">
        <v>309</v>
      </c>
      <c r="L45" s="9" t="s">
        <v>46</v>
      </c>
      <c r="M45" s="9" t="s">
        <v>191</v>
      </c>
      <c r="N45" s="9" t="n">
        <v>7918.29</v>
      </c>
      <c r="O45" s="9" t="n">
        <v>9</v>
      </c>
      <c r="P45" s="9" t="n">
        <v>0</v>
      </c>
      <c r="Q45" s="9" t="n">
        <v>1763.36</v>
      </c>
    </row>
    <row r="46" customFormat="false" ht="15" hidden="false" customHeight="false" outlineLevel="0" collapsed="false">
      <c r="A46" s="9" t="s">
        <v>310</v>
      </c>
      <c r="B46" s="9" t="s">
        <v>311</v>
      </c>
      <c r="C46" s="9" t="s">
        <v>312</v>
      </c>
      <c r="D46" s="9" t="s">
        <v>102</v>
      </c>
      <c r="E46" s="9" t="s">
        <v>313</v>
      </c>
      <c r="F46" s="9" t="s">
        <v>83</v>
      </c>
      <c r="G46" s="9" t="s">
        <v>30</v>
      </c>
      <c r="H46" s="9" t="s">
        <v>53</v>
      </c>
      <c r="I46" s="9" t="s">
        <v>43</v>
      </c>
      <c r="J46" s="9" t="s">
        <v>44</v>
      </c>
      <c r="K46" s="9" t="s">
        <v>314</v>
      </c>
      <c r="L46" s="9" t="s">
        <v>35</v>
      </c>
      <c r="M46" s="9" t="s">
        <v>98</v>
      </c>
      <c r="N46" s="9" t="n">
        <v>216.24</v>
      </c>
      <c r="O46" s="9" t="n">
        <v>4</v>
      </c>
      <c r="P46" s="9" t="n">
        <v>0.8</v>
      </c>
      <c r="Q46" s="9" t="n">
        <v>-84.48</v>
      </c>
    </row>
    <row r="47" customFormat="false" ht="15" hidden="false" customHeight="false" outlineLevel="0" collapsed="false">
      <c r="A47" s="9" t="s">
        <v>253</v>
      </c>
      <c r="B47" s="9" t="s">
        <v>121</v>
      </c>
      <c r="C47" s="9" t="s">
        <v>254</v>
      </c>
      <c r="D47" s="9" t="s">
        <v>102</v>
      </c>
      <c r="E47" s="9" t="s">
        <v>255</v>
      </c>
      <c r="F47" s="9" t="s">
        <v>60</v>
      </c>
      <c r="G47" s="9" t="s">
        <v>30</v>
      </c>
      <c r="H47" s="9" t="s">
        <v>256</v>
      </c>
      <c r="I47" s="9" t="s">
        <v>32</v>
      </c>
      <c r="J47" s="9" t="s">
        <v>33</v>
      </c>
      <c r="K47" s="9" t="s">
        <v>315</v>
      </c>
      <c r="L47" s="9" t="s">
        <v>35</v>
      </c>
      <c r="M47" s="9" t="s">
        <v>179</v>
      </c>
      <c r="N47" s="9" t="n">
        <v>100.92</v>
      </c>
      <c r="O47" s="9" t="n">
        <v>6</v>
      </c>
      <c r="P47" s="9" t="n">
        <v>0</v>
      </c>
      <c r="Q47" s="9" t="n">
        <v>34.26</v>
      </c>
    </row>
    <row r="48" customFormat="false" ht="15" hidden="false" customHeight="false" outlineLevel="0" collapsed="false">
      <c r="A48" s="9" t="s">
        <v>316</v>
      </c>
      <c r="B48" s="9" t="s">
        <v>317</v>
      </c>
      <c r="C48" s="9" t="s">
        <v>318</v>
      </c>
      <c r="D48" s="9" t="s">
        <v>40</v>
      </c>
      <c r="E48" s="9" t="s">
        <v>319</v>
      </c>
      <c r="F48" s="9" t="s">
        <v>83</v>
      </c>
      <c r="G48" s="9" t="s">
        <v>30</v>
      </c>
      <c r="H48" s="9" t="s">
        <v>308</v>
      </c>
      <c r="I48" s="9" t="s">
        <v>132</v>
      </c>
      <c r="J48" s="9" t="s">
        <v>86</v>
      </c>
      <c r="K48" s="9" t="s">
        <v>320</v>
      </c>
      <c r="L48" s="9" t="s">
        <v>46</v>
      </c>
      <c r="M48" s="9" t="s">
        <v>70</v>
      </c>
      <c r="N48" s="9" t="n">
        <v>267.28</v>
      </c>
      <c r="O48" s="9" t="n">
        <v>8</v>
      </c>
      <c r="P48" s="9" t="n">
        <v>0</v>
      </c>
      <c r="Q48" s="9" t="n">
        <v>40.87</v>
      </c>
    </row>
    <row r="49" customFormat="false" ht="15" hidden="false" customHeight="false" outlineLevel="0" collapsed="false">
      <c r="A49" s="9" t="s">
        <v>321</v>
      </c>
      <c r="B49" s="9" t="s">
        <v>322</v>
      </c>
      <c r="C49" s="9" t="s">
        <v>323</v>
      </c>
      <c r="D49" s="9" t="s">
        <v>51</v>
      </c>
      <c r="E49" s="9" t="s">
        <v>324</v>
      </c>
      <c r="F49" s="9" t="s">
        <v>60</v>
      </c>
      <c r="G49" s="9" t="s">
        <v>30</v>
      </c>
      <c r="H49" s="9" t="s">
        <v>163</v>
      </c>
      <c r="I49" s="9" t="s">
        <v>164</v>
      </c>
      <c r="J49" s="9" t="s">
        <v>96</v>
      </c>
      <c r="K49" s="9" t="s">
        <v>325</v>
      </c>
      <c r="L49" s="9" t="s">
        <v>88</v>
      </c>
      <c r="M49" s="9" t="s">
        <v>197</v>
      </c>
      <c r="N49" s="9" t="n">
        <v>274.94</v>
      </c>
      <c r="O49" s="9" t="n">
        <v>2</v>
      </c>
      <c r="P49" s="9" t="n">
        <v>0</v>
      </c>
      <c r="Q49" s="9" t="n">
        <v>-21.02</v>
      </c>
    </row>
    <row r="50" customFormat="false" ht="15" hidden="false" customHeight="false" outlineLevel="0" collapsed="false">
      <c r="A50" s="9" t="s">
        <v>326</v>
      </c>
      <c r="B50" s="9" t="s">
        <v>327</v>
      </c>
      <c r="C50" s="9" t="s">
        <v>194</v>
      </c>
      <c r="D50" s="9" t="s">
        <v>40</v>
      </c>
      <c r="E50" s="9" t="s">
        <v>249</v>
      </c>
      <c r="F50" s="9" t="s">
        <v>29</v>
      </c>
      <c r="G50" s="9" t="s">
        <v>30</v>
      </c>
      <c r="H50" s="9" t="s">
        <v>61</v>
      </c>
      <c r="I50" s="9" t="s">
        <v>62</v>
      </c>
      <c r="J50" s="9" t="s">
        <v>44</v>
      </c>
      <c r="K50" s="9" t="s">
        <v>328</v>
      </c>
      <c r="L50" s="9" t="s">
        <v>35</v>
      </c>
      <c r="M50" s="9" t="s">
        <v>179</v>
      </c>
      <c r="N50" s="9" t="n">
        <v>32.18</v>
      </c>
      <c r="O50" s="9" t="n">
        <v>2</v>
      </c>
      <c r="P50" s="9" t="n">
        <v>0.1</v>
      </c>
      <c r="Q50" s="9" t="n">
        <v>4.29</v>
      </c>
    </row>
    <row r="51" customFormat="false" ht="15" hidden="false" customHeight="false" outlineLevel="0" collapsed="false">
      <c r="A51" s="9" t="s">
        <v>329</v>
      </c>
      <c r="B51" s="9" t="s">
        <v>330</v>
      </c>
      <c r="C51" s="9" t="s">
        <v>331</v>
      </c>
      <c r="D51" s="9" t="s">
        <v>102</v>
      </c>
      <c r="E51" s="9" t="s">
        <v>143</v>
      </c>
      <c r="F51" s="9" t="s">
        <v>60</v>
      </c>
      <c r="G51" s="9" t="s">
        <v>30</v>
      </c>
      <c r="H51" s="9" t="s">
        <v>332</v>
      </c>
      <c r="I51" s="9" t="s">
        <v>105</v>
      </c>
      <c r="J51" s="9" t="s">
        <v>44</v>
      </c>
      <c r="K51" s="9" t="s">
        <v>333</v>
      </c>
      <c r="L51" s="9" t="s">
        <v>35</v>
      </c>
      <c r="M51" s="9" t="s">
        <v>179</v>
      </c>
      <c r="N51" s="9" t="n">
        <v>66.92</v>
      </c>
      <c r="O51" s="9" t="n">
        <v>4</v>
      </c>
      <c r="P51" s="9" t="n">
        <v>0.15</v>
      </c>
      <c r="Q51" s="9" t="n">
        <v>16.01</v>
      </c>
    </row>
    <row r="52" customFormat="false" ht="15" hidden="false" customHeight="false" outlineLevel="0" collapsed="false">
      <c r="A52" s="9" t="s">
        <v>334</v>
      </c>
      <c r="B52" s="9" t="s">
        <v>335</v>
      </c>
      <c r="C52" s="9" t="s">
        <v>336</v>
      </c>
      <c r="D52" s="9" t="s">
        <v>102</v>
      </c>
      <c r="E52" s="9" t="s">
        <v>176</v>
      </c>
      <c r="F52" s="9" t="s">
        <v>60</v>
      </c>
      <c r="G52" s="9" t="s">
        <v>30</v>
      </c>
      <c r="H52" s="9" t="s">
        <v>332</v>
      </c>
      <c r="I52" s="9" t="s">
        <v>105</v>
      </c>
      <c r="J52" s="9" t="s">
        <v>44</v>
      </c>
      <c r="K52" s="9" t="s">
        <v>337</v>
      </c>
      <c r="L52" s="9" t="s">
        <v>35</v>
      </c>
      <c r="M52" s="9" t="s">
        <v>185</v>
      </c>
      <c r="N52" s="9" t="n">
        <v>649.86</v>
      </c>
      <c r="O52" s="9" t="n">
        <v>6</v>
      </c>
      <c r="P52" s="9" t="n">
        <v>0.15</v>
      </c>
      <c r="Q52" s="9" t="n">
        <v>57.73</v>
      </c>
    </row>
    <row r="53" customFormat="false" ht="15" hidden="false" customHeight="false" outlineLevel="0" collapsed="false">
      <c r="A53" s="9" t="s">
        <v>338</v>
      </c>
      <c r="B53" s="9" t="s">
        <v>339</v>
      </c>
      <c r="C53" s="9" t="s">
        <v>340</v>
      </c>
      <c r="D53" s="9" t="s">
        <v>40</v>
      </c>
      <c r="E53" s="9" t="s">
        <v>341</v>
      </c>
      <c r="F53" s="9" t="s">
        <v>83</v>
      </c>
      <c r="G53" s="9" t="s">
        <v>30</v>
      </c>
      <c r="H53" s="9" t="s">
        <v>124</v>
      </c>
      <c r="I53" s="9" t="s">
        <v>125</v>
      </c>
      <c r="J53" s="9" t="s">
        <v>33</v>
      </c>
      <c r="K53" s="9" t="s">
        <v>342</v>
      </c>
      <c r="L53" s="9" t="s">
        <v>35</v>
      </c>
      <c r="M53" s="9" t="s">
        <v>185</v>
      </c>
      <c r="N53" s="9" t="n">
        <v>171.12</v>
      </c>
      <c r="O53" s="9" t="n">
        <v>4</v>
      </c>
      <c r="P53" s="9" t="n">
        <v>0</v>
      </c>
      <c r="Q53" s="9" t="n">
        <v>33.75</v>
      </c>
    </row>
    <row r="54" customFormat="false" ht="15" hidden="false" customHeight="false" outlineLevel="0" collapsed="false">
      <c r="A54" s="9" t="s">
        <v>343</v>
      </c>
      <c r="B54" s="9" t="s">
        <v>344</v>
      </c>
      <c r="C54" s="9" t="s">
        <v>345</v>
      </c>
      <c r="D54" s="9" t="s">
        <v>40</v>
      </c>
      <c r="E54" s="9" t="s">
        <v>346</v>
      </c>
      <c r="F54" s="9" t="s">
        <v>29</v>
      </c>
      <c r="G54" s="9" t="s">
        <v>30</v>
      </c>
      <c r="H54" s="9" t="s">
        <v>144</v>
      </c>
      <c r="I54" s="9" t="s">
        <v>145</v>
      </c>
      <c r="J54" s="9" t="s">
        <v>96</v>
      </c>
      <c r="K54" s="9" t="s">
        <v>347</v>
      </c>
      <c r="L54" s="9" t="s">
        <v>46</v>
      </c>
      <c r="M54" s="9" t="s">
        <v>47</v>
      </c>
      <c r="N54" s="9" t="n">
        <v>2436.81</v>
      </c>
      <c r="O54" s="9" t="n">
        <v>3</v>
      </c>
      <c r="P54" s="9" t="n">
        <v>0.15</v>
      </c>
      <c r="Q54" s="9" t="n">
        <v>255.36</v>
      </c>
    </row>
    <row r="55" customFormat="false" ht="15" hidden="false" customHeight="false" outlineLevel="0" collapsed="false">
      <c r="A55" s="9" t="s">
        <v>348</v>
      </c>
      <c r="B55" s="9" t="s">
        <v>349</v>
      </c>
      <c r="C55" s="9" t="s">
        <v>350</v>
      </c>
      <c r="D55" s="9" t="s">
        <v>40</v>
      </c>
      <c r="E55" s="9" t="s">
        <v>130</v>
      </c>
      <c r="F55" s="9" t="s">
        <v>83</v>
      </c>
      <c r="G55" s="9" t="s">
        <v>30</v>
      </c>
      <c r="H55" s="9" t="s">
        <v>212</v>
      </c>
      <c r="I55" s="9" t="s">
        <v>213</v>
      </c>
      <c r="J55" s="9" t="s">
        <v>96</v>
      </c>
      <c r="K55" s="9" t="s">
        <v>351</v>
      </c>
      <c r="L55" s="9" t="s">
        <v>46</v>
      </c>
      <c r="M55" s="9" t="s">
        <v>47</v>
      </c>
      <c r="N55" s="9" t="n">
        <v>3808.17</v>
      </c>
      <c r="O55" s="9" t="n">
        <v>9</v>
      </c>
      <c r="P55" s="9" t="n">
        <v>0</v>
      </c>
      <c r="Q55" s="9" t="n">
        <v>440.57</v>
      </c>
    </row>
    <row r="56" customFormat="false" ht="15" hidden="false" customHeight="false" outlineLevel="0" collapsed="false">
      <c r="A56" s="9" t="s">
        <v>352</v>
      </c>
      <c r="B56" s="9" t="s">
        <v>209</v>
      </c>
      <c r="C56" s="9" t="s">
        <v>353</v>
      </c>
      <c r="D56" s="9" t="s">
        <v>102</v>
      </c>
      <c r="E56" s="9" t="s">
        <v>354</v>
      </c>
      <c r="F56" s="9" t="s">
        <v>83</v>
      </c>
      <c r="G56" s="9" t="s">
        <v>30</v>
      </c>
      <c r="H56" s="9" t="s">
        <v>266</v>
      </c>
      <c r="I56" s="9" t="s">
        <v>267</v>
      </c>
      <c r="J56" s="9" t="s">
        <v>44</v>
      </c>
      <c r="K56" s="9" t="s">
        <v>355</v>
      </c>
      <c r="L56" s="9" t="s">
        <v>35</v>
      </c>
      <c r="M56" s="9" t="s">
        <v>356</v>
      </c>
      <c r="N56" s="9" t="n">
        <v>162.72</v>
      </c>
      <c r="O56" s="9" t="n">
        <v>8</v>
      </c>
      <c r="P56" s="9" t="n">
        <v>0</v>
      </c>
      <c r="Q56" s="9" t="n">
        <v>46.16</v>
      </c>
    </row>
    <row r="57" customFormat="false" ht="15" hidden="false" customHeight="false" outlineLevel="0" collapsed="false">
      <c r="A57" s="9" t="s">
        <v>357</v>
      </c>
      <c r="B57" s="9" t="s">
        <v>358</v>
      </c>
      <c r="C57" s="9" t="s">
        <v>109</v>
      </c>
      <c r="D57" s="9" t="s">
        <v>40</v>
      </c>
      <c r="E57" s="9" t="s">
        <v>359</v>
      </c>
      <c r="F57" s="9" t="s">
        <v>29</v>
      </c>
      <c r="G57" s="9" t="s">
        <v>30</v>
      </c>
      <c r="H57" s="9" t="s">
        <v>53</v>
      </c>
      <c r="I57" s="9" t="s">
        <v>43</v>
      </c>
      <c r="J57" s="9" t="s">
        <v>44</v>
      </c>
      <c r="K57" s="9" t="s">
        <v>360</v>
      </c>
      <c r="L57" s="9" t="s">
        <v>88</v>
      </c>
      <c r="M57" s="9" t="s">
        <v>197</v>
      </c>
      <c r="N57" s="9" t="n">
        <v>498.65</v>
      </c>
      <c r="O57" s="9" t="n">
        <v>1</v>
      </c>
      <c r="P57" s="9" t="n">
        <v>0</v>
      </c>
      <c r="Q57" s="9" t="n">
        <v>-19.4</v>
      </c>
    </row>
    <row r="58" customFormat="false" ht="15" hidden="false" customHeight="false" outlineLevel="0" collapsed="false">
      <c r="A58" s="9" t="s">
        <v>361</v>
      </c>
      <c r="B58" s="9" t="s">
        <v>362</v>
      </c>
      <c r="C58" s="9" t="s">
        <v>363</v>
      </c>
      <c r="D58" s="9" t="s">
        <v>40</v>
      </c>
      <c r="E58" s="9" t="s">
        <v>200</v>
      </c>
      <c r="F58" s="9" t="s">
        <v>29</v>
      </c>
      <c r="G58" s="9" t="s">
        <v>30</v>
      </c>
      <c r="H58" s="9" t="s">
        <v>124</v>
      </c>
      <c r="I58" s="9" t="s">
        <v>125</v>
      </c>
      <c r="J58" s="9" t="s">
        <v>33</v>
      </c>
      <c r="K58" s="9" t="s">
        <v>364</v>
      </c>
      <c r="L58" s="9" t="s">
        <v>46</v>
      </c>
      <c r="M58" s="9" t="s">
        <v>64</v>
      </c>
      <c r="N58" s="9" t="n">
        <v>3011.13</v>
      </c>
      <c r="O58" s="9" t="n">
        <v>9</v>
      </c>
      <c r="P58" s="9" t="n">
        <v>0.6</v>
      </c>
      <c r="Q58" s="9" t="n">
        <v>-812.42</v>
      </c>
    </row>
    <row r="59" customFormat="false" ht="15" hidden="false" customHeight="false" outlineLevel="0" collapsed="false">
      <c r="A59" s="9" t="s">
        <v>365</v>
      </c>
      <c r="B59" s="9" t="s">
        <v>366</v>
      </c>
      <c r="C59" s="9" t="s">
        <v>367</v>
      </c>
      <c r="D59" s="9" t="s">
        <v>40</v>
      </c>
      <c r="E59" s="9" t="s">
        <v>368</v>
      </c>
      <c r="F59" s="9" t="s">
        <v>83</v>
      </c>
      <c r="G59" s="9" t="s">
        <v>30</v>
      </c>
      <c r="H59" s="9" t="s">
        <v>111</v>
      </c>
      <c r="I59" s="9" t="s">
        <v>112</v>
      </c>
      <c r="J59" s="9" t="s">
        <v>86</v>
      </c>
      <c r="K59" s="9" t="s">
        <v>369</v>
      </c>
      <c r="L59" s="9" t="s">
        <v>35</v>
      </c>
      <c r="M59" s="9" t="s">
        <v>173</v>
      </c>
      <c r="N59" s="9" t="n">
        <v>142.7</v>
      </c>
      <c r="O59" s="9" t="n">
        <v>2</v>
      </c>
      <c r="P59" s="9" t="n">
        <v>0</v>
      </c>
      <c r="Q59" s="9" t="n">
        <v>12.52</v>
      </c>
    </row>
    <row r="60" customFormat="false" ht="15" hidden="false" customHeight="false" outlineLevel="0" collapsed="false">
      <c r="A60" s="9" t="s">
        <v>370</v>
      </c>
      <c r="B60" s="9" t="s">
        <v>371</v>
      </c>
      <c r="C60" s="9" t="s">
        <v>323</v>
      </c>
      <c r="D60" s="9" t="s">
        <v>40</v>
      </c>
      <c r="E60" s="9" t="s">
        <v>372</v>
      </c>
      <c r="F60" s="9" t="s">
        <v>60</v>
      </c>
      <c r="G60" s="9" t="s">
        <v>30</v>
      </c>
      <c r="H60" s="9" t="s">
        <v>131</v>
      </c>
      <c r="I60" s="9" t="s">
        <v>132</v>
      </c>
      <c r="J60" s="9" t="s">
        <v>86</v>
      </c>
      <c r="K60" s="9" t="s">
        <v>373</v>
      </c>
      <c r="L60" s="9" t="s">
        <v>35</v>
      </c>
      <c r="M60" s="9" t="s">
        <v>173</v>
      </c>
      <c r="N60" s="9" t="n">
        <v>280.53</v>
      </c>
      <c r="O60" s="9" t="n">
        <v>9</v>
      </c>
      <c r="P60" s="9" t="n">
        <v>0</v>
      </c>
      <c r="Q60" s="9" t="n">
        <v>56.5</v>
      </c>
    </row>
    <row r="61" customFormat="false" ht="15" hidden="false" customHeight="false" outlineLevel="0" collapsed="false">
      <c r="A61" s="9" t="s">
        <v>198</v>
      </c>
      <c r="B61" s="9" t="s">
        <v>199</v>
      </c>
      <c r="C61" s="9" t="s">
        <v>149</v>
      </c>
      <c r="D61" s="9" t="s">
        <v>27</v>
      </c>
      <c r="E61" s="9" t="s">
        <v>200</v>
      </c>
      <c r="F61" s="9" t="s">
        <v>29</v>
      </c>
      <c r="G61" s="9" t="s">
        <v>30</v>
      </c>
      <c r="H61" s="9" t="s">
        <v>131</v>
      </c>
      <c r="I61" s="9" t="s">
        <v>132</v>
      </c>
      <c r="J61" s="9" t="s">
        <v>86</v>
      </c>
      <c r="K61" s="9" t="s">
        <v>374</v>
      </c>
      <c r="L61" s="9" t="s">
        <v>35</v>
      </c>
      <c r="M61" s="9" t="s">
        <v>179</v>
      </c>
      <c r="N61" s="9" t="n">
        <v>61.36</v>
      </c>
      <c r="O61" s="9" t="n">
        <v>4</v>
      </c>
      <c r="P61" s="9" t="n">
        <v>0.15</v>
      </c>
      <c r="Q61" s="9" t="n">
        <v>14.69</v>
      </c>
    </row>
    <row r="62" customFormat="false" ht="15" hidden="false" customHeight="false" outlineLevel="0" collapsed="false">
      <c r="A62" s="9" t="s">
        <v>375</v>
      </c>
      <c r="B62" s="9" t="s">
        <v>376</v>
      </c>
      <c r="C62" s="9" t="s">
        <v>167</v>
      </c>
      <c r="D62" s="9" t="s">
        <v>102</v>
      </c>
      <c r="E62" s="9" t="s">
        <v>377</v>
      </c>
      <c r="F62" s="9" t="s">
        <v>60</v>
      </c>
      <c r="G62" s="9" t="s">
        <v>30</v>
      </c>
      <c r="H62" s="9" t="s">
        <v>378</v>
      </c>
      <c r="I62" s="9" t="s">
        <v>76</v>
      </c>
      <c r="J62" s="9" t="s">
        <v>33</v>
      </c>
      <c r="K62" s="9" t="s">
        <v>379</v>
      </c>
      <c r="L62" s="9" t="s">
        <v>88</v>
      </c>
      <c r="M62" s="9" t="s">
        <v>197</v>
      </c>
      <c r="N62" s="9" t="n">
        <v>475.8</v>
      </c>
      <c r="O62" s="9" t="n">
        <v>1</v>
      </c>
      <c r="P62" s="9" t="n">
        <v>0</v>
      </c>
      <c r="Q62" s="9" t="n">
        <v>13.78</v>
      </c>
    </row>
    <row r="63" customFormat="false" ht="15" hidden="false" customHeight="false" outlineLevel="0" collapsed="false">
      <c r="A63" s="9" t="s">
        <v>380</v>
      </c>
      <c r="B63" s="9" t="s">
        <v>381</v>
      </c>
      <c r="C63" s="9" t="s">
        <v>155</v>
      </c>
      <c r="D63" s="9" t="s">
        <v>27</v>
      </c>
      <c r="E63" s="9" t="s">
        <v>382</v>
      </c>
      <c r="F63" s="9" t="s">
        <v>29</v>
      </c>
      <c r="G63" s="9" t="s">
        <v>30</v>
      </c>
      <c r="H63" s="9" t="s">
        <v>256</v>
      </c>
      <c r="I63" s="9" t="s">
        <v>32</v>
      </c>
      <c r="J63" s="9" t="s">
        <v>33</v>
      </c>
      <c r="K63" s="9" t="s">
        <v>383</v>
      </c>
      <c r="L63" s="9" t="s">
        <v>46</v>
      </c>
      <c r="M63" s="9" t="s">
        <v>64</v>
      </c>
      <c r="N63" s="9" t="n">
        <v>7227.43</v>
      </c>
      <c r="O63" s="9" t="n">
        <v>7</v>
      </c>
      <c r="P63" s="9" t="n">
        <v>0.15</v>
      </c>
      <c r="Q63" s="9" t="n">
        <v>104.54</v>
      </c>
    </row>
    <row r="64" customFormat="false" ht="15" hidden="false" customHeight="false" outlineLevel="0" collapsed="false">
      <c r="A64" s="9" t="s">
        <v>299</v>
      </c>
      <c r="B64" s="9" t="s">
        <v>300</v>
      </c>
      <c r="C64" s="9" t="s">
        <v>301</v>
      </c>
      <c r="D64" s="9" t="s">
        <v>40</v>
      </c>
      <c r="E64" s="9" t="s">
        <v>302</v>
      </c>
      <c r="F64" s="9" t="s">
        <v>60</v>
      </c>
      <c r="G64" s="9" t="s">
        <v>30</v>
      </c>
      <c r="H64" s="9" t="s">
        <v>239</v>
      </c>
      <c r="I64" s="9" t="s">
        <v>213</v>
      </c>
      <c r="J64" s="9" t="s">
        <v>96</v>
      </c>
      <c r="K64" s="9" t="s">
        <v>384</v>
      </c>
      <c r="L64" s="9" t="s">
        <v>35</v>
      </c>
      <c r="M64" s="9" t="s">
        <v>36</v>
      </c>
      <c r="N64" s="9" t="n">
        <v>26.64</v>
      </c>
      <c r="O64" s="9" t="n">
        <v>2</v>
      </c>
      <c r="P64" s="9" t="n">
        <v>0</v>
      </c>
      <c r="Q64" s="9" t="n">
        <v>6.43</v>
      </c>
    </row>
    <row r="65" customFormat="false" ht="15" hidden="false" customHeight="false" outlineLevel="0" collapsed="false">
      <c r="A65" s="9" t="s">
        <v>385</v>
      </c>
      <c r="B65" s="9" t="s">
        <v>386</v>
      </c>
      <c r="C65" s="9" t="s">
        <v>387</v>
      </c>
      <c r="D65" s="9" t="s">
        <v>102</v>
      </c>
      <c r="E65" s="9" t="s">
        <v>302</v>
      </c>
      <c r="F65" s="9" t="s">
        <v>83</v>
      </c>
      <c r="G65" s="9" t="s">
        <v>30</v>
      </c>
      <c r="H65" s="9" t="s">
        <v>266</v>
      </c>
      <c r="I65" s="9" t="s">
        <v>267</v>
      </c>
      <c r="J65" s="9" t="s">
        <v>44</v>
      </c>
      <c r="K65" s="9" t="s">
        <v>388</v>
      </c>
      <c r="L65" s="9" t="s">
        <v>88</v>
      </c>
      <c r="M65" s="9" t="s">
        <v>197</v>
      </c>
      <c r="N65" s="9" t="n">
        <v>793.52</v>
      </c>
      <c r="O65" s="9" t="n">
        <v>4</v>
      </c>
      <c r="P65" s="9" t="n">
        <v>0.1</v>
      </c>
      <c r="Q65" s="9" t="n">
        <v>-141.14</v>
      </c>
    </row>
    <row r="66" customFormat="false" ht="15" hidden="false" customHeight="false" outlineLevel="0" collapsed="false">
      <c r="A66" s="9" t="s">
        <v>389</v>
      </c>
      <c r="B66" s="9" t="s">
        <v>390</v>
      </c>
      <c r="C66" s="9" t="s">
        <v>391</v>
      </c>
      <c r="D66" s="9" t="s">
        <v>40</v>
      </c>
      <c r="E66" s="9" t="s">
        <v>319</v>
      </c>
      <c r="F66" s="9" t="s">
        <v>83</v>
      </c>
      <c r="G66" s="9" t="s">
        <v>30</v>
      </c>
      <c r="H66" s="9" t="s">
        <v>61</v>
      </c>
      <c r="I66" s="9" t="s">
        <v>62</v>
      </c>
      <c r="J66" s="9" t="s">
        <v>44</v>
      </c>
      <c r="K66" s="9" t="s">
        <v>392</v>
      </c>
      <c r="L66" s="9" t="s">
        <v>88</v>
      </c>
      <c r="M66" s="9" t="s">
        <v>197</v>
      </c>
      <c r="N66" s="9" t="n">
        <v>761.58</v>
      </c>
      <c r="O66" s="9" t="n">
        <v>2</v>
      </c>
      <c r="P66" s="9" t="n">
        <v>0.15</v>
      </c>
      <c r="Q66" s="9" t="n">
        <v>-61.57</v>
      </c>
    </row>
    <row r="67" customFormat="false" ht="15" hidden="false" customHeight="false" outlineLevel="0" collapsed="false">
      <c r="A67" s="9" t="s">
        <v>393</v>
      </c>
      <c r="B67" s="9" t="s">
        <v>394</v>
      </c>
      <c r="C67" s="9" t="s">
        <v>395</v>
      </c>
      <c r="D67" s="9" t="s">
        <v>40</v>
      </c>
      <c r="E67" s="9" t="s">
        <v>396</v>
      </c>
      <c r="F67" s="9" t="s">
        <v>29</v>
      </c>
      <c r="G67" s="9" t="s">
        <v>30</v>
      </c>
      <c r="H67" s="9" t="s">
        <v>397</v>
      </c>
      <c r="I67" s="9" t="s">
        <v>267</v>
      </c>
      <c r="J67" s="9" t="s">
        <v>44</v>
      </c>
      <c r="K67" s="9" t="s">
        <v>398</v>
      </c>
      <c r="L67" s="9" t="s">
        <v>35</v>
      </c>
      <c r="M67" s="9" t="s">
        <v>173</v>
      </c>
      <c r="N67" s="9" t="n">
        <v>601.8</v>
      </c>
      <c r="O67" s="9" t="n">
        <v>6</v>
      </c>
      <c r="P67" s="9" t="n">
        <v>0.2</v>
      </c>
      <c r="Q67" s="9" t="n">
        <v>3.75</v>
      </c>
    </row>
    <row r="68" customFormat="false" ht="15" hidden="false" customHeight="false" outlineLevel="0" collapsed="false">
      <c r="A68" s="9" t="s">
        <v>246</v>
      </c>
      <c r="B68" s="9" t="s">
        <v>247</v>
      </c>
      <c r="C68" s="9" t="s">
        <v>248</v>
      </c>
      <c r="D68" s="9" t="s">
        <v>27</v>
      </c>
      <c r="E68" s="9" t="s">
        <v>249</v>
      </c>
      <c r="F68" s="9" t="s">
        <v>29</v>
      </c>
      <c r="G68" s="9" t="s">
        <v>30</v>
      </c>
      <c r="H68" s="9" t="s">
        <v>250</v>
      </c>
      <c r="I68" s="9" t="s">
        <v>251</v>
      </c>
      <c r="J68" s="9" t="s">
        <v>33</v>
      </c>
      <c r="K68" s="9" t="s">
        <v>399</v>
      </c>
      <c r="L68" s="9" t="s">
        <v>35</v>
      </c>
      <c r="M68" s="9" t="s">
        <v>185</v>
      </c>
      <c r="N68" s="9" t="n">
        <v>295.28</v>
      </c>
      <c r="O68" s="9" t="n">
        <v>8</v>
      </c>
      <c r="P68" s="9" t="n">
        <v>0</v>
      </c>
      <c r="Q68" s="9" t="n">
        <v>46.71</v>
      </c>
    </row>
    <row r="69" customFormat="false" ht="15" hidden="false" customHeight="false" outlineLevel="0" collapsed="false">
      <c r="A69" s="9" t="s">
        <v>400</v>
      </c>
      <c r="B69" s="9" t="s">
        <v>401</v>
      </c>
      <c r="C69" s="9" t="s">
        <v>402</v>
      </c>
      <c r="D69" s="9" t="s">
        <v>40</v>
      </c>
      <c r="E69" s="9" t="s">
        <v>403</v>
      </c>
      <c r="F69" s="9" t="s">
        <v>29</v>
      </c>
      <c r="G69" s="9" t="s">
        <v>30</v>
      </c>
      <c r="H69" s="9" t="s">
        <v>239</v>
      </c>
      <c r="I69" s="9" t="s">
        <v>213</v>
      </c>
      <c r="J69" s="9" t="s">
        <v>96</v>
      </c>
      <c r="K69" s="9" t="s">
        <v>404</v>
      </c>
      <c r="L69" s="9" t="s">
        <v>35</v>
      </c>
      <c r="M69" s="9" t="s">
        <v>36</v>
      </c>
      <c r="N69" s="9" t="n">
        <v>32.04</v>
      </c>
      <c r="O69" s="9" t="n">
        <v>6</v>
      </c>
      <c r="P69" s="9" t="n">
        <v>0</v>
      </c>
      <c r="Q69" s="9" t="n">
        <v>9.71</v>
      </c>
    </row>
    <row r="70" customFormat="false" ht="15" hidden="false" customHeight="false" outlineLevel="0" collapsed="false">
      <c r="A70" s="9" t="s">
        <v>405</v>
      </c>
      <c r="B70" s="9" t="s">
        <v>406</v>
      </c>
      <c r="C70" s="9" t="s">
        <v>407</v>
      </c>
      <c r="D70" s="9" t="s">
        <v>102</v>
      </c>
      <c r="E70" s="9" t="s">
        <v>223</v>
      </c>
      <c r="F70" s="9" t="s">
        <v>29</v>
      </c>
      <c r="G70" s="9" t="s">
        <v>30</v>
      </c>
      <c r="H70" s="9" t="s">
        <v>308</v>
      </c>
      <c r="I70" s="9" t="s">
        <v>132</v>
      </c>
      <c r="J70" s="9" t="s">
        <v>86</v>
      </c>
      <c r="K70" s="9" t="s">
        <v>408</v>
      </c>
      <c r="L70" s="9" t="s">
        <v>88</v>
      </c>
      <c r="M70" s="9" t="s">
        <v>89</v>
      </c>
      <c r="N70" s="9" t="n">
        <v>1848.51</v>
      </c>
      <c r="O70" s="9" t="n">
        <v>9</v>
      </c>
      <c r="P70" s="9" t="n">
        <v>0.15</v>
      </c>
      <c r="Q70" s="9" t="n">
        <v>-193.01</v>
      </c>
    </row>
    <row r="71" customFormat="false" ht="15" hidden="false" customHeight="false" outlineLevel="0" collapsed="false">
      <c r="A71" s="9" t="s">
        <v>56</v>
      </c>
      <c r="B71" s="9" t="s">
        <v>57</v>
      </c>
      <c r="C71" s="9" t="s">
        <v>58</v>
      </c>
      <c r="D71" s="9" t="s">
        <v>27</v>
      </c>
      <c r="E71" s="9" t="s">
        <v>59</v>
      </c>
      <c r="F71" s="9" t="s">
        <v>60</v>
      </c>
      <c r="G71" s="9" t="s">
        <v>30</v>
      </c>
      <c r="H71" s="9" t="s">
        <v>61</v>
      </c>
      <c r="I71" s="9" t="s">
        <v>62</v>
      </c>
      <c r="J71" s="9" t="s">
        <v>44</v>
      </c>
      <c r="K71" s="9" t="s">
        <v>409</v>
      </c>
      <c r="L71" s="9" t="s">
        <v>88</v>
      </c>
      <c r="M71" s="9" t="s">
        <v>89</v>
      </c>
      <c r="N71" s="9" t="n">
        <v>1696.4</v>
      </c>
      <c r="O71" s="9" t="n">
        <v>8</v>
      </c>
      <c r="P71" s="9" t="n">
        <v>0</v>
      </c>
      <c r="Q71" s="9" t="n">
        <v>51.51</v>
      </c>
    </row>
    <row r="72" customFormat="false" ht="15" hidden="false" customHeight="false" outlineLevel="0" collapsed="false">
      <c r="A72" s="9" t="s">
        <v>410</v>
      </c>
      <c r="B72" s="9" t="s">
        <v>411</v>
      </c>
      <c r="C72" s="9" t="s">
        <v>412</v>
      </c>
      <c r="D72" s="9" t="s">
        <v>102</v>
      </c>
      <c r="E72" s="9" t="s">
        <v>413</v>
      </c>
      <c r="F72" s="9" t="s">
        <v>83</v>
      </c>
      <c r="G72" s="9" t="s">
        <v>30</v>
      </c>
      <c r="H72" s="9" t="s">
        <v>138</v>
      </c>
      <c r="I72" s="9" t="s">
        <v>85</v>
      </c>
      <c r="J72" s="9" t="s">
        <v>86</v>
      </c>
      <c r="K72" s="9" t="s">
        <v>414</v>
      </c>
      <c r="L72" s="9" t="s">
        <v>35</v>
      </c>
      <c r="M72" s="9" t="s">
        <v>114</v>
      </c>
      <c r="N72" s="9" t="n">
        <v>36.08</v>
      </c>
      <c r="O72" s="9" t="n">
        <v>4</v>
      </c>
      <c r="P72" s="9" t="n">
        <v>0</v>
      </c>
      <c r="Q72" s="9" t="n">
        <v>9.82</v>
      </c>
    </row>
    <row r="73" customFormat="false" ht="15" hidden="false" customHeight="false" outlineLevel="0" collapsed="false">
      <c r="A73" s="9" t="s">
        <v>166</v>
      </c>
      <c r="B73" s="9" t="s">
        <v>167</v>
      </c>
      <c r="C73" s="9" t="s">
        <v>168</v>
      </c>
      <c r="D73" s="9" t="s">
        <v>40</v>
      </c>
      <c r="E73" s="9" t="s">
        <v>169</v>
      </c>
      <c r="F73" s="9" t="s">
        <v>83</v>
      </c>
      <c r="G73" s="9" t="s">
        <v>30</v>
      </c>
      <c r="H73" s="9" t="s">
        <v>170</v>
      </c>
      <c r="I73" s="9" t="s">
        <v>171</v>
      </c>
      <c r="J73" s="9" t="s">
        <v>86</v>
      </c>
      <c r="K73" s="9" t="s">
        <v>415</v>
      </c>
      <c r="L73" s="9" t="s">
        <v>35</v>
      </c>
      <c r="M73" s="9" t="s">
        <v>356</v>
      </c>
      <c r="N73" s="9" t="n">
        <v>76.3</v>
      </c>
      <c r="O73" s="9" t="n">
        <v>5</v>
      </c>
      <c r="P73" s="9" t="n">
        <v>0</v>
      </c>
      <c r="Q73" s="9" t="n">
        <v>26.79</v>
      </c>
    </row>
    <row r="74" customFormat="false" ht="15" hidden="false" customHeight="false" outlineLevel="0" collapsed="false">
      <c r="A74" s="9" t="s">
        <v>416</v>
      </c>
      <c r="B74" s="9" t="s">
        <v>417</v>
      </c>
      <c r="C74" s="9" t="s">
        <v>418</v>
      </c>
      <c r="D74" s="9" t="s">
        <v>102</v>
      </c>
      <c r="E74" s="9" t="s">
        <v>419</v>
      </c>
      <c r="F74" s="9" t="s">
        <v>60</v>
      </c>
      <c r="G74" s="9" t="s">
        <v>30</v>
      </c>
      <c r="H74" s="9" t="s">
        <v>75</v>
      </c>
      <c r="I74" s="9" t="s">
        <v>76</v>
      </c>
      <c r="J74" s="9" t="s">
        <v>33</v>
      </c>
      <c r="K74" s="9" t="s">
        <v>420</v>
      </c>
      <c r="L74" s="9" t="s">
        <v>35</v>
      </c>
      <c r="M74" s="9" t="s">
        <v>98</v>
      </c>
      <c r="N74" s="9" t="n">
        <v>141.96</v>
      </c>
      <c r="O74" s="9" t="n">
        <v>3</v>
      </c>
      <c r="P74" s="9" t="n">
        <v>0</v>
      </c>
      <c r="Q74" s="9" t="n">
        <v>-6.23</v>
      </c>
    </row>
    <row r="75" customFormat="false" ht="15" hidden="false" customHeight="false" outlineLevel="0" collapsed="false">
      <c r="A75" s="9" t="s">
        <v>370</v>
      </c>
      <c r="B75" s="9" t="s">
        <v>371</v>
      </c>
      <c r="C75" s="9" t="s">
        <v>323</v>
      </c>
      <c r="D75" s="9" t="s">
        <v>40</v>
      </c>
      <c r="E75" s="9" t="s">
        <v>372</v>
      </c>
      <c r="F75" s="9" t="s">
        <v>60</v>
      </c>
      <c r="G75" s="9" t="s">
        <v>30</v>
      </c>
      <c r="H75" s="9" t="s">
        <v>131</v>
      </c>
      <c r="I75" s="9" t="s">
        <v>132</v>
      </c>
      <c r="J75" s="9" t="s">
        <v>86</v>
      </c>
      <c r="K75" s="9" t="s">
        <v>421</v>
      </c>
      <c r="L75" s="9" t="s">
        <v>35</v>
      </c>
      <c r="M75" s="9" t="s">
        <v>173</v>
      </c>
      <c r="N75" s="9" t="n">
        <v>380.52</v>
      </c>
      <c r="O75" s="9" t="n">
        <v>4</v>
      </c>
      <c r="P75" s="9" t="n">
        <v>0.15</v>
      </c>
      <c r="Q75" s="9" t="n">
        <v>28.71</v>
      </c>
    </row>
    <row r="76" customFormat="false" ht="15" hidden="false" customHeight="false" outlineLevel="0" collapsed="false">
      <c r="A76" s="9" t="s">
        <v>422</v>
      </c>
      <c r="B76" s="9" t="s">
        <v>423</v>
      </c>
      <c r="C76" s="9" t="s">
        <v>424</v>
      </c>
      <c r="D76" s="9" t="s">
        <v>27</v>
      </c>
      <c r="E76" s="9" t="s">
        <v>74</v>
      </c>
      <c r="F76" s="9" t="s">
        <v>83</v>
      </c>
      <c r="G76" s="9" t="s">
        <v>30</v>
      </c>
      <c r="H76" s="9" t="s">
        <v>206</v>
      </c>
      <c r="I76" s="9" t="s">
        <v>164</v>
      </c>
      <c r="J76" s="9" t="s">
        <v>96</v>
      </c>
      <c r="K76" s="9" t="s">
        <v>425</v>
      </c>
      <c r="L76" s="9" t="s">
        <v>88</v>
      </c>
      <c r="M76" s="9" t="s">
        <v>153</v>
      </c>
      <c r="N76" s="9" t="n">
        <v>274.32</v>
      </c>
      <c r="O76" s="9" t="n">
        <v>4</v>
      </c>
      <c r="P76" s="9" t="n">
        <v>0</v>
      </c>
      <c r="Q76" s="9" t="n">
        <v>30.28</v>
      </c>
    </row>
    <row r="77" customFormat="false" ht="15" hidden="false" customHeight="false" outlineLevel="0" collapsed="false">
      <c r="A77" s="9" t="s">
        <v>426</v>
      </c>
      <c r="B77" s="9" t="s">
        <v>362</v>
      </c>
      <c r="C77" s="9" t="s">
        <v>263</v>
      </c>
      <c r="D77" s="9" t="s">
        <v>51</v>
      </c>
      <c r="E77" s="9" t="s">
        <v>307</v>
      </c>
      <c r="F77" s="9" t="s">
        <v>83</v>
      </c>
      <c r="G77" s="9" t="s">
        <v>30</v>
      </c>
      <c r="H77" s="9" t="s">
        <v>138</v>
      </c>
      <c r="I77" s="9" t="s">
        <v>85</v>
      </c>
      <c r="J77" s="9" t="s">
        <v>86</v>
      </c>
      <c r="K77" s="9" t="s">
        <v>427</v>
      </c>
      <c r="L77" s="9" t="s">
        <v>46</v>
      </c>
      <c r="M77" s="9" t="s">
        <v>47</v>
      </c>
      <c r="N77" s="9" t="n">
        <v>3315.78</v>
      </c>
      <c r="O77" s="9" t="n">
        <v>9</v>
      </c>
      <c r="P77" s="9" t="n">
        <v>0.1</v>
      </c>
      <c r="Q77" s="9" t="n">
        <v>547.67</v>
      </c>
    </row>
    <row r="78" customFormat="false" ht="15" hidden="false" customHeight="false" outlineLevel="0" collapsed="false">
      <c r="A78" s="9" t="s">
        <v>56</v>
      </c>
      <c r="B78" s="9" t="s">
        <v>57</v>
      </c>
      <c r="C78" s="9" t="s">
        <v>58</v>
      </c>
      <c r="D78" s="9" t="s">
        <v>27</v>
      </c>
      <c r="E78" s="9" t="s">
        <v>59</v>
      </c>
      <c r="F78" s="9" t="s">
        <v>60</v>
      </c>
      <c r="G78" s="9" t="s">
        <v>30</v>
      </c>
      <c r="H78" s="9" t="s">
        <v>61</v>
      </c>
      <c r="I78" s="9" t="s">
        <v>62</v>
      </c>
      <c r="J78" s="9" t="s">
        <v>44</v>
      </c>
      <c r="K78" s="9" t="s">
        <v>428</v>
      </c>
      <c r="L78" s="9" t="s">
        <v>46</v>
      </c>
      <c r="M78" s="9" t="s">
        <v>70</v>
      </c>
      <c r="N78" s="9" t="n">
        <v>188.32</v>
      </c>
      <c r="O78" s="9" t="n">
        <v>4</v>
      </c>
      <c r="P78" s="9" t="n">
        <v>0</v>
      </c>
      <c r="Q78" s="9" t="n">
        <v>55.68</v>
      </c>
    </row>
    <row r="79" customFormat="false" ht="15" hidden="false" customHeight="false" outlineLevel="0" collapsed="false">
      <c r="A79" s="9" t="s">
        <v>429</v>
      </c>
      <c r="B79" s="9" t="s">
        <v>430</v>
      </c>
      <c r="C79" s="9" t="s">
        <v>431</v>
      </c>
      <c r="D79" s="9" t="s">
        <v>40</v>
      </c>
      <c r="E79" s="9" t="s">
        <v>359</v>
      </c>
      <c r="F79" s="9" t="s">
        <v>29</v>
      </c>
      <c r="G79" s="9" t="s">
        <v>30</v>
      </c>
      <c r="H79" s="9" t="s">
        <v>94</v>
      </c>
      <c r="I79" s="9" t="s">
        <v>95</v>
      </c>
      <c r="J79" s="9" t="s">
        <v>96</v>
      </c>
      <c r="K79" s="9" t="s">
        <v>432</v>
      </c>
      <c r="L79" s="9" t="s">
        <v>35</v>
      </c>
      <c r="M79" s="9" t="s">
        <v>185</v>
      </c>
      <c r="N79" s="9" t="n">
        <v>720.21</v>
      </c>
      <c r="O79" s="9" t="n">
        <v>3</v>
      </c>
      <c r="P79" s="9" t="n">
        <v>0</v>
      </c>
      <c r="Q79" s="9" t="n">
        <v>126.36</v>
      </c>
    </row>
    <row r="80" customFormat="false" ht="15" hidden="false" customHeight="false" outlineLevel="0" collapsed="false">
      <c r="A80" s="9" t="s">
        <v>433</v>
      </c>
      <c r="B80" s="9" t="s">
        <v>434</v>
      </c>
      <c r="C80" s="9" t="s">
        <v>435</v>
      </c>
      <c r="D80" s="9" t="s">
        <v>27</v>
      </c>
      <c r="E80" s="9" t="s">
        <v>82</v>
      </c>
      <c r="F80" s="9" t="s">
        <v>83</v>
      </c>
      <c r="G80" s="9" t="s">
        <v>30</v>
      </c>
      <c r="H80" s="9" t="s">
        <v>436</v>
      </c>
      <c r="I80" s="9" t="s">
        <v>105</v>
      </c>
      <c r="J80" s="9" t="s">
        <v>44</v>
      </c>
      <c r="K80" s="9" t="s">
        <v>437</v>
      </c>
      <c r="L80" s="9" t="s">
        <v>35</v>
      </c>
      <c r="M80" s="9" t="s">
        <v>173</v>
      </c>
      <c r="N80" s="9" t="n">
        <v>18.58</v>
      </c>
      <c r="O80" s="9" t="n">
        <v>1</v>
      </c>
      <c r="P80" s="9" t="n">
        <v>0.1</v>
      </c>
      <c r="Q80" s="9" t="n">
        <v>1.66</v>
      </c>
    </row>
    <row r="81" customFormat="false" ht="15" hidden="false" customHeight="false" outlineLevel="0" collapsed="false">
      <c r="A81" s="9" t="s">
        <v>438</v>
      </c>
      <c r="B81" s="9" t="s">
        <v>439</v>
      </c>
      <c r="C81" s="9" t="s">
        <v>440</v>
      </c>
      <c r="D81" s="9" t="s">
        <v>102</v>
      </c>
      <c r="E81" s="9" t="s">
        <v>441</v>
      </c>
      <c r="F81" s="9" t="s">
        <v>29</v>
      </c>
      <c r="G81" s="9" t="s">
        <v>30</v>
      </c>
      <c r="H81" s="9" t="s">
        <v>124</v>
      </c>
      <c r="I81" s="9" t="s">
        <v>125</v>
      </c>
      <c r="J81" s="9" t="s">
        <v>33</v>
      </c>
      <c r="K81" s="9" t="s">
        <v>442</v>
      </c>
      <c r="L81" s="9" t="s">
        <v>88</v>
      </c>
      <c r="M81" s="9" t="s">
        <v>153</v>
      </c>
      <c r="N81" s="9" t="n">
        <v>226.05</v>
      </c>
      <c r="O81" s="9" t="n">
        <v>3</v>
      </c>
      <c r="P81" s="9" t="n">
        <v>0</v>
      </c>
      <c r="Q81" s="9" t="n">
        <v>39.83</v>
      </c>
    </row>
    <row r="82" customFormat="false" ht="15" hidden="false" customHeight="false" outlineLevel="0" collapsed="false">
      <c r="A82" s="9" t="s">
        <v>361</v>
      </c>
      <c r="B82" s="9" t="s">
        <v>362</v>
      </c>
      <c r="C82" s="9" t="s">
        <v>363</v>
      </c>
      <c r="D82" s="9" t="s">
        <v>40</v>
      </c>
      <c r="E82" s="9" t="s">
        <v>200</v>
      </c>
      <c r="F82" s="9" t="s">
        <v>29</v>
      </c>
      <c r="G82" s="9" t="s">
        <v>30</v>
      </c>
      <c r="H82" s="9" t="s">
        <v>124</v>
      </c>
      <c r="I82" s="9" t="s">
        <v>125</v>
      </c>
      <c r="J82" s="9" t="s">
        <v>33</v>
      </c>
      <c r="K82" s="9" t="s">
        <v>443</v>
      </c>
      <c r="L82" s="9" t="s">
        <v>35</v>
      </c>
      <c r="M82" s="9" t="s">
        <v>36</v>
      </c>
      <c r="N82" s="9" t="n">
        <v>70.65</v>
      </c>
      <c r="O82" s="9" t="n">
        <v>3</v>
      </c>
      <c r="P82" s="9" t="n">
        <v>0</v>
      </c>
      <c r="Q82" s="9" t="n">
        <v>15.7</v>
      </c>
    </row>
    <row r="83" customFormat="false" ht="15" hidden="false" customHeight="false" outlineLevel="0" collapsed="false">
      <c r="A83" s="9" t="s">
        <v>348</v>
      </c>
      <c r="B83" s="9" t="s">
        <v>349</v>
      </c>
      <c r="C83" s="9" t="s">
        <v>350</v>
      </c>
      <c r="D83" s="9" t="s">
        <v>40</v>
      </c>
      <c r="E83" s="9" t="s">
        <v>130</v>
      </c>
      <c r="F83" s="9" t="s">
        <v>83</v>
      </c>
      <c r="G83" s="9" t="s">
        <v>30</v>
      </c>
      <c r="H83" s="9" t="s">
        <v>212</v>
      </c>
      <c r="I83" s="9" t="s">
        <v>213</v>
      </c>
      <c r="J83" s="9" t="s">
        <v>96</v>
      </c>
      <c r="K83" s="9" t="s">
        <v>444</v>
      </c>
      <c r="L83" s="9" t="s">
        <v>46</v>
      </c>
      <c r="M83" s="9" t="s">
        <v>70</v>
      </c>
      <c r="N83" s="9" t="n">
        <v>367.05</v>
      </c>
      <c r="O83" s="9" t="n">
        <v>3</v>
      </c>
      <c r="P83" s="9" t="n">
        <v>0.15</v>
      </c>
      <c r="Q83" s="9" t="n">
        <v>41.9</v>
      </c>
    </row>
    <row r="84" customFormat="false" ht="15" hidden="false" customHeight="false" outlineLevel="0" collapsed="false">
      <c r="A84" s="9" t="s">
        <v>445</v>
      </c>
      <c r="B84" s="9" t="s">
        <v>407</v>
      </c>
      <c r="C84" s="9" t="s">
        <v>446</v>
      </c>
      <c r="D84" s="9" t="s">
        <v>27</v>
      </c>
      <c r="E84" s="9" t="s">
        <v>341</v>
      </c>
      <c r="F84" s="9" t="s">
        <v>60</v>
      </c>
      <c r="G84" s="9" t="s">
        <v>30</v>
      </c>
      <c r="H84" s="9" t="s">
        <v>61</v>
      </c>
      <c r="I84" s="9" t="s">
        <v>62</v>
      </c>
      <c r="J84" s="9" t="s">
        <v>44</v>
      </c>
      <c r="K84" s="9" t="s">
        <v>447</v>
      </c>
      <c r="L84" s="9" t="s">
        <v>35</v>
      </c>
      <c r="M84" s="9" t="s">
        <v>173</v>
      </c>
      <c r="N84" s="9" t="n">
        <v>467.81</v>
      </c>
      <c r="O84" s="9" t="n">
        <v>7</v>
      </c>
      <c r="P84" s="9" t="n">
        <v>0</v>
      </c>
      <c r="Q84" s="9" t="n">
        <v>66.62</v>
      </c>
    </row>
    <row r="85" customFormat="false" ht="15" hidden="false" customHeight="false" outlineLevel="0" collapsed="false">
      <c r="A85" s="9" t="s">
        <v>448</v>
      </c>
      <c r="B85" s="9" t="s">
        <v>449</v>
      </c>
      <c r="C85" s="9" t="s">
        <v>450</v>
      </c>
      <c r="D85" s="9" t="s">
        <v>40</v>
      </c>
      <c r="E85" s="9" t="s">
        <v>451</v>
      </c>
      <c r="F85" s="9" t="s">
        <v>60</v>
      </c>
      <c r="G85" s="9" t="s">
        <v>30</v>
      </c>
      <c r="H85" s="9" t="s">
        <v>308</v>
      </c>
      <c r="I85" s="9" t="s">
        <v>132</v>
      </c>
      <c r="J85" s="9" t="s">
        <v>86</v>
      </c>
      <c r="K85" s="9" t="s">
        <v>452</v>
      </c>
      <c r="L85" s="9" t="s">
        <v>46</v>
      </c>
      <c r="M85" s="9" t="s">
        <v>64</v>
      </c>
      <c r="N85" s="9" t="n">
        <v>7773.39</v>
      </c>
      <c r="O85" s="9" t="n">
        <v>9</v>
      </c>
      <c r="P85" s="9" t="n">
        <v>0.1</v>
      </c>
      <c r="Q85" s="9" t="n">
        <v>-430.01</v>
      </c>
    </row>
    <row r="86" customFormat="false" ht="15" hidden="false" customHeight="false" outlineLevel="0" collapsed="false">
      <c r="A86" s="9" t="s">
        <v>453</v>
      </c>
      <c r="B86" s="9" t="s">
        <v>401</v>
      </c>
      <c r="C86" s="9" t="s">
        <v>454</v>
      </c>
      <c r="D86" s="9" t="s">
        <v>27</v>
      </c>
      <c r="E86" s="9" t="s">
        <v>455</v>
      </c>
      <c r="F86" s="9" t="s">
        <v>29</v>
      </c>
      <c r="G86" s="9" t="s">
        <v>30</v>
      </c>
      <c r="H86" s="9" t="s">
        <v>61</v>
      </c>
      <c r="I86" s="9" t="s">
        <v>62</v>
      </c>
      <c r="J86" s="9" t="s">
        <v>44</v>
      </c>
      <c r="K86" s="9" t="s">
        <v>456</v>
      </c>
      <c r="L86" s="9" t="s">
        <v>46</v>
      </c>
      <c r="M86" s="9" t="s">
        <v>70</v>
      </c>
      <c r="N86" s="9" t="n">
        <v>391.95</v>
      </c>
      <c r="O86" s="9" t="n">
        <v>9</v>
      </c>
      <c r="P86" s="9" t="n">
        <v>0.15</v>
      </c>
      <c r="Q86" s="9" t="n">
        <v>49.19</v>
      </c>
    </row>
    <row r="87" customFormat="false" ht="15" hidden="false" customHeight="false" outlineLevel="0" collapsed="false">
      <c r="A87" s="9" t="s">
        <v>457</v>
      </c>
      <c r="B87" s="9" t="s">
        <v>458</v>
      </c>
      <c r="C87" s="9" t="s">
        <v>459</v>
      </c>
      <c r="D87" s="9" t="s">
        <v>40</v>
      </c>
      <c r="E87" s="9" t="s">
        <v>460</v>
      </c>
      <c r="F87" s="9" t="s">
        <v>29</v>
      </c>
      <c r="G87" s="9" t="s">
        <v>30</v>
      </c>
      <c r="H87" s="9" t="s">
        <v>31</v>
      </c>
      <c r="I87" s="9" t="s">
        <v>32</v>
      </c>
      <c r="J87" s="9" t="s">
        <v>33</v>
      </c>
      <c r="K87" s="9" t="s">
        <v>461</v>
      </c>
      <c r="L87" s="9" t="s">
        <v>35</v>
      </c>
      <c r="M87" s="9" t="s">
        <v>36</v>
      </c>
      <c r="N87" s="9" t="n">
        <v>43.26</v>
      </c>
      <c r="O87" s="9" t="n">
        <v>6</v>
      </c>
      <c r="P87" s="9" t="n">
        <v>0</v>
      </c>
      <c r="Q87" s="9" t="n">
        <v>13.92</v>
      </c>
    </row>
    <row r="88" customFormat="false" ht="15" hidden="false" customHeight="false" outlineLevel="0" collapsed="false">
      <c r="A88" s="9" t="s">
        <v>462</v>
      </c>
      <c r="B88" s="9" t="s">
        <v>463</v>
      </c>
      <c r="C88" s="9" t="s">
        <v>464</v>
      </c>
      <c r="D88" s="9" t="s">
        <v>27</v>
      </c>
      <c r="E88" s="9" t="s">
        <v>465</v>
      </c>
      <c r="F88" s="9" t="s">
        <v>60</v>
      </c>
      <c r="G88" s="9" t="s">
        <v>30</v>
      </c>
      <c r="H88" s="9" t="s">
        <v>75</v>
      </c>
      <c r="I88" s="9" t="s">
        <v>76</v>
      </c>
      <c r="J88" s="9" t="s">
        <v>33</v>
      </c>
      <c r="K88" s="9" t="s">
        <v>466</v>
      </c>
      <c r="L88" s="9" t="s">
        <v>35</v>
      </c>
      <c r="M88" s="9" t="s">
        <v>78</v>
      </c>
      <c r="N88" s="9" t="n">
        <v>19.3</v>
      </c>
      <c r="O88" s="9" t="n">
        <v>5</v>
      </c>
      <c r="P88" s="9" t="n">
        <v>0</v>
      </c>
      <c r="Q88" s="9" t="n">
        <v>6.95</v>
      </c>
    </row>
    <row r="89" customFormat="false" ht="15" hidden="false" customHeight="false" outlineLevel="0" collapsed="false">
      <c r="A89" s="9" t="s">
        <v>467</v>
      </c>
      <c r="B89" s="9" t="s">
        <v>468</v>
      </c>
      <c r="C89" s="9" t="s">
        <v>469</v>
      </c>
      <c r="D89" s="9" t="s">
        <v>51</v>
      </c>
      <c r="E89" s="9" t="s">
        <v>470</v>
      </c>
      <c r="F89" s="9" t="s">
        <v>29</v>
      </c>
      <c r="G89" s="9" t="s">
        <v>30</v>
      </c>
      <c r="H89" s="9" t="s">
        <v>31</v>
      </c>
      <c r="I89" s="9" t="s">
        <v>32</v>
      </c>
      <c r="J89" s="9" t="s">
        <v>33</v>
      </c>
      <c r="K89" s="9" t="s">
        <v>471</v>
      </c>
      <c r="L89" s="9" t="s">
        <v>35</v>
      </c>
      <c r="M89" s="9" t="s">
        <v>173</v>
      </c>
      <c r="N89" s="9" t="n">
        <v>388.08</v>
      </c>
      <c r="O89" s="9" t="n">
        <v>4</v>
      </c>
      <c r="P89" s="9" t="n">
        <v>0.15</v>
      </c>
      <c r="Q89" s="9" t="n">
        <v>-4.27</v>
      </c>
    </row>
    <row r="90" customFormat="false" ht="15" hidden="false" customHeight="false" outlineLevel="0" collapsed="false">
      <c r="A90" s="9" t="s">
        <v>472</v>
      </c>
      <c r="B90" s="9" t="s">
        <v>50</v>
      </c>
      <c r="C90" s="9" t="s">
        <v>92</v>
      </c>
      <c r="D90" s="9" t="s">
        <v>102</v>
      </c>
      <c r="E90" s="9" t="s">
        <v>473</v>
      </c>
      <c r="F90" s="9" t="s">
        <v>29</v>
      </c>
      <c r="G90" s="9" t="s">
        <v>30</v>
      </c>
      <c r="H90" s="9" t="s">
        <v>397</v>
      </c>
      <c r="I90" s="9" t="s">
        <v>267</v>
      </c>
      <c r="J90" s="9" t="s">
        <v>44</v>
      </c>
      <c r="K90" s="9" t="s">
        <v>474</v>
      </c>
      <c r="L90" s="9" t="s">
        <v>35</v>
      </c>
      <c r="M90" s="9" t="s">
        <v>179</v>
      </c>
      <c r="N90" s="9" t="n">
        <v>54.8</v>
      </c>
      <c r="O90" s="9" t="n">
        <v>4</v>
      </c>
      <c r="P90" s="9" t="n">
        <v>0.15</v>
      </c>
      <c r="Q90" s="9" t="n">
        <v>10.91</v>
      </c>
    </row>
    <row r="91" customFormat="false" ht="15" hidden="false" customHeight="false" outlineLevel="0" collapsed="false">
      <c r="A91" s="9" t="s">
        <v>475</v>
      </c>
      <c r="B91" s="9" t="s">
        <v>476</v>
      </c>
      <c r="C91" s="9" t="s">
        <v>477</v>
      </c>
      <c r="D91" s="9" t="s">
        <v>27</v>
      </c>
      <c r="E91" s="9" t="s">
        <v>478</v>
      </c>
      <c r="F91" s="9" t="s">
        <v>83</v>
      </c>
      <c r="G91" s="9" t="s">
        <v>30</v>
      </c>
      <c r="H91" s="9" t="s">
        <v>163</v>
      </c>
      <c r="I91" s="9" t="s">
        <v>164</v>
      </c>
      <c r="J91" s="9" t="s">
        <v>96</v>
      </c>
      <c r="K91" s="9" t="s">
        <v>479</v>
      </c>
      <c r="L91" s="9" t="s">
        <v>35</v>
      </c>
      <c r="M91" s="9" t="s">
        <v>98</v>
      </c>
      <c r="N91" s="9" t="n">
        <v>80.28</v>
      </c>
      <c r="O91" s="9" t="n">
        <v>9</v>
      </c>
      <c r="P91" s="9" t="n">
        <v>0</v>
      </c>
      <c r="Q91" s="9" t="n">
        <v>-0.35</v>
      </c>
    </row>
    <row r="92" customFormat="false" ht="15" hidden="false" customHeight="false" outlineLevel="0" collapsed="false">
      <c r="A92" s="9" t="s">
        <v>480</v>
      </c>
      <c r="B92" s="9" t="s">
        <v>481</v>
      </c>
      <c r="C92" s="9" t="s">
        <v>482</v>
      </c>
      <c r="D92" s="9" t="s">
        <v>40</v>
      </c>
      <c r="E92" s="9" t="s">
        <v>483</v>
      </c>
      <c r="F92" s="9" t="s">
        <v>29</v>
      </c>
      <c r="G92" s="9" t="s">
        <v>30</v>
      </c>
      <c r="H92" s="9" t="s">
        <v>484</v>
      </c>
      <c r="I92" s="9" t="s">
        <v>171</v>
      </c>
      <c r="J92" s="9" t="s">
        <v>86</v>
      </c>
      <c r="K92" s="9" t="s">
        <v>485</v>
      </c>
      <c r="L92" s="9" t="s">
        <v>46</v>
      </c>
      <c r="M92" s="9" t="s">
        <v>70</v>
      </c>
      <c r="N92" s="9" t="n">
        <v>733.8</v>
      </c>
      <c r="O92" s="9" t="n">
        <v>6</v>
      </c>
      <c r="P92" s="9" t="n">
        <v>0.15</v>
      </c>
      <c r="Q92" s="9" t="n">
        <v>117.8</v>
      </c>
    </row>
    <row r="93" customFormat="false" ht="15" hidden="false" customHeight="false" outlineLevel="0" collapsed="false">
      <c r="A93" s="9" t="s">
        <v>486</v>
      </c>
      <c r="B93" s="9" t="s">
        <v>487</v>
      </c>
      <c r="C93" s="9" t="s">
        <v>488</v>
      </c>
      <c r="D93" s="9" t="s">
        <v>40</v>
      </c>
      <c r="E93" s="9" t="s">
        <v>93</v>
      </c>
      <c r="F93" s="9" t="s">
        <v>83</v>
      </c>
      <c r="G93" s="9" t="s">
        <v>30</v>
      </c>
      <c r="H93" s="9" t="s">
        <v>489</v>
      </c>
      <c r="I93" s="9" t="s">
        <v>95</v>
      </c>
      <c r="J93" s="9" t="s">
        <v>96</v>
      </c>
      <c r="K93" s="9" t="s">
        <v>490</v>
      </c>
      <c r="L93" s="9" t="s">
        <v>88</v>
      </c>
      <c r="M93" s="9" t="s">
        <v>197</v>
      </c>
      <c r="N93" s="9" t="n">
        <v>1219.36</v>
      </c>
      <c r="O93" s="9" t="n">
        <v>4</v>
      </c>
      <c r="P93" s="9" t="n">
        <v>0.1</v>
      </c>
      <c r="Q93" s="9" t="n">
        <v>-200.83</v>
      </c>
    </row>
    <row r="94" customFormat="false" ht="15" hidden="false" customHeight="false" outlineLevel="0" collapsed="false">
      <c r="A94" s="9" t="s">
        <v>491</v>
      </c>
      <c r="B94" s="9" t="s">
        <v>492</v>
      </c>
      <c r="C94" s="9" t="s">
        <v>331</v>
      </c>
      <c r="D94" s="9" t="s">
        <v>102</v>
      </c>
      <c r="E94" s="9" t="s">
        <v>228</v>
      </c>
      <c r="F94" s="9" t="s">
        <v>29</v>
      </c>
      <c r="G94" s="9" t="s">
        <v>30</v>
      </c>
      <c r="H94" s="9" t="s">
        <v>206</v>
      </c>
      <c r="I94" s="9" t="s">
        <v>164</v>
      </c>
      <c r="J94" s="9" t="s">
        <v>96</v>
      </c>
      <c r="K94" s="9" t="s">
        <v>493</v>
      </c>
      <c r="L94" s="9" t="s">
        <v>35</v>
      </c>
      <c r="M94" s="9" t="s">
        <v>179</v>
      </c>
      <c r="N94" s="9" t="n">
        <v>135.18</v>
      </c>
      <c r="O94" s="9" t="n">
        <v>9</v>
      </c>
      <c r="P94" s="9" t="n">
        <v>0</v>
      </c>
      <c r="Q94" s="9" t="n">
        <v>39.99</v>
      </c>
    </row>
    <row r="95" customFormat="false" ht="15" hidden="false" customHeight="false" outlineLevel="0" collapsed="false">
      <c r="A95" s="9" t="s">
        <v>494</v>
      </c>
      <c r="B95" s="9" t="s">
        <v>495</v>
      </c>
      <c r="C95" s="9" t="s">
        <v>496</v>
      </c>
      <c r="D95" s="9" t="s">
        <v>40</v>
      </c>
      <c r="E95" s="9" t="s">
        <v>297</v>
      </c>
      <c r="F95" s="9" t="s">
        <v>83</v>
      </c>
      <c r="G95" s="9" t="s">
        <v>30</v>
      </c>
      <c r="H95" s="9" t="s">
        <v>212</v>
      </c>
      <c r="I95" s="9" t="s">
        <v>213</v>
      </c>
      <c r="J95" s="9" t="s">
        <v>96</v>
      </c>
      <c r="K95" s="9" t="s">
        <v>497</v>
      </c>
      <c r="L95" s="9" t="s">
        <v>88</v>
      </c>
      <c r="M95" s="9" t="s">
        <v>153</v>
      </c>
      <c r="N95" s="9" t="n">
        <v>54.32</v>
      </c>
      <c r="O95" s="9" t="n">
        <v>2</v>
      </c>
      <c r="P95" s="9" t="n">
        <v>0</v>
      </c>
      <c r="Q95" s="9" t="n">
        <v>7.13</v>
      </c>
    </row>
    <row r="96" customFormat="false" ht="15" hidden="false" customHeight="false" outlineLevel="0" collapsed="false">
      <c r="A96" s="9" t="s">
        <v>498</v>
      </c>
      <c r="B96" s="9" t="s">
        <v>499</v>
      </c>
      <c r="C96" s="9" t="s">
        <v>500</v>
      </c>
      <c r="D96" s="9" t="s">
        <v>27</v>
      </c>
      <c r="E96" s="9" t="s">
        <v>249</v>
      </c>
      <c r="F96" s="9" t="s">
        <v>29</v>
      </c>
      <c r="G96" s="9" t="s">
        <v>30</v>
      </c>
      <c r="H96" s="9" t="s">
        <v>170</v>
      </c>
      <c r="I96" s="9" t="s">
        <v>171</v>
      </c>
      <c r="J96" s="9" t="s">
        <v>86</v>
      </c>
      <c r="K96" s="9" t="s">
        <v>501</v>
      </c>
      <c r="L96" s="9" t="s">
        <v>35</v>
      </c>
      <c r="M96" s="9" t="s">
        <v>173</v>
      </c>
      <c r="N96" s="9" t="n">
        <v>91.54</v>
      </c>
      <c r="O96" s="9" t="n">
        <v>2</v>
      </c>
      <c r="P96" s="9" t="n">
        <v>0.1</v>
      </c>
      <c r="Q96" s="9" t="n">
        <v>5.73</v>
      </c>
    </row>
    <row r="97" customFormat="false" ht="15" hidden="false" customHeight="false" outlineLevel="0" collapsed="false">
      <c r="A97" s="9" t="s">
        <v>502</v>
      </c>
      <c r="B97" s="9" t="s">
        <v>503</v>
      </c>
      <c r="C97" s="9" t="s">
        <v>504</v>
      </c>
      <c r="D97" s="9" t="s">
        <v>27</v>
      </c>
      <c r="E97" s="9" t="s">
        <v>505</v>
      </c>
      <c r="F97" s="9" t="s">
        <v>60</v>
      </c>
      <c r="G97" s="9" t="s">
        <v>30</v>
      </c>
      <c r="H97" s="9" t="s">
        <v>506</v>
      </c>
      <c r="I97" s="9" t="s">
        <v>95</v>
      </c>
      <c r="J97" s="9" t="s">
        <v>96</v>
      </c>
      <c r="K97" s="9" t="s">
        <v>507</v>
      </c>
      <c r="L97" s="9" t="s">
        <v>35</v>
      </c>
      <c r="M97" s="9" t="s">
        <v>78</v>
      </c>
      <c r="N97" s="9" t="n">
        <v>94.76</v>
      </c>
      <c r="O97" s="9" t="n">
        <v>4</v>
      </c>
      <c r="P97" s="9" t="n">
        <v>0</v>
      </c>
      <c r="Q97" s="9" t="n">
        <v>37.03</v>
      </c>
    </row>
    <row r="98" customFormat="false" ht="15" hidden="false" customHeight="false" outlineLevel="0" collapsed="false">
      <c r="A98" s="9" t="s">
        <v>508</v>
      </c>
      <c r="B98" s="9" t="s">
        <v>509</v>
      </c>
      <c r="C98" s="9" t="s">
        <v>510</v>
      </c>
      <c r="D98" s="9" t="s">
        <v>51</v>
      </c>
      <c r="E98" s="9" t="s">
        <v>511</v>
      </c>
      <c r="F98" s="9" t="s">
        <v>29</v>
      </c>
      <c r="G98" s="9" t="s">
        <v>30</v>
      </c>
      <c r="H98" s="9" t="s">
        <v>266</v>
      </c>
      <c r="I98" s="9" t="s">
        <v>267</v>
      </c>
      <c r="J98" s="9" t="s">
        <v>44</v>
      </c>
      <c r="K98" s="9" t="s">
        <v>512</v>
      </c>
      <c r="L98" s="9" t="s">
        <v>35</v>
      </c>
      <c r="M98" s="9" t="s">
        <v>114</v>
      </c>
      <c r="N98" s="9" t="n">
        <v>15.94</v>
      </c>
      <c r="O98" s="9" t="n">
        <v>2</v>
      </c>
      <c r="P98" s="9" t="n">
        <v>0</v>
      </c>
      <c r="Q98" s="9" t="n">
        <v>5.54</v>
      </c>
    </row>
    <row r="99" customFormat="false" ht="15" hidden="false" customHeight="false" outlineLevel="0" collapsed="false">
      <c r="A99" s="9" t="s">
        <v>513</v>
      </c>
      <c r="B99" s="9" t="s">
        <v>344</v>
      </c>
      <c r="C99" s="9" t="s">
        <v>514</v>
      </c>
      <c r="D99" s="9" t="s">
        <v>40</v>
      </c>
      <c r="E99" s="9" t="s">
        <v>368</v>
      </c>
      <c r="F99" s="9" t="s">
        <v>60</v>
      </c>
      <c r="G99" s="9" t="s">
        <v>30</v>
      </c>
      <c r="H99" s="9" t="s">
        <v>104</v>
      </c>
      <c r="I99" s="9" t="s">
        <v>105</v>
      </c>
      <c r="J99" s="9" t="s">
        <v>44</v>
      </c>
      <c r="K99" s="9" t="s">
        <v>515</v>
      </c>
      <c r="L99" s="9" t="s">
        <v>35</v>
      </c>
      <c r="M99" s="9" t="s">
        <v>36</v>
      </c>
      <c r="N99" s="9" t="n">
        <v>80.56</v>
      </c>
      <c r="O99" s="9" t="n">
        <v>8</v>
      </c>
      <c r="P99" s="9" t="n">
        <v>0</v>
      </c>
      <c r="Q99" s="9" t="n">
        <v>21.05</v>
      </c>
    </row>
    <row r="100" customFormat="false" ht="15" hidden="false" customHeight="false" outlineLevel="0" collapsed="false">
      <c r="A100" s="9" t="s">
        <v>516</v>
      </c>
      <c r="B100" s="9" t="s">
        <v>517</v>
      </c>
      <c r="C100" s="9" t="s">
        <v>518</v>
      </c>
      <c r="D100" s="9" t="s">
        <v>51</v>
      </c>
      <c r="E100" s="9" t="s">
        <v>157</v>
      </c>
      <c r="F100" s="9" t="s">
        <v>60</v>
      </c>
      <c r="G100" s="9" t="s">
        <v>30</v>
      </c>
      <c r="H100" s="9" t="s">
        <v>177</v>
      </c>
      <c r="I100" s="9" t="s">
        <v>62</v>
      </c>
      <c r="J100" s="9" t="s">
        <v>44</v>
      </c>
      <c r="K100" s="9" t="s">
        <v>519</v>
      </c>
      <c r="L100" s="9" t="s">
        <v>35</v>
      </c>
      <c r="M100" s="9" t="s">
        <v>185</v>
      </c>
      <c r="N100" s="9" t="n">
        <v>264.56</v>
      </c>
      <c r="O100" s="9" t="n">
        <v>4</v>
      </c>
      <c r="P100" s="9" t="n">
        <v>0</v>
      </c>
      <c r="Q100" s="9" t="n">
        <v>49.86</v>
      </c>
    </row>
    <row r="101" customFormat="false" ht="15" hidden="false" customHeight="false" outlineLevel="0" collapsed="false">
      <c r="A101" s="9" t="s">
        <v>520</v>
      </c>
      <c r="B101" s="9" t="s">
        <v>521</v>
      </c>
      <c r="C101" s="9" t="s">
        <v>522</v>
      </c>
      <c r="D101" s="9" t="s">
        <v>40</v>
      </c>
      <c r="E101" s="9" t="s">
        <v>523</v>
      </c>
      <c r="F101" s="9" t="s">
        <v>60</v>
      </c>
      <c r="G101" s="9" t="s">
        <v>30</v>
      </c>
      <c r="H101" s="9" t="s">
        <v>308</v>
      </c>
      <c r="I101" s="9" t="s">
        <v>132</v>
      </c>
      <c r="J101" s="9" t="s">
        <v>86</v>
      </c>
      <c r="K101" s="9" t="s">
        <v>524</v>
      </c>
      <c r="L101" s="9" t="s">
        <v>46</v>
      </c>
      <c r="M101" s="9" t="s">
        <v>70</v>
      </c>
      <c r="N101" s="9" t="n">
        <v>458.16</v>
      </c>
      <c r="O101" s="9" t="n">
        <v>6</v>
      </c>
      <c r="P101" s="9" t="n">
        <v>0.7</v>
      </c>
      <c r="Q101" s="9" t="n">
        <v>-66.2</v>
      </c>
    </row>
    <row r="102" customFormat="false" ht="15" hidden="false" customHeight="false" outlineLevel="0" collapsed="false">
      <c r="A102" s="9" t="s">
        <v>525</v>
      </c>
      <c r="B102" s="9" t="s">
        <v>526</v>
      </c>
      <c r="C102" s="9" t="s">
        <v>527</v>
      </c>
      <c r="D102" s="9" t="s">
        <v>40</v>
      </c>
      <c r="E102" s="9" t="s">
        <v>528</v>
      </c>
      <c r="F102" s="9" t="s">
        <v>29</v>
      </c>
      <c r="G102" s="9" t="s">
        <v>30</v>
      </c>
      <c r="H102" s="9" t="s">
        <v>138</v>
      </c>
      <c r="I102" s="9" t="s">
        <v>85</v>
      </c>
      <c r="J102" s="9" t="s">
        <v>86</v>
      </c>
      <c r="K102" s="9" t="s">
        <v>529</v>
      </c>
      <c r="L102" s="9" t="s">
        <v>35</v>
      </c>
      <c r="M102" s="9" t="s">
        <v>114</v>
      </c>
      <c r="N102" s="9" t="n">
        <v>157.98</v>
      </c>
      <c r="O102" s="9" t="n">
        <v>6</v>
      </c>
      <c r="P102" s="9" t="n">
        <v>0.15</v>
      </c>
      <c r="Q102" s="9" t="n">
        <v>25.36</v>
      </c>
    </row>
    <row r="103" customFormat="false" ht="15" hidden="false" customHeight="false" outlineLevel="0" collapsed="false">
      <c r="A103" s="9" t="s">
        <v>530</v>
      </c>
      <c r="B103" s="9" t="s">
        <v>531</v>
      </c>
      <c r="C103" s="9" t="s">
        <v>532</v>
      </c>
      <c r="D103" s="9" t="s">
        <v>102</v>
      </c>
      <c r="E103" s="9" t="s">
        <v>533</v>
      </c>
      <c r="F103" s="9" t="s">
        <v>83</v>
      </c>
      <c r="G103" s="9" t="s">
        <v>30</v>
      </c>
      <c r="H103" s="9" t="s">
        <v>484</v>
      </c>
      <c r="I103" s="9" t="s">
        <v>171</v>
      </c>
      <c r="J103" s="9" t="s">
        <v>86</v>
      </c>
      <c r="K103" s="9" t="s">
        <v>534</v>
      </c>
      <c r="L103" s="9" t="s">
        <v>35</v>
      </c>
      <c r="M103" s="9" t="s">
        <v>356</v>
      </c>
      <c r="N103" s="9" t="n">
        <v>138.32</v>
      </c>
      <c r="O103" s="9" t="n">
        <v>8</v>
      </c>
      <c r="P103" s="9" t="n">
        <v>0.15</v>
      </c>
      <c r="Q103" s="9" t="n">
        <v>28.31</v>
      </c>
    </row>
    <row r="104" customFormat="false" ht="15" hidden="false" customHeight="false" outlineLevel="0" collapsed="false">
      <c r="A104" s="9" t="s">
        <v>535</v>
      </c>
      <c r="B104" s="9" t="s">
        <v>536</v>
      </c>
      <c r="C104" s="9" t="s">
        <v>537</v>
      </c>
      <c r="D104" s="9" t="s">
        <v>40</v>
      </c>
      <c r="E104" s="9" t="s">
        <v>538</v>
      </c>
      <c r="F104" s="9" t="s">
        <v>60</v>
      </c>
      <c r="G104" s="9" t="s">
        <v>30</v>
      </c>
      <c r="H104" s="9" t="s">
        <v>266</v>
      </c>
      <c r="I104" s="9" t="s">
        <v>267</v>
      </c>
      <c r="J104" s="9" t="s">
        <v>44</v>
      </c>
      <c r="K104" s="9" t="s">
        <v>539</v>
      </c>
      <c r="L104" s="9" t="s">
        <v>46</v>
      </c>
      <c r="M104" s="9" t="s">
        <v>47</v>
      </c>
      <c r="N104" s="9" t="n">
        <v>4911.18</v>
      </c>
      <c r="O104" s="9" t="n">
        <v>6</v>
      </c>
      <c r="P104" s="9" t="n">
        <v>0</v>
      </c>
      <c r="Q104" s="9" t="n">
        <v>833.19</v>
      </c>
    </row>
    <row r="105" customFormat="false" ht="15" hidden="false" customHeight="false" outlineLevel="0" collapsed="false">
      <c r="A105" s="9" t="s">
        <v>457</v>
      </c>
      <c r="B105" s="9" t="s">
        <v>458</v>
      </c>
      <c r="C105" s="9" t="s">
        <v>459</v>
      </c>
      <c r="D105" s="9" t="s">
        <v>40</v>
      </c>
      <c r="E105" s="9" t="s">
        <v>460</v>
      </c>
      <c r="F105" s="9" t="s">
        <v>29</v>
      </c>
      <c r="G105" s="9" t="s">
        <v>30</v>
      </c>
      <c r="H105" s="9" t="s">
        <v>31</v>
      </c>
      <c r="I105" s="9" t="s">
        <v>32</v>
      </c>
      <c r="J105" s="9" t="s">
        <v>33</v>
      </c>
      <c r="K105" s="9" t="s">
        <v>540</v>
      </c>
      <c r="L105" s="9" t="s">
        <v>88</v>
      </c>
      <c r="M105" s="9" t="s">
        <v>89</v>
      </c>
      <c r="N105" s="9" t="n">
        <v>1679.85</v>
      </c>
      <c r="O105" s="9" t="n">
        <v>9</v>
      </c>
      <c r="P105" s="9" t="n">
        <v>0.1</v>
      </c>
      <c r="Q105" s="9" t="n">
        <v>65.42</v>
      </c>
    </row>
    <row r="106" customFormat="false" ht="15" hidden="false" customHeight="false" outlineLevel="0" collapsed="false">
      <c r="A106" s="9" t="s">
        <v>541</v>
      </c>
      <c r="B106" s="9" t="s">
        <v>542</v>
      </c>
      <c r="C106" s="9" t="s">
        <v>543</v>
      </c>
      <c r="D106" s="9" t="s">
        <v>40</v>
      </c>
      <c r="E106" s="9" t="s">
        <v>544</v>
      </c>
      <c r="F106" s="9" t="s">
        <v>60</v>
      </c>
      <c r="G106" s="9" t="s">
        <v>30</v>
      </c>
      <c r="H106" s="9" t="s">
        <v>212</v>
      </c>
      <c r="I106" s="9" t="s">
        <v>213</v>
      </c>
      <c r="J106" s="9" t="s">
        <v>96</v>
      </c>
      <c r="K106" s="9" t="s">
        <v>545</v>
      </c>
      <c r="L106" s="9" t="s">
        <v>88</v>
      </c>
      <c r="M106" s="9" t="s">
        <v>197</v>
      </c>
      <c r="N106" s="9" t="n">
        <v>3156.65</v>
      </c>
      <c r="O106" s="9" t="n">
        <v>7</v>
      </c>
      <c r="P106" s="9" t="n">
        <v>0.8</v>
      </c>
      <c r="Q106" s="9" t="n">
        <v>-1521.02</v>
      </c>
    </row>
    <row r="107" customFormat="false" ht="15" hidden="false" customHeight="false" outlineLevel="0" collapsed="false">
      <c r="A107" s="9" t="s">
        <v>546</v>
      </c>
      <c r="B107" s="9" t="s">
        <v>547</v>
      </c>
      <c r="C107" s="9" t="s">
        <v>548</v>
      </c>
      <c r="D107" s="9" t="s">
        <v>27</v>
      </c>
      <c r="E107" s="9" t="s">
        <v>549</v>
      </c>
      <c r="F107" s="9" t="s">
        <v>29</v>
      </c>
      <c r="G107" s="9" t="s">
        <v>30</v>
      </c>
      <c r="H107" s="9" t="s">
        <v>94</v>
      </c>
      <c r="I107" s="9" t="s">
        <v>95</v>
      </c>
      <c r="J107" s="9" t="s">
        <v>96</v>
      </c>
      <c r="K107" s="9" t="s">
        <v>550</v>
      </c>
      <c r="L107" s="9" t="s">
        <v>35</v>
      </c>
      <c r="M107" s="9" t="s">
        <v>179</v>
      </c>
      <c r="N107" s="9" t="n">
        <v>43.04</v>
      </c>
      <c r="O107" s="9" t="n">
        <v>8</v>
      </c>
      <c r="P107" s="9" t="n">
        <v>0.15</v>
      </c>
      <c r="Q107" s="9" t="n">
        <v>9.43</v>
      </c>
    </row>
    <row r="108" customFormat="false" ht="15" hidden="false" customHeight="false" outlineLevel="0" collapsed="false">
      <c r="A108" s="9" t="s">
        <v>551</v>
      </c>
      <c r="B108" s="9" t="s">
        <v>552</v>
      </c>
      <c r="C108" s="9" t="s">
        <v>187</v>
      </c>
      <c r="D108" s="9" t="s">
        <v>40</v>
      </c>
      <c r="E108" s="9" t="s">
        <v>553</v>
      </c>
      <c r="F108" s="9" t="s">
        <v>60</v>
      </c>
      <c r="G108" s="9" t="s">
        <v>30</v>
      </c>
      <c r="H108" s="9" t="s">
        <v>224</v>
      </c>
      <c r="I108" s="9" t="s">
        <v>125</v>
      </c>
      <c r="J108" s="9" t="s">
        <v>33</v>
      </c>
      <c r="K108" s="9" t="s">
        <v>554</v>
      </c>
      <c r="L108" s="9" t="s">
        <v>35</v>
      </c>
      <c r="M108" s="9" t="s">
        <v>356</v>
      </c>
      <c r="N108" s="9" t="n">
        <v>133.62</v>
      </c>
      <c r="O108" s="9" t="n">
        <v>6</v>
      </c>
      <c r="P108" s="9" t="n">
        <v>0</v>
      </c>
      <c r="Q108" s="9" t="n">
        <v>37.06</v>
      </c>
    </row>
    <row r="109" customFormat="false" ht="15" hidden="false" customHeight="false" outlineLevel="0" collapsed="false">
      <c r="A109" s="9" t="s">
        <v>555</v>
      </c>
      <c r="B109" s="9" t="s">
        <v>556</v>
      </c>
      <c r="C109" s="9" t="s">
        <v>557</v>
      </c>
      <c r="D109" s="9" t="s">
        <v>102</v>
      </c>
      <c r="E109" s="9" t="s">
        <v>297</v>
      </c>
      <c r="F109" s="9" t="s">
        <v>83</v>
      </c>
      <c r="G109" s="9" t="s">
        <v>30</v>
      </c>
      <c r="H109" s="9" t="s">
        <v>53</v>
      </c>
      <c r="I109" s="9" t="s">
        <v>43</v>
      </c>
      <c r="J109" s="9" t="s">
        <v>44</v>
      </c>
      <c r="K109" s="9" t="s">
        <v>558</v>
      </c>
      <c r="L109" s="9" t="s">
        <v>88</v>
      </c>
      <c r="M109" s="9" t="s">
        <v>89</v>
      </c>
      <c r="N109" s="9" t="n">
        <v>985.53</v>
      </c>
      <c r="O109" s="9" t="n">
        <v>7</v>
      </c>
      <c r="P109" s="9" t="n">
        <v>0</v>
      </c>
      <c r="Q109" s="9" t="n">
        <v>-29.41</v>
      </c>
    </row>
    <row r="110" customFormat="false" ht="15" hidden="false" customHeight="false" outlineLevel="0" collapsed="false">
      <c r="A110" s="9" t="s">
        <v>559</v>
      </c>
      <c r="B110" s="9" t="s">
        <v>527</v>
      </c>
      <c r="C110" s="9" t="s">
        <v>339</v>
      </c>
      <c r="D110" s="9" t="s">
        <v>40</v>
      </c>
      <c r="E110" s="9" t="s">
        <v>238</v>
      </c>
      <c r="F110" s="9" t="s">
        <v>60</v>
      </c>
      <c r="G110" s="9" t="s">
        <v>30</v>
      </c>
      <c r="H110" s="9" t="s">
        <v>53</v>
      </c>
      <c r="I110" s="9" t="s">
        <v>43</v>
      </c>
      <c r="J110" s="9" t="s">
        <v>44</v>
      </c>
      <c r="K110" s="9" t="s">
        <v>560</v>
      </c>
      <c r="L110" s="9" t="s">
        <v>88</v>
      </c>
      <c r="M110" s="9" t="s">
        <v>153</v>
      </c>
      <c r="N110" s="9" t="n">
        <v>320.65</v>
      </c>
      <c r="O110" s="9" t="n">
        <v>5</v>
      </c>
      <c r="P110" s="9" t="n">
        <v>0</v>
      </c>
      <c r="Q110" s="9" t="n">
        <v>48.63</v>
      </c>
    </row>
    <row r="111" customFormat="false" ht="15" hidden="false" customHeight="false" outlineLevel="0" collapsed="false">
      <c r="A111" s="9" t="s">
        <v>365</v>
      </c>
      <c r="B111" s="9" t="s">
        <v>366</v>
      </c>
      <c r="C111" s="9" t="s">
        <v>367</v>
      </c>
      <c r="D111" s="9" t="s">
        <v>40</v>
      </c>
      <c r="E111" s="9" t="s">
        <v>368</v>
      </c>
      <c r="F111" s="9" t="s">
        <v>83</v>
      </c>
      <c r="G111" s="9" t="s">
        <v>30</v>
      </c>
      <c r="H111" s="9" t="s">
        <v>111</v>
      </c>
      <c r="I111" s="9" t="s">
        <v>112</v>
      </c>
      <c r="J111" s="9" t="s">
        <v>86</v>
      </c>
      <c r="K111" s="9" t="s">
        <v>561</v>
      </c>
      <c r="L111" s="9" t="s">
        <v>46</v>
      </c>
      <c r="M111" s="9" t="s">
        <v>47</v>
      </c>
      <c r="N111" s="9" t="n">
        <v>1367.01</v>
      </c>
      <c r="O111" s="9" t="n">
        <v>9</v>
      </c>
      <c r="P111" s="9" t="n">
        <v>0</v>
      </c>
      <c r="Q111" s="9" t="n">
        <v>229.01</v>
      </c>
    </row>
    <row r="112" customFormat="false" ht="15" hidden="false" customHeight="false" outlineLevel="0" collapsed="false">
      <c r="A112" s="9" t="s">
        <v>562</v>
      </c>
      <c r="B112" s="9" t="s">
        <v>563</v>
      </c>
      <c r="C112" s="9" t="s">
        <v>564</v>
      </c>
      <c r="D112" s="9" t="s">
        <v>102</v>
      </c>
      <c r="E112" s="9" t="s">
        <v>565</v>
      </c>
      <c r="F112" s="9" t="s">
        <v>83</v>
      </c>
      <c r="G112" s="9" t="s">
        <v>30</v>
      </c>
      <c r="H112" s="9" t="s">
        <v>53</v>
      </c>
      <c r="I112" s="9" t="s">
        <v>43</v>
      </c>
      <c r="J112" s="9" t="s">
        <v>44</v>
      </c>
      <c r="K112" s="9" t="s">
        <v>566</v>
      </c>
      <c r="L112" s="9" t="s">
        <v>35</v>
      </c>
      <c r="M112" s="9" t="s">
        <v>55</v>
      </c>
      <c r="N112" s="9" t="n">
        <v>96.32</v>
      </c>
      <c r="O112" s="9" t="n">
        <v>4</v>
      </c>
      <c r="P112" s="9" t="n">
        <v>0</v>
      </c>
      <c r="Q112" s="9" t="n">
        <v>0</v>
      </c>
    </row>
    <row r="113" customFormat="false" ht="15" hidden="false" customHeight="false" outlineLevel="0" collapsed="false">
      <c r="A113" s="9" t="s">
        <v>24</v>
      </c>
      <c r="B113" s="9" t="s">
        <v>25</v>
      </c>
      <c r="C113" s="9" t="s">
        <v>26</v>
      </c>
      <c r="D113" s="9" t="s">
        <v>27</v>
      </c>
      <c r="E113" s="9" t="s">
        <v>28</v>
      </c>
      <c r="F113" s="9" t="s">
        <v>29</v>
      </c>
      <c r="G113" s="9" t="s">
        <v>30</v>
      </c>
      <c r="H113" s="9" t="s">
        <v>31</v>
      </c>
      <c r="I113" s="9" t="s">
        <v>32</v>
      </c>
      <c r="J113" s="9" t="s">
        <v>33</v>
      </c>
      <c r="K113" s="9" t="s">
        <v>567</v>
      </c>
      <c r="L113" s="9" t="s">
        <v>88</v>
      </c>
      <c r="M113" s="9" t="s">
        <v>89</v>
      </c>
      <c r="N113" s="9" t="n">
        <v>1233.24</v>
      </c>
      <c r="O113" s="9" t="n">
        <v>6</v>
      </c>
      <c r="P113" s="9" t="n">
        <v>0</v>
      </c>
      <c r="Q113" s="9" t="n">
        <v>-59.96</v>
      </c>
    </row>
    <row r="114" customFormat="false" ht="15" hidden="false" customHeight="false" outlineLevel="0" collapsed="false">
      <c r="A114" s="9" t="s">
        <v>568</v>
      </c>
      <c r="B114" s="9" t="s">
        <v>434</v>
      </c>
      <c r="C114" s="9" t="s">
        <v>569</v>
      </c>
      <c r="D114" s="9" t="s">
        <v>40</v>
      </c>
      <c r="E114" s="9" t="s">
        <v>570</v>
      </c>
      <c r="F114" s="9" t="s">
        <v>83</v>
      </c>
      <c r="G114" s="9" t="s">
        <v>30</v>
      </c>
      <c r="H114" s="9" t="s">
        <v>111</v>
      </c>
      <c r="I114" s="9" t="s">
        <v>112</v>
      </c>
      <c r="J114" s="9" t="s">
        <v>86</v>
      </c>
      <c r="K114" s="9" t="s">
        <v>571</v>
      </c>
      <c r="L114" s="9" t="s">
        <v>35</v>
      </c>
      <c r="M114" s="9" t="s">
        <v>179</v>
      </c>
      <c r="N114" s="9" t="n">
        <v>152.24</v>
      </c>
      <c r="O114" s="9" t="n">
        <v>8</v>
      </c>
      <c r="P114" s="9" t="n">
        <v>0.1</v>
      </c>
      <c r="Q114" s="9" t="n">
        <v>23.54</v>
      </c>
    </row>
    <row r="115" customFormat="false" ht="15" hidden="false" customHeight="false" outlineLevel="0" collapsed="false">
      <c r="A115" s="9" t="s">
        <v>572</v>
      </c>
      <c r="B115" s="9" t="s">
        <v>573</v>
      </c>
      <c r="C115" s="9" t="s">
        <v>574</v>
      </c>
      <c r="D115" s="9" t="s">
        <v>40</v>
      </c>
      <c r="E115" s="9" t="s">
        <v>52</v>
      </c>
      <c r="F115" s="9" t="s">
        <v>83</v>
      </c>
      <c r="G115" s="9" t="s">
        <v>30</v>
      </c>
      <c r="H115" s="9" t="s">
        <v>42</v>
      </c>
      <c r="I115" s="9" t="s">
        <v>43</v>
      </c>
      <c r="J115" s="9" t="s">
        <v>44</v>
      </c>
      <c r="K115" s="9" t="s">
        <v>575</v>
      </c>
      <c r="L115" s="9" t="s">
        <v>88</v>
      </c>
      <c r="M115" s="9" t="s">
        <v>576</v>
      </c>
      <c r="N115" s="9" t="n">
        <v>347.55</v>
      </c>
      <c r="O115" s="9" t="n">
        <v>3</v>
      </c>
      <c r="P115" s="9" t="n">
        <v>0</v>
      </c>
      <c r="Q115" s="9" t="n">
        <v>29.07</v>
      </c>
    </row>
    <row r="116" customFormat="false" ht="15" hidden="false" customHeight="false" outlineLevel="0" collapsed="false">
      <c r="A116" s="9" t="s">
        <v>577</v>
      </c>
      <c r="B116" s="9" t="s">
        <v>578</v>
      </c>
      <c r="C116" s="9" t="s">
        <v>579</v>
      </c>
      <c r="D116" s="9" t="s">
        <v>40</v>
      </c>
      <c r="E116" s="9" t="s">
        <v>580</v>
      </c>
      <c r="F116" s="9" t="s">
        <v>83</v>
      </c>
      <c r="G116" s="9" t="s">
        <v>30</v>
      </c>
      <c r="H116" s="9" t="s">
        <v>61</v>
      </c>
      <c r="I116" s="9" t="s">
        <v>62</v>
      </c>
      <c r="J116" s="9" t="s">
        <v>44</v>
      </c>
      <c r="K116" s="9" t="s">
        <v>581</v>
      </c>
      <c r="L116" s="9" t="s">
        <v>88</v>
      </c>
      <c r="M116" s="9" t="s">
        <v>89</v>
      </c>
      <c r="N116" s="9" t="n">
        <v>1996.4</v>
      </c>
      <c r="O116" s="9" t="n">
        <v>7</v>
      </c>
      <c r="P116" s="9" t="n">
        <v>0</v>
      </c>
      <c r="Q116" s="9" t="n">
        <v>-45.55</v>
      </c>
    </row>
    <row r="117" customFormat="false" ht="15" hidden="false" customHeight="false" outlineLevel="0" collapsed="false">
      <c r="A117" s="9" t="s">
        <v>582</v>
      </c>
      <c r="B117" s="9" t="s">
        <v>583</v>
      </c>
      <c r="C117" s="9" t="s">
        <v>584</v>
      </c>
      <c r="D117" s="9" t="s">
        <v>40</v>
      </c>
      <c r="E117" s="9" t="s">
        <v>52</v>
      </c>
      <c r="F117" s="9" t="s">
        <v>29</v>
      </c>
      <c r="G117" s="9" t="s">
        <v>30</v>
      </c>
      <c r="H117" s="9" t="s">
        <v>124</v>
      </c>
      <c r="I117" s="9" t="s">
        <v>125</v>
      </c>
      <c r="J117" s="9" t="s">
        <v>33</v>
      </c>
      <c r="K117" s="9" t="s">
        <v>585</v>
      </c>
      <c r="L117" s="9" t="s">
        <v>35</v>
      </c>
      <c r="M117" s="9" t="s">
        <v>179</v>
      </c>
      <c r="N117" s="9" t="n">
        <v>126.08</v>
      </c>
      <c r="O117" s="9" t="n">
        <v>8</v>
      </c>
      <c r="P117" s="9" t="n">
        <v>0</v>
      </c>
      <c r="Q117" s="9" t="n">
        <v>39.26</v>
      </c>
    </row>
    <row r="118" customFormat="false" ht="15" hidden="false" customHeight="false" outlineLevel="0" collapsed="false">
      <c r="A118" s="9" t="s">
        <v>586</v>
      </c>
      <c r="B118" s="9" t="s">
        <v>587</v>
      </c>
      <c r="C118" s="9" t="s">
        <v>588</v>
      </c>
      <c r="D118" s="9" t="s">
        <v>102</v>
      </c>
      <c r="E118" s="9" t="s">
        <v>137</v>
      </c>
      <c r="F118" s="9" t="s">
        <v>29</v>
      </c>
      <c r="G118" s="9" t="s">
        <v>30</v>
      </c>
      <c r="H118" s="9" t="s">
        <v>239</v>
      </c>
      <c r="I118" s="9" t="s">
        <v>213</v>
      </c>
      <c r="J118" s="9" t="s">
        <v>96</v>
      </c>
      <c r="K118" s="9" t="s">
        <v>589</v>
      </c>
      <c r="L118" s="9" t="s">
        <v>35</v>
      </c>
      <c r="M118" s="9" t="s">
        <v>185</v>
      </c>
      <c r="N118" s="9" t="n">
        <v>88.62</v>
      </c>
      <c r="O118" s="9" t="n">
        <v>2</v>
      </c>
      <c r="P118" s="9" t="n">
        <v>0.7</v>
      </c>
      <c r="Q118" s="9" t="n">
        <v>-18.49</v>
      </c>
    </row>
    <row r="119" customFormat="false" ht="15" hidden="false" customHeight="false" outlineLevel="0" collapsed="false">
      <c r="A119" s="9" t="s">
        <v>590</v>
      </c>
      <c r="B119" s="9" t="s">
        <v>129</v>
      </c>
      <c r="C119" s="9" t="s">
        <v>199</v>
      </c>
      <c r="D119" s="9" t="s">
        <v>40</v>
      </c>
      <c r="E119" s="9" t="s">
        <v>591</v>
      </c>
      <c r="F119" s="9" t="s">
        <v>60</v>
      </c>
      <c r="G119" s="9" t="s">
        <v>30</v>
      </c>
      <c r="H119" s="9" t="s">
        <v>84</v>
      </c>
      <c r="I119" s="9" t="s">
        <v>85</v>
      </c>
      <c r="J119" s="9" t="s">
        <v>86</v>
      </c>
      <c r="K119" s="9" t="s">
        <v>592</v>
      </c>
      <c r="L119" s="9" t="s">
        <v>46</v>
      </c>
      <c r="M119" s="9" t="s">
        <v>64</v>
      </c>
      <c r="N119" s="9" t="n">
        <v>7608.54</v>
      </c>
      <c r="O119" s="9" t="n">
        <v>6</v>
      </c>
      <c r="P119" s="9" t="n">
        <v>0</v>
      </c>
      <c r="Q119" s="9" t="n">
        <v>-118.21</v>
      </c>
    </row>
    <row r="120" customFormat="false" ht="15" hidden="false" customHeight="false" outlineLevel="0" collapsed="false">
      <c r="A120" s="9" t="s">
        <v>593</v>
      </c>
      <c r="B120" s="9" t="s">
        <v>594</v>
      </c>
      <c r="C120" s="9" t="s">
        <v>595</v>
      </c>
      <c r="D120" s="9" t="s">
        <v>40</v>
      </c>
      <c r="E120" s="9" t="s">
        <v>596</v>
      </c>
      <c r="F120" s="9" t="s">
        <v>83</v>
      </c>
      <c r="G120" s="9" t="s">
        <v>30</v>
      </c>
      <c r="H120" s="9" t="s">
        <v>111</v>
      </c>
      <c r="I120" s="9" t="s">
        <v>112</v>
      </c>
      <c r="J120" s="9" t="s">
        <v>86</v>
      </c>
      <c r="K120" s="9" t="s">
        <v>597</v>
      </c>
      <c r="L120" s="9" t="s">
        <v>46</v>
      </c>
      <c r="M120" s="9" t="s">
        <v>64</v>
      </c>
      <c r="N120" s="9" t="n">
        <v>848.07</v>
      </c>
      <c r="O120" s="9" t="n">
        <v>3</v>
      </c>
      <c r="P120" s="9" t="n">
        <v>0.15</v>
      </c>
      <c r="Q120" s="9" t="n">
        <v>-28.6</v>
      </c>
    </row>
    <row r="121" customFormat="false" ht="15" hidden="false" customHeight="false" outlineLevel="0" collapsed="false">
      <c r="A121" s="9" t="s">
        <v>598</v>
      </c>
      <c r="B121" s="9" t="s">
        <v>193</v>
      </c>
      <c r="C121" s="9" t="s">
        <v>599</v>
      </c>
      <c r="D121" s="9" t="s">
        <v>102</v>
      </c>
      <c r="E121" s="9" t="s">
        <v>118</v>
      </c>
      <c r="F121" s="9" t="s">
        <v>83</v>
      </c>
      <c r="G121" s="9" t="s">
        <v>30</v>
      </c>
      <c r="H121" s="9" t="s">
        <v>250</v>
      </c>
      <c r="I121" s="9" t="s">
        <v>251</v>
      </c>
      <c r="J121" s="9" t="s">
        <v>33</v>
      </c>
      <c r="K121" s="9" t="s">
        <v>600</v>
      </c>
      <c r="L121" s="9" t="s">
        <v>35</v>
      </c>
      <c r="M121" s="9" t="s">
        <v>173</v>
      </c>
      <c r="N121" s="9" t="n">
        <v>869.58</v>
      </c>
      <c r="O121" s="9" t="n">
        <v>6</v>
      </c>
      <c r="P121" s="9" t="n">
        <v>0.15</v>
      </c>
      <c r="Q121" s="9" t="n">
        <v>2.44</v>
      </c>
    </row>
    <row r="122" customFormat="false" ht="15" hidden="false" customHeight="false" outlineLevel="0" collapsed="false">
      <c r="A122" s="9" t="s">
        <v>601</v>
      </c>
      <c r="B122" s="9" t="s">
        <v>602</v>
      </c>
      <c r="C122" s="9" t="s">
        <v>603</v>
      </c>
      <c r="D122" s="9" t="s">
        <v>40</v>
      </c>
      <c r="E122" s="9" t="s">
        <v>244</v>
      </c>
      <c r="F122" s="9" t="s">
        <v>83</v>
      </c>
      <c r="G122" s="9" t="s">
        <v>30</v>
      </c>
      <c r="H122" s="9" t="s">
        <v>138</v>
      </c>
      <c r="I122" s="9" t="s">
        <v>85</v>
      </c>
      <c r="J122" s="9" t="s">
        <v>86</v>
      </c>
      <c r="K122" s="9" t="s">
        <v>604</v>
      </c>
      <c r="L122" s="9" t="s">
        <v>35</v>
      </c>
      <c r="M122" s="9" t="s">
        <v>173</v>
      </c>
      <c r="N122" s="9" t="n">
        <v>22.77</v>
      </c>
      <c r="O122" s="9" t="n">
        <v>1</v>
      </c>
      <c r="P122" s="9" t="n">
        <v>0</v>
      </c>
      <c r="Q122" s="9" t="n">
        <v>3.27</v>
      </c>
    </row>
    <row r="123" customFormat="false" ht="15" hidden="false" customHeight="false" outlineLevel="0" collapsed="false">
      <c r="A123" s="9" t="s">
        <v>605</v>
      </c>
      <c r="B123" s="9" t="s">
        <v>606</v>
      </c>
      <c r="C123" s="9" t="s">
        <v>477</v>
      </c>
      <c r="D123" s="9" t="s">
        <v>102</v>
      </c>
      <c r="E123" s="9" t="s">
        <v>607</v>
      </c>
      <c r="F123" s="9" t="s">
        <v>83</v>
      </c>
      <c r="G123" s="9" t="s">
        <v>30</v>
      </c>
      <c r="H123" s="9" t="s">
        <v>144</v>
      </c>
      <c r="I123" s="9" t="s">
        <v>145</v>
      </c>
      <c r="J123" s="9" t="s">
        <v>96</v>
      </c>
      <c r="K123" s="9" t="s">
        <v>608</v>
      </c>
      <c r="L123" s="9" t="s">
        <v>35</v>
      </c>
      <c r="M123" s="9" t="s">
        <v>185</v>
      </c>
      <c r="N123" s="9" t="n">
        <v>261.64</v>
      </c>
      <c r="O123" s="9" t="n">
        <v>2</v>
      </c>
      <c r="P123" s="9" t="n">
        <v>0.15</v>
      </c>
      <c r="Q123" s="9" t="n">
        <v>13.8</v>
      </c>
    </row>
    <row r="124" customFormat="false" ht="15" hidden="false" customHeight="false" outlineLevel="0" collapsed="false">
      <c r="A124" s="9" t="s">
        <v>609</v>
      </c>
      <c r="B124" s="9" t="s">
        <v>610</v>
      </c>
      <c r="C124" s="9" t="s">
        <v>611</v>
      </c>
      <c r="D124" s="9" t="s">
        <v>40</v>
      </c>
      <c r="E124" s="9" t="s">
        <v>612</v>
      </c>
      <c r="F124" s="9" t="s">
        <v>29</v>
      </c>
      <c r="G124" s="9" t="s">
        <v>30</v>
      </c>
      <c r="H124" s="9" t="s">
        <v>151</v>
      </c>
      <c r="I124" s="9" t="s">
        <v>145</v>
      </c>
      <c r="J124" s="9" t="s">
        <v>96</v>
      </c>
      <c r="K124" s="9" t="s">
        <v>613</v>
      </c>
      <c r="L124" s="9" t="s">
        <v>35</v>
      </c>
      <c r="M124" s="9" t="s">
        <v>98</v>
      </c>
      <c r="N124" s="9" t="n">
        <v>6.1</v>
      </c>
      <c r="O124" s="9" t="n">
        <v>1</v>
      </c>
      <c r="P124" s="9" t="n">
        <v>0.4</v>
      </c>
      <c r="Q124" s="9" t="n">
        <v>-1.48</v>
      </c>
    </row>
    <row r="125" customFormat="false" ht="15" hidden="false" customHeight="false" outlineLevel="0" collapsed="false">
      <c r="A125" s="9" t="s">
        <v>614</v>
      </c>
      <c r="B125" s="9" t="s">
        <v>615</v>
      </c>
      <c r="C125" s="9" t="s">
        <v>616</v>
      </c>
      <c r="D125" s="9" t="s">
        <v>51</v>
      </c>
      <c r="E125" s="9" t="s">
        <v>617</v>
      </c>
      <c r="F125" s="9" t="s">
        <v>83</v>
      </c>
      <c r="G125" s="9" t="s">
        <v>30</v>
      </c>
      <c r="H125" s="9" t="s">
        <v>239</v>
      </c>
      <c r="I125" s="9" t="s">
        <v>213</v>
      </c>
      <c r="J125" s="9" t="s">
        <v>96</v>
      </c>
      <c r="K125" s="9" t="s">
        <v>618</v>
      </c>
      <c r="L125" s="9" t="s">
        <v>46</v>
      </c>
      <c r="M125" s="9" t="s">
        <v>47</v>
      </c>
      <c r="N125" s="9" t="n">
        <v>4128.81</v>
      </c>
      <c r="O125" s="9" t="n">
        <v>7</v>
      </c>
      <c r="P125" s="9" t="n">
        <v>0.15</v>
      </c>
      <c r="Q125" s="9" t="n">
        <v>78.7</v>
      </c>
    </row>
    <row r="126" customFormat="false" ht="15" hidden="false" customHeight="false" outlineLevel="0" collapsed="false">
      <c r="A126" s="9" t="s">
        <v>619</v>
      </c>
      <c r="B126" s="9" t="s">
        <v>620</v>
      </c>
      <c r="C126" s="9" t="s">
        <v>50</v>
      </c>
      <c r="D126" s="9" t="s">
        <v>40</v>
      </c>
      <c r="E126" s="9" t="s">
        <v>110</v>
      </c>
      <c r="F126" s="9" t="s">
        <v>29</v>
      </c>
      <c r="G126" s="9" t="s">
        <v>30</v>
      </c>
      <c r="H126" s="9" t="s">
        <v>489</v>
      </c>
      <c r="I126" s="9" t="s">
        <v>95</v>
      </c>
      <c r="J126" s="9" t="s">
        <v>96</v>
      </c>
      <c r="K126" s="9" t="s">
        <v>621</v>
      </c>
      <c r="L126" s="9" t="s">
        <v>35</v>
      </c>
      <c r="M126" s="9" t="s">
        <v>356</v>
      </c>
      <c r="N126" s="9" t="n">
        <v>96.25</v>
      </c>
      <c r="O126" s="9" t="n">
        <v>5</v>
      </c>
      <c r="P126" s="9" t="n">
        <v>0</v>
      </c>
      <c r="Q126" s="9" t="n">
        <v>21.12</v>
      </c>
    </row>
    <row r="127" customFormat="false" ht="15" hidden="false" customHeight="false" outlineLevel="0" collapsed="false">
      <c r="A127" s="9" t="s">
        <v>622</v>
      </c>
      <c r="B127" s="9" t="s">
        <v>623</v>
      </c>
      <c r="C127" s="9" t="s">
        <v>624</v>
      </c>
      <c r="D127" s="9" t="s">
        <v>40</v>
      </c>
      <c r="E127" s="9" t="s">
        <v>625</v>
      </c>
      <c r="F127" s="9" t="s">
        <v>60</v>
      </c>
      <c r="G127" s="9" t="s">
        <v>30</v>
      </c>
      <c r="H127" s="9" t="s">
        <v>42</v>
      </c>
      <c r="I127" s="9" t="s">
        <v>43</v>
      </c>
      <c r="J127" s="9" t="s">
        <v>44</v>
      </c>
      <c r="K127" s="9" t="s">
        <v>626</v>
      </c>
      <c r="L127" s="9" t="s">
        <v>46</v>
      </c>
      <c r="M127" s="9" t="s">
        <v>70</v>
      </c>
      <c r="N127" s="9" t="n">
        <v>49.94</v>
      </c>
      <c r="O127" s="9" t="n">
        <v>1</v>
      </c>
      <c r="P127" s="9" t="n">
        <v>0.15</v>
      </c>
      <c r="Q127" s="9" t="n">
        <v>9.61</v>
      </c>
    </row>
    <row r="128" customFormat="false" ht="15" hidden="false" customHeight="false" outlineLevel="0" collapsed="false">
      <c r="A128" s="9" t="s">
        <v>627</v>
      </c>
      <c r="B128" s="9" t="s">
        <v>628</v>
      </c>
      <c r="C128" s="9" t="s">
        <v>629</v>
      </c>
      <c r="D128" s="9" t="s">
        <v>40</v>
      </c>
      <c r="E128" s="9" t="s">
        <v>368</v>
      </c>
      <c r="F128" s="9" t="s">
        <v>60</v>
      </c>
      <c r="G128" s="9" t="s">
        <v>30</v>
      </c>
      <c r="H128" s="9" t="s">
        <v>131</v>
      </c>
      <c r="I128" s="9" t="s">
        <v>132</v>
      </c>
      <c r="J128" s="9" t="s">
        <v>86</v>
      </c>
      <c r="K128" s="9" t="s">
        <v>630</v>
      </c>
      <c r="L128" s="9" t="s">
        <v>88</v>
      </c>
      <c r="M128" s="9" t="s">
        <v>89</v>
      </c>
      <c r="N128" s="9" t="n">
        <v>931.77</v>
      </c>
      <c r="O128" s="9" t="n">
        <v>7</v>
      </c>
      <c r="P128" s="9" t="n">
        <v>0.8</v>
      </c>
      <c r="Q128" s="9" t="n">
        <v>-480.19</v>
      </c>
    </row>
    <row r="129" customFormat="false" ht="15" hidden="false" customHeight="false" outlineLevel="0" collapsed="false">
      <c r="A129" s="9" t="s">
        <v>631</v>
      </c>
      <c r="B129" s="9" t="s">
        <v>632</v>
      </c>
      <c r="C129" s="9" t="s">
        <v>350</v>
      </c>
      <c r="D129" s="9" t="s">
        <v>51</v>
      </c>
      <c r="E129" s="9" t="s">
        <v>633</v>
      </c>
      <c r="F129" s="9" t="s">
        <v>83</v>
      </c>
      <c r="G129" s="9" t="s">
        <v>30</v>
      </c>
      <c r="H129" s="9" t="s">
        <v>144</v>
      </c>
      <c r="I129" s="9" t="s">
        <v>145</v>
      </c>
      <c r="J129" s="9" t="s">
        <v>96</v>
      </c>
      <c r="K129" s="9" t="s">
        <v>634</v>
      </c>
      <c r="L129" s="9" t="s">
        <v>35</v>
      </c>
      <c r="M129" s="9" t="s">
        <v>98</v>
      </c>
      <c r="N129" s="9" t="n">
        <v>415.1</v>
      </c>
      <c r="O129" s="9" t="n">
        <v>7</v>
      </c>
      <c r="P129" s="9" t="n">
        <v>0.7</v>
      </c>
      <c r="Q129" s="9" t="n">
        <v>-197.12</v>
      </c>
    </row>
    <row r="130" customFormat="false" ht="15" hidden="false" customHeight="false" outlineLevel="0" collapsed="false">
      <c r="A130" s="9" t="s">
        <v>627</v>
      </c>
      <c r="B130" s="9" t="s">
        <v>628</v>
      </c>
      <c r="C130" s="9" t="s">
        <v>629</v>
      </c>
      <c r="D130" s="9" t="s">
        <v>40</v>
      </c>
      <c r="E130" s="9" t="s">
        <v>368</v>
      </c>
      <c r="F130" s="9" t="s">
        <v>60</v>
      </c>
      <c r="G130" s="9" t="s">
        <v>30</v>
      </c>
      <c r="H130" s="9" t="s">
        <v>131</v>
      </c>
      <c r="I130" s="9" t="s">
        <v>132</v>
      </c>
      <c r="J130" s="9" t="s">
        <v>86</v>
      </c>
      <c r="K130" s="9" t="s">
        <v>635</v>
      </c>
      <c r="L130" s="9" t="s">
        <v>46</v>
      </c>
      <c r="M130" s="9" t="s">
        <v>70</v>
      </c>
      <c r="N130" s="9" t="n">
        <v>188.88</v>
      </c>
      <c r="O130" s="9" t="n">
        <v>6</v>
      </c>
      <c r="P130" s="9" t="n">
        <v>0.6</v>
      </c>
      <c r="Q130" s="9" t="n">
        <v>-20.96</v>
      </c>
    </row>
    <row r="131" customFormat="false" ht="15" hidden="false" customHeight="false" outlineLevel="0" collapsed="false">
      <c r="A131" s="9" t="s">
        <v>636</v>
      </c>
      <c r="B131" s="9" t="s">
        <v>637</v>
      </c>
      <c r="C131" s="9" t="s">
        <v>638</v>
      </c>
      <c r="D131" s="9" t="s">
        <v>27</v>
      </c>
      <c r="E131" s="9" t="s">
        <v>639</v>
      </c>
      <c r="F131" s="9" t="s">
        <v>29</v>
      </c>
      <c r="G131" s="9" t="s">
        <v>30</v>
      </c>
      <c r="H131" s="9" t="s">
        <v>151</v>
      </c>
      <c r="I131" s="9" t="s">
        <v>145</v>
      </c>
      <c r="J131" s="9" t="s">
        <v>96</v>
      </c>
      <c r="K131" s="9" t="s">
        <v>640</v>
      </c>
      <c r="L131" s="9" t="s">
        <v>88</v>
      </c>
      <c r="M131" s="9" t="s">
        <v>89</v>
      </c>
      <c r="N131" s="9" t="n">
        <v>1165.86</v>
      </c>
      <c r="O131" s="9" t="n">
        <v>9</v>
      </c>
      <c r="P131" s="9" t="n">
        <v>0.2</v>
      </c>
      <c r="Q131" s="9" t="n">
        <v>-170</v>
      </c>
    </row>
    <row r="132" customFormat="false" ht="15" hidden="false" customHeight="false" outlineLevel="0" collapsed="false">
      <c r="A132" s="9" t="s">
        <v>641</v>
      </c>
      <c r="B132" s="9" t="s">
        <v>642</v>
      </c>
      <c r="C132" s="9" t="s">
        <v>643</v>
      </c>
      <c r="D132" s="9" t="s">
        <v>27</v>
      </c>
      <c r="E132" s="9" t="s">
        <v>644</v>
      </c>
      <c r="F132" s="9" t="s">
        <v>29</v>
      </c>
      <c r="G132" s="9" t="s">
        <v>30</v>
      </c>
      <c r="H132" s="9" t="s">
        <v>645</v>
      </c>
      <c r="I132" s="9" t="s">
        <v>32</v>
      </c>
      <c r="J132" s="9" t="s">
        <v>33</v>
      </c>
      <c r="K132" s="9" t="s">
        <v>646</v>
      </c>
      <c r="L132" s="9" t="s">
        <v>88</v>
      </c>
      <c r="M132" s="9" t="s">
        <v>576</v>
      </c>
      <c r="N132" s="9" t="n">
        <v>3153.24</v>
      </c>
      <c r="O132" s="9" t="n">
        <v>9</v>
      </c>
      <c r="P132" s="9" t="n">
        <v>0</v>
      </c>
      <c r="Q132" s="9" t="n">
        <v>74.81</v>
      </c>
    </row>
    <row r="133" customFormat="false" ht="15" hidden="false" customHeight="false" outlineLevel="0" collapsed="false">
      <c r="A133" s="9" t="s">
        <v>647</v>
      </c>
      <c r="B133" s="9" t="s">
        <v>477</v>
      </c>
      <c r="C133" s="9" t="s">
        <v>648</v>
      </c>
      <c r="D133" s="9" t="s">
        <v>40</v>
      </c>
      <c r="E133" s="9" t="s">
        <v>649</v>
      </c>
      <c r="F133" s="9" t="s">
        <v>29</v>
      </c>
      <c r="G133" s="9" t="s">
        <v>30</v>
      </c>
      <c r="H133" s="9" t="s">
        <v>378</v>
      </c>
      <c r="I133" s="9" t="s">
        <v>76</v>
      </c>
      <c r="J133" s="9" t="s">
        <v>33</v>
      </c>
      <c r="K133" s="9" t="s">
        <v>650</v>
      </c>
      <c r="L133" s="9" t="s">
        <v>46</v>
      </c>
      <c r="M133" s="9" t="s">
        <v>64</v>
      </c>
      <c r="N133" s="9" t="n">
        <v>3079</v>
      </c>
      <c r="O133" s="9" t="n">
        <v>4</v>
      </c>
      <c r="P133" s="9" t="n">
        <v>0</v>
      </c>
      <c r="Q133" s="9" t="n">
        <v>453.55</v>
      </c>
    </row>
    <row r="134" customFormat="false" ht="15" hidden="false" customHeight="false" outlineLevel="0" collapsed="false">
      <c r="A134" s="9" t="s">
        <v>147</v>
      </c>
      <c r="B134" s="9" t="s">
        <v>148</v>
      </c>
      <c r="C134" s="9" t="s">
        <v>149</v>
      </c>
      <c r="D134" s="9" t="s">
        <v>40</v>
      </c>
      <c r="E134" s="9" t="s">
        <v>150</v>
      </c>
      <c r="F134" s="9" t="s">
        <v>83</v>
      </c>
      <c r="G134" s="9" t="s">
        <v>30</v>
      </c>
      <c r="H134" s="9" t="s">
        <v>151</v>
      </c>
      <c r="I134" s="9" t="s">
        <v>145</v>
      </c>
      <c r="J134" s="9" t="s">
        <v>96</v>
      </c>
      <c r="K134" s="9" t="s">
        <v>651</v>
      </c>
      <c r="L134" s="9" t="s">
        <v>46</v>
      </c>
      <c r="M134" s="9" t="s">
        <v>47</v>
      </c>
      <c r="N134" s="9" t="n">
        <v>415.48</v>
      </c>
      <c r="O134" s="9" t="n">
        <v>4</v>
      </c>
      <c r="P134" s="9" t="n">
        <v>0.15</v>
      </c>
      <c r="Q134" s="9" t="n">
        <v>86.42</v>
      </c>
    </row>
    <row r="135" customFormat="false" ht="15" hidden="false" customHeight="false" outlineLevel="0" collapsed="false">
      <c r="A135" s="9" t="s">
        <v>385</v>
      </c>
      <c r="B135" s="9" t="s">
        <v>386</v>
      </c>
      <c r="C135" s="9" t="s">
        <v>387</v>
      </c>
      <c r="D135" s="9" t="s">
        <v>102</v>
      </c>
      <c r="E135" s="9" t="s">
        <v>302</v>
      </c>
      <c r="F135" s="9" t="s">
        <v>83</v>
      </c>
      <c r="G135" s="9" t="s">
        <v>30</v>
      </c>
      <c r="H135" s="9" t="s">
        <v>266</v>
      </c>
      <c r="I135" s="9" t="s">
        <v>267</v>
      </c>
      <c r="J135" s="9" t="s">
        <v>44</v>
      </c>
      <c r="K135" s="9" t="s">
        <v>652</v>
      </c>
      <c r="L135" s="9" t="s">
        <v>35</v>
      </c>
      <c r="M135" s="9" t="s">
        <v>179</v>
      </c>
      <c r="N135" s="9" t="n">
        <v>47.6</v>
      </c>
      <c r="O135" s="9" t="n">
        <v>8</v>
      </c>
      <c r="P135" s="9" t="n">
        <v>0</v>
      </c>
      <c r="Q135" s="9" t="n">
        <v>15.68</v>
      </c>
    </row>
    <row r="136" customFormat="false" ht="15" hidden="false" customHeight="false" outlineLevel="0" collapsed="false">
      <c r="A136" s="9" t="s">
        <v>389</v>
      </c>
      <c r="B136" s="9" t="s">
        <v>390</v>
      </c>
      <c r="C136" s="9" t="s">
        <v>391</v>
      </c>
      <c r="D136" s="9" t="s">
        <v>40</v>
      </c>
      <c r="E136" s="9" t="s">
        <v>319</v>
      </c>
      <c r="F136" s="9" t="s">
        <v>83</v>
      </c>
      <c r="G136" s="9" t="s">
        <v>30</v>
      </c>
      <c r="H136" s="9" t="s">
        <v>61</v>
      </c>
      <c r="I136" s="9" t="s">
        <v>62</v>
      </c>
      <c r="J136" s="9" t="s">
        <v>44</v>
      </c>
      <c r="K136" s="9" t="s">
        <v>653</v>
      </c>
      <c r="L136" s="9" t="s">
        <v>88</v>
      </c>
      <c r="M136" s="9" t="s">
        <v>576</v>
      </c>
      <c r="N136" s="9" t="n">
        <v>1094.4</v>
      </c>
      <c r="O136" s="9" t="n">
        <v>3</v>
      </c>
      <c r="P136" s="9" t="n">
        <v>0</v>
      </c>
      <c r="Q136" s="9" t="n">
        <v>81.07</v>
      </c>
    </row>
    <row r="137" customFormat="false" ht="15" hidden="false" customHeight="false" outlineLevel="0" collapsed="false">
      <c r="A137" s="9" t="s">
        <v>654</v>
      </c>
      <c r="B137" s="9" t="s">
        <v>655</v>
      </c>
      <c r="C137" s="9" t="s">
        <v>656</v>
      </c>
      <c r="D137" s="9" t="s">
        <v>40</v>
      </c>
      <c r="E137" s="9" t="s">
        <v>28</v>
      </c>
      <c r="F137" s="9" t="s">
        <v>83</v>
      </c>
      <c r="G137" s="9" t="s">
        <v>30</v>
      </c>
      <c r="H137" s="9" t="s">
        <v>239</v>
      </c>
      <c r="I137" s="9" t="s">
        <v>213</v>
      </c>
      <c r="J137" s="9" t="s">
        <v>96</v>
      </c>
      <c r="K137" s="9" t="s">
        <v>657</v>
      </c>
      <c r="L137" s="9" t="s">
        <v>35</v>
      </c>
      <c r="M137" s="9" t="s">
        <v>173</v>
      </c>
      <c r="N137" s="9" t="n">
        <v>160.75</v>
      </c>
      <c r="O137" s="9" t="n">
        <v>5</v>
      </c>
      <c r="P137" s="9" t="n">
        <v>0</v>
      </c>
      <c r="Q137" s="9" t="n">
        <v>22.31</v>
      </c>
    </row>
    <row r="138" customFormat="false" ht="15" hidden="false" customHeight="false" outlineLevel="0" collapsed="false">
      <c r="A138" s="9" t="s">
        <v>658</v>
      </c>
      <c r="B138" s="9" t="s">
        <v>312</v>
      </c>
      <c r="C138" s="9" t="s">
        <v>659</v>
      </c>
      <c r="D138" s="9" t="s">
        <v>51</v>
      </c>
      <c r="E138" s="9" t="s">
        <v>660</v>
      </c>
      <c r="F138" s="9" t="s">
        <v>60</v>
      </c>
      <c r="G138" s="9" t="s">
        <v>30</v>
      </c>
      <c r="H138" s="9" t="s">
        <v>61</v>
      </c>
      <c r="I138" s="9" t="s">
        <v>62</v>
      </c>
      <c r="J138" s="9" t="s">
        <v>44</v>
      </c>
      <c r="K138" s="9" t="s">
        <v>661</v>
      </c>
      <c r="L138" s="9" t="s">
        <v>35</v>
      </c>
      <c r="M138" s="9" t="s">
        <v>185</v>
      </c>
      <c r="N138" s="9" t="n">
        <v>1382.4</v>
      </c>
      <c r="O138" s="9" t="n">
        <v>6</v>
      </c>
      <c r="P138" s="9" t="n">
        <v>0</v>
      </c>
      <c r="Q138" s="9" t="n">
        <v>262.42</v>
      </c>
    </row>
    <row r="139" customFormat="false" ht="15" hidden="false" customHeight="false" outlineLevel="0" collapsed="false">
      <c r="A139" s="9" t="s">
        <v>662</v>
      </c>
      <c r="B139" s="9" t="s">
        <v>663</v>
      </c>
      <c r="C139" s="9" t="s">
        <v>664</v>
      </c>
      <c r="D139" s="9" t="s">
        <v>40</v>
      </c>
      <c r="E139" s="9" t="s">
        <v>549</v>
      </c>
      <c r="F139" s="9" t="s">
        <v>29</v>
      </c>
      <c r="G139" s="9" t="s">
        <v>30</v>
      </c>
      <c r="H139" s="9" t="s">
        <v>31</v>
      </c>
      <c r="I139" s="9" t="s">
        <v>32</v>
      </c>
      <c r="J139" s="9" t="s">
        <v>33</v>
      </c>
      <c r="K139" s="9" t="s">
        <v>665</v>
      </c>
      <c r="L139" s="9" t="s">
        <v>35</v>
      </c>
      <c r="M139" s="9" t="s">
        <v>36</v>
      </c>
      <c r="N139" s="9" t="n">
        <v>15.17</v>
      </c>
      <c r="O139" s="9" t="n">
        <v>1</v>
      </c>
      <c r="P139" s="9" t="n">
        <v>0.15</v>
      </c>
      <c r="Q139" s="9" t="n">
        <v>2.83</v>
      </c>
    </row>
    <row r="140" customFormat="false" ht="15" hidden="false" customHeight="false" outlineLevel="0" collapsed="false">
      <c r="A140" s="9" t="s">
        <v>666</v>
      </c>
      <c r="B140" s="9" t="s">
        <v>667</v>
      </c>
      <c r="C140" s="9" t="s">
        <v>668</v>
      </c>
      <c r="D140" s="9" t="s">
        <v>102</v>
      </c>
      <c r="E140" s="9" t="s">
        <v>451</v>
      </c>
      <c r="F140" s="9" t="s">
        <v>29</v>
      </c>
      <c r="G140" s="9" t="s">
        <v>30</v>
      </c>
      <c r="H140" s="9" t="s">
        <v>212</v>
      </c>
      <c r="I140" s="9" t="s">
        <v>213</v>
      </c>
      <c r="J140" s="9" t="s">
        <v>96</v>
      </c>
      <c r="K140" s="9" t="s">
        <v>669</v>
      </c>
      <c r="L140" s="9" t="s">
        <v>88</v>
      </c>
      <c r="M140" s="9" t="s">
        <v>89</v>
      </c>
      <c r="N140" s="9" t="n">
        <v>834.32</v>
      </c>
      <c r="O140" s="9" t="n">
        <v>8</v>
      </c>
      <c r="P140" s="9" t="n">
        <v>0.15</v>
      </c>
      <c r="Q140" s="9" t="n">
        <v>-90.61</v>
      </c>
    </row>
    <row r="141" customFormat="false" ht="15" hidden="false" customHeight="false" outlineLevel="0" collapsed="false">
      <c r="A141" s="9" t="s">
        <v>670</v>
      </c>
      <c r="B141" s="9" t="s">
        <v>38</v>
      </c>
      <c r="C141" s="9" t="s">
        <v>671</v>
      </c>
      <c r="D141" s="9" t="s">
        <v>40</v>
      </c>
      <c r="E141" s="9" t="s">
        <v>672</v>
      </c>
      <c r="F141" s="9" t="s">
        <v>29</v>
      </c>
      <c r="G141" s="9" t="s">
        <v>30</v>
      </c>
      <c r="H141" s="9" t="s">
        <v>673</v>
      </c>
      <c r="I141" s="9" t="s">
        <v>251</v>
      </c>
      <c r="J141" s="9" t="s">
        <v>33</v>
      </c>
      <c r="K141" s="9" t="s">
        <v>674</v>
      </c>
      <c r="L141" s="9" t="s">
        <v>35</v>
      </c>
      <c r="M141" s="9" t="s">
        <v>98</v>
      </c>
      <c r="N141" s="9" t="n">
        <v>52.65</v>
      </c>
      <c r="O141" s="9" t="n">
        <v>9</v>
      </c>
      <c r="P141" s="9" t="n">
        <v>0.15</v>
      </c>
      <c r="Q141" s="9" t="n">
        <v>4.66</v>
      </c>
    </row>
    <row r="142" customFormat="false" ht="15" hidden="false" customHeight="false" outlineLevel="0" collapsed="false">
      <c r="A142" s="9" t="s">
        <v>675</v>
      </c>
      <c r="B142" s="9" t="s">
        <v>248</v>
      </c>
      <c r="C142" s="9" t="s">
        <v>676</v>
      </c>
      <c r="D142" s="9" t="s">
        <v>102</v>
      </c>
      <c r="E142" s="9" t="s">
        <v>200</v>
      </c>
      <c r="F142" s="9" t="s">
        <v>83</v>
      </c>
      <c r="G142" s="9" t="s">
        <v>30</v>
      </c>
      <c r="H142" s="9" t="s">
        <v>278</v>
      </c>
      <c r="I142" s="9" t="s">
        <v>112</v>
      </c>
      <c r="J142" s="9" t="s">
        <v>86</v>
      </c>
      <c r="K142" s="9" t="s">
        <v>677</v>
      </c>
      <c r="L142" s="9" t="s">
        <v>35</v>
      </c>
      <c r="M142" s="9" t="s">
        <v>36</v>
      </c>
      <c r="N142" s="9" t="n">
        <v>102.57</v>
      </c>
      <c r="O142" s="9" t="n">
        <v>3</v>
      </c>
      <c r="P142" s="9" t="n">
        <v>0</v>
      </c>
      <c r="Q142" s="9" t="n">
        <v>29.38</v>
      </c>
    </row>
    <row r="143" customFormat="false" ht="15" hidden="false" customHeight="false" outlineLevel="0" collapsed="false">
      <c r="A143" s="9" t="s">
        <v>678</v>
      </c>
      <c r="B143" s="9" t="s">
        <v>322</v>
      </c>
      <c r="C143" s="9" t="s">
        <v>679</v>
      </c>
      <c r="D143" s="9" t="s">
        <v>40</v>
      </c>
      <c r="E143" s="9" t="s">
        <v>470</v>
      </c>
      <c r="F143" s="9" t="s">
        <v>83</v>
      </c>
      <c r="G143" s="9" t="s">
        <v>30</v>
      </c>
      <c r="H143" s="9" t="s">
        <v>308</v>
      </c>
      <c r="I143" s="9" t="s">
        <v>132</v>
      </c>
      <c r="J143" s="9" t="s">
        <v>86</v>
      </c>
      <c r="K143" s="9" t="s">
        <v>680</v>
      </c>
      <c r="L143" s="9" t="s">
        <v>88</v>
      </c>
      <c r="M143" s="9" t="s">
        <v>576</v>
      </c>
      <c r="N143" s="9" t="n">
        <v>2270.82</v>
      </c>
      <c r="O143" s="9" t="n">
        <v>6</v>
      </c>
      <c r="P143" s="9" t="n">
        <v>0</v>
      </c>
      <c r="Q143" s="9" t="n">
        <v>360.08</v>
      </c>
    </row>
    <row r="144" customFormat="false" ht="15" hidden="false" customHeight="false" outlineLevel="0" collapsed="false">
      <c r="A144" s="9" t="s">
        <v>681</v>
      </c>
      <c r="B144" s="9" t="s">
        <v>682</v>
      </c>
      <c r="C144" s="9" t="s">
        <v>683</v>
      </c>
      <c r="D144" s="9" t="s">
        <v>40</v>
      </c>
      <c r="E144" s="9" t="s">
        <v>684</v>
      </c>
      <c r="F144" s="9" t="s">
        <v>29</v>
      </c>
      <c r="G144" s="9" t="s">
        <v>30</v>
      </c>
      <c r="H144" s="9" t="s">
        <v>308</v>
      </c>
      <c r="I144" s="9" t="s">
        <v>132</v>
      </c>
      <c r="J144" s="9" t="s">
        <v>86</v>
      </c>
      <c r="K144" s="9" t="s">
        <v>685</v>
      </c>
      <c r="L144" s="9" t="s">
        <v>35</v>
      </c>
      <c r="M144" s="9" t="s">
        <v>173</v>
      </c>
      <c r="N144" s="9" t="n">
        <v>353.58</v>
      </c>
      <c r="O144" s="9" t="n">
        <v>6</v>
      </c>
      <c r="P144" s="9" t="n">
        <v>0</v>
      </c>
      <c r="Q144" s="9" t="n">
        <v>62.55</v>
      </c>
    </row>
    <row r="145" customFormat="false" ht="15" hidden="false" customHeight="false" outlineLevel="0" collapsed="false">
      <c r="A145" s="9" t="s">
        <v>334</v>
      </c>
      <c r="B145" s="9" t="s">
        <v>335</v>
      </c>
      <c r="C145" s="9" t="s">
        <v>336</v>
      </c>
      <c r="D145" s="9" t="s">
        <v>102</v>
      </c>
      <c r="E145" s="9" t="s">
        <v>176</v>
      </c>
      <c r="F145" s="9" t="s">
        <v>60</v>
      </c>
      <c r="G145" s="9" t="s">
        <v>30</v>
      </c>
      <c r="H145" s="9" t="s">
        <v>332</v>
      </c>
      <c r="I145" s="9" t="s">
        <v>105</v>
      </c>
      <c r="J145" s="9" t="s">
        <v>44</v>
      </c>
      <c r="K145" s="9" t="s">
        <v>686</v>
      </c>
      <c r="L145" s="9" t="s">
        <v>35</v>
      </c>
      <c r="M145" s="9" t="s">
        <v>173</v>
      </c>
      <c r="N145" s="9" t="n">
        <v>808.56</v>
      </c>
      <c r="O145" s="9" t="n">
        <v>9</v>
      </c>
      <c r="P145" s="9" t="n">
        <v>0</v>
      </c>
      <c r="Q145" s="9" t="n">
        <v>124.51</v>
      </c>
    </row>
    <row r="146" customFormat="false" ht="15" hidden="false" customHeight="false" outlineLevel="0" collapsed="false">
      <c r="A146" s="9" t="s">
        <v>687</v>
      </c>
      <c r="B146" s="9" t="s">
        <v>688</v>
      </c>
      <c r="C146" s="9" t="s">
        <v>689</v>
      </c>
      <c r="D146" s="9" t="s">
        <v>27</v>
      </c>
      <c r="E146" s="9" t="s">
        <v>690</v>
      </c>
      <c r="F146" s="9" t="s">
        <v>29</v>
      </c>
      <c r="G146" s="9" t="s">
        <v>30</v>
      </c>
      <c r="H146" s="9" t="s">
        <v>94</v>
      </c>
      <c r="I146" s="9" t="s">
        <v>95</v>
      </c>
      <c r="J146" s="9" t="s">
        <v>96</v>
      </c>
      <c r="K146" s="9" t="s">
        <v>691</v>
      </c>
      <c r="L146" s="9" t="s">
        <v>88</v>
      </c>
      <c r="M146" s="9" t="s">
        <v>153</v>
      </c>
      <c r="N146" s="9" t="n">
        <v>273.04</v>
      </c>
      <c r="O146" s="9" t="n">
        <v>4</v>
      </c>
      <c r="P146" s="9" t="n">
        <v>0.1</v>
      </c>
      <c r="Q146" s="9" t="n">
        <v>24.13</v>
      </c>
    </row>
    <row r="147" customFormat="false" ht="15" hidden="false" customHeight="false" outlineLevel="0" collapsed="false">
      <c r="A147" s="9" t="s">
        <v>692</v>
      </c>
      <c r="B147" s="9" t="s">
        <v>693</v>
      </c>
      <c r="C147" s="9" t="s">
        <v>73</v>
      </c>
      <c r="D147" s="9" t="s">
        <v>40</v>
      </c>
      <c r="E147" s="9" t="s">
        <v>694</v>
      </c>
      <c r="F147" s="9" t="s">
        <v>60</v>
      </c>
      <c r="G147" s="9" t="s">
        <v>30</v>
      </c>
      <c r="H147" s="9" t="s">
        <v>278</v>
      </c>
      <c r="I147" s="9" t="s">
        <v>112</v>
      </c>
      <c r="J147" s="9" t="s">
        <v>86</v>
      </c>
      <c r="K147" s="9" t="s">
        <v>695</v>
      </c>
      <c r="L147" s="9" t="s">
        <v>88</v>
      </c>
      <c r="M147" s="9" t="s">
        <v>197</v>
      </c>
      <c r="N147" s="9" t="n">
        <v>3394.09</v>
      </c>
      <c r="O147" s="9" t="n">
        <v>7</v>
      </c>
      <c r="P147" s="9" t="n">
        <v>0</v>
      </c>
      <c r="Q147" s="9" t="n">
        <v>-254.64</v>
      </c>
    </row>
    <row r="148" customFormat="false" ht="15" hidden="false" customHeight="false" outlineLevel="0" collapsed="false">
      <c r="A148" s="9" t="s">
        <v>696</v>
      </c>
      <c r="B148" s="9" t="s">
        <v>697</v>
      </c>
      <c r="C148" s="9" t="s">
        <v>698</v>
      </c>
      <c r="D148" s="9" t="s">
        <v>51</v>
      </c>
      <c r="E148" s="9" t="s">
        <v>293</v>
      </c>
      <c r="F148" s="9" t="s">
        <v>29</v>
      </c>
      <c r="G148" s="9" t="s">
        <v>30</v>
      </c>
      <c r="H148" s="9" t="s">
        <v>484</v>
      </c>
      <c r="I148" s="9" t="s">
        <v>171</v>
      </c>
      <c r="J148" s="9" t="s">
        <v>86</v>
      </c>
      <c r="K148" s="9" t="s">
        <v>699</v>
      </c>
      <c r="L148" s="9" t="s">
        <v>46</v>
      </c>
      <c r="M148" s="9" t="s">
        <v>70</v>
      </c>
      <c r="N148" s="9" t="n">
        <v>383.25</v>
      </c>
      <c r="O148" s="9" t="n">
        <v>7</v>
      </c>
      <c r="P148" s="9" t="n">
        <v>0</v>
      </c>
      <c r="Q148" s="9" t="n">
        <v>87.01</v>
      </c>
    </row>
    <row r="149" customFormat="false" ht="15" hidden="false" customHeight="false" outlineLevel="0" collapsed="false">
      <c r="A149" s="9" t="s">
        <v>700</v>
      </c>
      <c r="B149" s="9" t="s">
        <v>701</v>
      </c>
      <c r="C149" s="9" t="s">
        <v>286</v>
      </c>
      <c r="D149" s="9" t="s">
        <v>40</v>
      </c>
      <c r="E149" s="9" t="s">
        <v>702</v>
      </c>
      <c r="F149" s="9" t="s">
        <v>60</v>
      </c>
      <c r="G149" s="9" t="s">
        <v>30</v>
      </c>
      <c r="H149" s="9" t="s">
        <v>75</v>
      </c>
      <c r="I149" s="9" t="s">
        <v>76</v>
      </c>
      <c r="J149" s="9" t="s">
        <v>33</v>
      </c>
      <c r="K149" s="9" t="s">
        <v>703</v>
      </c>
      <c r="L149" s="9" t="s">
        <v>88</v>
      </c>
      <c r="M149" s="9" t="s">
        <v>197</v>
      </c>
      <c r="N149" s="9" t="n">
        <v>209.72</v>
      </c>
      <c r="O149" s="9" t="n">
        <v>2</v>
      </c>
      <c r="P149" s="9" t="n">
        <v>0</v>
      </c>
      <c r="Q149" s="9" t="n">
        <v>9.22</v>
      </c>
    </row>
    <row r="150" customFormat="false" ht="15" hidden="false" customHeight="false" outlineLevel="0" collapsed="false">
      <c r="A150" s="9" t="s">
        <v>445</v>
      </c>
      <c r="B150" s="9" t="s">
        <v>407</v>
      </c>
      <c r="C150" s="9" t="s">
        <v>446</v>
      </c>
      <c r="D150" s="9" t="s">
        <v>27</v>
      </c>
      <c r="E150" s="9" t="s">
        <v>341</v>
      </c>
      <c r="F150" s="9" t="s">
        <v>60</v>
      </c>
      <c r="G150" s="9" t="s">
        <v>30</v>
      </c>
      <c r="H150" s="9" t="s">
        <v>61</v>
      </c>
      <c r="I150" s="9" t="s">
        <v>62</v>
      </c>
      <c r="J150" s="9" t="s">
        <v>44</v>
      </c>
      <c r="K150" s="9" t="s">
        <v>704</v>
      </c>
      <c r="L150" s="9" t="s">
        <v>35</v>
      </c>
      <c r="M150" s="9" t="s">
        <v>179</v>
      </c>
      <c r="N150" s="9" t="n">
        <v>36.82</v>
      </c>
      <c r="O150" s="9" t="n">
        <v>2</v>
      </c>
      <c r="P150" s="9" t="n">
        <v>0.1</v>
      </c>
      <c r="Q150" s="9" t="n">
        <v>7.91</v>
      </c>
    </row>
    <row r="151" customFormat="false" ht="15" hidden="false" customHeight="false" outlineLevel="0" collapsed="false">
      <c r="A151" s="9" t="s">
        <v>705</v>
      </c>
      <c r="B151" s="9" t="s">
        <v>706</v>
      </c>
      <c r="C151" s="9" t="s">
        <v>38</v>
      </c>
      <c r="D151" s="9" t="s">
        <v>40</v>
      </c>
      <c r="E151" s="9" t="s">
        <v>82</v>
      </c>
      <c r="F151" s="9" t="s">
        <v>83</v>
      </c>
      <c r="G151" s="9" t="s">
        <v>30</v>
      </c>
      <c r="H151" s="9" t="s">
        <v>673</v>
      </c>
      <c r="I151" s="9" t="s">
        <v>251</v>
      </c>
      <c r="J151" s="9" t="s">
        <v>33</v>
      </c>
      <c r="K151" s="9" t="s">
        <v>707</v>
      </c>
      <c r="L151" s="9" t="s">
        <v>88</v>
      </c>
      <c r="M151" s="9" t="s">
        <v>153</v>
      </c>
      <c r="N151" s="9" t="n">
        <v>1005.48</v>
      </c>
      <c r="O151" s="9" t="n">
        <v>9</v>
      </c>
      <c r="P151" s="9" t="n">
        <v>0.2</v>
      </c>
      <c r="Q151" s="9" t="n">
        <v>156.32</v>
      </c>
    </row>
    <row r="152" customFormat="false" ht="15" hidden="false" customHeight="false" outlineLevel="0" collapsed="false">
      <c r="A152" s="9" t="s">
        <v>708</v>
      </c>
      <c r="B152" s="9" t="s">
        <v>709</v>
      </c>
      <c r="C152" s="9" t="s">
        <v>710</v>
      </c>
      <c r="D152" s="9" t="s">
        <v>102</v>
      </c>
      <c r="E152" s="9" t="s">
        <v>711</v>
      </c>
      <c r="F152" s="9" t="s">
        <v>60</v>
      </c>
      <c r="G152" s="9" t="s">
        <v>30</v>
      </c>
      <c r="H152" s="9" t="s">
        <v>163</v>
      </c>
      <c r="I152" s="9" t="s">
        <v>164</v>
      </c>
      <c r="J152" s="9" t="s">
        <v>96</v>
      </c>
      <c r="K152" s="9" t="s">
        <v>712</v>
      </c>
      <c r="L152" s="9" t="s">
        <v>46</v>
      </c>
      <c r="M152" s="9" t="s">
        <v>70</v>
      </c>
      <c r="N152" s="9" t="n">
        <v>92.7</v>
      </c>
      <c r="O152" s="9" t="n">
        <v>2</v>
      </c>
      <c r="P152" s="9" t="n">
        <v>0</v>
      </c>
      <c r="Q152" s="9" t="n">
        <v>30.58</v>
      </c>
    </row>
    <row r="153" customFormat="false" ht="15" hidden="false" customHeight="false" outlineLevel="0" collapsed="false">
      <c r="A153" s="9" t="s">
        <v>713</v>
      </c>
      <c r="B153" s="9" t="s">
        <v>714</v>
      </c>
      <c r="C153" s="9" t="s">
        <v>222</v>
      </c>
      <c r="D153" s="9" t="s">
        <v>102</v>
      </c>
      <c r="E153" s="9" t="s">
        <v>715</v>
      </c>
      <c r="F153" s="9" t="s">
        <v>83</v>
      </c>
      <c r="G153" s="9" t="s">
        <v>30</v>
      </c>
      <c r="H153" s="9" t="s">
        <v>256</v>
      </c>
      <c r="I153" s="9" t="s">
        <v>32</v>
      </c>
      <c r="J153" s="9" t="s">
        <v>33</v>
      </c>
      <c r="K153" s="9" t="s">
        <v>716</v>
      </c>
      <c r="L153" s="9" t="s">
        <v>46</v>
      </c>
      <c r="M153" s="9" t="s">
        <v>64</v>
      </c>
      <c r="N153" s="9" t="n">
        <v>5886.36</v>
      </c>
      <c r="O153" s="9" t="n">
        <v>9</v>
      </c>
      <c r="P153" s="9" t="n">
        <v>0.8</v>
      </c>
      <c r="Q153" s="9" t="n">
        <v>-2692.32</v>
      </c>
    </row>
    <row r="154" customFormat="false" ht="15" hidden="false" customHeight="false" outlineLevel="0" collapsed="false">
      <c r="A154" s="9" t="s">
        <v>717</v>
      </c>
      <c r="B154" s="9" t="s">
        <v>718</v>
      </c>
      <c r="C154" s="9" t="s">
        <v>719</v>
      </c>
      <c r="D154" s="9" t="s">
        <v>40</v>
      </c>
      <c r="E154" s="9" t="s">
        <v>720</v>
      </c>
      <c r="F154" s="9" t="s">
        <v>83</v>
      </c>
      <c r="G154" s="9" t="s">
        <v>30</v>
      </c>
      <c r="H154" s="9" t="s">
        <v>378</v>
      </c>
      <c r="I154" s="9" t="s">
        <v>76</v>
      </c>
      <c r="J154" s="9" t="s">
        <v>33</v>
      </c>
      <c r="K154" s="9" t="s">
        <v>721</v>
      </c>
      <c r="L154" s="9" t="s">
        <v>46</v>
      </c>
      <c r="M154" s="9" t="s">
        <v>47</v>
      </c>
      <c r="N154" s="9" t="n">
        <v>1097.62</v>
      </c>
      <c r="O154" s="9" t="n">
        <v>2</v>
      </c>
      <c r="P154" s="9" t="n">
        <v>0</v>
      </c>
      <c r="Q154" s="9" t="n">
        <v>273.4</v>
      </c>
    </row>
    <row r="155" customFormat="false" ht="15" hidden="false" customHeight="false" outlineLevel="0" collapsed="false">
      <c r="A155" s="9" t="s">
        <v>722</v>
      </c>
      <c r="B155" s="9" t="s">
        <v>454</v>
      </c>
      <c r="C155" s="9" t="s">
        <v>723</v>
      </c>
      <c r="D155" s="9" t="s">
        <v>102</v>
      </c>
      <c r="E155" s="9" t="s">
        <v>724</v>
      </c>
      <c r="F155" s="9" t="s">
        <v>83</v>
      </c>
      <c r="G155" s="9" t="s">
        <v>30</v>
      </c>
      <c r="H155" s="9" t="s">
        <v>138</v>
      </c>
      <c r="I155" s="9" t="s">
        <v>85</v>
      </c>
      <c r="J155" s="9" t="s">
        <v>86</v>
      </c>
      <c r="K155" s="9" t="s">
        <v>725</v>
      </c>
      <c r="L155" s="9" t="s">
        <v>46</v>
      </c>
      <c r="M155" s="9" t="s">
        <v>47</v>
      </c>
      <c r="N155" s="9" t="n">
        <v>672</v>
      </c>
      <c r="O155" s="9" t="n">
        <v>4</v>
      </c>
      <c r="P155" s="9" t="n">
        <v>0</v>
      </c>
      <c r="Q155" s="9" t="n">
        <v>153.33</v>
      </c>
    </row>
    <row r="156" customFormat="false" ht="15" hidden="false" customHeight="false" outlineLevel="0" collapsed="false">
      <c r="A156" s="9" t="s">
        <v>269</v>
      </c>
      <c r="B156" s="9" t="s">
        <v>270</v>
      </c>
      <c r="C156" s="9" t="s">
        <v>271</v>
      </c>
      <c r="D156" s="9" t="s">
        <v>40</v>
      </c>
      <c r="E156" s="9" t="s">
        <v>272</v>
      </c>
      <c r="F156" s="9" t="s">
        <v>60</v>
      </c>
      <c r="G156" s="9" t="s">
        <v>30</v>
      </c>
      <c r="H156" s="9" t="s">
        <v>104</v>
      </c>
      <c r="I156" s="9" t="s">
        <v>105</v>
      </c>
      <c r="J156" s="9" t="s">
        <v>44</v>
      </c>
      <c r="K156" s="9" t="s">
        <v>726</v>
      </c>
      <c r="L156" s="9" t="s">
        <v>35</v>
      </c>
      <c r="M156" s="9" t="s">
        <v>98</v>
      </c>
      <c r="N156" s="9" t="n">
        <v>39.62</v>
      </c>
      <c r="O156" s="9" t="n">
        <v>2</v>
      </c>
      <c r="P156" s="9" t="n">
        <v>0.3</v>
      </c>
      <c r="Q156" s="9" t="n">
        <v>-6.61</v>
      </c>
    </row>
    <row r="157" customFormat="false" ht="15" hidden="false" customHeight="false" outlineLevel="0" collapsed="false">
      <c r="A157" s="9" t="s">
        <v>727</v>
      </c>
      <c r="B157" s="9" t="s">
        <v>728</v>
      </c>
      <c r="C157" s="9" t="s">
        <v>729</v>
      </c>
      <c r="D157" s="9" t="s">
        <v>27</v>
      </c>
      <c r="E157" s="9" t="s">
        <v>730</v>
      </c>
      <c r="F157" s="9" t="s">
        <v>29</v>
      </c>
      <c r="G157" s="9" t="s">
        <v>30</v>
      </c>
      <c r="H157" s="9" t="s">
        <v>75</v>
      </c>
      <c r="I157" s="9" t="s">
        <v>76</v>
      </c>
      <c r="J157" s="9" t="s">
        <v>33</v>
      </c>
      <c r="K157" s="9" t="s">
        <v>731</v>
      </c>
      <c r="L157" s="9" t="s">
        <v>35</v>
      </c>
      <c r="M157" s="9" t="s">
        <v>356</v>
      </c>
      <c r="N157" s="9" t="n">
        <v>112.02</v>
      </c>
      <c r="O157" s="9" t="n">
        <v>6</v>
      </c>
      <c r="P157" s="9" t="n">
        <v>0</v>
      </c>
      <c r="Q157" s="9" t="n">
        <v>26.55</v>
      </c>
    </row>
    <row r="158" customFormat="false" ht="15" hidden="false" customHeight="false" outlineLevel="0" collapsed="false">
      <c r="A158" s="9" t="s">
        <v>457</v>
      </c>
      <c r="B158" s="9" t="s">
        <v>458</v>
      </c>
      <c r="C158" s="9" t="s">
        <v>459</v>
      </c>
      <c r="D158" s="9" t="s">
        <v>40</v>
      </c>
      <c r="E158" s="9" t="s">
        <v>460</v>
      </c>
      <c r="F158" s="9" t="s">
        <v>29</v>
      </c>
      <c r="G158" s="9" t="s">
        <v>30</v>
      </c>
      <c r="H158" s="9" t="s">
        <v>31</v>
      </c>
      <c r="I158" s="9" t="s">
        <v>32</v>
      </c>
      <c r="J158" s="9" t="s">
        <v>33</v>
      </c>
      <c r="K158" s="9" t="s">
        <v>732</v>
      </c>
      <c r="L158" s="9" t="s">
        <v>88</v>
      </c>
      <c r="M158" s="9" t="s">
        <v>89</v>
      </c>
      <c r="N158" s="9" t="n">
        <v>877.89</v>
      </c>
      <c r="O158" s="9" t="n">
        <v>3</v>
      </c>
      <c r="P158" s="9" t="n">
        <v>0.6</v>
      </c>
      <c r="Q158" s="9" t="n">
        <v>-291.05</v>
      </c>
    </row>
    <row r="159" customFormat="false" ht="15" hidden="false" customHeight="false" outlineLevel="0" collapsed="false">
      <c r="A159" s="9" t="s">
        <v>733</v>
      </c>
      <c r="B159" s="9" t="s">
        <v>734</v>
      </c>
      <c r="C159" s="9" t="s">
        <v>735</v>
      </c>
      <c r="D159" s="9" t="s">
        <v>40</v>
      </c>
      <c r="E159" s="9" t="s">
        <v>720</v>
      </c>
      <c r="F159" s="9" t="s">
        <v>60</v>
      </c>
      <c r="G159" s="9" t="s">
        <v>30</v>
      </c>
      <c r="H159" s="9" t="s">
        <v>673</v>
      </c>
      <c r="I159" s="9" t="s">
        <v>251</v>
      </c>
      <c r="J159" s="9" t="s">
        <v>33</v>
      </c>
      <c r="K159" s="9" t="s">
        <v>736</v>
      </c>
      <c r="L159" s="9" t="s">
        <v>35</v>
      </c>
      <c r="M159" s="9" t="s">
        <v>78</v>
      </c>
      <c r="N159" s="9" t="n">
        <v>65.19</v>
      </c>
      <c r="O159" s="9" t="n">
        <v>3</v>
      </c>
      <c r="P159" s="9" t="n">
        <v>0.6</v>
      </c>
      <c r="Q159" s="9" t="n">
        <v>-6.3</v>
      </c>
    </row>
    <row r="160" customFormat="false" ht="15" hidden="false" customHeight="false" outlineLevel="0" collapsed="false">
      <c r="A160" s="9" t="s">
        <v>737</v>
      </c>
      <c r="B160" s="9" t="s">
        <v>738</v>
      </c>
      <c r="C160" s="9" t="s">
        <v>739</v>
      </c>
      <c r="D160" s="9" t="s">
        <v>40</v>
      </c>
      <c r="E160" s="9" t="s">
        <v>740</v>
      </c>
      <c r="F160" s="9" t="s">
        <v>29</v>
      </c>
      <c r="G160" s="9" t="s">
        <v>30</v>
      </c>
      <c r="H160" s="9" t="s">
        <v>239</v>
      </c>
      <c r="I160" s="9" t="s">
        <v>213</v>
      </c>
      <c r="J160" s="9" t="s">
        <v>96</v>
      </c>
      <c r="K160" s="9" t="s">
        <v>741</v>
      </c>
      <c r="L160" s="9" t="s">
        <v>46</v>
      </c>
      <c r="M160" s="9" t="s">
        <v>47</v>
      </c>
      <c r="N160" s="9" t="n">
        <v>1630.89</v>
      </c>
      <c r="O160" s="9" t="n">
        <v>9</v>
      </c>
      <c r="P160" s="9" t="n">
        <v>0</v>
      </c>
      <c r="Q160" s="9" t="n">
        <v>320.03</v>
      </c>
    </row>
    <row r="161" customFormat="false" ht="15" hidden="false" customHeight="false" outlineLevel="0" collapsed="false">
      <c r="A161" s="9" t="s">
        <v>742</v>
      </c>
      <c r="B161" s="9" t="s">
        <v>548</v>
      </c>
      <c r="C161" s="9" t="s">
        <v>743</v>
      </c>
      <c r="D161" s="9" t="s">
        <v>102</v>
      </c>
      <c r="E161" s="9" t="s">
        <v>744</v>
      </c>
      <c r="F161" s="9" t="s">
        <v>29</v>
      </c>
      <c r="G161" s="9" t="s">
        <v>30</v>
      </c>
      <c r="H161" s="9" t="s">
        <v>308</v>
      </c>
      <c r="I161" s="9" t="s">
        <v>132</v>
      </c>
      <c r="J161" s="9" t="s">
        <v>86</v>
      </c>
      <c r="K161" s="9" t="s">
        <v>745</v>
      </c>
      <c r="L161" s="9" t="s">
        <v>35</v>
      </c>
      <c r="M161" s="9" t="s">
        <v>185</v>
      </c>
      <c r="N161" s="9" t="n">
        <v>1422.96</v>
      </c>
      <c r="O161" s="9" t="n">
        <v>8</v>
      </c>
      <c r="P161" s="9" t="n">
        <v>0.15</v>
      </c>
      <c r="Q161" s="9" t="n">
        <v>127.32</v>
      </c>
    </row>
    <row r="162" customFormat="false" ht="15" hidden="false" customHeight="false" outlineLevel="0" collapsed="false">
      <c r="A162" s="9" t="s">
        <v>746</v>
      </c>
      <c r="B162" s="9" t="s">
        <v>248</v>
      </c>
      <c r="C162" s="9" t="s">
        <v>676</v>
      </c>
      <c r="D162" s="9" t="s">
        <v>40</v>
      </c>
      <c r="E162" s="9" t="s">
        <v>747</v>
      </c>
      <c r="F162" s="9" t="s">
        <v>29</v>
      </c>
      <c r="G162" s="9" t="s">
        <v>30</v>
      </c>
      <c r="H162" s="9" t="s">
        <v>84</v>
      </c>
      <c r="I162" s="9" t="s">
        <v>85</v>
      </c>
      <c r="J162" s="9" t="s">
        <v>86</v>
      </c>
      <c r="K162" s="9" t="s">
        <v>748</v>
      </c>
      <c r="L162" s="9" t="s">
        <v>35</v>
      </c>
      <c r="M162" s="9" t="s">
        <v>36</v>
      </c>
      <c r="N162" s="9" t="n">
        <v>289.44</v>
      </c>
      <c r="O162" s="9" t="n">
        <v>9</v>
      </c>
      <c r="P162" s="9" t="n">
        <v>0.4</v>
      </c>
      <c r="Q162" s="9" t="n">
        <v>-5.76</v>
      </c>
    </row>
    <row r="163" customFormat="false" ht="15" hidden="false" customHeight="false" outlineLevel="0" collapsed="false">
      <c r="A163" s="9" t="s">
        <v>749</v>
      </c>
      <c r="B163" s="9" t="s">
        <v>750</v>
      </c>
      <c r="C163" s="9" t="s">
        <v>751</v>
      </c>
      <c r="D163" s="9" t="s">
        <v>40</v>
      </c>
      <c r="E163" s="9" t="s">
        <v>68</v>
      </c>
      <c r="F163" s="9" t="s">
        <v>60</v>
      </c>
      <c r="G163" s="9" t="s">
        <v>30</v>
      </c>
      <c r="H163" s="9" t="s">
        <v>138</v>
      </c>
      <c r="I163" s="9" t="s">
        <v>85</v>
      </c>
      <c r="J163" s="9" t="s">
        <v>86</v>
      </c>
      <c r="K163" s="9" t="s">
        <v>752</v>
      </c>
      <c r="L163" s="9" t="s">
        <v>46</v>
      </c>
      <c r="M163" s="9" t="s">
        <v>64</v>
      </c>
      <c r="N163" s="9" t="n">
        <v>4558.82</v>
      </c>
      <c r="O163" s="9" t="n">
        <v>7</v>
      </c>
      <c r="P163" s="9" t="n">
        <v>0</v>
      </c>
      <c r="Q163" s="9" t="n">
        <v>-66.16</v>
      </c>
    </row>
    <row r="164" customFormat="false" ht="15" hidden="false" customHeight="false" outlineLevel="0" collapsed="false">
      <c r="A164" s="9" t="s">
        <v>753</v>
      </c>
      <c r="B164" s="9" t="s">
        <v>754</v>
      </c>
      <c r="C164" s="9" t="s">
        <v>587</v>
      </c>
      <c r="D164" s="9" t="s">
        <v>40</v>
      </c>
      <c r="E164" s="9" t="s">
        <v>755</v>
      </c>
      <c r="F164" s="9" t="s">
        <v>60</v>
      </c>
      <c r="G164" s="9" t="s">
        <v>30</v>
      </c>
      <c r="H164" s="9" t="s">
        <v>256</v>
      </c>
      <c r="I164" s="9" t="s">
        <v>32</v>
      </c>
      <c r="J164" s="9" t="s">
        <v>33</v>
      </c>
      <c r="K164" s="9" t="s">
        <v>756</v>
      </c>
      <c r="L164" s="9" t="s">
        <v>35</v>
      </c>
      <c r="M164" s="9" t="s">
        <v>179</v>
      </c>
      <c r="N164" s="9" t="n">
        <v>152.01</v>
      </c>
      <c r="O164" s="9" t="n">
        <v>9</v>
      </c>
      <c r="P164" s="9" t="n">
        <v>0.1</v>
      </c>
      <c r="Q164" s="9" t="n">
        <v>21.52</v>
      </c>
    </row>
    <row r="165" customFormat="false" ht="15" hidden="false" customHeight="false" outlineLevel="0" collapsed="false">
      <c r="A165" s="9" t="s">
        <v>757</v>
      </c>
      <c r="B165" s="9" t="s">
        <v>638</v>
      </c>
      <c r="C165" s="9" t="s">
        <v>573</v>
      </c>
      <c r="D165" s="9" t="s">
        <v>40</v>
      </c>
      <c r="E165" s="9" t="s">
        <v>176</v>
      </c>
      <c r="F165" s="9" t="s">
        <v>83</v>
      </c>
      <c r="G165" s="9" t="s">
        <v>30</v>
      </c>
      <c r="H165" s="9" t="s">
        <v>397</v>
      </c>
      <c r="I165" s="9" t="s">
        <v>267</v>
      </c>
      <c r="J165" s="9" t="s">
        <v>44</v>
      </c>
      <c r="K165" s="9" t="s">
        <v>758</v>
      </c>
      <c r="L165" s="9" t="s">
        <v>88</v>
      </c>
      <c r="M165" s="9" t="s">
        <v>576</v>
      </c>
      <c r="N165" s="9" t="n">
        <v>2365.86</v>
      </c>
      <c r="O165" s="9" t="n">
        <v>7</v>
      </c>
      <c r="P165" s="9" t="n">
        <v>0.6</v>
      </c>
      <c r="Q165" s="9" t="n">
        <v>-521.15</v>
      </c>
    </row>
    <row r="166" customFormat="false" ht="15" hidden="false" customHeight="false" outlineLevel="0" collapsed="false">
      <c r="A166" s="9" t="s">
        <v>498</v>
      </c>
      <c r="B166" s="9" t="s">
        <v>499</v>
      </c>
      <c r="C166" s="9" t="s">
        <v>500</v>
      </c>
      <c r="D166" s="9" t="s">
        <v>27</v>
      </c>
      <c r="E166" s="9" t="s">
        <v>249</v>
      </c>
      <c r="F166" s="9" t="s">
        <v>29</v>
      </c>
      <c r="G166" s="9" t="s">
        <v>30</v>
      </c>
      <c r="H166" s="9" t="s">
        <v>170</v>
      </c>
      <c r="I166" s="9" t="s">
        <v>171</v>
      </c>
      <c r="J166" s="9" t="s">
        <v>86</v>
      </c>
      <c r="K166" s="9" t="s">
        <v>759</v>
      </c>
      <c r="L166" s="9" t="s">
        <v>35</v>
      </c>
      <c r="M166" s="9" t="s">
        <v>173</v>
      </c>
      <c r="N166" s="9" t="n">
        <v>289.65</v>
      </c>
      <c r="O166" s="9" t="n">
        <v>5</v>
      </c>
      <c r="P166" s="9" t="n">
        <v>0</v>
      </c>
      <c r="Q166" s="9" t="n">
        <v>19.9</v>
      </c>
    </row>
    <row r="167" customFormat="false" ht="15" hidden="false" customHeight="false" outlineLevel="0" collapsed="false">
      <c r="A167" s="9" t="s">
        <v>760</v>
      </c>
      <c r="B167" s="9" t="s">
        <v>761</v>
      </c>
      <c r="C167" s="9" t="s">
        <v>762</v>
      </c>
      <c r="D167" s="9" t="s">
        <v>27</v>
      </c>
      <c r="E167" s="9" t="s">
        <v>763</v>
      </c>
      <c r="F167" s="9" t="s">
        <v>29</v>
      </c>
      <c r="G167" s="9" t="s">
        <v>30</v>
      </c>
      <c r="H167" s="9" t="s">
        <v>484</v>
      </c>
      <c r="I167" s="9" t="s">
        <v>171</v>
      </c>
      <c r="J167" s="9" t="s">
        <v>86</v>
      </c>
      <c r="K167" s="9" t="s">
        <v>764</v>
      </c>
      <c r="L167" s="9" t="s">
        <v>35</v>
      </c>
      <c r="M167" s="9" t="s">
        <v>55</v>
      </c>
      <c r="N167" s="9" t="n">
        <v>224.2</v>
      </c>
      <c r="O167" s="9" t="n">
        <v>4</v>
      </c>
      <c r="P167" s="9" t="n">
        <v>0.15</v>
      </c>
      <c r="Q167" s="9" t="n">
        <v>-7.53</v>
      </c>
    </row>
    <row r="168" customFormat="false" ht="15" hidden="false" customHeight="false" outlineLevel="0" collapsed="false">
      <c r="A168" s="9" t="s">
        <v>765</v>
      </c>
      <c r="B168" s="9" t="s">
        <v>766</v>
      </c>
      <c r="C168" s="9" t="s">
        <v>767</v>
      </c>
      <c r="D168" s="9" t="s">
        <v>102</v>
      </c>
      <c r="E168" s="9" t="s">
        <v>768</v>
      </c>
      <c r="F168" s="9" t="s">
        <v>60</v>
      </c>
      <c r="G168" s="9" t="s">
        <v>30</v>
      </c>
      <c r="H168" s="9" t="s">
        <v>506</v>
      </c>
      <c r="I168" s="9" t="s">
        <v>95</v>
      </c>
      <c r="J168" s="9" t="s">
        <v>96</v>
      </c>
      <c r="K168" s="9" t="s">
        <v>769</v>
      </c>
      <c r="L168" s="9" t="s">
        <v>35</v>
      </c>
      <c r="M168" s="9" t="s">
        <v>55</v>
      </c>
      <c r="N168" s="9" t="n">
        <v>501.3</v>
      </c>
      <c r="O168" s="9" t="n">
        <v>6</v>
      </c>
      <c r="P168" s="9" t="n">
        <v>0.15</v>
      </c>
      <c r="Q168" s="9" t="n">
        <v>-14.52</v>
      </c>
    </row>
    <row r="169" customFormat="false" ht="15" hidden="false" customHeight="false" outlineLevel="0" collapsed="false">
      <c r="A169" s="9" t="s">
        <v>770</v>
      </c>
      <c r="B169" s="9" t="s">
        <v>771</v>
      </c>
      <c r="C169" s="9" t="s">
        <v>772</v>
      </c>
      <c r="D169" s="9" t="s">
        <v>102</v>
      </c>
      <c r="E169" s="9" t="s">
        <v>730</v>
      </c>
      <c r="F169" s="9" t="s">
        <v>83</v>
      </c>
      <c r="G169" s="9" t="s">
        <v>30</v>
      </c>
      <c r="H169" s="9" t="s">
        <v>151</v>
      </c>
      <c r="I169" s="9" t="s">
        <v>145</v>
      </c>
      <c r="J169" s="9" t="s">
        <v>96</v>
      </c>
      <c r="K169" s="9" t="s">
        <v>773</v>
      </c>
      <c r="L169" s="9" t="s">
        <v>35</v>
      </c>
      <c r="M169" s="9" t="s">
        <v>78</v>
      </c>
      <c r="N169" s="9" t="n">
        <v>7.62</v>
      </c>
      <c r="O169" s="9" t="n">
        <v>2</v>
      </c>
      <c r="P169" s="9" t="n">
        <v>0.15</v>
      </c>
      <c r="Q169" s="9" t="n">
        <v>1.22</v>
      </c>
    </row>
    <row r="170" customFormat="false" ht="15" hidden="false" customHeight="false" outlineLevel="0" collapsed="false">
      <c r="A170" s="9" t="s">
        <v>295</v>
      </c>
      <c r="B170" s="9" t="s">
        <v>296</v>
      </c>
      <c r="C170" s="9" t="s">
        <v>248</v>
      </c>
      <c r="D170" s="9" t="s">
        <v>40</v>
      </c>
      <c r="E170" s="9" t="s">
        <v>297</v>
      </c>
      <c r="F170" s="9" t="s">
        <v>29</v>
      </c>
      <c r="G170" s="9" t="s">
        <v>30</v>
      </c>
      <c r="H170" s="9" t="s">
        <v>212</v>
      </c>
      <c r="I170" s="9" t="s">
        <v>213</v>
      </c>
      <c r="J170" s="9" t="s">
        <v>96</v>
      </c>
      <c r="K170" s="9" t="s">
        <v>774</v>
      </c>
      <c r="L170" s="9" t="s">
        <v>35</v>
      </c>
      <c r="M170" s="9" t="s">
        <v>36</v>
      </c>
      <c r="N170" s="9" t="n">
        <v>48.54</v>
      </c>
      <c r="O170" s="9" t="n">
        <v>6</v>
      </c>
      <c r="P170" s="9" t="n">
        <v>0.1</v>
      </c>
      <c r="Q170" s="9" t="n">
        <v>16.43</v>
      </c>
    </row>
    <row r="171" customFormat="false" ht="15" hidden="false" customHeight="false" outlineLevel="0" collapsed="false">
      <c r="A171" s="9" t="s">
        <v>775</v>
      </c>
      <c r="B171" s="9" t="s">
        <v>776</v>
      </c>
      <c r="C171" s="9" t="s">
        <v>777</v>
      </c>
      <c r="D171" s="9" t="s">
        <v>40</v>
      </c>
      <c r="E171" s="9" t="s">
        <v>690</v>
      </c>
      <c r="F171" s="9" t="s">
        <v>60</v>
      </c>
      <c r="G171" s="9" t="s">
        <v>30</v>
      </c>
      <c r="H171" s="9" t="s">
        <v>61</v>
      </c>
      <c r="I171" s="9" t="s">
        <v>62</v>
      </c>
      <c r="J171" s="9" t="s">
        <v>44</v>
      </c>
      <c r="K171" s="9" t="s">
        <v>778</v>
      </c>
      <c r="L171" s="9" t="s">
        <v>88</v>
      </c>
      <c r="M171" s="9" t="s">
        <v>576</v>
      </c>
      <c r="N171" s="9" t="n">
        <v>392.72</v>
      </c>
      <c r="O171" s="9" t="n">
        <v>2</v>
      </c>
      <c r="P171" s="9" t="n">
        <v>0.1</v>
      </c>
      <c r="Q171" s="9" t="n">
        <v>45.35</v>
      </c>
    </row>
    <row r="172" customFormat="false" ht="15" hidden="false" customHeight="false" outlineLevel="0" collapsed="false">
      <c r="A172" s="9" t="s">
        <v>779</v>
      </c>
      <c r="B172" s="9" t="s">
        <v>780</v>
      </c>
      <c r="C172" s="9" t="s">
        <v>781</v>
      </c>
      <c r="D172" s="9" t="s">
        <v>102</v>
      </c>
      <c r="E172" s="9" t="s">
        <v>782</v>
      </c>
      <c r="F172" s="9" t="s">
        <v>29</v>
      </c>
      <c r="G172" s="9" t="s">
        <v>30</v>
      </c>
      <c r="H172" s="9" t="s">
        <v>163</v>
      </c>
      <c r="I172" s="9" t="s">
        <v>164</v>
      </c>
      <c r="J172" s="9" t="s">
        <v>96</v>
      </c>
      <c r="K172" s="9" t="s">
        <v>783</v>
      </c>
      <c r="L172" s="9" t="s">
        <v>88</v>
      </c>
      <c r="M172" s="9" t="s">
        <v>576</v>
      </c>
      <c r="N172" s="9" t="n">
        <v>163.54</v>
      </c>
      <c r="O172" s="9" t="n">
        <v>2</v>
      </c>
      <c r="P172" s="9" t="n">
        <v>0.1</v>
      </c>
      <c r="Q172" s="9" t="n">
        <v>14.8</v>
      </c>
    </row>
    <row r="173" customFormat="false" ht="15" hidden="false" customHeight="false" outlineLevel="0" collapsed="false">
      <c r="A173" s="9" t="s">
        <v>784</v>
      </c>
      <c r="B173" s="9" t="s">
        <v>430</v>
      </c>
      <c r="C173" s="9" t="s">
        <v>785</v>
      </c>
      <c r="D173" s="9" t="s">
        <v>27</v>
      </c>
      <c r="E173" s="9" t="s">
        <v>786</v>
      </c>
      <c r="F173" s="9" t="s">
        <v>29</v>
      </c>
      <c r="G173" s="9" t="s">
        <v>30</v>
      </c>
      <c r="H173" s="9" t="s">
        <v>163</v>
      </c>
      <c r="I173" s="9" t="s">
        <v>164</v>
      </c>
      <c r="J173" s="9" t="s">
        <v>96</v>
      </c>
      <c r="K173" s="9" t="s">
        <v>787</v>
      </c>
      <c r="L173" s="9" t="s">
        <v>35</v>
      </c>
      <c r="M173" s="9" t="s">
        <v>36</v>
      </c>
      <c r="N173" s="9" t="n">
        <v>278.01</v>
      </c>
      <c r="O173" s="9" t="n">
        <v>9</v>
      </c>
      <c r="P173" s="9" t="n">
        <v>0.15</v>
      </c>
      <c r="Q173" s="9" t="n">
        <v>68.7</v>
      </c>
    </row>
    <row r="174" customFormat="false" ht="15" hidden="false" customHeight="false" outlineLevel="0" collapsed="false">
      <c r="A174" s="9" t="s">
        <v>429</v>
      </c>
      <c r="B174" s="9" t="s">
        <v>430</v>
      </c>
      <c r="C174" s="9" t="s">
        <v>431</v>
      </c>
      <c r="D174" s="9" t="s">
        <v>40</v>
      </c>
      <c r="E174" s="9" t="s">
        <v>359</v>
      </c>
      <c r="F174" s="9" t="s">
        <v>29</v>
      </c>
      <c r="G174" s="9" t="s">
        <v>30</v>
      </c>
      <c r="H174" s="9" t="s">
        <v>94</v>
      </c>
      <c r="I174" s="9" t="s">
        <v>95</v>
      </c>
      <c r="J174" s="9" t="s">
        <v>96</v>
      </c>
      <c r="K174" s="9" t="s">
        <v>788</v>
      </c>
      <c r="L174" s="9" t="s">
        <v>88</v>
      </c>
      <c r="M174" s="9" t="s">
        <v>153</v>
      </c>
      <c r="N174" s="9" t="n">
        <v>563.28</v>
      </c>
      <c r="O174" s="9" t="n">
        <v>8</v>
      </c>
      <c r="P174" s="9" t="n">
        <v>0</v>
      </c>
      <c r="Q174" s="9" t="n">
        <v>136.83</v>
      </c>
    </row>
    <row r="175" customFormat="false" ht="15" hidden="false" customHeight="false" outlineLevel="0" collapsed="false">
      <c r="A175" s="9" t="s">
        <v>789</v>
      </c>
      <c r="B175" s="9" t="s">
        <v>790</v>
      </c>
      <c r="C175" s="9" t="s">
        <v>791</v>
      </c>
      <c r="D175" s="9" t="s">
        <v>40</v>
      </c>
      <c r="E175" s="9" t="s">
        <v>792</v>
      </c>
      <c r="F175" s="9" t="s">
        <v>83</v>
      </c>
      <c r="G175" s="9" t="s">
        <v>30</v>
      </c>
      <c r="H175" s="9" t="s">
        <v>151</v>
      </c>
      <c r="I175" s="9" t="s">
        <v>145</v>
      </c>
      <c r="J175" s="9" t="s">
        <v>96</v>
      </c>
      <c r="K175" s="9" t="s">
        <v>793</v>
      </c>
      <c r="L175" s="9" t="s">
        <v>88</v>
      </c>
      <c r="M175" s="9" t="s">
        <v>153</v>
      </c>
      <c r="N175" s="9" t="n">
        <v>851.44</v>
      </c>
      <c r="O175" s="9" t="n">
        <v>8</v>
      </c>
      <c r="P175" s="9" t="n">
        <v>0</v>
      </c>
      <c r="Q175" s="9" t="n">
        <v>153.85</v>
      </c>
    </row>
    <row r="176" customFormat="false" ht="15" hidden="false" customHeight="false" outlineLevel="0" collapsed="false">
      <c r="A176" s="9" t="s">
        <v>794</v>
      </c>
      <c r="B176" s="9" t="s">
        <v>795</v>
      </c>
      <c r="C176" s="9" t="s">
        <v>796</v>
      </c>
      <c r="D176" s="9" t="s">
        <v>27</v>
      </c>
      <c r="E176" s="9" t="s">
        <v>483</v>
      </c>
      <c r="F176" s="9" t="s">
        <v>60</v>
      </c>
      <c r="G176" s="9" t="s">
        <v>30</v>
      </c>
      <c r="H176" s="9" t="s">
        <v>53</v>
      </c>
      <c r="I176" s="9" t="s">
        <v>43</v>
      </c>
      <c r="J176" s="9" t="s">
        <v>44</v>
      </c>
      <c r="K176" s="9" t="s">
        <v>797</v>
      </c>
      <c r="L176" s="9" t="s">
        <v>46</v>
      </c>
      <c r="M176" s="9" t="s">
        <v>64</v>
      </c>
      <c r="N176" s="9" t="n">
        <v>2669.72</v>
      </c>
      <c r="O176" s="9" t="n">
        <v>4</v>
      </c>
      <c r="P176" s="9" t="n">
        <v>0.6</v>
      </c>
      <c r="Q176" s="9" t="n">
        <v>-898.97</v>
      </c>
    </row>
    <row r="177" customFormat="false" ht="15" hidden="false" customHeight="false" outlineLevel="0" collapsed="false">
      <c r="A177" s="9" t="s">
        <v>798</v>
      </c>
      <c r="B177" s="9" t="s">
        <v>799</v>
      </c>
      <c r="C177" s="9" t="s">
        <v>800</v>
      </c>
      <c r="D177" s="9" t="s">
        <v>51</v>
      </c>
      <c r="E177" s="9" t="s">
        <v>801</v>
      </c>
      <c r="F177" s="9" t="s">
        <v>60</v>
      </c>
      <c r="G177" s="9" t="s">
        <v>30</v>
      </c>
      <c r="H177" s="9" t="s">
        <v>131</v>
      </c>
      <c r="I177" s="9" t="s">
        <v>132</v>
      </c>
      <c r="J177" s="9" t="s">
        <v>86</v>
      </c>
      <c r="K177" s="9" t="s">
        <v>802</v>
      </c>
      <c r="L177" s="9" t="s">
        <v>88</v>
      </c>
      <c r="M177" s="9" t="s">
        <v>576</v>
      </c>
      <c r="N177" s="9" t="n">
        <v>2402.82</v>
      </c>
      <c r="O177" s="9" t="n">
        <v>9</v>
      </c>
      <c r="P177" s="9" t="n">
        <v>0</v>
      </c>
      <c r="Q177" s="9" t="n">
        <v>394.51</v>
      </c>
    </row>
    <row r="178" customFormat="false" ht="15" hidden="false" customHeight="false" outlineLevel="0" collapsed="false">
      <c r="A178" s="9" t="s">
        <v>357</v>
      </c>
      <c r="B178" s="9" t="s">
        <v>358</v>
      </c>
      <c r="C178" s="9" t="s">
        <v>109</v>
      </c>
      <c r="D178" s="9" t="s">
        <v>40</v>
      </c>
      <c r="E178" s="9" t="s">
        <v>359</v>
      </c>
      <c r="F178" s="9" t="s">
        <v>29</v>
      </c>
      <c r="G178" s="9" t="s">
        <v>30</v>
      </c>
      <c r="H178" s="9" t="s">
        <v>53</v>
      </c>
      <c r="I178" s="9" t="s">
        <v>43</v>
      </c>
      <c r="J178" s="9" t="s">
        <v>44</v>
      </c>
      <c r="K178" s="9" t="s">
        <v>803</v>
      </c>
      <c r="L178" s="9" t="s">
        <v>88</v>
      </c>
      <c r="M178" s="9" t="s">
        <v>89</v>
      </c>
      <c r="N178" s="9" t="n">
        <v>978.24</v>
      </c>
      <c r="O178" s="9" t="n">
        <v>4</v>
      </c>
      <c r="P178" s="9" t="n">
        <v>0.4</v>
      </c>
      <c r="Q178" s="9" t="n">
        <v>-145.06</v>
      </c>
    </row>
    <row r="179" customFormat="false" ht="15" hidden="false" customHeight="false" outlineLevel="0" collapsed="false">
      <c r="A179" s="9" t="s">
        <v>804</v>
      </c>
      <c r="B179" s="9" t="s">
        <v>805</v>
      </c>
      <c r="C179" s="9" t="s">
        <v>806</v>
      </c>
      <c r="D179" s="9" t="s">
        <v>40</v>
      </c>
      <c r="E179" s="9" t="s">
        <v>807</v>
      </c>
      <c r="F179" s="9" t="s">
        <v>29</v>
      </c>
      <c r="G179" s="9" t="s">
        <v>30</v>
      </c>
      <c r="H179" s="9" t="s">
        <v>308</v>
      </c>
      <c r="I179" s="9" t="s">
        <v>132</v>
      </c>
      <c r="J179" s="9" t="s">
        <v>86</v>
      </c>
      <c r="K179" s="9" t="s">
        <v>808</v>
      </c>
      <c r="L179" s="9" t="s">
        <v>35</v>
      </c>
      <c r="M179" s="9" t="s">
        <v>185</v>
      </c>
      <c r="N179" s="9" t="n">
        <v>494.82</v>
      </c>
      <c r="O179" s="9" t="n">
        <v>9</v>
      </c>
      <c r="P179" s="9" t="n">
        <v>0</v>
      </c>
      <c r="Q179" s="9" t="n">
        <v>81.23</v>
      </c>
    </row>
    <row r="180" customFormat="false" ht="15" hidden="false" customHeight="false" outlineLevel="0" collapsed="false">
      <c r="A180" s="9" t="s">
        <v>809</v>
      </c>
      <c r="B180" s="9" t="s">
        <v>810</v>
      </c>
      <c r="C180" s="9" t="s">
        <v>80</v>
      </c>
      <c r="D180" s="9" t="s">
        <v>40</v>
      </c>
      <c r="E180" s="9" t="s">
        <v>811</v>
      </c>
      <c r="F180" s="9" t="s">
        <v>60</v>
      </c>
      <c r="G180" s="9" t="s">
        <v>30</v>
      </c>
      <c r="H180" s="9" t="s">
        <v>673</v>
      </c>
      <c r="I180" s="9" t="s">
        <v>251</v>
      </c>
      <c r="J180" s="9" t="s">
        <v>33</v>
      </c>
      <c r="K180" s="9" t="s">
        <v>812</v>
      </c>
      <c r="L180" s="9" t="s">
        <v>46</v>
      </c>
      <c r="M180" s="9" t="s">
        <v>191</v>
      </c>
      <c r="N180" s="9" t="n">
        <v>2240.22</v>
      </c>
      <c r="O180" s="9" t="n">
        <v>6</v>
      </c>
      <c r="P180" s="9" t="n">
        <v>0</v>
      </c>
      <c r="Q180" s="9" t="n">
        <v>847.32</v>
      </c>
    </row>
    <row r="181" customFormat="false" ht="15" hidden="false" customHeight="false" outlineLevel="0" collapsed="false">
      <c r="A181" s="9" t="s">
        <v>733</v>
      </c>
      <c r="B181" s="9" t="s">
        <v>734</v>
      </c>
      <c r="C181" s="9" t="s">
        <v>735</v>
      </c>
      <c r="D181" s="9" t="s">
        <v>40</v>
      </c>
      <c r="E181" s="9" t="s">
        <v>720</v>
      </c>
      <c r="F181" s="9" t="s">
        <v>60</v>
      </c>
      <c r="G181" s="9" t="s">
        <v>30</v>
      </c>
      <c r="H181" s="9" t="s">
        <v>673</v>
      </c>
      <c r="I181" s="9" t="s">
        <v>251</v>
      </c>
      <c r="J181" s="9" t="s">
        <v>33</v>
      </c>
      <c r="K181" s="9" t="s">
        <v>813</v>
      </c>
      <c r="L181" s="9" t="s">
        <v>46</v>
      </c>
      <c r="M181" s="9" t="s">
        <v>191</v>
      </c>
      <c r="N181" s="9" t="n">
        <v>4705.12</v>
      </c>
      <c r="O181" s="9" t="n">
        <v>8</v>
      </c>
      <c r="P181" s="9" t="n">
        <v>0.1</v>
      </c>
      <c r="Q181" s="9" t="n">
        <v>1182.68</v>
      </c>
    </row>
    <row r="182" customFormat="false" ht="15" hidden="false" customHeight="false" outlineLevel="0" collapsed="false">
      <c r="A182" s="9" t="s">
        <v>577</v>
      </c>
      <c r="B182" s="9" t="s">
        <v>578</v>
      </c>
      <c r="C182" s="9" t="s">
        <v>579</v>
      </c>
      <c r="D182" s="9" t="s">
        <v>40</v>
      </c>
      <c r="E182" s="9" t="s">
        <v>580</v>
      </c>
      <c r="F182" s="9" t="s">
        <v>83</v>
      </c>
      <c r="G182" s="9" t="s">
        <v>30</v>
      </c>
      <c r="H182" s="9" t="s">
        <v>61</v>
      </c>
      <c r="I182" s="9" t="s">
        <v>62</v>
      </c>
      <c r="J182" s="9" t="s">
        <v>44</v>
      </c>
      <c r="K182" s="9" t="s">
        <v>814</v>
      </c>
      <c r="L182" s="9" t="s">
        <v>46</v>
      </c>
      <c r="M182" s="9" t="s">
        <v>47</v>
      </c>
      <c r="N182" s="9" t="n">
        <v>1245.2</v>
      </c>
      <c r="O182" s="9" t="n">
        <v>8</v>
      </c>
      <c r="P182" s="9" t="n">
        <v>0</v>
      </c>
      <c r="Q182" s="9" t="n">
        <v>306.54</v>
      </c>
    </row>
    <row r="183" customFormat="false" ht="15" hidden="false" customHeight="false" outlineLevel="0" collapsed="false">
      <c r="A183" s="9" t="s">
        <v>815</v>
      </c>
      <c r="B183" s="9" t="s">
        <v>142</v>
      </c>
      <c r="C183" s="9" t="s">
        <v>816</v>
      </c>
      <c r="D183" s="9" t="s">
        <v>40</v>
      </c>
      <c r="E183" s="9" t="s">
        <v>817</v>
      </c>
      <c r="F183" s="9" t="s">
        <v>83</v>
      </c>
      <c r="G183" s="9" t="s">
        <v>30</v>
      </c>
      <c r="H183" s="9" t="s">
        <v>163</v>
      </c>
      <c r="I183" s="9" t="s">
        <v>164</v>
      </c>
      <c r="J183" s="9" t="s">
        <v>96</v>
      </c>
      <c r="K183" s="9" t="s">
        <v>818</v>
      </c>
      <c r="L183" s="9" t="s">
        <v>35</v>
      </c>
      <c r="M183" s="9" t="s">
        <v>36</v>
      </c>
      <c r="N183" s="9" t="n">
        <v>10.87</v>
      </c>
      <c r="O183" s="9" t="n">
        <v>1</v>
      </c>
      <c r="P183" s="9" t="n">
        <v>0</v>
      </c>
      <c r="Q183" s="9" t="n">
        <v>2.34</v>
      </c>
    </row>
    <row r="184" customFormat="false" ht="15" hidden="false" customHeight="false" outlineLevel="0" collapsed="false">
      <c r="A184" s="9" t="s">
        <v>819</v>
      </c>
      <c r="B184" s="9" t="s">
        <v>72</v>
      </c>
      <c r="C184" s="9" t="s">
        <v>820</v>
      </c>
      <c r="D184" s="9" t="s">
        <v>40</v>
      </c>
      <c r="E184" s="9" t="s">
        <v>821</v>
      </c>
      <c r="F184" s="9" t="s">
        <v>83</v>
      </c>
      <c r="G184" s="9" t="s">
        <v>30</v>
      </c>
      <c r="H184" s="9" t="s">
        <v>53</v>
      </c>
      <c r="I184" s="9" t="s">
        <v>43</v>
      </c>
      <c r="J184" s="9" t="s">
        <v>44</v>
      </c>
      <c r="K184" s="9" t="s">
        <v>822</v>
      </c>
      <c r="L184" s="9" t="s">
        <v>35</v>
      </c>
      <c r="M184" s="9" t="s">
        <v>114</v>
      </c>
      <c r="N184" s="9" t="n">
        <v>94.89</v>
      </c>
      <c r="O184" s="9" t="n">
        <v>3</v>
      </c>
      <c r="P184" s="9" t="n">
        <v>0</v>
      </c>
      <c r="Q184" s="9" t="n">
        <v>24.89</v>
      </c>
    </row>
    <row r="185" customFormat="false" ht="15" hidden="false" customHeight="false" outlineLevel="0" collapsed="false">
      <c r="A185" s="9" t="s">
        <v>823</v>
      </c>
      <c r="B185" s="9" t="s">
        <v>824</v>
      </c>
      <c r="C185" s="9" t="s">
        <v>50</v>
      </c>
      <c r="D185" s="9" t="s">
        <v>40</v>
      </c>
      <c r="E185" s="9" t="s">
        <v>825</v>
      </c>
      <c r="F185" s="9" t="s">
        <v>60</v>
      </c>
      <c r="G185" s="9" t="s">
        <v>30</v>
      </c>
      <c r="H185" s="9" t="s">
        <v>308</v>
      </c>
      <c r="I185" s="9" t="s">
        <v>132</v>
      </c>
      <c r="J185" s="9" t="s">
        <v>86</v>
      </c>
      <c r="K185" s="9" t="s">
        <v>826</v>
      </c>
      <c r="L185" s="9" t="s">
        <v>35</v>
      </c>
      <c r="M185" s="9" t="s">
        <v>114</v>
      </c>
      <c r="N185" s="9" t="n">
        <v>39.1</v>
      </c>
      <c r="O185" s="9" t="n">
        <v>1</v>
      </c>
      <c r="P185" s="9" t="n">
        <v>0</v>
      </c>
      <c r="Q185" s="9" t="n">
        <v>13.58</v>
      </c>
    </row>
    <row r="186" customFormat="false" ht="15" hidden="false" customHeight="false" outlineLevel="0" collapsed="false">
      <c r="A186" s="9" t="s">
        <v>827</v>
      </c>
      <c r="B186" s="9" t="s">
        <v>828</v>
      </c>
      <c r="C186" s="9" t="s">
        <v>829</v>
      </c>
      <c r="D186" s="9" t="s">
        <v>51</v>
      </c>
      <c r="E186" s="9" t="s">
        <v>118</v>
      </c>
      <c r="F186" s="9" t="s">
        <v>60</v>
      </c>
      <c r="G186" s="9" t="s">
        <v>30</v>
      </c>
      <c r="H186" s="9" t="s">
        <v>177</v>
      </c>
      <c r="I186" s="9" t="s">
        <v>62</v>
      </c>
      <c r="J186" s="9" t="s">
        <v>44</v>
      </c>
      <c r="K186" s="9" t="s">
        <v>830</v>
      </c>
      <c r="L186" s="9" t="s">
        <v>88</v>
      </c>
      <c r="M186" s="9" t="s">
        <v>153</v>
      </c>
      <c r="N186" s="9" t="n">
        <v>79.67</v>
      </c>
      <c r="O186" s="9" t="n">
        <v>1</v>
      </c>
      <c r="P186" s="9" t="n">
        <v>0</v>
      </c>
      <c r="Q186" s="9" t="n">
        <v>11.79</v>
      </c>
    </row>
    <row r="187" customFormat="false" ht="15" hidden="false" customHeight="false" outlineLevel="0" collapsed="false">
      <c r="A187" s="9" t="s">
        <v>831</v>
      </c>
      <c r="B187" s="9" t="s">
        <v>832</v>
      </c>
      <c r="C187" s="9" t="s">
        <v>542</v>
      </c>
      <c r="D187" s="9" t="s">
        <v>40</v>
      </c>
      <c r="E187" s="9" t="s">
        <v>833</v>
      </c>
      <c r="F187" s="9" t="s">
        <v>29</v>
      </c>
      <c r="G187" s="9" t="s">
        <v>30</v>
      </c>
      <c r="H187" s="9" t="s">
        <v>378</v>
      </c>
      <c r="I187" s="9" t="s">
        <v>76</v>
      </c>
      <c r="J187" s="9" t="s">
        <v>33</v>
      </c>
      <c r="K187" s="9" t="s">
        <v>834</v>
      </c>
      <c r="L187" s="9" t="s">
        <v>35</v>
      </c>
      <c r="M187" s="9" t="s">
        <v>185</v>
      </c>
      <c r="N187" s="9" t="n">
        <v>699.64</v>
      </c>
      <c r="O187" s="9" t="n">
        <v>4</v>
      </c>
      <c r="P187" s="9" t="n">
        <v>0.1</v>
      </c>
      <c r="Q187" s="9" t="n">
        <v>12.38</v>
      </c>
    </row>
    <row r="188" customFormat="false" ht="15" hidden="false" customHeight="false" outlineLevel="0" collapsed="false">
      <c r="A188" s="9" t="s">
        <v>619</v>
      </c>
      <c r="B188" s="9" t="s">
        <v>620</v>
      </c>
      <c r="C188" s="9" t="s">
        <v>50</v>
      </c>
      <c r="D188" s="9" t="s">
        <v>40</v>
      </c>
      <c r="E188" s="9" t="s">
        <v>110</v>
      </c>
      <c r="F188" s="9" t="s">
        <v>29</v>
      </c>
      <c r="G188" s="9" t="s">
        <v>30</v>
      </c>
      <c r="H188" s="9" t="s">
        <v>489</v>
      </c>
      <c r="I188" s="9" t="s">
        <v>95</v>
      </c>
      <c r="J188" s="9" t="s">
        <v>96</v>
      </c>
      <c r="K188" s="9" t="s">
        <v>835</v>
      </c>
      <c r="L188" s="9" t="s">
        <v>35</v>
      </c>
      <c r="M188" s="9" t="s">
        <v>179</v>
      </c>
      <c r="N188" s="9" t="n">
        <v>170.19</v>
      </c>
      <c r="O188" s="9" t="n">
        <v>9</v>
      </c>
      <c r="P188" s="9" t="n">
        <v>0.15</v>
      </c>
      <c r="Q188" s="9" t="n">
        <v>33.9</v>
      </c>
    </row>
    <row r="189" customFormat="false" ht="15" hidden="false" customHeight="false" outlineLevel="0" collapsed="false">
      <c r="A189" s="9" t="s">
        <v>836</v>
      </c>
      <c r="B189" s="9" t="s">
        <v>837</v>
      </c>
      <c r="C189" s="9" t="s">
        <v>838</v>
      </c>
      <c r="D189" s="9" t="s">
        <v>51</v>
      </c>
      <c r="E189" s="9" t="s">
        <v>839</v>
      </c>
      <c r="F189" s="9" t="s">
        <v>29</v>
      </c>
      <c r="G189" s="9" t="s">
        <v>30</v>
      </c>
      <c r="H189" s="9" t="s">
        <v>266</v>
      </c>
      <c r="I189" s="9" t="s">
        <v>267</v>
      </c>
      <c r="J189" s="9" t="s">
        <v>44</v>
      </c>
      <c r="K189" s="9" t="s">
        <v>840</v>
      </c>
      <c r="L189" s="9" t="s">
        <v>35</v>
      </c>
      <c r="M189" s="9" t="s">
        <v>114</v>
      </c>
      <c r="N189" s="9" t="n">
        <v>203.44</v>
      </c>
      <c r="O189" s="9" t="n">
        <v>8</v>
      </c>
      <c r="P189" s="9" t="n">
        <v>0</v>
      </c>
      <c r="Q189" s="9" t="n">
        <v>33.68</v>
      </c>
    </row>
    <row r="190" customFormat="false" ht="15" hidden="false" customHeight="false" outlineLevel="0" collapsed="false">
      <c r="A190" s="9" t="s">
        <v>841</v>
      </c>
      <c r="B190" s="9" t="s">
        <v>615</v>
      </c>
      <c r="C190" s="9" t="s">
        <v>842</v>
      </c>
      <c r="D190" s="9" t="s">
        <v>40</v>
      </c>
      <c r="E190" s="9" t="s">
        <v>354</v>
      </c>
      <c r="F190" s="9" t="s">
        <v>29</v>
      </c>
      <c r="G190" s="9" t="s">
        <v>30</v>
      </c>
      <c r="H190" s="9" t="s">
        <v>61</v>
      </c>
      <c r="I190" s="9" t="s">
        <v>62</v>
      </c>
      <c r="J190" s="9" t="s">
        <v>44</v>
      </c>
      <c r="K190" s="9" t="s">
        <v>843</v>
      </c>
      <c r="L190" s="9" t="s">
        <v>35</v>
      </c>
      <c r="M190" s="9" t="s">
        <v>356</v>
      </c>
      <c r="N190" s="9" t="n">
        <v>85.95</v>
      </c>
      <c r="O190" s="9" t="n">
        <v>9</v>
      </c>
      <c r="P190" s="9" t="n">
        <v>0.15</v>
      </c>
      <c r="Q190" s="9" t="n">
        <v>12.61</v>
      </c>
    </row>
    <row r="191" customFormat="false" ht="15" hidden="false" customHeight="false" outlineLevel="0" collapsed="false">
      <c r="A191" s="9" t="s">
        <v>844</v>
      </c>
      <c r="B191" s="9" t="s">
        <v>845</v>
      </c>
      <c r="C191" s="9" t="s">
        <v>395</v>
      </c>
      <c r="D191" s="9" t="s">
        <v>40</v>
      </c>
      <c r="E191" s="9" t="s">
        <v>846</v>
      </c>
      <c r="F191" s="9" t="s">
        <v>83</v>
      </c>
      <c r="G191" s="9" t="s">
        <v>30</v>
      </c>
      <c r="H191" s="9" t="s">
        <v>278</v>
      </c>
      <c r="I191" s="9" t="s">
        <v>112</v>
      </c>
      <c r="J191" s="9" t="s">
        <v>86</v>
      </c>
      <c r="K191" s="9" t="s">
        <v>847</v>
      </c>
      <c r="L191" s="9" t="s">
        <v>35</v>
      </c>
      <c r="M191" s="9" t="s">
        <v>55</v>
      </c>
      <c r="N191" s="9" t="n">
        <v>375.52</v>
      </c>
      <c r="O191" s="9" t="n">
        <v>8</v>
      </c>
      <c r="P191" s="9" t="n">
        <v>0</v>
      </c>
      <c r="Q191" s="9" t="n">
        <v>55</v>
      </c>
    </row>
    <row r="192" customFormat="false" ht="15" hidden="false" customHeight="false" outlineLevel="0" collapsed="false">
      <c r="A192" s="9" t="s">
        <v>848</v>
      </c>
      <c r="B192" s="9" t="s">
        <v>849</v>
      </c>
      <c r="C192" s="9" t="s">
        <v>510</v>
      </c>
      <c r="D192" s="9" t="s">
        <v>40</v>
      </c>
      <c r="E192" s="9" t="s">
        <v>403</v>
      </c>
      <c r="F192" s="9" t="s">
        <v>83</v>
      </c>
      <c r="G192" s="9" t="s">
        <v>30</v>
      </c>
      <c r="H192" s="9" t="s">
        <v>397</v>
      </c>
      <c r="I192" s="9" t="s">
        <v>267</v>
      </c>
      <c r="J192" s="9" t="s">
        <v>44</v>
      </c>
      <c r="K192" s="9" t="s">
        <v>850</v>
      </c>
      <c r="L192" s="9" t="s">
        <v>35</v>
      </c>
      <c r="M192" s="9" t="s">
        <v>179</v>
      </c>
      <c r="N192" s="9" t="n">
        <v>29.94</v>
      </c>
      <c r="O192" s="9" t="n">
        <v>2</v>
      </c>
      <c r="P192" s="9" t="n">
        <v>0.1</v>
      </c>
      <c r="Q192" s="9" t="n">
        <v>3.97</v>
      </c>
    </row>
    <row r="193" customFormat="false" ht="15" hidden="false" customHeight="false" outlineLevel="0" collapsed="false">
      <c r="A193" s="9" t="s">
        <v>343</v>
      </c>
      <c r="B193" s="9" t="s">
        <v>344</v>
      </c>
      <c r="C193" s="9" t="s">
        <v>345</v>
      </c>
      <c r="D193" s="9" t="s">
        <v>40</v>
      </c>
      <c r="E193" s="9" t="s">
        <v>346</v>
      </c>
      <c r="F193" s="9" t="s">
        <v>29</v>
      </c>
      <c r="G193" s="9" t="s">
        <v>30</v>
      </c>
      <c r="H193" s="9" t="s">
        <v>144</v>
      </c>
      <c r="I193" s="9" t="s">
        <v>145</v>
      </c>
      <c r="J193" s="9" t="s">
        <v>96</v>
      </c>
      <c r="K193" s="9" t="s">
        <v>851</v>
      </c>
      <c r="L193" s="9" t="s">
        <v>35</v>
      </c>
      <c r="M193" s="9" t="s">
        <v>356</v>
      </c>
      <c r="N193" s="9" t="n">
        <v>9.55</v>
      </c>
      <c r="O193" s="9" t="n">
        <v>1</v>
      </c>
      <c r="P193" s="9" t="n">
        <v>0.2</v>
      </c>
      <c r="Q193" s="9" t="n">
        <v>1.42</v>
      </c>
    </row>
    <row r="194" customFormat="false" ht="15" hidden="false" customHeight="false" outlineLevel="0" collapsed="false">
      <c r="A194" s="9" t="s">
        <v>433</v>
      </c>
      <c r="B194" s="9" t="s">
        <v>434</v>
      </c>
      <c r="C194" s="9" t="s">
        <v>435</v>
      </c>
      <c r="D194" s="9" t="s">
        <v>27</v>
      </c>
      <c r="E194" s="9" t="s">
        <v>82</v>
      </c>
      <c r="F194" s="9" t="s">
        <v>83</v>
      </c>
      <c r="G194" s="9" t="s">
        <v>30</v>
      </c>
      <c r="H194" s="9" t="s">
        <v>436</v>
      </c>
      <c r="I194" s="9" t="s">
        <v>105</v>
      </c>
      <c r="J194" s="9" t="s">
        <v>44</v>
      </c>
      <c r="K194" s="9" t="s">
        <v>852</v>
      </c>
      <c r="L194" s="9" t="s">
        <v>35</v>
      </c>
      <c r="M194" s="9" t="s">
        <v>36</v>
      </c>
      <c r="N194" s="9" t="n">
        <v>232.47</v>
      </c>
      <c r="O194" s="9" t="n">
        <v>7</v>
      </c>
      <c r="P194" s="9" t="n">
        <v>0.1</v>
      </c>
      <c r="Q194" s="9" t="n">
        <v>61.98</v>
      </c>
    </row>
    <row r="195" customFormat="false" ht="15" hidden="false" customHeight="false" outlineLevel="0" collapsed="false">
      <c r="A195" s="9" t="s">
        <v>853</v>
      </c>
      <c r="B195" s="9" t="s">
        <v>854</v>
      </c>
      <c r="C195" s="9" t="s">
        <v>276</v>
      </c>
      <c r="D195" s="9" t="s">
        <v>27</v>
      </c>
      <c r="E195" s="9" t="s">
        <v>372</v>
      </c>
      <c r="F195" s="9" t="s">
        <v>60</v>
      </c>
      <c r="G195" s="9" t="s">
        <v>30</v>
      </c>
      <c r="H195" s="9" t="s">
        <v>104</v>
      </c>
      <c r="I195" s="9" t="s">
        <v>105</v>
      </c>
      <c r="J195" s="9" t="s">
        <v>44</v>
      </c>
      <c r="K195" s="9" t="s">
        <v>855</v>
      </c>
      <c r="L195" s="9" t="s">
        <v>88</v>
      </c>
      <c r="M195" s="9" t="s">
        <v>197</v>
      </c>
      <c r="N195" s="9" t="n">
        <v>518.8</v>
      </c>
      <c r="O195" s="9" t="n">
        <v>2</v>
      </c>
      <c r="P195" s="9" t="n">
        <v>0</v>
      </c>
      <c r="Q195" s="9" t="n">
        <v>-13.92</v>
      </c>
    </row>
    <row r="196" customFormat="false" ht="15" hidden="false" customHeight="false" outlineLevel="0" collapsed="false">
      <c r="A196" s="9" t="s">
        <v>856</v>
      </c>
      <c r="B196" s="9" t="s">
        <v>857</v>
      </c>
      <c r="C196" s="9" t="s">
        <v>858</v>
      </c>
      <c r="D196" s="9" t="s">
        <v>40</v>
      </c>
      <c r="E196" s="9" t="s">
        <v>744</v>
      </c>
      <c r="F196" s="9" t="s">
        <v>83</v>
      </c>
      <c r="G196" s="9" t="s">
        <v>30</v>
      </c>
      <c r="H196" s="9" t="s">
        <v>124</v>
      </c>
      <c r="I196" s="9" t="s">
        <v>125</v>
      </c>
      <c r="J196" s="9" t="s">
        <v>33</v>
      </c>
      <c r="K196" s="9" t="s">
        <v>859</v>
      </c>
      <c r="L196" s="9" t="s">
        <v>35</v>
      </c>
      <c r="M196" s="9" t="s">
        <v>98</v>
      </c>
      <c r="N196" s="9" t="n">
        <v>39.27</v>
      </c>
      <c r="O196" s="9" t="n">
        <v>3</v>
      </c>
      <c r="P196" s="9" t="n">
        <v>0</v>
      </c>
      <c r="Q196" s="9" t="n">
        <v>6.99</v>
      </c>
    </row>
    <row r="197" customFormat="false" ht="15" hidden="false" customHeight="false" outlineLevel="0" collapsed="false">
      <c r="A197" s="9" t="s">
        <v>860</v>
      </c>
      <c r="B197" s="9" t="s">
        <v>861</v>
      </c>
      <c r="C197" s="9" t="s">
        <v>862</v>
      </c>
      <c r="D197" s="9" t="s">
        <v>27</v>
      </c>
      <c r="E197" s="9" t="s">
        <v>863</v>
      </c>
      <c r="F197" s="9" t="s">
        <v>29</v>
      </c>
      <c r="G197" s="9" t="s">
        <v>30</v>
      </c>
      <c r="H197" s="9" t="s">
        <v>131</v>
      </c>
      <c r="I197" s="9" t="s">
        <v>132</v>
      </c>
      <c r="J197" s="9" t="s">
        <v>86</v>
      </c>
      <c r="K197" s="9" t="s">
        <v>864</v>
      </c>
      <c r="L197" s="9" t="s">
        <v>88</v>
      </c>
      <c r="M197" s="9" t="s">
        <v>153</v>
      </c>
      <c r="N197" s="9" t="n">
        <v>86.94</v>
      </c>
      <c r="O197" s="9" t="n">
        <v>2</v>
      </c>
      <c r="P197" s="9" t="n">
        <v>0.15</v>
      </c>
      <c r="Q197" s="9" t="n">
        <v>9.99</v>
      </c>
    </row>
    <row r="198" customFormat="false" ht="15" hidden="false" customHeight="false" outlineLevel="0" collapsed="false">
      <c r="A198" s="9" t="s">
        <v>798</v>
      </c>
      <c r="B198" s="9" t="s">
        <v>799</v>
      </c>
      <c r="C198" s="9" t="s">
        <v>800</v>
      </c>
      <c r="D198" s="9" t="s">
        <v>51</v>
      </c>
      <c r="E198" s="9" t="s">
        <v>801</v>
      </c>
      <c r="F198" s="9" t="s">
        <v>60</v>
      </c>
      <c r="G198" s="9" t="s">
        <v>30</v>
      </c>
      <c r="H198" s="9" t="s">
        <v>131</v>
      </c>
      <c r="I198" s="9" t="s">
        <v>132</v>
      </c>
      <c r="J198" s="9" t="s">
        <v>86</v>
      </c>
      <c r="K198" s="9" t="s">
        <v>865</v>
      </c>
      <c r="L198" s="9" t="s">
        <v>46</v>
      </c>
      <c r="M198" s="9" t="s">
        <v>70</v>
      </c>
      <c r="N198" s="9" t="n">
        <v>42.28</v>
      </c>
      <c r="O198" s="9" t="n">
        <v>2</v>
      </c>
      <c r="P198" s="9" t="n">
        <v>0.1</v>
      </c>
      <c r="Q198" s="9" t="n">
        <v>6.18</v>
      </c>
    </row>
    <row r="199" customFormat="false" ht="15" hidden="false" customHeight="false" outlineLevel="0" collapsed="false">
      <c r="A199" s="9" t="s">
        <v>235</v>
      </c>
      <c r="B199" s="9" t="s">
        <v>236</v>
      </c>
      <c r="C199" s="9" t="s">
        <v>237</v>
      </c>
      <c r="D199" s="9" t="s">
        <v>51</v>
      </c>
      <c r="E199" s="9" t="s">
        <v>238</v>
      </c>
      <c r="F199" s="9" t="s">
        <v>29</v>
      </c>
      <c r="G199" s="9" t="s">
        <v>30</v>
      </c>
      <c r="H199" s="9" t="s">
        <v>239</v>
      </c>
      <c r="I199" s="9" t="s">
        <v>213</v>
      </c>
      <c r="J199" s="9" t="s">
        <v>96</v>
      </c>
      <c r="K199" s="9" t="s">
        <v>866</v>
      </c>
      <c r="L199" s="9" t="s">
        <v>88</v>
      </c>
      <c r="M199" s="9" t="s">
        <v>197</v>
      </c>
      <c r="N199" s="9" t="n">
        <v>2374.12</v>
      </c>
      <c r="O199" s="9" t="n">
        <v>7</v>
      </c>
      <c r="P199" s="9" t="n">
        <v>0</v>
      </c>
      <c r="Q199" s="9" t="n">
        <v>81.61</v>
      </c>
    </row>
    <row r="200" customFormat="false" ht="15" hidden="false" customHeight="false" outlineLevel="0" collapsed="false">
      <c r="A200" s="9" t="s">
        <v>867</v>
      </c>
      <c r="B200" s="9" t="s">
        <v>676</v>
      </c>
      <c r="C200" s="9" t="s">
        <v>327</v>
      </c>
      <c r="D200" s="9" t="s">
        <v>40</v>
      </c>
      <c r="E200" s="9" t="s">
        <v>868</v>
      </c>
      <c r="F200" s="9" t="s">
        <v>29</v>
      </c>
      <c r="G200" s="9" t="s">
        <v>30</v>
      </c>
      <c r="H200" s="9" t="s">
        <v>278</v>
      </c>
      <c r="I200" s="9" t="s">
        <v>112</v>
      </c>
      <c r="J200" s="9" t="s">
        <v>86</v>
      </c>
      <c r="K200" s="9" t="s">
        <v>869</v>
      </c>
      <c r="L200" s="9" t="s">
        <v>46</v>
      </c>
      <c r="M200" s="9" t="s">
        <v>64</v>
      </c>
      <c r="N200" s="9" t="n">
        <v>7898.9</v>
      </c>
      <c r="O200" s="9" t="n">
        <v>5</v>
      </c>
      <c r="P200" s="9" t="n">
        <v>0.1</v>
      </c>
      <c r="Q200" s="9" t="n">
        <v>631.15</v>
      </c>
    </row>
    <row r="201" customFormat="false" ht="15" hidden="false" customHeight="false" outlineLevel="0" collapsed="false">
      <c r="A201" s="9" t="s">
        <v>870</v>
      </c>
      <c r="B201" s="9" t="s">
        <v>871</v>
      </c>
      <c r="C201" s="9" t="s">
        <v>142</v>
      </c>
      <c r="D201" s="9" t="s">
        <v>40</v>
      </c>
      <c r="E201" s="9" t="s">
        <v>288</v>
      </c>
      <c r="F201" s="9" t="s">
        <v>83</v>
      </c>
      <c r="G201" s="9" t="s">
        <v>30</v>
      </c>
      <c r="H201" s="9" t="s">
        <v>61</v>
      </c>
      <c r="I201" s="9" t="s">
        <v>62</v>
      </c>
      <c r="J201" s="9" t="s">
        <v>44</v>
      </c>
      <c r="K201" s="9" t="s">
        <v>872</v>
      </c>
      <c r="L201" s="9" t="s">
        <v>35</v>
      </c>
      <c r="M201" s="9" t="s">
        <v>55</v>
      </c>
      <c r="N201" s="9" t="n">
        <v>468.2</v>
      </c>
      <c r="O201" s="9" t="n">
        <v>5</v>
      </c>
      <c r="P201" s="9" t="n">
        <v>0</v>
      </c>
      <c r="Q201" s="9" t="n">
        <v>28.73</v>
      </c>
    </row>
    <row r="202" customFormat="false" ht="15" hidden="false" customHeight="false" outlineLevel="0" collapsed="false">
      <c r="A202" s="9" t="s">
        <v>873</v>
      </c>
      <c r="B202" s="9" t="s">
        <v>874</v>
      </c>
      <c r="C202" s="9" t="s">
        <v>875</v>
      </c>
      <c r="D202" s="9" t="s">
        <v>102</v>
      </c>
      <c r="E202" s="9" t="s">
        <v>876</v>
      </c>
      <c r="F202" s="9" t="s">
        <v>60</v>
      </c>
      <c r="G202" s="9" t="s">
        <v>30</v>
      </c>
      <c r="H202" s="9" t="s">
        <v>151</v>
      </c>
      <c r="I202" s="9" t="s">
        <v>145</v>
      </c>
      <c r="J202" s="9" t="s">
        <v>96</v>
      </c>
      <c r="K202" s="9" t="s">
        <v>877</v>
      </c>
      <c r="L202" s="9" t="s">
        <v>35</v>
      </c>
      <c r="M202" s="9" t="s">
        <v>356</v>
      </c>
      <c r="N202" s="9" t="n">
        <v>100.36</v>
      </c>
      <c r="O202" s="9" t="n">
        <v>4</v>
      </c>
      <c r="P202" s="9" t="n">
        <v>0</v>
      </c>
      <c r="Q202" s="9" t="n">
        <v>23.82</v>
      </c>
    </row>
    <row r="203" customFormat="false" ht="15" hidden="false" customHeight="false" outlineLevel="0" collapsed="false">
      <c r="A203" s="9" t="s">
        <v>878</v>
      </c>
      <c r="B203" s="9" t="s">
        <v>879</v>
      </c>
      <c r="C203" s="9" t="s">
        <v>880</v>
      </c>
      <c r="D203" s="9" t="s">
        <v>102</v>
      </c>
      <c r="E203" s="9" t="s">
        <v>881</v>
      </c>
      <c r="F203" s="9" t="s">
        <v>29</v>
      </c>
      <c r="G203" s="9" t="s">
        <v>30</v>
      </c>
      <c r="H203" s="9" t="s">
        <v>75</v>
      </c>
      <c r="I203" s="9" t="s">
        <v>76</v>
      </c>
      <c r="J203" s="9" t="s">
        <v>33</v>
      </c>
      <c r="K203" s="9" t="s">
        <v>882</v>
      </c>
      <c r="L203" s="9" t="s">
        <v>35</v>
      </c>
      <c r="M203" s="9" t="s">
        <v>36</v>
      </c>
      <c r="N203" s="9" t="n">
        <v>87.48</v>
      </c>
      <c r="O203" s="9" t="n">
        <v>6</v>
      </c>
      <c r="P203" s="9" t="n">
        <v>0.1</v>
      </c>
      <c r="Q203" s="9" t="n">
        <v>30.53</v>
      </c>
    </row>
    <row r="204" customFormat="false" ht="15" hidden="false" customHeight="false" outlineLevel="0" collapsed="false">
      <c r="A204" s="9" t="s">
        <v>883</v>
      </c>
      <c r="B204" s="9" t="s">
        <v>884</v>
      </c>
      <c r="C204" s="9" t="s">
        <v>599</v>
      </c>
      <c r="D204" s="9" t="s">
        <v>102</v>
      </c>
      <c r="E204" s="9" t="s">
        <v>885</v>
      </c>
      <c r="F204" s="9" t="s">
        <v>83</v>
      </c>
      <c r="G204" s="9" t="s">
        <v>30</v>
      </c>
      <c r="H204" s="9" t="s">
        <v>75</v>
      </c>
      <c r="I204" s="9" t="s">
        <v>76</v>
      </c>
      <c r="J204" s="9" t="s">
        <v>33</v>
      </c>
      <c r="K204" s="9" t="s">
        <v>886</v>
      </c>
      <c r="L204" s="9" t="s">
        <v>35</v>
      </c>
      <c r="M204" s="9" t="s">
        <v>173</v>
      </c>
      <c r="N204" s="9" t="n">
        <v>31.88</v>
      </c>
      <c r="O204" s="9" t="n">
        <v>2</v>
      </c>
      <c r="P204" s="9" t="n">
        <v>0.1</v>
      </c>
      <c r="Q204" s="9" t="n">
        <v>2.45</v>
      </c>
    </row>
    <row r="205" customFormat="false" ht="15" hidden="false" customHeight="false" outlineLevel="0" collapsed="false">
      <c r="A205" s="9" t="s">
        <v>299</v>
      </c>
      <c r="B205" s="9" t="s">
        <v>300</v>
      </c>
      <c r="C205" s="9" t="s">
        <v>301</v>
      </c>
      <c r="D205" s="9" t="s">
        <v>40</v>
      </c>
      <c r="E205" s="9" t="s">
        <v>302</v>
      </c>
      <c r="F205" s="9" t="s">
        <v>60</v>
      </c>
      <c r="G205" s="9" t="s">
        <v>30</v>
      </c>
      <c r="H205" s="9" t="s">
        <v>239</v>
      </c>
      <c r="I205" s="9" t="s">
        <v>213</v>
      </c>
      <c r="J205" s="9" t="s">
        <v>96</v>
      </c>
      <c r="K205" s="9" t="s">
        <v>887</v>
      </c>
      <c r="L205" s="9" t="s">
        <v>46</v>
      </c>
      <c r="M205" s="9" t="s">
        <v>191</v>
      </c>
      <c r="N205" s="9" t="n">
        <v>2149.24</v>
      </c>
      <c r="O205" s="9" t="n">
        <v>2</v>
      </c>
      <c r="P205" s="9" t="n">
        <v>0</v>
      </c>
      <c r="Q205" s="9" t="n">
        <v>696.41</v>
      </c>
    </row>
    <row r="206" customFormat="false" ht="15" hidden="false" customHeight="false" outlineLevel="0" collapsed="false">
      <c r="A206" s="9" t="s">
        <v>888</v>
      </c>
      <c r="B206" s="9" t="s">
        <v>390</v>
      </c>
      <c r="C206" s="9" t="s">
        <v>889</v>
      </c>
      <c r="D206" s="9" t="s">
        <v>40</v>
      </c>
      <c r="E206" s="9" t="s">
        <v>890</v>
      </c>
      <c r="F206" s="9" t="s">
        <v>83</v>
      </c>
      <c r="G206" s="9" t="s">
        <v>30</v>
      </c>
      <c r="H206" s="9" t="s">
        <v>206</v>
      </c>
      <c r="I206" s="9" t="s">
        <v>164</v>
      </c>
      <c r="J206" s="9" t="s">
        <v>96</v>
      </c>
      <c r="K206" s="9" t="s">
        <v>891</v>
      </c>
      <c r="L206" s="9" t="s">
        <v>88</v>
      </c>
      <c r="M206" s="9" t="s">
        <v>153</v>
      </c>
      <c r="N206" s="9" t="n">
        <v>729.45</v>
      </c>
      <c r="O206" s="9" t="n">
        <v>9</v>
      </c>
      <c r="P206" s="9" t="n">
        <v>0</v>
      </c>
      <c r="Q206" s="9" t="n">
        <v>156.22</v>
      </c>
    </row>
    <row r="207" customFormat="false" ht="15" hidden="false" customHeight="false" outlineLevel="0" collapsed="false">
      <c r="A207" s="9" t="s">
        <v>892</v>
      </c>
      <c r="B207" s="9" t="s">
        <v>431</v>
      </c>
      <c r="C207" s="9" t="s">
        <v>893</v>
      </c>
      <c r="D207" s="9" t="s">
        <v>40</v>
      </c>
      <c r="E207" s="9" t="s">
        <v>863</v>
      </c>
      <c r="F207" s="9" t="s">
        <v>29</v>
      </c>
      <c r="G207" s="9" t="s">
        <v>30</v>
      </c>
      <c r="H207" s="9" t="s">
        <v>151</v>
      </c>
      <c r="I207" s="9" t="s">
        <v>145</v>
      </c>
      <c r="J207" s="9" t="s">
        <v>96</v>
      </c>
      <c r="K207" s="9" t="s">
        <v>894</v>
      </c>
      <c r="L207" s="9" t="s">
        <v>88</v>
      </c>
      <c r="M207" s="9" t="s">
        <v>576</v>
      </c>
      <c r="N207" s="9" t="n">
        <v>245.22</v>
      </c>
      <c r="O207" s="9" t="n">
        <v>1</v>
      </c>
      <c r="P207" s="9" t="n">
        <v>0</v>
      </c>
      <c r="Q207" s="9" t="n">
        <v>17.58</v>
      </c>
    </row>
    <row r="208" customFormat="false" ht="15" hidden="false" customHeight="false" outlineLevel="0" collapsed="false">
      <c r="A208" s="9" t="s">
        <v>895</v>
      </c>
      <c r="B208" s="9" t="s">
        <v>896</v>
      </c>
      <c r="C208" s="9" t="s">
        <v>897</v>
      </c>
      <c r="D208" s="9" t="s">
        <v>40</v>
      </c>
      <c r="E208" s="9" t="s">
        <v>341</v>
      </c>
      <c r="F208" s="9" t="s">
        <v>60</v>
      </c>
      <c r="G208" s="9" t="s">
        <v>30</v>
      </c>
      <c r="H208" s="9" t="s">
        <v>104</v>
      </c>
      <c r="I208" s="9" t="s">
        <v>105</v>
      </c>
      <c r="J208" s="9" t="s">
        <v>44</v>
      </c>
      <c r="K208" s="9" t="s">
        <v>898</v>
      </c>
      <c r="L208" s="9" t="s">
        <v>46</v>
      </c>
      <c r="M208" s="9" t="s">
        <v>191</v>
      </c>
      <c r="N208" s="9" t="n">
        <v>8320.55</v>
      </c>
      <c r="O208" s="9" t="n">
        <v>7</v>
      </c>
      <c r="P208" s="9" t="n">
        <v>0.15</v>
      </c>
      <c r="Q208" s="9" t="n">
        <v>1626.74</v>
      </c>
    </row>
    <row r="209" customFormat="false" ht="15" hidden="false" customHeight="false" outlineLevel="0" collapsed="false">
      <c r="A209" s="9" t="s">
        <v>899</v>
      </c>
      <c r="B209" s="9" t="s">
        <v>900</v>
      </c>
      <c r="C209" s="9" t="s">
        <v>263</v>
      </c>
      <c r="D209" s="9" t="s">
        <v>40</v>
      </c>
      <c r="E209" s="9" t="s">
        <v>901</v>
      </c>
      <c r="F209" s="9" t="s">
        <v>83</v>
      </c>
      <c r="G209" s="9" t="s">
        <v>30</v>
      </c>
      <c r="H209" s="9" t="s">
        <v>378</v>
      </c>
      <c r="I209" s="9" t="s">
        <v>76</v>
      </c>
      <c r="J209" s="9" t="s">
        <v>33</v>
      </c>
      <c r="K209" s="9" t="s">
        <v>902</v>
      </c>
      <c r="L209" s="9" t="s">
        <v>35</v>
      </c>
      <c r="M209" s="9" t="s">
        <v>173</v>
      </c>
      <c r="N209" s="9" t="n">
        <v>218.32</v>
      </c>
      <c r="O209" s="9" t="n">
        <v>4</v>
      </c>
      <c r="P209" s="9" t="n">
        <v>0</v>
      </c>
      <c r="Q209" s="9" t="n">
        <v>23.11</v>
      </c>
    </row>
    <row r="210" customFormat="false" ht="15" hidden="false" customHeight="false" outlineLevel="0" collapsed="false">
      <c r="A210" s="9" t="s">
        <v>370</v>
      </c>
      <c r="B210" s="9" t="s">
        <v>371</v>
      </c>
      <c r="C210" s="9" t="s">
        <v>323</v>
      </c>
      <c r="D210" s="9" t="s">
        <v>40</v>
      </c>
      <c r="E210" s="9" t="s">
        <v>372</v>
      </c>
      <c r="F210" s="9" t="s">
        <v>60</v>
      </c>
      <c r="G210" s="9" t="s">
        <v>30</v>
      </c>
      <c r="H210" s="9" t="s">
        <v>131</v>
      </c>
      <c r="I210" s="9" t="s">
        <v>132</v>
      </c>
      <c r="J210" s="9" t="s">
        <v>86</v>
      </c>
      <c r="K210" s="9" t="s">
        <v>903</v>
      </c>
      <c r="L210" s="9" t="s">
        <v>46</v>
      </c>
      <c r="M210" s="9" t="s">
        <v>64</v>
      </c>
      <c r="N210" s="9" t="n">
        <v>10238.69</v>
      </c>
      <c r="O210" s="9" t="n">
        <v>7</v>
      </c>
      <c r="P210" s="9" t="n">
        <v>0</v>
      </c>
      <c r="Q210" s="9" t="n">
        <v>508.74</v>
      </c>
    </row>
    <row r="211" customFormat="false" ht="15" hidden="false" customHeight="false" outlineLevel="0" collapsed="false">
      <c r="A211" s="9" t="s">
        <v>904</v>
      </c>
      <c r="B211" s="9" t="s">
        <v>905</v>
      </c>
      <c r="C211" s="9" t="s">
        <v>906</v>
      </c>
      <c r="D211" s="9" t="s">
        <v>102</v>
      </c>
      <c r="E211" s="9" t="s">
        <v>907</v>
      </c>
      <c r="F211" s="9" t="s">
        <v>83</v>
      </c>
      <c r="G211" s="9" t="s">
        <v>30</v>
      </c>
      <c r="H211" s="9" t="s">
        <v>94</v>
      </c>
      <c r="I211" s="9" t="s">
        <v>95</v>
      </c>
      <c r="J211" s="9" t="s">
        <v>96</v>
      </c>
      <c r="K211" s="9" t="s">
        <v>908</v>
      </c>
      <c r="L211" s="9" t="s">
        <v>88</v>
      </c>
      <c r="M211" s="9" t="s">
        <v>197</v>
      </c>
      <c r="N211" s="9" t="n">
        <v>2589</v>
      </c>
      <c r="O211" s="9" t="n">
        <v>6</v>
      </c>
      <c r="P211" s="9" t="n">
        <v>0</v>
      </c>
      <c r="Q211" s="9" t="n">
        <v>-203.62</v>
      </c>
    </row>
    <row r="212" customFormat="false" ht="15" hidden="false" customHeight="false" outlineLevel="0" collapsed="false">
      <c r="A212" s="9" t="s">
        <v>494</v>
      </c>
      <c r="B212" s="9" t="s">
        <v>495</v>
      </c>
      <c r="C212" s="9" t="s">
        <v>496</v>
      </c>
      <c r="D212" s="9" t="s">
        <v>40</v>
      </c>
      <c r="E212" s="9" t="s">
        <v>297</v>
      </c>
      <c r="F212" s="9" t="s">
        <v>83</v>
      </c>
      <c r="G212" s="9" t="s">
        <v>30</v>
      </c>
      <c r="H212" s="9" t="s">
        <v>212</v>
      </c>
      <c r="I212" s="9" t="s">
        <v>213</v>
      </c>
      <c r="J212" s="9" t="s">
        <v>96</v>
      </c>
      <c r="K212" s="9" t="s">
        <v>909</v>
      </c>
      <c r="L212" s="9" t="s">
        <v>88</v>
      </c>
      <c r="M212" s="9" t="s">
        <v>153</v>
      </c>
      <c r="N212" s="9" t="n">
        <v>543.12</v>
      </c>
      <c r="O212" s="9" t="n">
        <v>6</v>
      </c>
      <c r="P212" s="9" t="n">
        <v>0</v>
      </c>
      <c r="Q212" s="9" t="n">
        <v>119.34</v>
      </c>
    </row>
    <row r="213" customFormat="false" ht="15" hidden="false" customHeight="false" outlineLevel="0" collapsed="false">
      <c r="A213" s="9" t="s">
        <v>530</v>
      </c>
      <c r="B213" s="9" t="s">
        <v>531</v>
      </c>
      <c r="C213" s="9" t="s">
        <v>532</v>
      </c>
      <c r="D213" s="9" t="s">
        <v>102</v>
      </c>
      <c r="E213" s="9" t="s">
        <v>533</v>
      </c>
      <c r="F213" s="9" t="s">
        <v>83</v>
      </c>
      <c r="G213" s="9" t="s">
        <v>30</v>
      </c>
      <c r="H213" s="9" t="s">
        <v>484</v>
      </c>
      <c r="I213" s="9" t="s">
        <v>171</v>
      </c>
      <c r="J213" s="9" t="s">
        <v>86</v>
      </c>
      <c r="K213" s="9" t="s">
        <v>910</v>
      </c>
      <c r="L213" s="9" t="s">
        <v>46</v>
      </c>
      <c r="M213" s="9" t="s">
        <v>47</v>
      </c>
      <c r="N213" s="9" t="n">
        <v>591.66</v>
      </c>
      <c r="O213" s="9" t="n">
        <v>3</v>
      </c>
      <c r="P213" s="9" t="n">
        <v>0.1</v>
      </c>
      <c r="Q213" s="9" t="n">
        <v>75</v>
      </c>
    </row>
    <row r="214" customFormat="false" ht="15" hidden="false" customHeight="false" outlineLevel="0" collapsed="false">
      <c r="A214" s="9" t="s">
        <v>535</v>
      </c>
      <c r="B214" s="9" t="s">
        <v>536</v>
      </c>
      <c r="C214" s="9" t="s">
        <v>537</v>
      </c>
      <c r="D214" s="9" t="s">
        <v>40</v>
      </c>
      <c r="E214" s="9" t="s">
        <v>538</v>
      </c>
      <c r="F214" s="9" t="s">
        <v>60</v>
      </c>
      <c r="G214" s="9" t="s">
        <v>30</v>
      </c>
      <c r="H214" s="9" t="s">
        <v>266</v>
      </c>
      <c r="I214" s="9" t="s">
        <v>267</v>
      </c>
      <c r="J214" s="9" t="s">
        <v>44</v>
      </c>
      <c r="K214" s="9" t="s">
        <v>911</v>
      </c>
      <c r="L214" s="9" t="s">
        <v>46</v>
      </c>
      <c r="M214" s="9" t="s">
        <v>64</v>
      </c>
      <c r="N214" s="9" t="n">
        <v>4137.95</v>
      </c>
      <c r="O214" s="9" t="n">
        <v>5</v>
      </c>
      <c r="P214" s="9" t="n">
        <v>0.6</v>
      </c>
      <c r="Q214" s="9" t="n">
        <v>-1334.51</v>
      </c>
    </row>
    <row r="215" customFormat="false" ht="15" hidden="false" customHeight="false" outlineLevel="0" collapsed="false">
      <c r="A215" s="9" t="s">
        <v>107</v>
      </c>
      <c r="B215" s="9" t="s">
        <v>108</v>
      </c>
      <c r="C215" s="9" t="s">
        <v>109</v>
      </c>
      <c r="D215" s="9" t="s">
        <v>51</v>
      </c>
      <c r="E215" s="9" t="s">
        <v>110</v>
      </c>
      <c r="F215" s="9" t="s">
        <v>29</v>
      </c>
      <c r="G215" s="9" t="s">
        <v>30</v>
      </c>
      <c r="H215" s="9" t="s">
        <v>111</v>
      </c>
      <c r="I215" s="9" t="s">
        <v>112</v>
      </c>
      <c r="J215" s="9" t="s">
        <v>86</v>
      </c>
      <c r="K215" s="9" t="s">
        <v>912</v>
      </c>
      <c r="L215" s="9" t="s">
        <v>35</v>
      </c>
      <c r="M215" s="9" t="s">
        <v>78</v>
      </c>
      <c r="N215" s="9" t="n">
        <v>59.12</v>
      </c>
      <c r="O215" s="9" t="n">
        <v>8</v>
      </c>
      <c r="P215" s="9" t="n">
        <v>0.1</v>
      </c>
      <c r="Q215" s="9" t="n">
        <v>14.36</v>
      </c>
    </row>
    <row r="216" customFormat="false" ht="15" hidden="false" customHeight="false" outlineLevel="0" collapsed="false">
      <c r="A216" s="9" t="s">
        <v>913</v>
      </c>
      <c r="B216" s="9" t="s">
        <v>914</v>
      </c>
      <c r="C216" s="9" t="s">
        <v>915</v>
      </c>
      <c r="D216" s="9" t="s">
        <v>40</v>
      </c>
      <c r="E216" s="9" t="s">
        <v>157</v>
      </c>
      <c r="F216" s="9" t="s">
        <v>60</v>
      </c>
      <c r="G216" s="9" t="s">
        <v>30</v>
      </c>
      <c r="H216" s="9" t="s">
        <v>75</v>
      </c>
      <c r="I216" s="9" t="s">
        <v>76</v>
      </c>
      <c r="J216" s="9" t="s">
        <v>33</v>
      </c>
      <c r="K216" s="9" t="s">
        <v>916</v>
      </c>
      <c r="L216" s="9" t="s">
        <v>88</v>
      </c>
      <c r="M216" s="9" t="s">
        <v>576</v>
      </c>
      <c r="N216" s="9" t="n">
        <v>692.7</v>
      </c>
      <c r="O216" s="9" t="n">
        <v>3</v>
      </c>
      <c r="P216" s="9" t="n">
        <v>0</v>
      </c>
      <c r="Q216" s="9" t="n">
        <v>59.5</v>
      </c>
    </row>
    <row r="217" customFormat="false" ht="15" hidden="false" customHeight="false" outlineLevel="0" collapsed="false">
      <c r="A217" s="9" t="s">
        <v>917</v>
      </c>
      <c r="B217" s="9" t="s">
        <v>918</v>
      </c>
      <c r="C217" s="9" t="s">
        <v>919</v>
      </c>
      <c r="D217" s="9" t="s">
        <v>27</v>
      </c>
      <c r="E217" s="9" t="s">
        <v>920</v>
      </c>
      <c r="F217" s="9" t="s">
        <v>83</v>
      </c>
      <c r="G217" s="9" t="s">
        <v>30</v>
      </c>
      <c r="H217" s="9" t="s">
        <v>256</v>
      </c>
      <c r="I217" s="9" t="s">
        <v>32</v>
      </c>
      <c r="J217" s="9" t="s">
        <v>33</v>
      </c>
      <c r="K217" s="9" t="s">
        <v>921</v>
      </c>
      <c r="L217" s="9" t="s">
        <v>35</v>
      </c>
      <c r="M217" s="9" t="s">
        <v>173</v>
      </c>
      <c r="N217" s="9" t="n">
        <v>73.31</v>
      </c>
      <c r="O217" s="9" t="n">
        <v>1</v>
      </c>
      <c r="P217" s="9" t="n">
        <v>0</v>
      </c>
      <c r="Q217" s="9" t="n">
        <v>7.3</v>
      </c>
    </row>
    <row r="218" customFormat="false" ht="15" hidden="false" customHeight="false" outlineLevel="0" collapsed="false">
      <c r="A218" s="9" t="s">
        <v>922</v>
      </c>
      <c r="B218" s="9" t="s">
        <v>875</v>
      </c>
      <c r="C218" s="9" t="s">
        <v>923</v>
      </c>
      <c r="D218" s="9" t="s">
        <v>51</v>
      </c>
      <c r="E218" s="9" t="s">
        <v>272</v>
      </c>
      <c r="F218" s="9" t="s">
        <v>60</v>
      </c>
      <c r="G218" s="9" t="s">
        <v>30</v>
      </c>
      <c r="H218" s="9" t="s">
        <v>239</v>
      </c>
      <c r="I218" s="9" t="s">
        <v>213</v>
      </c>
      <c r="J218" s="9" t="s">
        <v>96</v>
      </c>
      <c r="K218" s="9" t="s">
        <v>924</v>
      </c>
      <c r="L218" s="9" t="s">
        <v>88</v>
      </c>
      <c r="M218" s="9" t="s">
        <v>153</v>
      </c>
      <c r="N218" s="9" t="n">
        <v>803.92</v>
      </c>
      <c r="O218" s="9" t="n">
        <v>8</v>
      </c>
      <c r="P218" s="9" t="n">
        <v>0.1</v>
      </c>
      <c r="Q218" s="9" t="n">
        <v>90.07</v>
      </c>
    </row>
    <row r="219" customFormat="false" ht="15" hidden="false" customHeight="false" outlineLevel="0" collapsed="false">
      <c r="A219" s="9" t="s">
        <v>678</v>
      </c>
      <c r="B219" s="9" t="s">
        <v>322</v>
      </c>
      <c r="C219" s="9" t="s">
        <v>679</v>
      </c>
      <c r="D219" s="9" t="s">
        <v>40</v>
      </c>
      <c r="E219" s="9" t="s">
        <v>470</v>
      </c>
      <c r="F219" s="9" t="s">
        <v>83</v>
      </c>
      <c r="G219" s="9" t="s">
        <v>30</v>
      </c>
      <c r="H219" s="9" t="s">
        <v>308</v>
      </c>
      <c r="I219" s="9" t="s">
        <v>132</v>
      </c>
      <c r="J219" s="9" t="s">
        <v>86</v>
      </c>
      <c r="K219" s="9" t="s">
        <v>925</v>
      </c>
      <c r="L219" s="9" t="s">
        <v>35</v>
      </c>
      <c r="M219" s="9" t="s">
        <v>36</v>
      </c>
      <c r="N219" s="9" t="n">
        <v>32.58</v>
      </c>
      <c r="O219" s="9" t="n">
        <v>2</v>
      </c>
      <c r="P219" s="9" t="n">
        <v>0</v>
      </c>
      <c r="Q219" s="9" t="n">
        <v>12.33</v>
      </c>
    </row>
    <row r="220" customFormat="false" ht="15" hidden="false" customHeight="false" outlineLevel="0" collapsed="false">
      <c r="A220" s="9" t="s">
        <v>926</v>
      </c>
      <c r="B220" s="9" t="s">
        <v>927</v>
      </c>
      <c r="C220" s="9" t="s">
        <v>231</v>
      </c>
      <c r="D220" s="9" t="s">
        <v>40</v>
      </c>
      <c r="E220" s="9" t="s">
        <v>928</v>
      </c>
      <c r="F220" s="9" t="s">
        <v>60</v>
      </c>
      <c r="G220" s="9" t="s">
        <v>30</v>
      </c>
      <c r="H220" s="9" t="s">
        <v>673</v>
      </c>
      <c r="I220" s="9" t="s">
        <v>251</v>
      </c>
      <c r="J220" s="9" t="s">
        <v>33</v>
      </c>
      <c r="K220" s="9" t="s">
        <v>929</v>
      </c>
      <c r="L220" s="9" t="s">
        <v>46</v>
      </c>
      <c r="M220" s="9" t="s">
        <v>47</v>
      </c>
      <c r="N220" s="9" t="n">
        <v>639.12</v>
      </c>
      <c r="O220" s="9" t="n">
        <v>6</v>
      </c>
      <c r="P220" s="9" t="n">
        <v>0.15</v>
      </c>
      <c r="Q220" s="9" t="n">
        <v>101.12</v>
      </c>
    </row>
    <row r="221" customFormat="false" ht="15" hidden="false" customHeight="false" outlineLevel="0" collapsed="false">
      <c r="A221" s="9" t="s">
        <v>687</v>
      </c>
      <c r="B221" s="9" t="s">
        <v>688</v>
      </c>
      <c r="C221" s="9" t="s">
        <v>689</v>
      </c>
      <c r="D221" s="9" t="s">
        <v>27</v>
      </c>
      <c r="E221" s="9" t="s">
        <v>690</v>
      </c>
      <c r="F221" s="9" t="s">
        <v>29</v>
      </c>
      <c r="G221" s="9" t="s">
        <v>30</v>
      </c>
      <c r="H221" s="9" t="s">
        <v>94</v>
      </c>
      <c r="I221" s="9" t="s">
        <v>95</v>
      </c>
      <c r="J221" s="9" t="s">
        <v>96</v>
      </c>
      <c r="K221" s="9" t="s">
        <v>930</v>
      </c>
      <c r="L221" s="9" t="s">
        <v>35</v>
      </c>
      <c r="M221" s="9" t="s">
        <v>114</v>
      </c>
      <c r="N221" s="9" t="n">
        <v>49.56</v>
      </c>
      <c r="O221" s="9" t="n">
        <v>6</v>
      </c>
      <c r="P221" s="9" t="n">
        <v>0</v>
      </c>
      <c r="Q221" s="9" t="n">
        <v>16.33</v>
      </c>
    </row>
    <row r="222" customFormat="false" ht="15" hidden="false" customHeight="false" outlineLevel="0" collapsed="false">
      <c r="A222" s="9" t="s">
        <v>931</v>
      </c>
      <c r="B222" s="9" t="s">
        <v>932</v>
      </c>
      <c r="C222" s="9" t="s">
        <v>933</v>
      </c>
      <c r="D222" s="9" t="s">
        <v>40</v>
      </c>
      <c r="E222" s="9" t="s">
        <v>59</v>
      </c>
      <c r="F222" s="9" t="s">
        <v>83</v>
      </c>
      <c r="G222" s="9" t="s">
        <v>30</v>
      </c>
      <c r="H222" s="9" t="s">
        <v>332</v>
      </c>
      <c r="I222" s="9" t="s">
        <v>105</v>
      </c>
      <c r="J222" s="9" t="s">
        <v>44</v>
      </c>
      <c r="K222" s="9" t="s">
        <v>934</v>
      </c>
      <c r="L222" s="9" t="s">
        <v>88</v>
      </c>
      <c r="M222" s="9" t="s">
        <v>153</v>
      </c>
      <c r="N222" s="9" t="n">
        <v>36.4</v>
      </c>
      <c r="O222" s="9" t="n">
        <v>2</v>
      </c>
      <c r="P222" s="9" t="n">
        <v>0.15</v>
      </c>
      <c r="Q222" s="9" t="n">
        <v>7.55</v>
      </c>
    </row>
    <row r="223" customFormat="false" ht="15" hidden="false" customHeight="false" outlineLevel="0" collapsed="false">
      <c r="A223" s="9" t="s">
        <v>662</v>
      </c>
      <c r="B223" s="9" t="s">
        <v>663</v>
      </c>
      <c r="C223" s="9" t="s">
        <v>664</v>
      </c>
      <c r="D223" s="9" t="s">
        <v>40</v>
      </c>
      <c r="E223" s="9" t="s">
        <v>549</v>
      </c>
      <c r="F223" s="9" t="s">
        <v>29</v>
      </c>
      <c r="G223" s="9" t="s">
        <v>30</v>
      </c>
      <c r="H223" s="9" t="s">
        <v>31</v>
      </c>
      <c r="I223" s="9" t="s">
        <v>32</v>
      </c>
      <c r="J223" s="9" t="s">
        <v>33</v>
      </c>
      <c r="K223" s="9" t="s">
        <v>935</v>
      </c>
      <c r="L223" s="9" t="s">
        <v>35</v>
      </c>
      <c r="M223" s="9" t="s">
        <v>55</v>
      </c>
      <c r="N223" s="9" t="n">
        <v>819.36</v>
      </c>
      <c r="O223" s="9" t="n">
        <v>9</v>
      </c>
      <c r="P223" s="9" t="n">
        <v>0</v>
      </c>
      <c r="Q223" s="9" t="n">
        <v>62.78</v>
      </c>
    </row>
    <row r="224" customFormat="false" ht="15" hidden="false" customHeight="false" outlineLevel="0" collapsed="false">
      <c r="A224" s="9" t="s">
        <v>380</v>
      </c>
      <c r="B224" s="9" t="s">
        <v>381</v>
      </c>
      <c r="C224" s="9" t="s">
        <v>155</v>
      </c>
      <c r="D224" s="9" t="s">
        <v>27</v>
      </c>
      <c r="E224" s="9" t="s">
        <v>382</v>
      </c>
      <c r="F224" s="9" t="s">
        <v>29</v>
      </c>
      <c r="G224" s="9" t="s">
        <v>30</v>
      </c>
      <c r="H224" s="9" t="s">
        <v>256</v>
      </c>
      <c r="I224" s="9" t="s">
        <v>32</v>
      </c>
      <c r="J224" s="9" t="s">
        <v>33</v>
      </c>
      <c r="K224" s="9" t="s">
        <v>936</v>
      </c>
      <c r="L224" s="9" t="s">
        <v>88</v>
      </c>
      <c r="M224" s="9" t="s">
        <v>197</v>
      </c>
      <c r="N224" s="9" t="n">
        <v>2156.49</v>
      </c>
      <c r="O224" s="9" t="n">
        <v>7</v>
      </c>
      <c r="P224" s="9" t="n">
        <v>0.6</v>
      </c>
      <c r="Q224" s="9" t="n">
        <v>-732.27</v>
      </c>
    </row>
    <row r="225" customFormat="false" ht="15" hidden="false" customHeight="false" outlineLevel="0" collapsed="false">
      <c r="A225" s="9" t="s">
        <v>804</v>
      </c>
      <c r="B225" s="9" t="s">
        <v>805</v>
      </c>
      <c r="C225" s="9" t="s">
        <v>806</v>
      </c>
      <c r="D225" s="9" t="s">
        <v>40</v>
      </c>
      <c r="E225" s="9" t="s">
        <v>807</v>
      </c>
      <c r="F225" s="9" t="s">
        <v>29</v>
      </c>
      <c r="G225" s="9" t="s">
        <v>30</v>
      </c>
      <c r="H225" s="9" t="s">
        <v>308</v>
      </c>
      <c r="I225" s="9" t="s">
        <v>132</v>
      </c>
      <c r="J225" s="9" t="s">
        <v>86</v>
      </c>
      <c r="K225" s="9" t="s">
        <v>937</v>
      </c>
      <c r="L225" s="9" t="s">
        <v>35</v>
      </c>
      <c r="M225" s="9" t="s">
        <v>98</v>
      </c>
      <c r="N225" s="9" t="n">
        <v>87.9</v>
      </c>
      <c r="O225" s="9" t="n">
        <v>5</v>
      </c>
      <c r="P225" s="9" t="n">
        <v>0.7</v>
      </c>
      <c r="Q225" s="9" t="n">
        <v>-28</v>
      </c>
    </row>
    <row r="226" customFormat="false" ht="15" hidden="false" customHeight="false" outlineLevel="0" collapsed="false">
      <c r="A226" s="9" t="s">
        <v>938</v>
      </c>
      <c r="B226" s="9" t="s">
        <v>939</v>
      </c>
      <c r="C226" s="9" t="s">
        <v>940</v>
      </c>
      <c r="D226" s="9" t="s">
        <v>40</v>
      </c>
      <c r="E226" s="9" t="s">
        <v>720</v>
      </c>
      <c r="F226" s="9" t="s">
        <v>60</v>
      </c>
      <c r="G226" s="9" t="s">
        <v>30</v>
      </c>
      <c r="H226" s="9" t="s">
        <v>673</v>
      </c>
      <c r="I226" s="9" t="s">
        <v>251</v>
      </c>
      <c r="J226" s="9" t="s">
        <v>33</v>
      </c>
      <c r="K226" s="9" t="s">
        <v>941</v>
      </c>
      <c r="L226" s="9" t="s">
        <v>88</v>
      </c>
      <c r="M226" s="9" t="s">
        <v>153</v>
      </c>
      <c r="N226" s="9" t="n">
        <v>48.6</v>
      </c>
      <c r="O226" s="9" t="n">
        <v>3</v>
      </c>
      <c r="P226" s="9" t="n">
        <v>0.15</v>
      </c>
      <c r="Q226" s="9" t="n">
        <v>8.89</v>
      </c>
    </row>
    <row r="227" customFormat="false" ht="15" hidden="false" customHeight="false" outlineLevel="0" collapsed="false">
      <c r="A227" s="9" t="s">
        <v>708</v>
      </c>
      <c r="B227" s="9" t="s">
        <v>709</v>
      </c>
      <c r="C227" s="9" t="s">
        <v>710</v>
      </c>
      <c r="D227" s="9" t="s">
        <v>102</v>
      </c>
      <c r="E227" s="9" t="s">
        <v>711</v>
      </c>
      <c r="F227" s="9" t="s">
        <v>60</v>
      </c>
      <c r="G227" s="9" t="s">
        <v>30</v>
      </c>
      <c r="H227" s="9" t="s">
        <v>163</v>
      </c>
      <c r="I227" s="9" t="s">
        <v>164</v>
      </c>
      <c r="J227" s="9" t="s">
        <v>96</v>
      </c>
      <c r="K227" s="9" t="s">
        <v>942</v>
      </c>
      <c r="L227" s="9" t="s">
        <v>88</v>
      </c>
      <c r="M227" s="9" t="s">
        <v>576</v>
      </c>
      <c r="N227" s="9" t="n">
        <v>1915.44</v>
      </c>
      <c r="O227" s="9" t="n">
        <v>6</v>
      </c>
      <c r="P227" s="9" t="n">
        <v>0.15</v>
      </c>
      <c r="Q227" s="9" t="n">
        <v>19.99</v>
      </c>
    </row>
    <row r="228" customFormat="false" ht="15" hidden="false" customHeight="false" outlineLevel="0" collapsed="false">
      <c r="A228" s="9" t="s">
        <v>943</v>
      </c>
      <c r="B228" s="9" t="s">
        <v>367</v>
      </c>
      <c r="C228" s="9" t="s">
        <v>944</v>
      </c>
      <c r="D228" s="9" t="s">
        <v>102</v>
      </c>
      <c r="E228" s="9" t="s">
        <v>470</v>
      </c>
      <c r="F228" s="9" t="s">
        <v>83</v>
      </c>
      <c r="G228" s="9" t="s">
        <v>30</v>
      </c>
      <c r="H228" s="9" t="s">
        <v>332</v>
      </c>
      <c r="I228" s="9" t="s">
        <v>105</v>
      </c>
      <c r="J228" s="9" t="s">
        <v>44</v>
      </c>
      <c r="K228" s="9" t="s">
        <v>945</v>
      </c>
      <c r="L228" s="9" t="s">
        <v>35</v>
      </c>
      <c r="M228" s="9" t="s">
        <v>356</v>
      </c>
      <c r="N228" s="9" t="n">
        <v>15.08</v>
      </c>
      <c r="O228" s="9" t="n">
        <v>2</v>
      </c>
      <c r="P228" s="9" t="n">
        <v>0</v>
      </c>
      <c r="Q228" s="9" t="n">
        <v>3.48</v>
      </c>
    </row>
    <row r="229" customFormat="false" ht="15" hidden="false" customHeight="false" outlineLevel="0" collapsed="false">
      <c r="A229" s="9" t="s">
        <v>480</v>
      </c>
      <c r="B229" s="9" t="s">
        <v>481</v>
      </c>
      <c r="C229" s="9" t="s">
        <v>482</v>
      </c>
      <c r="D229" s="9" t="s">
        <v>40</v>
      </c>
      <c r="E229" s="9" t="s">
        <v>483</v>
      </c>
      <c r="F229" s="9" t="s">
        <v>29</v>
      </c>
      <c r="G229" s="9" t="s">
        <v>30</v>
      </c>
      <c r="H229" s="9" t="s">
        <v>484</v>
      </c>
      <c r="I229" s="9" t="s">
        <v>171</v>
      </c>
      <c r="J229" s="9" t="s">
        <v>86</v>
      </c>
      <c r="K229" s="9" t="s">
        <v>946</v>
      </c>
      <c r="L229" s="9" t="s">
        <v>35</v>
      </c>
      <c r="M229" s="9" t="s">
        <v>98</v>
      </c>
      <c r="N229" s="9" t="n">
        <v>110.19</v>
      </c>
      <c r="O229" s="9" t="n">
        <v>3</v>
      </c>
      <c r="P229" s="9" t="n">
        <v>0.7</v>
      </c>
      <c r="Q229" s="9" t="n">
        <v>-41.02</v>
      </c>
    </row>
    <row r="230" customFormat="false" ht="15" hidden="false" customHeight="false" outlineLevel="0" collapsed="false">
      <c r="A230" s="9" t="s">
        <v>947</v>
      </c>
      <c r="B230" s="9" t="s">
        <v>948</v>
      </c>
      <c r="C230" s="9" t="s">
        <v>949</v>
      </c>
      <c r="D230" s="9" t="s">
        <v>51</v>
      </c>
      <c r="E230" s="9" t="s">
        <v>950</v>
      </c>
      <c r="F230" s="9" t="s">
        <v>29</v>
      </c>
      <c r="G230" s="9" t="s">
        <v>30</v>
      </c>
      <c r="H230" s="9" t="s">
        <v>266</v>
      </c>
      <c r="I230" s="9" t="s">
        <v>267</v>
      </c>
      <c r="J230" s="9" t="s">
        <v>44</v>
      </c>
      <c r="K230" s="9" t="s">
        <v>951</v>
      </c>
      <c r="L230" s="9" t="s">
        <v>35</v>
      </c>
      <c r="M230" s="9" t="s">
        <v>78</v>
      </c>
      <c r="N230" s="9" t="n">
        <v>152.74</v>
      </c>
      <c r="O230" s="9" t="n">
        <v>7</v>
      </c>
      <c r="P230" s="9" t="n">
        <v>0.1</v>
      </c>
      <c r="Q230" s="9" t="n">
        <v>42.88</v>
      </c>
    </row>
    <row r="231" customFormat="false" ht="15" hidden="false" customHeight="false" outlineLevel="0" collapsed="false">
      <c r="A231" s="9" t="s">
        <v>819</v>
      </c>
      <c r="B231" s="9" t="s">
        <v>72</v>
      </c>
      <c r="C231" s="9" t="s">
        <v>820</v>
      </c>
      <c r="D231" s="9" t="s">
        <v>40</v>
      </c>
      <c r="E231" s="9" t="s">
        <v>821</v>
      </c>
      <c r="F231" s="9" t="s">
        <v>83</v>
      </c>
      <c r="G231" s="9" t="s">
        <v>30</v>
      </c>
      <c r="H231" s="9" t="s">
        <v>53</v>
      </c>
      <c r="I231" s="9" t="s">
        <v>43</v>
      </c>
      <c r="J231" s="9" t="s">
        <v>44</v>
      </c>
      <c r="K231" s="9" t="s">
        <v>952</v>
      </c>
      <c r="L231" s="9" t="s">
        <v>35</v>
      </c>
      <c r="M231" s="9" t="s">
        <v>356</v>
      </c>
      <c r="N231" s="9" t="n">
        <v>63.92</v>
      </c>
      <c r="O231" s="9" t="n">
        <v>8</v>
      </c>
      <c r="P231" s="9" t="n">
        <v>0</v>
      </c>
      <c r="Q231" s="9" t="n">
        <v>21.9</v>
      </c>
    </row>
    <row r="232" customFormat="false" ht="15" hidden="false" customHeight="false" outlineLevel="0" collapsed="false">
      <c r="A232" s="9" t="s">
        <v>429</v>
      </c>
      <c r="B232" s="9" t="s">
        <v>430</v>
      </c>
      <c r="C232" s="9" t="s">
        <v>431</v>
      </c>
      <c r="D232" s="9" t="s">
        <v>40</v>
      </c>
      <c r="E232" s="9" t="s">
        <v>359</v>
      </c>
      <c r="F232" s="9" t="s">
        <v>29</v>
      </c>
      <c r="G232" s="9" t="s">
        <v>30</v>
      </c>
      <c r="H232" s="9" t="s">
        <v>94</v>
      </c>
      <c r="I232" s="9" t="s">
        <v>95</v>
      </c>
      <c r="J232" s="9" t="s">
        <v>96</v>
      </c>
      <c r="K232" s="9" t="s">
        <v>953</v>
      </c>
      <c r="L232" s="9" t="s">
        <v>35</v>
      </c>
      <c r="M232" s="9" t="s">
        <v>185</v>
      </c>
      <c r="N232" s="9" t="n">
        <v>350.48</v>
      </c>
      <c r="O232" s="9" t="n">
        <v>2</v>
      </c>
      <c r="P232" s="9" t="n">
        <v>0</v>
      </c>
      <c r="Q232" s="9" t="n">
        <v>34.2</v>
      </c>
    </row>
    <row r="233" customFormat="false" ht="15" hidden="false" customHeight="false" outlineLevel="0" collapsed="false">
      <c r="A233" s="9" t="s">
        <v>954</v>
      </c>
      <c r="B233" s="9" t="s">
        <v>548</v>
      </c>
      <c r="C233" s="9" t="s">
        <v>743</v>
      </c>
      <c r="D233" s="9" t="s">
        <v>27</v>
      </c>
      <c r="E233" s="9" t="s">
        <v>955</v>
      </c>
      <c r="F233" s="9" t="s">
        <v>83</v>
      </c>
      <c r="G233" s="9" t="s">
        <v>30</v>
      </c>
      <c r="H233" s="9" t="s">
        <v>31</v>
      </c>
      <c r="I233" s="9" t="s">
        <v>32</v>
      </c>
      <c r="J233" s="9" t="s">
        <v>33</v>
      </c>
      <c r="K233" s="9" t="s">
        <v>956</v>
      </c>
      <c r="L233" s="9" t="s">
        <v>46</v>
      </c>
      <c r="M233" s="9" t="s">
        <v>191</v>
      </c>
      <c r="N233" s="9" t="n">
        <v>15809.6</v>
      </c>
      <c r="O233" s="9" t="n">
        <v>8</v>
      </c>
      <c r="P233" s="9" t="n">
        <v>0.1</v>
      </c>
      <c r="Q233" s="9" t="n">
        <v>4595.47</v>
      </c>
    </row>
    <row r="234" customFormat="false" ht="15" hidden="false" customHeight="false" outlineLevel="0" collapsed="false">
      <c r="A234" s="9" t="s">
        <v>957</v>
      </c>
      <c r="B234" s="9" t="s">
        <v>958</v>
      </c>
      <c r="C234" s="9" t="s">
        <v>959</v>
      </c>
      <c r="D234" s="9" t="s">
        <v>51</v>
      </c>
      <c r="E234" s="9" t="s">
        <v>960</v>
      </c>
      <c r="F234" s="9" t="s">
        <v>60</v>
      </c>
      <c r="G234" s="9" t="s">
        <v>30</v>
      </c>
      <c r="H234" s="9" t="s">
        <v>378</v>
      </c>
      <c r="I234" s="9" t="s">
        <v>76</v>
      </c>
      <c r="J234" s="9" t="s">
        <v>33</v>
      </c>
      <c r="K234" s="9" t="s">
        <v>961</v>
      </c>
      <c r="L234" s="9" t="s">
        <v>35</v>
      </c>
      <c r="M234" s="9" t="s">
        <v>98</v>
      </c>
      <c r="N234" s="9" t="n">
        <v>103.18</v>
      </c>
      <c r="O234" s="9" t="n">
        <v>7</v>
      </c>
      <c r="P234" s="9" t="n">
        <v>0.15</v>
      </c>
      <c r="Q234" s="9" t="n">
        <v>-16.86</v>
      </c>
    </row>
    <row r="235" customFormat="false" ht="15" hidden="false" customHeight="false" outlineLevel="0" collapsed="false">
      <c r="A235" s="9" t="s">
        <v>962</v>
      </c>
      <c r="B235" s="9" t="s">
        <v>963</v>
      </c>
      <c r="C235" s="9" t="s">
        <v>964</v>
      </c>
      <c r="D235" s="9" t="s">
        <v>102</v>
      </c>
      <c r="E235" s="9" t="s">
        <v>965</v>
      </c>
      <c r="F235" s="9" t="s">
        <v>60</v>
      </c>
      <c r="G235" s="9" t="s">
        <v>30</v>
      </c>
      <c r="H235" s="9" t="s">
        <v>144</v>
      </c>
      <c r="I235" s="9" t="s">
        <v>145</v>
      </c>
      <c r="J235" s="9" t="s">
        <v>96</v>
      </c>
      <c r="K235" s="9" t="s">
        <v>966</v>
      </c>
      <c r="L235" s="9" t="s">
        <v>35</v>
      </c>
      <c r="M235" s="9" t="s">
        <v>173</v>
      </c>
      <c r="N235" s="9" t="n">
        <v>165.44</v>
      </c>
      <c r="O235" s="9" t="n">
        <v>4</v>
      </c>
      <c r="P235" s="9" t="n">
        <v>0.15</v>
      </c>
      <c r="Q235" s="9" t="n">
        <v>13.7</v>
      </c>
    </row>
    <row r="236" customFormat="false" ht="15" hidden="false" customHeight="false" outlineLevel="0" collapsed="false">
      <c r="A236" s="9" t="s">
        <v>967</v>
      </c>
      <c r="B236" s="9" t="s">
        <v>968</v>
      </c>
      <c r="C236" s="9" t="s">
        <v>969</v>
      </c>
      <c r="D236" s="9" t="s">
        <v>40</v>
      </c>
      <c r="E236" s="9" t="s">
        <v>970</v>
      </c>
      <c r="F236" s="9" t="s">
        <v>83</v>
      </c>
      <c r="G236" s="9" t="s">
        <v>30</v>
      </c>
      <c r="H236" s="9" t="s">
        <v>151</v>
      </c>
      <c r="I236" s="9" t="s">
        <v>145</v>
      </c>
      <c r="J236" s="9" t="s">
        <v>96</v>
      </c>
      <c r="K236" s="9" t="s">
        <v>971</v>
      </c>
      <c r="L236" s="9" t="s">
        <v>35</v>
      </c>
      <c r="M236" s="9" t="s">
        <v>36</v>
      </c>
      <c r="N236" s="9" t="n">
        <v>40.29</v>
      </c>
      <c r="O236" s="9" t="n">
        <v>3</v>
      </c>
      <c r="P236" s="9" t="n">
        <v>0</v>
      </c>
      <c r="Q236" s="9" t="n">
        <v>12.87</v>
      </c>
    </row>
    <row r="237" customFormat="false" ht="15" hidden="false" customHeight="false" outlineLevel="0" collapsed="false">
      <c r="A237" s="9" t="s">
        <v>742</v>
      </c>
      <c r="B237" s="9" t="s">
        <v>548</v>
      </c>
      <c r="C237" s="9" t="s">
        <v>743</v>
      </c>
      <c r="D237" s="9" t="s">
        <v>102</v>
      </c>
      <c r="E237" s="9" t="s">
        <v>744</v>
      </c>
      <c r="F237" s="9" t="s">
        <v>29</v>
      </c>
      <c r="G237" s="9" t="s">
        <v>30</v>
      </c>
      <c r="H237" s="9" t="s">
        <v>308</v>
      </c>
      <c r="I237" s="9" t="s">
        <v>132</v>
      </c>
      <c r="J237" s="9" t="s">
        <v>86</v>
      </c>
      <c r="K237" s="9" t="s">
        <v>972</v>
      </c>
      <c r="L237" s="9" t="s">
        <v>35</v>
      </c>
      <c r="M237" s="9" t="s">
        <v>98</v>
      </c>
      <c r="N237" s="9" t="n">
        <v>236.84</v>
      </c>
      <c r="O237" s="9" t="n">
        <v>4</v>
      </c>
      <c r="P237" s="9" t="n">
        <v>0</v>
      </c>
      <c r="Q237" s="9" t="n">
        <v>-6.49</v>
      </c>
    </row>
    <row r="238" customFormat="false" ht="15" hidden="false" customHeight="false" outlineLevel="0" collapsed="false">
      <c r="A238" s="9" t="s">
        <v>973</v>
      </c>
      <c r="B238" s="9" t="s">
        <v>974</v>
      </c>
      <c r="C238" s="9" t="s">
        <v>975</v>
      </c>
      <c r="D238" s="9" t="s">
        <v>27</v>
      </c>
      <c r="E238" s="9" t="s">
        <v>143</v>
      </c>
      <c r="F238" s="9" t="s">
        <v>29</v>
      </c>
      <c r="G238" s="9" t="s">
        <v>30</v>
      </c>
      <c r="H238" s="9" t="s">
        <v>151</v>
      </c>
      <c r="I238" s="9" t="s">
        <v>145</v>
      </c>
      <c r="J238" s="9" t="s">
        <v>96</v>
      </c>
      <c r="K238" s="9" t="s">
        <v>976</v>
      </c>
      <c r="L238" s="9" t="s">
        <v>35</v>
      </c>
      <c r="M238" s="9" t="s">
        <v>173</v>
      </c>
      <c r="N238" s="9" t="n">
        <v>139.5</v>
      </c>
      <c r="O238" s="9" t="n">
        <v>6</v>
      </c>
      <c r="P238" s="9" t="n">
        <v>0</v>
      </c>
      <c r="Q238" s="9" t="n">
        <v>13.54</v>
      </c>
    </row>
    <row r="239" customFormat="false" ht="15" hidden="false" customHeight="false" outlineLevel="0" collapsed="false">
      <c r="A239" s="9" t="s">
        <v>977</v>
      </c>
      <c r="B239" s="9" t="s">
        <v>367</v>
      </c>
      <c r="C239" s="9" t="s">
        <v>978</v>
      </c>
      <c r="D239" s="9" t="s">
        <v>40</v>
      </c>
      <c r="E239" s="9" t="s">
        <v>979</v>
      </c>
      <c r="F239" s="9" t="s">
        <v>29</v>
      </c>
      <c r="G239" s="9" t="s">
        <v>30</v>
      </c>
      <c r="H239" s="9" t="s">
        <v>144</v>
      </c>
      <c r="I239" s="9" t="s">
        <v>145</v>
      </c>
      <c r="J239" s="9" t="s">
        <v>96</v>
      </c>
      <c r="K239" s="9" t="s">
        <v>980</v>
      </c>
      <c r="L239" s="9" t="s">
        <v>88</v>
      </c>
      <c r="M239" s="9" t="s">
        <v>197</v>
      </c>
      <c r="N239" s="9" t="n">
        <v>2272.86</v>
      </c>
      <c r="O239" s="9" t="n">
        <v>6</v>
      </c>
      <c r="P239" s="9" t="n">
        <v>0.6</v>
      </c>
      <c r="Q239" s="9" t="n">
        <v>-839.83</v>
      </c>
    </row>
    <row r="240" customFormat="false" ht="15" hidden="false" customHeight="false" outlineLevel="0" collapsed="false">
      <c r="A240" s="9" t="s">
        <v>981</v>
      </c>
      <c r="B240" s="9" t="s">
        <v>982</v>
      </c>
      <c r="C240" s="9" t="s">
        <v>791</v>
      </c>
      <c r="D240" s="9" t="s">
        <v>40</v>
      </c>
      <c r="E240" s="9" t="s">
        <v>876</v>
      </c>
      <c r="F240" s="9" t="s">
        <v>60</v>
      </c>
      <c r="G240" s="9" t="s">
        <v>30</v>
      </c>
      <c r="H240" s="9" t="s">
        <v>84</v>
      </c>
      <c r="I240" s="9" t="s">
        <v>85</v>
      </c>
      <c r="J240" s="9" t="s">
        <v>86</v>
      </c>
      <c r="K240" s="9" t="s">
        <v>983</v>
      </c>
      <c r="L240" s="9" t="s">
        <v>35</v>
      </c>
      <c r="M240" s="9" t="s">
        <v>173</v>
      </c>
      <c r="N240" s="9" t="n">
        <v>214.72</v>
      </c>
      <c r="O240" s="9" t="n">
        <v>4</v>
      </c>
      <c r="P240" s="9" t="n">
        <v>0</v>
      </c>
      <c r="Q240" s="9" t="n">
        <v>32.3</v>
      </c>
    </row>
    <row r="241" customFormat="false" ht="15" hidden="false" customHeight="false" outlineLevel="0" collapsed="false">
      <c r="A241" s="9" t="s">
        <v>984</v>
      </c>
      <c r="B241" s="9" t="s">
        <v>985</v>
      </c>
      <c r="C241" s="9" t="s">
        <v>584</v>
      </c>
      <c r="D241" s="9" t="s">
        <v>51</v>
      </c>
      <c r="E241" s="9" t="s">
        <v>885</v>
      </c>
      <c r="F241" s="9" t="s">
        <v>29</v>
      </c>
      <c r="G241" s="9" t="s">
        <v>30</v>
      </c>
      <c r="H241" s="9" t="s">
        <v>397</v>
      </c>
      <c r="I241" s="9" t="s">
        <v>267</v>
      </c>
      <c r="J241" s="9" t="s">
        <v>44</v>
      </c>
      <c r="K241" s="9" t="s">
        <v>986</v>
      </c>
      <c r="L241" s="9" t="s">
        <v>35</v>
      </c>
      <c r="M241" s="9" t="s">
        <v>179</v>
      </c>
      <c r="N241" s="9" t="n">
        <v>17.15</v>
      </c>
      <c r="O241" s="9" t="n">
        <v>5</v>
      </c>
      <c r="P241" s="9" t="n">
        <v>0.1</v>
      </c>
      <c r="Q241" s="9" t="n">
        <v>4.85</v>
      </c>
    </row>
    <row r="242" customFormat="false" ht="15" hidden="false" customHeight="false" outlineLevel="0" collapsed="false">
      <c r="A242" s="9" t="s">
        <v>498</v>
      </c>
      <c r="B242" s="9" t="s">
        <v>499</v>
      </c>
      <c r="C242" s="9" t="s">
        <v>500</v>
      </c>
      <c r="D242" s="9" t="s">
        <v>27</v>
      </c>
      <c r="E242" s="9" t="s">
        <v>249</v>
      </c>
      <c r="F242" s="9" t="s">
        <v>29</v>
      </c>
      <c r="G242" s="9" t="s">
        <v>30</v>
      </c>
      <c r="H242" s="9" t="s">
        <v>170</v>
      </c>
      <c r="I242" s="9" t="s">
        <v>171</v>
      </c>
      <c r="J242" s="9" t="s">
        <v>86</v>
      </c>
      <c r="K242" s="9" t="s">
        <v>987</v>
      </c>
      <c r="L242" s="9" t="s">
        <v>35</v>
      </c>
      <c r="M242" s="9" t="s">
        <v>185</v>
      </c>
      <c r="N242" s="9" t="n">
        <v>419.92</v>
      </c>
      <c r="O242" s="9" t="n">
        <v>2</v>
      </c>
      <c r="P242" s="9" t="n">
        <v>0.15</v>
      </c>
      <c r="Q242" s="9" t="n">
        <v>44.65</v>
      </c>
    </row>
    <row r="243" customFormat="false" ht="15" hidden="false" customHeight="false" outlineLevel="0" collapsed="false">
      <c r="A243" s="9" t="s">
        <v>988</v>
      </c>
      <c r="B243" s="9" t="s">
        <v>989</v>
      </c>
      <c r="C243" s="9" t="s">
        <v>264</v>
      </c>
      <c r="D243" s="9" t="s">
        <v>40</v>
      </c>
      <c r="E243" s="9" t="s">
        <v>990</v>
      </c>
      <c r="F243" s="9" t="s">
        <v>83</v>
      </c>
      <c r="G243" s="9" t="s">
        <v>30</v>
      </c>
      <c r="H243" s="9" t="s">
        <v>278</v>
      </c>
      <c r="I243" s="9" t="s">
        <v>112</v>
      </c>
      <c r="J243" s="9" t="s">
        <v>86</v>
      </c>
      <c r="K243" s="9" t="s">
        <v>991</v>
      </c>
      <c r="L243" s="9" t="s">
        <v>35</v>
      </c>
      <c r="M243" s="9" t="s">
        <v>78</v>
      </c>
      <c r="N243" s="9" t="n">
        <v>14.97</v>
      </c>
      <c r="O243" s="9" t="n">
        <v>3</v>
      </c>
      <c r="P243" s="9" t="n">
        <v>0</v>
      </c>
      <c r="Q243" s="9" t="n">
        <v>5.49</v>
      </c>
    </row>
    <row r="244" customFormat="false" ht="15" hidden="false" customHeight="false" outlineLevel="0" collapsed="false">
      <c r="A244" s="9" t="s">
        <v>873</v>
      </c>
      <c r="B244" s="9" t="s">
        <v>874</v>
      </c>
      <c r="C244" s="9" t="s">
        <v>875</v>
      </c>
      <c r="D244" s="9" t="s">
        <v>102</v>
      </c>
      <c r="E244" s="9" t="s">
        <v>876</v>
      </c>
      <c r="F244" s="9" t="s">
        <v>60</v>
      </c>
      <c r="G244" s="9" t="s">
        <v>30</v>
      </c>
      <c r="H244" s="9" t="s">
        <v>151</v>
      </c>
      <c r="I244" s="9" t="s">
        <v>145</v>
      </c>
      <c r="J244" s="9" t="s">
        <v>96</v>
      </c>
      <c r="K244" s="9" t="s">
        <v>992</v>
      </c>
      <c r="L244" s="9" t="s">
        <v>35</v>
      </c>
      <c r="M244" s="9" t="s">
        <v>55</v>
      </c>
      <c r="N244" s="9" t="n">
        <v>180.66</v>
      </c>
      <c r="O244" s="9" t="n">
        <v>2</v>
      </c>
      <c r="P244" s="9" t="n">
        <v>0.5</v>
      </c>
      <c r="Q244" s="9" t="n">
        <v>-43.74</v>
      </c>
    </row>
    <row r="245" customFormat="false" ht="15" hidden="false" customHeight="false" outlineLevel="0" collapsed="false">
      <c r="A245" s="9" t="s">
        <v>957</v>
      </c>
      <c r="B245" s="9" t="s">
        <v>958</v>
      </c>
      <c r="C245" s="9" t="s">
        <v>959</v>
      </c>
      <c r="D245" s="9" t="s">
        <v>51</v>
      </c>
      <c r="E245" s="9" t="s">
        <v>960</v>
      </c>
      <c r="F245" s="9" t="s">
        <v>60</v>
      </c>
      <c r="G245" s="9" t="s">
        <v>30</v>
      </c>
      <c r="H245" s="9" t="s">
        <v>378</v>
      </c>
      <c r="I245" s="9" t="s">
        <v>76</v>
      </c>
      <c r="J245" s="9" t="s">
        <v>33</v>
      </c>
      <c r="K245" s="9" t="s">
        <v>993</v>
      </c>
      <c r="L245" s="9" t="s">
        <v>46</v>
      </c>
      <c r="M245" s="9" t="s">
        <v>191</v>
      </c>
      <c r="N245" s="9" t="n">
        <v>4040.64</v>
      </c>
      <c r="O245" s="9" t="n">
        <v>8</v>
      </c>
      <c r="P245" s="9" t="n">
        <v>0</v>
      </c>
      <c r="Q245" s="9" t="n">
        <v>1180.5</v>
      </c>
    </row>
    <row r="246" customFormat="false" ht="15" hidden="false" customHeight="false" outlineLevel="0" collapsed="false">
      <c r="A246" s="9" t="s">
        <v>994</v>
      </c>
      <c r="B246" s="9" t="s">
        <v>995</v>
      </c>
      <c r="C246" s="9" t="s">
        <v>996</v>
      </c>
      <c r="D246" s="9" t="s">
        <v>40</v>
      </c>
      <c r="E246" s="9" t="s">
        <v>997</v>
      </c>
      <c r="F246" s="9" t="s">
        <v>29</v>
      </c>
      <c r="G246" s="9" t="s">
        <v>30</v>
      </c>
      <c r="H246" s="9" t="s">
        <v>278</v>
      </c>
      <c r="I246" s="9" t="s">
        <v>112</v>
      </c>
      <c r="J246" s="9" t="s">
        <v>86</v>
      </c>
      <c r="K246" s="9" t="s">
        <v>998</v>
      </c>
      <c r="L246" s="9" t="s">
        <v>88</v>
      </c>
      <c r="M246" s="9" t="s">
        <v>153</v>
      </c>
      <c r="N246" s="9" t="n">
        <v>61.22</v>
      </c>
      <c r="O246" s="9" t="n">
        <v>1</v>
      </c>
      <c r="P246" s="9" t="n">
        <v>0.15</v>
      </c>
      <c r="Q246" s="9" t="n">
        <v>7.26</v>
      </c>
    </row>
    <row r="247" customFormat="false" ht="15" hidden="false" customHeight="false" outlineLevel="0" collapsed="false">
      <c r="A247" s="9" t="s">
        <v>999</v>
      </c>
      <c r="B247" s="9" t="s">
        <v>879</v>
      </c>
      <c r="C247" s="9" t="s">
        <v>1000</v>
      </c>
      <c r="D247" s="9" t="s">
        <v>40</v>
      </c>
      <c r="E247" s="9" t="s">
        <v>249</v>
      </c>
      <c r="F247" s="9" t="s">
        <v>60</v>
      </c>
      <c r="G247" s="9" t="s">
        <v>30</v>
      </c>
      <c r="H247" s="9" t="s">
        <v>645</v>
      </c>
      <c r="I247" s="9" t="s">
        <v>32</v>
      </c>
      <c r="J247" s="9" t="s">
        <v>33</v>
      </c>
      <c r="K247" s="9" t="s">
        <v>1001</v>
      </c>
      <c r="L247" s="9" t="s">
        <v>35</v>
      </c>
      <c r="M247" s="9" t="s">
        <v>98</v>
      </c>
      <c r="N247" s="9" t="n">
        <v>91.68</v>
      </c>
      <c r="O247" s="9" t="n">
        <v>8</v>
      </c>
      <c r="P247" s="9" t="n">
        <v>0</v>
      </c>
      <c r="Q247" s="9" t="n">
        <v>8.69</v>
      </c>
    </row>
    <row r="248" customFormat="false" ht="15" hidden="false" customHeight="false" outlineLevel="0" collapsed="false">
      <c r="A248" s="9" t="s">
        <v>784</v>
      </c>
      <c r="B248" s="9" t="s">
        <v>430</v>
      </c>
      <c r="C248" s="9" t="s">
        <v>785</v>
      </c>
      <c r="D248" s="9" t="s">
        <v>27</v>
      </c>
      <c r="E248" s="9" t="s">
        <v>786</v>
      </c>
      <c r="F248" s="9" t="s">
        <v>29</v>
      </c>
      <c r="G248" s="9" t="s">
        <v>30</v>
      </c>
      <c r="H248" s="9" t="s">
        <v>163</v>
      </c>
      <c r="I248" s="9" t="s">
        <v>164</v>
      </c>
      <c r="J248" s="9" t="s">
        <v>96</v>
      </c>
      <c r="K248" s="9" t="s">
        <v>1002</v>
      </c>
      <c r="L248" s="9" t="s">
        <v>35</v>
      </c>
      <c r="M248" s="9" t="s">
        <v>179</v>
      </c>
      <c r="N248" s="9" t="n">
        <v>60.41</v>
      </c>
      <c r="O248" s="9" t="n">
        <v>7</v>
      </c>
      <c r="P248" s="9" t="n">
        <v>0.1</v>
      </c>
      <c r="Q248" s="9" t="n">
        <v>6.2</v>
      </c>
    </row>
    <row r="249" customFormat="false" ht="15" hidden="false" customHeight="false" outlineLevel="0" collapsed="false">
      <c r="A249" s="9" t="s">
        <v>815</v>
      </c>
      <c r="B249" s="9" t="s">
        <v>142</v>
      </c>
      <c r="C249" s="9" t="s">
        <v>816</v>
      </c>
      <c r="D249" s="9" t="s">
        <v>40</v>
      </c>
      <c r="E249" s="9" t="s">
        <v>817</v>
      </c>
      <c r="F249" s="9" t="s">
        <v>83</v>
      </c>
      <c r="G249" s="9" t="s">
        <v>30</v>
      </c>
      <c r="H249" s="9" t="s">
        <v>163</v>
      </c>
      <c r="I249" s="9" t="s">
        <v>164</v>
      </c>
      <c r="J249" s="9" t="s">
        <v>96</v>
      </c>
      <c r="K249" s="9" t="s">
        <v>1003</v>
      </c>
      <c r="L249" s="9" t="s">
        <v>35</v>
      </c>
      <c r="M249" s="9" t="s">
        <v>356</v>
      </c>
      <c r="N249" s="9" t="n">
        <v>58.88</v>
      </c>
      <c r="O249" s="9" t="n">
        <v>8</v>
      </c>
      <c r="P249" s="9" t="n">
        <v>0</v>
      </c>
      <c r="Q249" s="9" t="n">
        <v>19.82</v>
      </c>
    </row>
    <row r="250" customFormat="false" ht="15" hidden="false" customHeight="false" outlineLevel="0" collapsed="false">
      <c r="A250" s="9" t="s">
        <v>438</v>
      </c>
      <c r="B250" s="9" t="s">
        <v>439</v>
      </c>
      <c r="C250" s="9" t="s">
        <v>440</v>
      </c>
      <c r="D250" s="9" t="s">
        <v>102</v>
      </c>
      <c r="E250" s="9" t="s">
        <v>441</v>
      </c>
      <c r="F250" s="9" t="s">
        <v>29</v>
      </c>
      <c r="G250" s="9" t="s">
        <v>30</v>
      </c>
      <c r="H250" s="9" t="s">
        <v>124</v>
      </c>
      <c r="I250" s="9" t="s">
        <v>125</v>
      </c>
      <c r="J250" s="9" t="s">
        <v>33</v>
      </c>
      <c r="K250" s="9" t="s">
        <v>1004</v>
      </c>
      <c r="L250" s="9" t="s">
        <v>35</v>
      </c>
      <c r="M250" s="9" t="s">
        <v>78</v>
      </c>
      <c r="N250" s="9" t="n">
        <v>73.02</v>
      </c>
      <c r="O250" s="9" t="n">
        <v>3</v>
      </c>
      <c r="P250" s="9" t="n">
        <v>0</v>
      </c>
      <c r="Q250" s="9" t="n">
        <v>26.9</v>
      </c>
    </row>
    <row r="251" customFormat="false" ht="15" hidden="false" customHeight="false" outlineLevel="0" collapsed="false">
      <c r="A251" s="9" t="s">
        <v>1005</v>
      </c>
      <c r="B251" s="9" t="s">
        <v>1006</v>
      </c>
      <c r="C251" s="9" t="s">
        <v>743</v>
      </c>
      <c r="D251" s="9" t="s">
        <v>40</v>
      </c>
      <c r="E251" s="9" t="s">
        <v>1007</v>
      </c>
      <c r="F251" s="9" t="s">
        <v>60</v>
      </c>
      <c r="G251" s="9" t="s">
        <v>30</v>
      </c>
      <c r="H251" s="9" t="s">
        <v>131</v>
      </c>
      <c r="I251" s="9" t="s">
        <v>132</v>
      </c>
      <c r="J251" s="9" t="s">
        <v>86</v>
      </c>
      <c r="K251" s="9" t="s">
        <v>1008</v>
      </c>
      <c r="L251" s="9" t="s">
        <v>35</v>
      </c>
      <c r="M251" s="9" t="s">
        <v>36</v>
      </c>
      <c r="N251" s="9" t="n">
        <v>137.65</v>
      </c>
      <c r="O251" s="9" t="n">
        <v>5</v>
      </c>
      <c r="P251" s="9" t="n">
        <v>0</v>
      </c>
      <c r="Q251" s="9" t="n">
        <v>50.38</v>
      </c>
    </row>
    <row r="252" customFormat="false" ht="15" hidden="false" customHeight="false" outlineLevel="0" collapsed="false">
      <c r="A252" s="9" t="s">
        <v>334</v>
      </c>
      <c r="B252" s="9" t="s">
        <v>335</v>
      </c>
      <c r="C252" s="9" t="s">
        <v>336</v>
      </c>
      <c r="D252" s="9" t="s">
        <v>102</v>
      </c>
      <c r="E252" s="9" t="s">
        <v>176</v>
      </c>
      <c r="F252" s="9" t="s">
        <v>60</v>
      </c>
      <c r="G252" s="9" t="s">
        <v>30</v>
      </c>
      <c r="H252" s="9" t="s">
        <v>332</v>
      </c>
      <c r="I252" s="9" t="s">
        <v>105</v>
      </c>
      <c r="J252" s="9" t="s">
        <v>44</v>
      </c>
      <c r="K252" s="9" t="s">
        <v>1009</v>
      </c>
      <c r="L252" s="9" t="s">
        <v>35</v>
      </c>
      <c r="M252" s="9" t="s">
        <v>356</v>
      </c>
      <c r="N252" s="9" t="n">
        <v>30.98</v>
      </c>
      <c r="O252" s="9" t="n">
        <v>2</v>
      </c>
      <c r="P252" s="9" t="n">
        <v>0.1</v>
      </c>
      <c r="Q252" s="9" t="n">
        <v>5.87</v>
      </c>
    </row>
    <row r="253" customFormat="false" ht="15" hidden="false" customHeight="false" outlineLevel="0" collapsed="false">
      <c r="A253" s="9" t="s">
        <v>1010</v>
      </c>
      <c r="B253" s="9" t="s">
        <v>49</v>
      </c>
      <c r="C253" s="9" t="s">
        <v>1011</v>
      </c>
      <c r="D253" s="9" t="s">
        <v>40</v>
      </c>
      <c r="E253" s="9" t="s">
        <v>1012</v>
      </c>
      <c r="F253" s="9" t="s">
        <v>83</v>
      </c>
      <c r="G253" s="9" t="s">
        <v>30</v>
      </c>
      <c r="H253" s="9" t="s">
        <v>151</v>
      </c>
      <c r="I253" s="9" t="s">
        <v>145</v>
      </c>
      <c r="J253" s="9" t="s">
        <v>96</v>
      </c>
      <c r="K253" s="9" t="s">
        <v>1013</v>
      </c>
      <c r="L253" s="9" t="s">
        <v>35</v>
      </c>
      <c r="M253" s="9" t="s">
        <v>185</v>
      </c>
      <c r="N253" s="9" t="n">
        <v>172.92</v>
      </c>
      <c r="O253" s="9" t="n">
        <v>1</v>
      </c>
      <c r="P253" s="9" t="n">
        <v>0</v>
      </c>
      <c r="Q253" s="9" t="n">
        <v>33.61</v>
      </c>
    </row>
    <row r="254" customFormat="false" ht="15" hidden="false" customHeight="false" outlineLevel="0" collapsed="false">
      <c r="A254" s="9" t="s">
        <v>1014</v>
      </c>
      <c r="B254" s="9" t="s">
        <v>330</v>
      </c>
      <c r="C254" s="9" t="s">
        <v>1015</v>
      </c>
      <c r="D254" s="9" t="s">
        <v>40</v>
      </c>
      <c r="E254" s="9" t="s">
        <v>41</v>
      </c>
      <c r="F254" s="9" t="s">
        <v>83</v>
      </c>
      <c r="G254" s="9" t="s">
        <v>30</v>
      </c>
      <c r="H254" s="9" t="s">
        <v>489</v>
      </c>
      <c r="I254" s="9" t="s">
        <v>95</v>
      </c>
      <c r="J254" s="9" t="s">
        <v>96</v>
      </c>
      <c r="K254" s="9" t="s">
        <v>1016</v>
      </c>
      <c r="L254" s="9" t="s">
        <v>88</v>
      </c>
      <c r="M254" s="9" t="s">
        <v>576</v>
      </c>
      <c r="N254" s="9" t="n">
        <v>1360.52</v>
      </c>
      <c r="O254" s="9" t="n">
        <v>4</v>
      </c>
      <c r="P254" s="9" t="n">
        <v>0.15</v>
      </c>
      <c r="Q254" s="9" t="n">
        <v>122.39</v>
      </c>
    </row>
    <row r="255" customFormat="false" ht="15" hidden="false" customHeight="false" outlineLevel="0" collapsed="false">
      <c r="A255" s="9" t="s">
        <v>670</v>
      </c>
      <c r="B255" s="9" t="s">
        <v>38</v>
      </c>
      <c r="C255" s="9" t="s">
        <v>671</v>
      </c>
      <c r="D255" s="9" t="s">
        <v>40</v>
      </c>
      <c r="E255" s="9" t="s">
        <v>672</v>
      </c>
      <c r="F255" s="9" t="s">
        <v>29</v>
      </c>
      <c r="G255" s="9" t="s">
        <v>30</v>
      </c>
      <c r="H255" s="9" t="s">
        <v>673</v>
      </c>
      <c r="I255" s="9" t="s">
        <v>251</v>
      </c>
      <c r="J255" s="9" t="s">
        <v>33</v>
      </c>
      <c r="K255" s="9" t="s">
        <v>1017</v>
      </c>
      <c r="L255" s="9" t="s">
        <v>88</v>
      </c>
      <c r="M255" s="9" t="s">
        <v>153</v>
      </c>
      <c r="N255" s="9" t="n">
        <v>885.12</v>
      </c>
      <c r="O255" s="9" t="n">
        <v>8</v>
      </c>
      <c r="P255" s="9" t="n">
        <v>0</v>
      </c>
      <c r="Q255" s="9" t="n">
        <v>154.04</v>
      </c>
    </row>
    <row r="256" customFormat="false" ht="15" hidden="false" customHeight="false" outlineLevel="0" collapsed="false">
      <c r="A256" s="9" t="s">
        <v>1018</v>
      </c>
      <c r="B256" s="9" t="s">
        <v>761</v>
      </c>
      <c r="C256" s="9" t="s">
        <v>1006</v>
      </c>
      <c r="D256" s="9" t="s">
        <v>40</v>
      </c>
      <c r="E256" s="9" t="s">
        <v>528</v>
      </c>
      <c r="F256" s="9" t="s">
        <v>83</v>
      </c>
      <c r="G256" s="9" t="s">
        <v>30</v>
      </c>
      <c r="H256" s="9" t="s">
        <v>239</v>
      </c>
      <c r="I256" s="9" t="s">
        <v>213</v>
      </c>
      <c r="J256" s="9" t="s">
        <v>96</v>
      </c>
      <c r="K256" s="9" t="s">
        <v>1019</v>
      </c>
      <c r="L256" s="9" t="s">
        <v>88</v>
      </c>
      <c r="M256" s="9" t="s">
        <v>576</v>
      </c>
      <c r="N256" s="9" t="n">
        <v>1582.98</v>
      </c>
      <c r="O256" s="9" t="n">
        <v>6</v>
      </c>
      <c r="P256" s="9" t="n">
        <v>0.2</v>
      </c>
      <c r="Q256" s="9" t="n">
        <v>54.92</v>
      </c>
    </row>
    <row r="257" customFormat="false" ht="15" hidden="false" customHeight="false" outlineLevel="0" collapsed="false">
      <c r="A257" s="9" t="s">
        <v>844</v>
      </c>
      <c r="B257" s="9" t="s">
        <v>845</v>
      </c>
      <c r="C257" s="9" t="s">
        <v>395</v>
      </c>
      <c r="D257" s="9" t="s">
        <v>40</v>
      </c>
      <c r="E257" s="9" t="s">
        <v>846</v>
      </c>
      <c r="F257" s="9" t="s">
        <v>83</v>
      </c>
      <c r="G257" s="9" t="s">
        <v>30</v>
      </c>
      <c r="H257" s="9" t="s">
        <v>278</v>
      </c>
      <c r="I257" s="9" t="s">
        <v>112</v>
      </c>
      <c r="J257" s="9" t="s">
        <v>86</v>
      </c>
      <c r="K257" s="9" t="s">
        <v>1020</v>
      </c>
      <c r="L257" s="9" t="s">
        <v>35</v>
      </c>
      <c r="M257" s="9" t="s">
        <v>36</v>
      </c>
      <c r="N257" s="9" t="n">
        <v>29.64</v>
      </c>
      <c r="O257" s="9" t="n">
        <v>4</v>
      </c>
      <c r="P257" s="9" t="n">
        <v>0.15</v>
      </c>
      <c r="Q257" s="9" t="n">
        <v>6.68</v>
      </c>
    </row>
    <row r="258" customFormat="false" ht="15" hidden="false" customHeight="false" outlineLevel="0" collapsed="false">
      <c r="A258" s="9" t="s">
        <v>262</v>
      </c>
      <c r="B258" s="9" t="s">
        <v>263</v>
      </c>
      <c r="C258" s="9" t="s">
        <v>264</v>
      </c>
      <c r="D258" s="9" t="s">
        <v>102</v>
      </c>
      <c r="E258" s="9" t="s">
        <v>265</v>
      </c>
      <c r="F258" s="9" t="s">
        <v>83</v>
      </c>
      <c r="G258" s="9" t="s">
        <v>30</v>
      </c>
      <c r="H258" s="9" t="s">
        <v>266</v>
      </c>
      <c r="I258" s="9" t="s">
        <v>267</v>
      </c>
      <c r="J258" s="9" t="s">
        <v>44</v>
      </c>
      <c r="K258" s="9" t="s">
        <v>1021</v>
      </c>
      <c r="L258" s="9" t="s">
        <v>35</v>
      </c>
      <c r="M258" s="9" t="s">
        <v>173</v>
      </c>
      <c r="N258" s="9" t="n">
        <v>351.05</v>
      </c>
      <c r="O258" s="9" t="n">
        <v>5</v>
      </c>
      <c r="P258" s="9" t="n">
        <v>0</v>
      </c>
      <c r="Q258" s="9" t="n">
        <v>27.89</v>
      </c>
    </row>
    <row r="259" customFormat="false" ht="15" hidden="false" customHeight="false" outlineLevel="0" collapsed="false">
      <c r="A259" s="9" t="s">
        <v>486</v>
      </c>
      <c r="B259" s="9" t="s">
        <v>487</v>
      </c>
      <c r="C259" s="9" t="s">
        <v>488</v>
      </c>
      <c r="D259" s="9" t="s">
        <v>40</v>
      </c>
      <c r="E259" s="9" t="s">
        <v>93</v>
      </c>
      <c r="F259" s="9" t="s">
        <v>83</v>
      </c>
      <c r="G259" s="9" t="s">
        <v>30</v>
      </c>
      <c r="H259" s="9" t="s">
        <v>489</v>
      </c>
      <c r="I259" s="9" t="s">
        <v>95</v>
      </c>
      <c r="J259" s="9" t="s">
        <v>96</v>
      </c>
      <c r="K259" s="9" t="s">
        <v>1022</v>
      </c>
      <c r="L259" s="9" t="s">
        <v>35</v>
      </c>
      <c r="M259" s="9" t="s">
        <v>36</v>
      </c>
      <c r="N259" s="9" t="n">
        <v>151.98</v>
      </c>
      <c r="O259" s="9" t="n">
        <v>6</v>
      </c>
      <c r="P259" s="9" t="n">
        <v>0</v>
      </c>
      <c r="Q259" s="9" t="n">
        <v>30.95</v>
      </c>
    </row>
    <row r="260" customFormat="false" ht="15" hidden="false" customHeight="false" outlineLevel="0" collapsed="false">
      <c r="A260" s="9" t="s">
        <v>1023</v>
      </c>
      <c r="B260" s="9" t="s">
        <v>446</v>
      </c>
      <c r="C260" s="9" t="s">
        <v>1024</v>
      </c>
      <c r="D260" s="9" t="s">
        <v>40</v>
      </c>
      <c r="E260" s="9" t="s">
        <v>1025</v>
      </c>
      <c r="F260" s="9" t="s">
        <v>60</v>
      </c>
      <c r="G260" s="9" t="s">
        <v>30</v>
      </c>
      <c r="H260" s="9" t="s">
        <v>31</v>
      </c>
      <c r="I260" s="9" t="s">
        <v>32</v>
      </c>
      <c r="J260" s="9" t="s">
        <v>33</v>
      </c>
      <c r="K260" s="9" t="s">
        <v>1026</v>
      </c>
      <c r="L260" s="9" t="s">
        <v>35</v>
      </c>
      <c r="M260" s="9" t="s">
        <v>185</v>
      </c>
      <c r="N260" s="9" t="n">
        <v>1205.82</v>
      </c>
      <c r="O260" s="9" t="n">
        <v>6</v>
      </c>
      <c r="P260" s="9" t="n">
        <v>0.1</v>
      </c>
      <c r="Q260" s="9" t="n">
        <v>102.41</v>
      </c>
    </row>
    <row r="261" customFormat="false" ht="15" hidden="false" customHeight="false" outlineLevel="0" collapsed="false">
      <c r="A261" s="9" t="s">
        <v>448</v>
      </c>
      <c r="B261" s="9" t="s">
        <v>449</v>
      </c>
      <c r="C261" s="9" t="s">
        <v>450</v>
      </c>
      <c r="D261" s="9" t="s">
        <v>40</v>
      </c>
      <c r="E261" s="9" t="s">
        <v>451</v>
      </c>
      <c r="F261" s="9" t="s">
        <v>60</v>
      </c>
      <c r="G261" s="9" t="s">
        <v>30</v>
      </c>
      <c r="H261" s="9" t="s">
        <v>308</v>
      </c>
      <c r="I261" s="9" t="s">
        <v>132</v>
      </c>
      <c r="J261" s="9" t="s">
        <v>86</v>
      </c>
      <c r="K261" s="9" t="s">
        <v>1027</v>
      </c>
      <c r="L261" s="9" t="s">
        <v>88</v>
      </c>
      <c r="M261" s="9" t="s">
        <v>153</v>
      </c>
      <c r="N261" s="9" t="n">
        <v>715.54</v>
      </c>
      <c r="O261" s="9" t="n">
        <v>7</v>
      </c>
      <c r="P261" s="9" t="n">
        <v>0.1</v>
      </c>
      <c r="Q261" s="9" t="n">
        <v>95.7</v>
      </c>
    </row>
    <row r="262" customFormat="false" ht="15" hidden="false" customHeight="false" outlineLevel="0" collapsed="false">
      <c r="A262" s="9" t="s">
        <v>770</v>
      </c>
      <c r="B262" s="9" t="s">
        <v>771</v>
      </c>
      <c r="C262" s="9" t="s">
        <v>772</v>
      </c>
      <c r="D262" s="9" t="s">
        <v>102</v>
      </c>
      <c r="E262" s="9" t="s">
        <v>730</v>
      </c>
      <c r="F262" s="9" t="s">
        <v>83</v>
      </c>
      <c r="G262" s="9" t="s">
        <v>30</v>
      </c>
      <c r="H262" s="9" t="s">
        <v>151</v>
      </c>
      <c r="I262" s="9" t="s">
        <v>145</v>
      </c>
      <c r="J262" s="9" t="s">
        <v>96</v>
      </c>
      <c r="K262" s="9" t="s">
        <v>1028</v>
      </c>
      <c r="L262" s="9" t="s">
        <v>88</v>
      </c>
      <c r="M262" s="9" t="s">
        <v>197</v>
      </c>
      <c r="N262" s="9" t="n">
        <v>1710.06</v>
      </c>
      <c r="O262" s="9" t="n">
        <v>6</v>
      </c>
      <c r="P262" s="9" t="n">
        <v>0</v>
      </c>
      <c r="Q262" s="9" t="n">
        <v>-0.86</v>
      </c>
    </row>
    <row r="263" customFormat="false" ht="15" hidden="false" customHeight="false" outlineLevel="0" collapsed="false">
      <c r="A263" s="9" t="s">
        <v>241</v>
      </c>
      <c r="B263" s="9" t="s">
        <v>242</v>
      </c>
      <c r="C263" s="9" t="s">
        <v>243</v>
      </c>
      <c r="D263" s="9" t="s">
        <v>40</v>
      </c>
      <c r="E263" s="9" t="s">
        <v>244</v>
      </c>
      <c r="F263" s="9" t="s">
        <v>29</v>
      </c>
      <c r="G263" s="9" t="s">
        <v>30</v>
      </c>
      <c r="H263" s="9" t="s">
        <v>94</v>
      </c>
      <c r="I263" s="9" t="s">
        <v>95</v>
      </c>
      <c r="J263" s="9" t="s">
        <v>96</v>
      </c>
      <c r="K263" s="9" t="s">
        <v>1029</v>
      </c>
      <c r="L263" s="9" t="s">
        <v>35</v>
      </c>
      <c r="M263" s="9" t="s">
        <v>78</v>
      </c>
      <c r="N263" s="9" t="n">
        <v>43.33</v>
      </c>
      <c r="O263" s="9" t="n">
        <v>7</v>
      </c>
      <c r="P263" s="9" t="n">
        <v>0.15</v>
      </c>
      <c r="Q263" s="9" t="n">
        <v>9.01</v>
      </c>
    </row>
    <row r="264" customFormat="false" ht="15" hidden="false" customHeight="false" outlineLevel="0" collapsed="false">
      <c r="A264" s="9" t="s">
        <v>462</v>
      </c>
      <c r="B264" s="9" t="s">
        <v>463</v>
      </c>
      <c r="C264" s="9" t="s">
        <v>464</v>
      </c>
      <c r="D264" s="9" t="s">
        <v>27</v>
      </c>
      <c r="E264" s="9" t="s">
        <v>465</v>
      </c>
      <c r="F264" s="9" t="s">
        <v>60</v>
      </c>
      <c r="G264" s="9" t="s">
        <v>30</v>
      </c>
      <c r="H264" s="9" t="s">
        <v>75</v>
      </c>
      <c r="I264" s="9" t="s">
        <v>76</v>
      </c>
      <c r="J264" s="9" t="s">
        <v>33</v>
      </c>
      <c r="K264" s="9" t="s">
        <v>1030</v>
      </c>
      <c r="L264" s="9" t="s">
        <v>35</v>
      </c>
      <c r="M264" s="9" t="s">
        <v>356</v>
      </c>
      <c r="N264" s="9" t="n">
        <v>41.4</v>
      </c>
      <c r="O264" s="9" t="n">
        <v>2</v>
      </c>
      <c r="P264" s="9" t="n">
        <v>0.15</v>
      </c>
      <c r="Q264" s="9" t="n">
        <v>5.23</v>
      </c>
    </row>
    <row r="265" customFormat="false" ht="15" hidden="false" customHeight="false" outlineLevel="0" collapsed="false">
      <c r="A265" s="9" t="s">
        <v>1031</v>
      </c>
      <c r="B265" s="9" t="s">
        <v>1032</v>
      </c>
      <c r="C265" s="9" t="s">
        <v>1033</v>
      </c>
      <c r="D265" s="9" t="s">
        <v>102</v>
      </c>
      <c r="E265" s="9" t="s">
        <v>740</v>
      </c>
      <c r="F265" s="9" t="s">
        <v>83</v>
      </c>
      <c r="G265" s="9" t="s">
        <v>30</v>
      </c>
      <c r="H265" s="9" t="s">
        <v>484</v>
      </c>
      <c r="I265" s="9" t="s">
        <v>171</v>
      </c>
      <c r="J265" s="9" t="s">
        <v>86</v>
      </c>
      <c r="K265" s="9" t="s">
        <v>1034</v>
      </c>
      <c r="L265" s="9" t="s">
        <v>35</v>
      </c>
      <c r="M265" s="9" t="s">
        <v>55</v>
      </c>
      <c r="N265" s="9" t="n">
        <v>16.83</v>
      </c>
      <c r="O265" s="9" t="n">
        <v>1</v>
      </c>
      <c r="P265" s="9" t="n">
        <v>0</v>
      </c>
      <c r="Q265" s="9" t="n">
        <v>-0.41</v>
      </c>
    </row>
    <row r="266" customFormat="false" ht="15" hidden="false" customHeight="false" outlineLevel="0" collapsed="false">
      <c r="A266" s="9" t="s">
        <v>1035</v>
      </c>
      <c r="B266" s="9" t="s">
        <v>1036</v>
      </c>
      <c r="C266" s="9" t="s">
        <v>1037</v>
      </c>
      <c r="D266" s="9" t="s">
        <v>51</v>
      </c>
      <c r="E266" s="9" t="s">
        <v>1038</v>
      </c>
      <c r="F266" s="9" t="s">
        <v>60</v>
      </c>
      <c r="G266" s="9" t="s">
        <v>30</v>
      </c>
      <c r="H266" s="9" t="s">
        <v>170</v>
      </c>
      <c r="I266" s="9" t="s">
        <v>171</v>
      </c>
      <c r="J266" s="9" t="s">
        <v>86</v>
      </c>
      <c r="K266" s="9" t="s">
        <v>1039</v>
      </c>
      <c r="L266" s="9" t="s">
        <v>46</v>
      </c>
      <c r="M266" s="9" t="s">
        <v>191</v>
      </c>
      <c r="N266" s="9" t="n">
        <v>9777.53</v>
      </c>
      <c r="O266" s="9" t="n">
        <v>7</v>
      </c>
      <c r="P266" s="9" t="n">
        <v>0.15</v>
      </c>
      <c r="Q266" s="9" t="n">
        <v>1416.5</v>
      </c>
    </row>
    <row r="267" customFormat="false" ht="15" hidden="false" customHeight="false" outlineLevel="0" collapsed="false">
      <c r="A267" s="9" t="s">
        <v>1040</v>
      </c>
      <c r="B267" s="9" t="s">
        <v>874</v>
      </c>
      <c r="C267" s="9" t="s">
        <v>602</v>
      </c>
      <c r="D267" s="9" t="s">
        <v>40</v>
      </c>
      <c r="E267" s="9" t="s">
        <v>1041</v>
      </c>
      <c r="F267" s="9" t="s">
        <v>60</v>
      </c>
      <c r="G267" s="9" t="s">
        <v>30</v>
      </c>
      <c r="H267" s="9" t="s">
        <v>144</v>
      </c>
      <c r="I267" s="9" t="s">
        <v>145</v>
      </c>
      <c r="J267" s="9" t="s">
        <v>96</v>
      </c>
      <c r="K267" s="9" t="s">
        <v>1042</v>
      </c>
      <c r="L267" s="9" t="s">
        <v>35</v>
      </c>
      <c r="M267" s="9" t="s">
        <v>179</v>
      </c>
      <c r="N267" s="9" t="n">
        <v>30.15</v>
      </c>
      <c r="O267" s="9" t="n">
        <v>9</v>
      </c>
      <c r="P267" s="9" t="n">
        <v>0</v>
      </c>
      <c r="Q267" s="9" t="n">
        <v>10.37</v>
      </c>
    </row>
    <row r="268" customFormat="false" ht="15" hidden="false" customHeight="false" outlineLevel="0" collapsed="false">
      <c r="A268" s="9" t="s">
        <v>1043</v>
      </c>
      <c r="B268" s="9" t="s">
        <v>1044</v>
      </c>
      <c r="C268" s="9" t="s">
        <v>1045</v>
      </c>
      <c r="D268" s="9" t="s">
        <v>51</v>
      </c>
      <c r="E268" s="9" t="s">
        <v>724</v>
      </c>
      <c r="F268" s="9" t="s">
        <v>29</v>
      </c>
      <c r="G268" s="9" t="s">
        <v>30</v>
      </c>
      <c r="H268" s="9" t="s">
        <v>266</v>
      </c>
      <c r="I268" s="9" t="s">
        <v>267</v>
      </c>
      <c r="J268" s="9" t="s">
        <v>44</v>
      </c>
      <c r="K268" s="9" t="s">
        <v>1046</v>
      </c>
      <c r="L268" s="9" t="s">
        <v>35</v>
      </c>
      <c r="M268" s="9" t="s">
        <v>356</v>
      </c>
      <c r="N268" s="9" t="n">
        <v>114.16</v>
      </c>
      <c r="O268" s="9" t="n">
        <v>4</v>
      </c>
      <c r="P268" s="9" t="n">
        <v>0</v>
      </c>
      <c r="Q268" s="9" t="n">
        <v>31.65</v>
      </c>
    </row>
    <row r="269" customFormat="false" ht="15" hidden="false" customHeight="false" outlineLevel="0" collapsed="false">
      <c r="A269" s="9" t="s">
        <v>1047</v>
      </c>
      <c r="B269" s="9" t="s">
        <v>1048</v>
      </c>
      <c r="C269" s="9" t="s">
        <v>1049</v>
      </c>
      <c r="D269" s="9" t="s">
        <v>40</v>
      </c>
      <c r="E269" s="9" t="s">
        <v>1050</v>
      </c>
      <c r="F269" s="9" t="s">
        <v>29</v>
      </c>
      <c r="G269" s="9" t="s">
        <v>30</v>
      </c>
      <c r="H269" s="9" t="s">
        <v>206</v>
      </c>
      <c r="I269" s="9" t="s">
        <v>164</v>
      </c>
      <c r="J269" s="9" t="s">
        <v>96</v>
      </c>
      <c r="K269" s="9" t="s">
        <v>1051</v>
      </c>
      <c r="L269" s="9" t="s">
        <v>46</v>
      </c>
      <c r="M269" s="9" t="s">
        <v>47</v>
      </c>
      <c r="N269" s="9" t="n">
        <v>3098.52</v>
      </c>
      <c r="O269" s="9" t="n">
        <v>6</v>
      </c>
      <c r="P269" s="9" t="n">
        <v>0.8</v>
      </c>
      <c r="Q269" s="9" t="n">
        <v>-748.67</v>
      </c>
    </row>
    <row r="270" customFormat="false" ht="15" hidden="false" customHeight="false" outlineLevel="0" collapsed="false">
      <c r="A270" s="9" t="s">
        <v>895</v>
      </c>
      <c r="B270" s="9" t="s">
        <v>896</v>
      </c>
      <c r="C270" s="9" t="s">
        <v>897</v>
      </c>
      <c r="D270" s="9" t="s">
        <v>40</v>
      </c>
      <c r="E270" s="9" t="s">
        <v>341</v>
      </c>
      <c r="F270" s="9" t="s">
        <v>60</v>
      </c>
      <c r="G270" s="9" t="s">
        <v>30</v>
      </c>
      <c r="H270" s="9" t="s">
        <v>104</v>
      </c>
      <c r="I270" s="9" t="s">
        <v>105</v>
      </c>
      <c r="J270" s="9" t="s">
        <v>44</v>
      </c>
      <c r="K270" s="9" t="s">
        <v>1052</v>
      </c>
      <c r="L270" s="9" t="s">
        <v>35</v>
      </c>
      <c r="M270" s="9" t="s">
        <v>55</v>
      </c>
      <c r="N270" s="9" t="n">
        <v>98.32</v>
      </c>
      <c r="O270" s="9" t="n">
        <v>8</v>
      </c>
      <c r="P270" s="9" t="n">
        <v>0.15</v>
      </c>
      <c r="Q270" s="9" t="n">
        <v>-11.64</v>
      </c>
    </row>
    <row r="271" customFormat="false" ht="15" hidden="false" customHeight="false" outlineLevel="0" collapsed="false">
      <c r="A271" s="9" t="s">
        <v>1053</v>
      </c>
      <c r="B271" s="9" t="s">
        <v>1054</v>
      </c>
      <c r="C271" s="9" t="s">
        <v>1055</v>
      </c>
      <c r="D271" s="9" t="s">
        <v>40</v>
      </c>
      <c r="E271" s="9" t="s">
        <v>1056</v>
      </c>
      <c r="F271" s="9" t="s">
        <v>60</v>
      </c>
      <c r="G271" s="9" t="s">
        <v>30</v>
      </c>
      <c r="H271" s="9" t="s">
        <v>138</v>
      </c>
      <c r="I271" s="9" t="s">
        <v>85</v>
      </c>
      <c r="J271" s="9" t="s">
        <v>86</v>
      </c>
      <c r="K271" s="9" t="s">
        <v>1057</v>
      </c>
      <c r="L271" s="9" t="s">
        <v>46</v>
      </c>
      <c r="M271" s="9" t="s">
        <v>47</v>
      </c>
      <c r="N271" s="9" t="n">
        <v>7837.11</v>
      </c>
      <c r="O271" s="9" t="n">
        <v>9</v>
      </c>
      <c r="P271" s="9" t="n">
        <v>0.7</v>
      </c>
      <c r="Q271" s="9" t="n">
        <v>-1240.78</v>
      </c>
    </row>
    <row r="272" customFormat="false" ht="15" hidden="false" customHeight="false" outlineLevel="0" collapsed="false">
      <c r="A272" s="9" t="s">
        <v>692</v>
      </c>
      <c r="B272" s="9" t="s">
        <v>693</v>
      </c>
      <c r="C272" s="9" t="s">
        <v>73</v>
      </c>
      <c r="D272" s="9" t="s">
        <v>40</v>
      </c>
      <c r="E272" s="9" t="s">
        <v>694</v>
      </c>
      <c r="F272" s="9" t="s">
        <v>60</v>
      </c>
      <c r="G272" s="9" t="s">
        <v>30</v>
      </c>
      <c r="H272" s="9" t="s">
        <v>278</v>
      </c>
      <c r="I272" s="9" t="s">
        <v>112</v>
      </c>
      <c r="J272" s="9" t="s">
        <v>86</v>
      </c>
      <c r="K272" s="9" t="s">
        <v>1058</v>
      </c>
      <c r="L272" s="9" t="s">
        <v>35</v>
      </c>
      <c r="M272" s="9" t="s">
        <v>185</v>
      </c>
      <c r="N272" s="9" t="n">
        <v>395.95</v>
      </c>
      <c r="O272" s="9" t="n">
        <v>5</v>
      </c>
      <c r="P272" s="9" t="n">
        <v>0</v>
      </c>
      <c r="Q272" s="9" t="n">
        <v>84.63</v>
      </c>
    </row>
    <row r="273" customFormat="false" ht="15" hidden="false" customHeight="false" outlineLevel="0" collapsed="false">
      <c r="A273" s="9" t="s">
        <v>1059</v>
      </c>
      <c r="B273" s="9" t="s">
        <v>1060</v>
      </c>
      <c r="C273" s="9" t="s">
        <v>1061</v>
      </c>
      <c r="D273" s="9" t="s">
        <v>102</v>
      </c>
      <c r="E273" s="9" t="s">
        <v>1062</v>
      </c>
      <c r="F273" s="9" t="s">
        <v>60</v>
      </c>
      <c r="G273" s="9" t="s">
        <v>30</v>
      </c>
      <c r="H273" s="9" t="s">
        <v>250</v>
      </c>
      <c r="I273" s="9" t="s">
        <v>251</v>
      </c>
      <c r="J273" s="9" t="s">
        <v>33</v>
      </c>
      <c r="K273" s="9" t="s">
        <v>1063</v>
      </c>
      <c r="L273" s="9" t="s">
        <v>35</v>
      </c>
      <c r="M273" s="9" t="s">
        <v>114</v>
      </c>
      <c r="N273" s="9" t="n">
        <v>34.42</v>
      </c>
      <c r="O273" s="9" t="n">
        <v>2</v>
      </c>
      <c r="P273" s="9" t="n">
        <v>0.15</v>
      </c>
      <c r="Q273" s="9" t="n">
        <v>8.46</v>
      </c>
    </row>
    <row r="274" customFormat="false" ht="15" hidden="false" customHeight="false" outlineLevel="0" collapsed="false">
      <c r="A274" s="9" t="s">
        <v>1064</v>
      </c>
      <c r="B274" s="9" t="s">
        <v>1065</v>
      </c>
      <c r="C274" s="9" t="s">
        <v>349</v>
      </c>
      <c r="D274" s="9" t="s">
        <v>102</v>
      </c>
      <c r="E274" s="9" t="s">
        <v>441</v>
      </c>
      <c r="F274" s="9" t="s">
        <v>60</v>
      </c>
      <c r="G274" s="9" t="s">
        <v>30</v>
      </c>
      <c r="H274" s="9" t="s">
        <v>489</v>
      </c>
      <c r="I274" s="9" t="s">
        <v>95</v>
      </c>
      <c r="J274" s="9" t="s">
        <v>96</v>
      </c>
      <c r="K274" s="9" t="s">
        <v>1066</v>
      </c>
      <c r="L274" s="9" t="s">
        <v>88</v>
      </c>
      <c r="M274" s="9" t="s">
        <v>89</v>
      </c>
      <c r="N274" s="9" t="n">
        <v>1948.23</v>
      </c>
      <c r="O274" s="9" t="n">
        <v>9</v>
      </c>
      <c r="P274" s="9" t="n">
        <v>0</v>
      </c>
      <c r="Q274" s="9" t="n">
        <v>-31.87</v>
      </c>
    </row>
    <row r="275" customFormat="false" ht="15" hidden="false" customHeight="false" outlineLevel="0" collapsed="false">
      <c r="A275" s="9" t="s">
        <v>1067</v>
      </c>
      <c r="B275" s="9" t="s">
        <v>504</v>
      </c>
      <c r="C275" s="9" t="s">
        <v>188</v>
      </c>
      <c r="D275" s="9" t="s">
        <v>27</v>
      </c>
      <c r="E275" s="9" t="s">
        <v>1068</v>
      </c>
      <c r="F275" s="9" t="s">
        <v>60</v>
      </c>
      <c r="G275" s="9" t="s">
        <v>30</v>
      </c>
      <c r="H275" s="9" t="s">
        <v>151</v>
      </c>
      <c r="I275" s="9" t="s">
        <v>145</v>
      </c>
      <c r="J275" s="9" t="s">
        <v>96</v>
      </c>
      <c r="K275" s="9" t="s">
        <v>1069</v>
      </c>
      <c r="L275" s="9" t="s">
        <v>35</v>
      </c>
      <c r="M275" s="9" t="s">
        <v>78</v>
      </c>
      <c r="N275" s="9" t="n">
        <v>54.55</v>
      </c>
      <c r="O275" s="9" t="n">
        <v>5</v>
      </c>
      <c r="P275" s="9" t="n">
        <v>0</v>
      </c>
      <c r="Q275" s="9" t="n">
        <v>14.11</v>
      </c>
    </row>
    <row r="276" customFormat="false" ht="15" hidden="false" customHeight="false" outlineLevel="0" collapsed="false">
      <c r="A276" s="9" t="s">
        <v>1070</v>
      </c>
      <c r="B276" s="9" t="s">
        <v>697</v>
      </c>
      <c r="C276" s="9" t="s">
        <v>1071</v>
      </c>
      <c r="D276" s="9" t="s">
        <v>40</v>
      </c>
      <c r="E276" s="9" t="s">
        <v>1072</v>
      </c>
      <c r="F276" s="9" t="s">
        <v>29</v>
      </c>
      <c r="G276" s="9" t="s">
        <v>30</v>
      </c>
      <c r="H276" s="9" t="s">
        <v>151</v>
      </c>
      <c r="I276" s="9" t="s">
        <v>145</v>
      </c>
      <c r="J276" s="9" t="s">
        <v>96</v>
      </c>
      <c r="K276" s="9" t="s">
        <v>1073</v>
      </c>
      <c r="L276" s="9" t="s">
        <v>88</v>
      </c>
      <c r="M276" s="9" t="s">
        <v>89</v>
      </c>
      <c r="N276" s="9" t="n">
        <v>924.8</v>
      </c>
      <c r="O276" s="9" t="n">
        <v>4</v>
      </c>
      <c r="P276" s="9" t="n">
        <v>0.8</v>
      </c>
      <c r="Q276" s="9" t="n">
        <v>-365.96</v>
      </c>
    </row>
    <row r="277" customFormat="false" ht="15" hidden="false" customHeight="false" outlineLevel="0" collapsed="false">
      <c r="A277" s="9" t="s">
        <v>90</v>
      </c>
      <c r="B277" s="9" t="s">
        <v>91</v>
      </c>
      <c r="C277" s="9" t="s">
        <v>92</v>
      </c>
      <c r="D277" s="9" t="s">
        <v>40</v>
      </c>
      <c r="E277" s="9" t="s">
        <v>93</v>
      </c>
      <c r="F277" s="9" t="s">
        <v>29</v>
      </c>
      <c r="G277" s="9" t="s">
        <v>30</v>
      </c>
      <c r="H277" s="9" t="s">
        <v>94</v>
      </c>
      <c r="I277" s="9" t="s">
        <v>95</v>
      </c>
      <c r="J277" s="9" t="s">
        <v>96</v>
      </c>
      <c r="K277" s="9" t="s">
        <v>1074</v>
      </c>
      <c r="L277" s="9" t="s">
        <v>88</v>
      </c>
      <c r="M277" s="9" t="s">
        <v>576</v>
      </c>
      <c r="N277" s="9" t="n">
        <v>647.25</v>
      </c>
      <c r="O277" s="9" t="n">
        <v>3</v>
      </c>
      <c r="P277" s="9" t="n">
        <v>0.6</v>
      </c>
      <c r="Q277" s="9" t="n">
        <v>-126.2</v>
      </c>
    </row>
    <row r="278" customFormat="false" ht="15" hidden="false" customHeight="false" outlineLevel="0" collapsed="false">
      <c r="A278" s="9" t="s">
        <v>1075</v>
      </c>
      <c r="B278" s="9" t="s">
        <v>161</v>
      </c>
      <c r="C278" s="9" t="s">
        <v>1076</v>
      </c>
      <c r="D278" s="9" t="s">
        <v>40</v>
      </c>
      <c r="E278" s="9" t="s">
        <v>293</v>
      </c>
      <c r="F278" s="9" t="s">
        <v>83</v>
      </c>
      <c r="G278" s="9" t="s">
        <v>30</v>
      </c>
      <c r="H278" s="9" t="s">
        <v>163</v>
      </c>
      <c r="I278" s="9" t="s">
        <v>164</v>
      </c>
      <c r="J278" s="9" t="s">
        <v>96</v>
      </c>
      <c r="K278" s="9" t="s">
        <v>1077</v>
      </c>
      <c r="L278" s="9" t="s">
        <v>35</v>
      </c>
      <c r="M278" s="9" t="s">
        <v>185</v>
      </c>
      <c r="N278" s="9" t="n">
        <v>857.6</v>
      </c>
      <c r="O278" s="9" t="n">
        <v>8</v>
      </c>
      <c r="P278" s="9" t="n">
        <v>0.1</v>
      </c>
      <c r="Q278" s="9" t="n">
        <v>8.49</v>
      </c>
    </row>
    <row r="279" customFormat="false" ht="15" hidden="false" customHeight="false" outlineLevel="0" collapsed="false">
      <c r="A279" s="9" t="s">
        <v>1078</v>
      </c>
      <c r="B279" s="9" t="s">
        <v>1079</v>
      </c>
      <c r="C279" s="9" t="s">
        <v>1080</v>
      </c>
      <c r="D279" s="9" t="s">
        <v>40</v>
      </c>
      <c r="E279" s="9" t="s">
        <v>52</v>
      </c>
      <c r="F279" s="9" t="s">
        <v>60</v>
      </c>
      <c r="G279" s="9" t="s">
        <v>30</v>
      </c>
      <c r="H279" s="9" t="s">
        <v>131</v>
      </c>
      <c r="I279" s="9" t="s">
        <v>132</v>
      </c>
      <c r="J279" s="9" t="s">
        <v>86</v>
      </c>
      <c r="K279" s="9" t="s">
        <v>1081</v>
      </c>
      <c r="L279" s="9" t="s">
        <v>46</v>
      </c>
      <c r="M279" s="9" t="s">
        <v>47</v>
      </c>
      <c r="N279" s="9" t="n">
        <v>601.76</v>
      </c>
      <c r="O279" s="9" t="n">
        <v>4</v>
      </c>
      <c r="P279" s="9" t="n">
        <v>0</v>
      </c>
      <c r="Q279" s="9" t="n">
        <v>144.03</v>
      </c>
    </row>
    <row r="280" customFormat="false" ht="15" hidden="false" customHeight="false" outlineLevel="0" collapsed="false">
      <c r="A280" s="9" t="s">
        <v>1082</v>
      </c>
      <c r="B280" s="9" t="s">
        <v>248</v>
      </c>
      <c r="C280" s="9" t="s">
        <v>1083</v>
      </c>
      <c r="D280" s="9" t="s">
        <v>27</v>
      </c>
      <c r="E280" s="9" t="s">
        <v>955</v>
      </c>
      <c r="F280" s="9" t="s">
        <v>60</v>
      </c>
      <c r="G280" s="9" t="s">
        <v>30</v>
      </c>
      <c r="H280" s="9" t="s">
        <v>397</v>
      </c>
      <c r="I280" s="9" t="s">
        <v>267</v>
      </c>
      <c r="J280" s="9" t="s">
        <v>44</v>
      </c>
      <c r="K280" s="9" t="s">
        <v>1084</v>
      </c>
      <c r="L280" s="9" t="s">
        <v>35</v>
      </c>
      <c r="M280" s="9" t="s">
        <v>55</v>
      </c>
      <c r="N280" s="9" t="n">
        <v>290.85</v>
      </c>
      <c r="O280" s="9" t="n">
        <v>7</v>
      </c>
      <c r="P280" s="9" t="n">
        <v>0</v>
      </c>
      <c r="Q280" s="9" t="n">
        <v>19.77</v>
      </c>
    </row>
    <row r="281" customFormat="false" ht="15" hidden="false" customHeight="false" outlineLevel="0" collapsed="false">
      <c r="A281" s="9" t="s">
        <v>1085</v>
      </c>
      <c r="B281" s="9" t="s">
        <v>1086</v>
      </c>
      <c r="C281" s="9" t="s">
        <v>1087</v>
      </c>
      <c r="D281" s="9" t="s">
        <v>102</v>
      </c>
      <c r="E281" s="9" t="s">
        <v>1088</v>
      </c>
      <c r="F281" s="9" t="s">
        <v>29</v>
      </c>
      <c r="G281" s="9" t="s">
        <v>30</v>
      </c>
      <c r="H281" s="9" t="s">
        <v>53</v>
      </c>
      <c r="I281" s="9" t="s">
        <v>43</v>
      </c>
      <c r="J281" s="9" t="s">
        <v>44</v>
      </c>
      <c r="K281" s="9" t="s">
        <v>1089</v>
      </c>
      <c r="L281" s="9" t="s">
        <v>46</v>
      </c>
      <c r="M281" s="9" t="s">
        <v>64</v>
      </c>
      <c r="N281" s="9" t="n">
        <v>1634.16</v>
      </c>
      <c r="O281" s="9" t="n">
        <v>6</v>
      </c>
      <c r="P281" s="9" t="n">
        <v>0.1</v>
      </c>
      <c r="Q281" s="9" t="n">
        <v>-73.43</v>
      </c>
    </row>
    <row r="282" customFormat="false" ht="15" hidden="false" customHeight="false" outlineLevel="0" collapsed="false">
      <c r="A282" s="9" t="s">
        <v>530</v>
      </c>
      <c r="B282" s="9" t="s">
        <v>531</v>
      </c>
      <c r="C282" s="9" t="s">
        <v>532</v>
      </c>
      <c r="D282" s="9" t="s">
        <v>102</v>
      </c>
      <c r="E282" s="9" t="s">
        <v>533</v>
      </c>
      <c r="F282" s="9" t="s">
        <v>83</v>
      </c>
      <c r="G282" s="9" t="s">
        <v>30</v>
      </c>
      <c r="H282" s="9" t="s">
        <v>484</v>
      </c>
      <c r="I282" s="9" t="s">
        <v>171</v>
      </c>
      <c r="J282" s="9" t="s">
        <v>86</v>
      </c>
      <c r="K282" s="9" t="s">
        <v>1090</v>
      </c>
      <c r="L282" s="9" t="s">
        <v>88</v>
      </c>
      <c r="M282" s="9" t="s">
        <v>576</v>
      </c>
      <c r="N282" s="9" t="n">
        <v>2085.66</v>
      </c>
      <c r="O282" s="9" t="n">
        <v>9</v>
      </c>
      <c r="P282" s="9" t="n">
        <v>0.4</v>
      </c>
      <c r="Q282" s="9" t="n">
        <v>-426.2</v>
      </c>
    </row>
    <row r="283" customFormat="false" ht="15" hidden="false" customHeight="false" outlineLevel="0" collapsed="false">
      <c r="A283" s="9" t="s">
        <v>1091</v>
      </c>
      <c r="B283" s="9" t="s">
        <v>587</v>
      </c>
      <c r="C283" s="9" t="s">
        <v>1092</v>
      </c>
      <c r="D283" s="9" t="s">
        <v>51</v>
      </c>
      <c r="E283" s="9" t="s">
        <v>211</v>
      </c>
      <c r="F283" s="9" t="s">
        <v>60</v>
      </c>
      <c r="G283" s="9" t="s">
        <v>30</v>
      </c>
      <c r="H283" s="9" t="s">
        <v>278</v>
      </c>
      <c r="I283" s="9" t="s">
        <v>112</v>
      </c>
      <c r="J283" s="9" t="s">
        <v>86</v>
      </c>
      <c r="K283" s="9" t="s">
        <v>1093</v>
      </c>
      <c r="L283" s="9" t="s">
        <v>35</v>
      </c>
      <c r="M283" s="9" t="s">
        <v>55</v>
      </c>
      <c r="N283" s="9" t="n">
        <v>134.82</v>
      </c>
      <c r="O283" s="9" t="n">
        <v>3</v>
      </c>
      <c r="P283" s="9" t="n">
        <v>0</v>
      </c>
      <c r="Q283" s="9" t="n">
        <v>10.6</v>
      </c>
    </row>
    <row r="284" customFormat="false" ht="15" hidden="false" customHeight="false" outlineLevel="0" collapsed="false">
      <c r="A284" s="9" t="s">
        <v>1094</v>
      </c>
      <c r="B284" s="9" t="s">
        <v>1095</v>
      </c>
      <c r="C284" s="9" t="s">
        <v>1096</v>
      </c>
      <c r="D284" s="9" t="s">
        <v>102</v>
      </c>
      <c r="E284" s="9" t="s">
        <v>821</v>
      </c>
      <c r="F284" s="9" t="s">
        <v>29</v>
      </c>
      <c r="G284" s="9" t="s">
        <v>30</v>
      </c>
      <c r="H284" s="9" t="s">
        <v>138</v>
      </c>
      <c r="I284" s="9" t="s">
        <v>85</v>
      </c>
      <c r="J284" s="9" t="s">
        <v>86</v>
      </c>
      <c r="K284" s="9" t="s">
        <v>1097</v>
      </c>
      <c r="L284" s="9" t="s">
        <v>35</v>
      </c>
      <c r="M284" s="9" t="s">
        <v>36</v>
      </c>
      <c r="N284" s="9" t="n">
        <v>169.82</v>
      </c>
      <c r="O284" s="9" t="n">
        <v>7</v>
      </c>
      <c r="P284" s="9" t="n">
        <v>0</v>
      </c>
      <c r="Q284" s="9" t="n">
        <v>37.11</v>
      </c>
    </row>
    <row r="285" customFormat="false" ht="15" hidden="false" customHeight="false" outlineLevel="0" collapsed="false">
      <c r="A285" s="9" t="s">
        <v>1098</v>
      </c>
      <c r="B285" s="9" t="s">
        <v>1099</v>
      </c>
      <c r="C285" s="9" t="s">
        <v>514</v>
      </c>
      <c r="D285" s="9" t="s">
        <v>40</v>
      </c>
      <c r="E285" s="9" t="s">
        <v>1100</v>
      </c>
      <c r="F285" s="9" t="s">
        <v>60</v>
      </c>
      <c r="G285" s="9" t="s">
        <v>30</v>
      </c>
      <c r="H285" s="9" t="s">
        <v>645</v>
      </c>
      <c r="I285" s="9" t="s">
        <v>32</v>
      </c>
      <c r="J285" s="9" t="s">
        <v>33</v>
      </c>
      <c r="K285" s="9" t="s">
        <v>1101</v>
      </c>
      <c r="L285" s="9" t="s">
        <v>88</v>
      </c>
      <c r="M285" s="9" t="s">
        <v>153</v>
      </c>
      <c r="N285" s="9" t="n">
        <v>379.92</v>
      </c>
      <c r="O285" s="9" t="n">
        <v>8</v>
      </c>
      <c r="P285" s="9" t="n">
        <v>0.15</v>
      </c>
      <c r="Q285" s="9" t="n">
        <v>74.52</v>
      </c>
    </row>
    <row r="286" customFormat="false" ht="15" hidden="false" customHeight="false" outlineLevel="0" collapsed="false">
      <c r="A286" s="9" t="s">
        <v>1102</v>
      </c>
      <c r="B286" s="9" t="s">
        <v>1103</v>
      </c>
      <c r="C286" s="9" t="s">
        <v>1104</v>
      </c>
      <c r="D286" s="9" t="s">
        <v>27</v>
      </c>
      <c r="E286" s="9" t="s">
        <v>1105</v>
      </c>
      <c r="F286" s="9" t="s">
        <v>83</v>
      </c>
      <c r="G286" s="9" t="s">
        <v>30</v>
      </c>
      <c r="H286" s="9" t="s">
        <v>94</v>
      </c>
      <c r="I286" s="9" t="s">
        <v>95</v>
      </c>
      <c r="J286" s="9" t="s">
        <v>96</v>
      </c>
      <c r="K286" s="9" t="s">
        <v>1106</v>
      </c>
      <c r="L286" s="9" t="s">
        <v>35</v>
      </c>
      <c r="M286" s="9" t="s">
        <v>356</v>
      </c>
      <c r="N286" s="9" t="n">
        <v>87.24</v>
      </c>
      <c r="O286" s="9" t="n">
        <v>4</v>
      </c>
      <c r="P286" s="9" t="n">
        <v>0</v>
      </c>
      <c r="Q286" s="9" t="n">
        <v>30.58</v>
      </c>
    </row>
    <row r="287" customFormat="false" ht="15" hidden="false" customHeight="false" outlineLevel="0" collapsed="false">
      <c r="A287" s="9" t="s">
        <v>1107</v>
      </c>
      <c r="B287" s="9" t="s">
        <v>1108</v>
      </c>
      <c r="C287" s="9" t="s">
        <v>117</v>
      </c>
      <c r="D287" s="9" t="s">
        <v>102</v>
      </c>
      <c r="E287" s="9" t="s">
        <v>1109</v>
      </c>
      <c r="F287" s="9" t="s">
        <v>60</v>
      </c>
      <c r="G287" s="9" t="s">
        <v>30</v>
      </c>
      <c r="H287" s="9" t="s">
        <v>489</v>
      </c>
      <c r="I287" s="9" t="s">
        <v>95</v>
      </c>
      <c r="J287" s="9" t="s">
        <v>96</v>
      </c>
      <c r="K287" s="9" t="s">
        <v>1110</v>
      </c>
      <c r="L287" s="9" t="s">
        <v>35</v>
      </c>
      <c r="M287" s="9" t="s">
        <v>173</v>
      </c>
      <c r="N287" s="9" t="n">
        <v>497.04</v>
      </c>
      <c r="O287" s="9" t="n">
        <v>4</v>
      </c>
      <c r="P287" s="9" t="n">
        <v>0.8</v>
      </c>
      <c r="Q287" s="9" t="n">
        <v>-145.28</v>
      </c>
    </row>
    <row r="288" customFormat="false" ht="15" hidden="false" customHeight="false" outlineLevel="0" collapsed="false">
      <c r="A288" s="9" t="s">
        <v>1111</v>
      </c>
      <c r="B288" s="9" t="s">
        <v>1112</v>
      </c>
      <c r="C288" s="9" t="s">
        <v>1113</v>
      </c>
      <c r="D288" s="9" t="s">
        <v>102</v>
      </c>
      <c r="E288" s="9" t="s">
        <v>195</v>
      </c>
      <c r="F288" s="9" t="s">
        <v>29</v>
      </c>
      <c r="G288" s="9" t="s">
        <v>30</v>
      </c>
      <c r="H288" s="9" t="s">
        <v>308</v>
      </c>
      <c r="I288" s="9" t="s">
        <v>132</v>
      </c>
      <c r="J288" s="9" t="s">
        <v>86</v>
      </c>
      <c r="K288" s="9" t="s">
        <v>1114</v>
      </c>
      <c r="L288" s="9" t="s">
        <v>46</v>
      </c>
      <c r="M288" s="9" t="s">
        <v>191</v>
      </c>
      <c r="N288" s="9" t="n">
        <v>2730.03</v>
      </c>
      <c r="O288" s="9" t="n">
        <v>3</v>
      </c>
      <c r="P288" s="9" t="n">
        <v>0</v>
      </c>
      <c r="Q288" s="9" t="n">
        <v>1024.96</v>
      </c>
    </row>
    <row r="289" customFormat="false" ht="15" hidden="false" customHeight="false" outlineLevel="0" collapsed="false">
      <c r="A289" s="9" t="s">
        <v>385</v>
      </c>
      <c r="B289" s="9" t="s">
        <v>386</v>
      </c>
      <c r="C289" s="9" t="s">
        <v>387</v>
      </c>
      <c r="D289" s="9" t="s">
        <v>102</v>
      </c>
      <c r="E289" s="9" t="s">
        <v>302</v>
      </c>
      <c r="F289" s="9" t="s">
        <v>83</v>
      </c>
      <c r="G289" s="9" t="s">
        <v>30</v>
      </c>
      <c r="H289" s="9" t="s">
        <v>266</v>
      </c>
      <c r="I289" s="9" t="s">
        <v>267</v>
      </c>
      <c r="J289" s="9" t="s">
        <v>44</v>
      </c>
      <c r="K289" s="9" t="s">
        <v>1115</v>
      </c>
      <c r="L289" s="9" t="s">
        <v>46</v>
      </c>
      <c r="M289" s="9" t="s">
        <v>191</v>
      </c>
      <c r="N289" s="9" t="n">
        <v>3702.96</v>
      </c>
      <c r="O289" s="9" t="n">
        <v>6</v>
      </c>
      <c r="P289" s="9" t="n">
        <v>0.1</v>
      </c>
      <c r="Q289" s="9" t="n">
        <v>729.55</v>
      </c>
    </row>
    <row r="290" customFormat="false" ht="15" hidden="false" customHeight="false" outlineLevel="0" collapsed="false">
      <c r="A290" s="9" t="s">
        <v>1116</v>
      </c>
      <c r="B290" s="9" t="s">
        <v>706</v>
      </c>
      <c r="C290" s="9" t="s">
        <v>1033</v>
      </c>
      <c r="D290" s="9" t="s">
        <v>27</v>
      </c>
      <c r="E290" s="9" t="s">
        <v>1117</v>
      </c>
      <c r="F290" s="9" t="s">
        <v>83</v>
      </c>
      <c r="G290" s="9" t="s">
        <v>30</v>
      </c>
      <c r="H290" s="9" t="s">
        <v>436</v>
      </c>
      <c r="I290" s="9" t="s">
        <v>105</v>
      </c>
      <c r="J290" s="9" t="s">
        <v>44</v>
      </c>
      <c r="K290" s="9" t="s">
        <v>1118</v>
      </c>
      <c r="L290" s="9" t="s">
        <v>35</v>
      </c>
      <c r="M290" s="9" t="s">
        <v>114</v>
      </c>
      <c r="N290" s="9" t="n">
        <v>315.36</v>
      </c>
      <c r="O290" s="9" t="n">
        <v>9</v>
      </c>
      <c r="P290" s="9" t="n">
        <v>0</v>
      </c>
      <c r="Q290" s="9" t="n">
        <v>74.36</v>
      </c>
    </row>
    <row r="291" customFormat="false" ht="15" hidden="false" customHeight="false" outlineLevel="0" collapsed="false">
      <c r="A291" s="9" t="s">
        <v>1119</v>
      </c>
      <c r="B291" s="9" t="s">
        <v>1120</v>
      </c>
      <c r="C291" s="9" t="s">
        <v>1121</v>
      </c>
      <c r="D291" s="9" t="s">
        <v>40</v>
      </c>
      <c r="E291" s="9" t="s">
        <v>1122</v>
      </c>
      <c r="F291" s="9" t="s">
        <v>29</v>
      </c>
      <c r="G291" s="9" t="s">
        <v>30</v>
      </c>
      <c r="H291" s="9" t="s">
        <v>206</v>
      </c>
      <c r="I291" s="9" t="s">
        <v>164</v>
      </c>
      <c r="J291" s="9" t="s">
        <v>96</v>
      </c>
      <c r="K291" s="9" t="s">
        <v>1123</v>
      </c>
      <c r="L291" s="9" t="s">
        <v>88</v>
      </c>
      <c r="M291" s="9" t="s">
        <v>197</v>
      </c>
      <c r="N291" s="9" t="n">
        <v>423.04</v>
      </c>
      <c r="O291" s="9" t="n">
        <v>4</v>
      </c>
      <c r="P291" s="9" t="n">
        <v>0.5</v>
      </c>
      <c r="Q291" s="9" t="n">
        <v>-180.55</v>
      </c>
    </row>
    <row r="292" customFormat="false" ht="15" hidden="false" customHeight="false" outlineLevel="0" collapsed="false">
      <c r="A292" s="9" t="s">
        <v>1124</v>
      </c>
      <c r="B292" s="9" t="s">
        <v>595</v>
      </c>
      <c r="C292" s="9" t="s">
        <v>1125</v>
      </c>
      <c r="D292" s="9" t="s">
        <v>27</v>
      </c>
      <c r="E292" s="9" t="s">
        <v>1126</v>
      </c>
      <c r="F292" s="9" t="s">
        <v>83</v>
      </c>
      <c r="G292" s="9" t="s">
        <v>30</v>
      </c>
      <c r="H292" s="9" t="s">
        <v>266</v>
      </c>
      <c r="I292" s="9" t="s">
        <v>267</v>
      </c>
      <c r="J292" s="9" t="s">
        <v>44</v>
      </c>
      <c r="K292" s="9" t="s">
        <v>1127</v>
      </c>
      <c r="L292" s="9" t="s">
        <v>35</v>
      </c>
      <c r="M292" s="9" t="s">
        <v>356</v>
      </c>
      <c r="N292" s="9" t="n">
        <v>60.96</v>
      </c>
      <c r="O292" s="9" t="n">
        <v>6</v>
      </c>
      <c r="P292" s="9" t="n">
        <v>0.15</v>
      </c>
      <c r="Q292" s="9" t="n">
        <v>11.15</v>
      </c>
    </row>
    <row r="293" customFormat="false" ht="15" hidden="false" customHeight="false" outlineLevel="0" collapsed="false">
      <c r="A293" s="9" t="s">
        <v>1107</v>
      </c>
      <c r="B293" s="9" t="s">
        <v>1108</v>
      </c>
      <c r="C293" s="9" t="s">
        <v>117</v>
      </c>
      <c r="D293" s="9" t="s">
        <v>102</v>
      </c>
      <c r="E293" s="9" t="s">
        <v>1109</v>
      </c>
      <c r="F293" s="9" t="s">
        <v>60</v>
      </c>
      <c r="G293" s="9" t="s">
        <v>30</v>
      </c>
      <c r="H293" s="9" t="s">
        <v>489</v>
      </c>
      <c r="I293" s="9" t="s">
        <v>95</v>
      </c>
      <c r="J293" s="9" t="s">
        <v>96</v>
      </c>
      <c r="K293" s="9" t="s">
        <v>1128</v>
      </c>
      <c r="L293" s="9" t="s">
        <v>35</v>
      </c>
      <c r="M293" s="9" t="s">
        <v>173</v>
      </c>
      <c r="N293" s="9" t="n">
        <v>264.1</v>
      </c>
      <c r="O293" s="9" t="n">
        <v>2</v>
      </c>
      <c r="P293" s="9" t="n">
        <v>0</v>
      </c>
      <c r="Q293" s="9" t="n">
        <v>54.21</v>
      </c>
    </row>
    <row r="294" customFormat="false" ht="15" hidden="false" customHeight="false" outlineLevel="0" collapsed="false">
      <c r="A294" s="9" t="s">
        <v>1129</v>
      </c>
      <c r="B294" s="9" t="s">
        <v>735</v>
      </c>
      <c r="C294" s="9" t="s">
        <v>624</v>
      </c>
      <c r="D294" s="9" t="s">
        <v>102</v>
      </c>
      <c r="E294" s="9" t="s">
        <v>324</v>
      </c>
      <c r="F294" s="9" t="s">
        <v>83</v>
      </c>
      <c r="G294" s="9" t="s">
        <v>30</v>
      </c>
      <c r="H294" s="9" t="s">
        <v>163</v>
      </c>
      <c r="I294" s="9" t="s">
        <v>164</v>
      </c>
      <c r="J294" s="9" t="s">
        <v>96</v>
      </c>
      <c r="K294" s="9" t="s">
        <v>1130</v>
      </c>
      <c r="L294" s="9" t="s">
        <v>35</v>
      </c>
      <c r="M294" s="9" t="s">
        <v>356</v>
      </c>
      <c r="N294" s="9" t="n">
        <v>160.65</v>
      </c>
      <c r="O294" s="9" t="n">
        <v>9</v>
      </c>
      <c r="P294" s="9" t="n">
        <v>0.1</v>
      </c>
      <c r="Q294" s="9" t="n">
        <v>47.67</v>
      </c>
    </row>
    <row r="295" customFormat="false" ht="15" hidden="false" customHeight="false" outlineLevel="0" collapsed="false">
      <c r="A295" s="9" t="s">
        <v>541</v>
      </c>
      <c r="B295" s="9" t="s">
        <v>542</v>
      </c>
      <c r="C295" s="9" t="s">
        <v>543</v>
      </c>
      <c r="D295" s="9" t="s">
        <v>40</v>
      </c>
      <c r="E295" s="9" t="s">
        <v>544</v>
      </c>
      <c r="F295" s="9" t="s">
        <v>60</v>
      </c>
      <c r="G295" s="9" t="s">
        <v>30</v>
      </c>
      <c r="H295" s="9" t="s">
        <v>212</v>
      </c>
      <c r="I295" s="9" t="s">
        <v>213</v>
      </c>
      <c r="J295" s="9" t="s">
        <v>96</v>
      </c>
      <c r="K295" s="9" t="s">
        <v>1131</v>
      </c>
      <c r="L295" s="9" t="s">
        <v>35</v>
      </c>
      <c r="M295" s="9" t="s">
        <v>36</v>
      </c>
      <c r="N295" s="9" t="n">
        <v>27.6</v>
      </c>
      <c r="O295" s="9" t="n">
        <v>3</v>
      </c>
      <c r="P295" s="9" t="n">
        <v>0</v>
      </c>
      <c r="Q295" s="9" t="n">
        <v>8.67</v>
      </c>
    </row>
    <row r="296" customFormat="false" ht="15" hidden="false" customHeight="false" outlineLevel="0" collapsed="false">
      <c r="A296" s="9" t="s">
        <v>784</v>
      </c>
      <c r="B296" s="9" t="s">
        <v>430</v>
      </c>
      <c r="C296" s="9" t="s">
        <v>785</v>
      </c>
      <c r="D296" s="9" t="s">
        <v>27</v>
      </c>
      <c r="E296" s="9" t="s">
        <v>786</v>
      </c>
      <c r="F296" s="9" t="s">
        <v>29</v>
      </c>
      <c r="G296" s="9" t="s">
        <v>30</v>
      </c>
      <c r="H296" s="9" t="s">
        <v>163</v>
      </c>
      <c r="I296" s="9" t="s">
        <v>164</v>
      </c>
      <c r="J296" s="9" t="s">
        <v>96</v>
      </c>
      <c r="K296" s="9" t="s">
        <v>1132</v>
      </c>
      <c r="L296" s="9" t="s">
        <v>35</v>
      </c>
      <c r="M296" s="9" t="s">
        <v>185</v>
      </c>
      <c r="N296" s="9" t="n">
        <v>762.02</v>
      </c>
      <c r="O296" s="9" t="n">
        <v>7</v>
      </c>
      <c r="P296" s="9" t="n">
        <v>0</v>
      </c>
      <c r="Q296" s="9" t="n">
        <v>53.11</v>
      </c>
    </row>
    <row r="297" customFormat="false" ht="15" hidden="false" customHeight="false" outlineLevel="0" collapsed="false">
      <c r="A297" s="9" t="s">
        <v>1075</v>
      </c>
      <c r="B297" s="9" t="s">
        <v>161</v>
      </c>
      <c r="C297" s="9" t="s">
        <v>1076</v>
      </c>
      <c r="D297" s="9" t="s">
        <v>40</v>
      </c>
      <c r="E297" s="9" t="s">
        <v>293</v>
      </c>
      <c r="F297" s="9" t="s">
        <v>83</v>
      </c>
      <c r="G297" s="9" t="s">
        <v>30</v>
      </c>
      <c r="H297" s="9" t="s">
        <v>163</v>
      </c>
      <c r="I297" s="9" t="s">
        <v>164</v>
      </c>
      <c r="J297" s="9" t="s">
        <v>96</v>
      </c>
      <c r="K297" s="9" t="s">
        <v>1133</v>
      </c>
      <c r="L297" s="9" t="s">
        <v>35</v>
      </c>
      <c r="M297" s="9" t="s">
        <v>356</v>
      </c>
      <c r="N297" s="9" t="n">
        <v>42.85</v>
      </c>
      <c r="O297" s="9" t="n">
        <v>5</v>
      </c>
      <c r="P297" s="9" t="n">
        <v>0</v>
      </c>
      <c r="Q297" s="9" t="n">
        <v>15.1</v>
      </c>
    </row>
    <row r="298" customFormat="false" ht="15" hidden="false" customHeight="false" outlineLevel="0" collapsed="false">
      <c r="A298" s="9" t="s">
        <v>1134</v>
      </c>
      <c r="B298" s="9" t="s">
        <v>906</v>
      </c>
      <c r="C298" s="9" t="s">
        <v>857</v>
      </c>
      <c r="D298" s="9" t="s">
        <v>40</v>
      </c>
      <c r="E298" s="9" t="s">
        <v>265</v>
      </c>
      <c r="F298" s="9" t="s">
        <v>60</v>
      </c>
      <c r="G298" s="9" t="s">
        <v>30</v>
      </c>
      <c r="H298" s="9" t="s">
        <v>144</v>
      </c>
      <c r="I298" s="9" t="s">
        <v>145</v>
      </c>
      <c r="J298" s="9" t="s">
        <v>96</v>
      </c>
      <c r="K298" s="9" t="s">
        <v>1135</v>
      </c>
      <c r="L298" s="9" t="s">
        <v>46</v>
      </c>
      <c r="M298" s="9" t="s">
        <v>47</v>
      </c>
      <c r="N298" s="9" t="n">
        <v>3350.85</v>
      </c>
      <c r="O298" s="9" t="n">
        <v>5</v>
      </c>
      <c r="P298" s="9" t="n">
        <v>0.1</v>
      </c>
      <c r="Q298" s="9" t="n">
        <v>561.31</v>
      </c>
    </row>
    <row r="299" customFormat="false" ht="15" hidden="false" customHeight="false" outlineLevel="0" collapsed="false">
      <c r="A299" s="9" t="s">
        <v>1136</v>
      </c>
      <c r="B299" s="9" t="s">
        <v>1137</v>
      </c>
      <c r="C299" s="9" t="s">
        <v>718</v>
      </c>
      <c r="D299" s="9" t="s">
        <v>40</v>
      </c>
      <c r="E299" s="9" t="s">
        <v>1138</v>
      </c>
      <c r="F299" s="9" t="s">
        <v>83</v>
      </c>
      <c r="G299" s="9" t="s">
        <v>30</v>
      </c>
      <c r="H299" s="9" t="s">
        <v>151</v>
      </c>
      <c r="I299" s="9" t="s">
        <v>145</v>
      </c>
      <c r="J299" s="9" t="s">
        <v>96</v>
      </c>
      <c r="K299" s="9" t="s">
        <v>1139</v>
      </c>
      <c r="L299" s="9" t="s">
        <v>88</v>
      </c>
      <c r="M299" s="9" t="s">
        <v>576</v>
      </c>
      <c r="N299" s="9" t="n">
        <v>919.32</v>
      </c>
      <c r="O299" s="9" t="n">
        <v>6</v>
      </c>
      <c r="P299" s="9" t="n">
        <v>0.6</v>
      </c>
      <c r="Q299" s="9" t="n">
        <v>-301.25</v>
      </c>
    </row>
    <row r="300" customFormat="false" ht="15" hidden="false" customHeight="false" outlineLevel="0" collapsed="false">
      <c r="A300" s="9" t="s">
        <v>1140</v>
      </c>
      <c r="B300" s="9" t="s">
        <v>1141</v>
      </c>
      <c r="C300" s="9" t="s">
        <v>1142</v>
      </c>
      <c r="D300" s="9" t="s">
        <v>40</v>
      </c>
      <c r="E300" s="9" t="s">
        <v>59</v>
      </c>
      <c r="F300" s="9" t="s">
        <v>60</v>
      </c>
      <c r="G300" s="9" t="s">
        <v>30</v>
      </c>
      <c r="H300" s="9" t="s">
        <v>266</v>
      </c>
      <c r="I300" s="9" t="s">
        <v>267</v>
      </c>
      <c r="J300" s="9" t="s">
        <v>44</v>
      </c>
      <c r="K300" s="9" t="s">
        <v>1143</v>
      </c>
      <c r="L300" s="9" t="s">
        <v>35</v>
      </c>
      <c r="M300" s="9" t="s">
        <v>55</v>
      </c>
      <c r="N300" s="9" t="n">
        <v>154.92</v>
      </c>
      <c r="O300" s="9" t="n">
        <v>3</v>
      </c>
      <c r="P300" s="9" t="n">
        <v>0</v>
      </c>
      <c r="Q300" s="9" t="n">
        <v>1.59</v>
      </c>
    </row>
    <row r="301" customFormat="false" ht="15" hidden="false" customHeight="false" outlineLevel="0" collapsed="false">
      <c r="A301" s="9" t="s">
        <v>590</v>
      </c>
      <c r="B301" s="9" t="s">
        <v>129</v>
      </c>
      <c r="C301" s="9" t="s">
        <v>199</v>
      </c>
      <c r="D301" s="9" t="s">
        <v>40</v>
      </c>
      <c r="E301" s="9" t="s">
        <v>591</v>
      </c>
      <c r="F301" s="9" t="s">
        <v>60</v>
      </c>
      <c r="G301" s="9" t="s">
        <v>30</v>
      </c>
      <c r="H301" s="9" t="s">
        <v>84</v>
      </c>
      <c r="I301" s="9" t="s">
        <v>85</v>
      </c>
      <c r="J301" s="9" t="s">
        <v>86</v>
      </c>
      <c r="K301" s="9" t="s">
        <v>1144</v>
      </c>
      <c r="L301" s="9" t="s">
        <v>35</v>
      </c>
      <c r="M301" s="9" t="s">
        <v>114</v>
      </c>
      <c r="N301" s="9" t="n">
        <v>11.73</v>
      </c>
      <c r="O301" s="9" t="n">
        <v>1</v>
      </c>
      <c r="P301" s="9" t="n">
        <v>0.3</v>
      </c>
      <c r="Q301" s="9" t="n">
        <v>-0.26</v>
      </c>
    </row>
    <row r="302" customFormat="false" ht="15" hidden="false" customHeight="false" outlineLevel="0" collapsed="false">
      <c r="A302" s="9" t="s">
        <v>1145</v>
      </c>
      <c r="B302" s="9" t="s">
        <v>656</v>
      </c>
      <c r="C302" s="9" t="s">
        <v>1146</v>
      </c>
      <c r="D302" s="9" t="s">
        <v>27</v>
      </c>
      <c r="E302" s="9" t="s">
        <v>1147</v>
      </c>
      <c r="F302" s="9" t="s">
        <v>60</v>
      </c>
      <c r="G302" s="9" t="s">
        <v>30</v>
      </c>
      <c r="H302" s="9" t="s">
        <v>170</v>
      </c>
      <c r="I302" s="9" t="s">
        <v>171</v>
      </c>
      <c r="J302" s="9" t="s">
        <v>86</v>
      </c>
      <c r="K302" s="9" t="s">
        <v>1148</v>
      </c>
      <c r="L302" s="9" t="s">
        <v>35</v>
      </c>
      <c r="M302" s="9" t="s">
        <v>78</v>
      </c>
      <c r="N302" s="9" t="n">
        <v>77.4</v>
      </c>
      <c r="O302" s="9" t="n">
        <v>9</v>
      </c>
      <c r="P302" s="9" t="n">
        <v>0</v>
      </c>
      <c r="Q302" s="9" t="n">
        <v>26.03</v>
      </c>
    </row>
    <row r="303" customFormat="false" ht="15" hidden="false" customHeight="false" outlineLevel="0" collapsed="false">
      <c r="A303" s="9" t="s">
        <v>1124</v>
      </c>
      <c r="B303" s="9" t="s">
        <v>595</v>
      </c>
      <c r="C303" s="9" t="s">
        <v>1125</v>
      </c>
      <c r="D303" s="9" t="s">
        <v>27</v>
      </c>
      <c r="E303" s="9" t="s">
        <v>1126</v>
      </c>
      <c r="F303" s="9" t="s">
        <v>83</v>
      </c>
      <c r="G303" s="9" t="s">
        <v>30</v>
      </c>
      <c r="H303" s="9" t="s">
        <v>266</v>
      </c>
      <c r="I303" s="9" t="s">
        <v>267</v>
      </c>
      <c r="J303" s="9" t="s">
        <v>44</v>
      </c>
      <c r="K303" s="9" t="s">
        <v>1149</v>
      </c>
      <c r="L303" s="9" t="s">
        <v>35</v>
      </c>
      <c r="M303" s="9" t="s">
        <v>356</v>
      </c>
      <c r="N303" s="9" t="n">
        <v>140.72</v>
      </c>
      <c r="O303" s="9" t="n">
        <v>8</v>
      </c>
      <c r="P303" s="9" t="n">
        <v>0.1</v>
      </c>
      <c r="Q303" s="9" t="n">
        <v>39.13</v>
      </c>
    </row>
    <row r="304" customFormat="false" ht="15" hidden="false" customHeight="false" outlineLevel="0" collapsed="false">
      <c r="A304" s="9" t="s">
        <v>779</v>
      </c>
      <c r="B304" s="9" t="s">
        <v>780</v>
      </c>
      <c r="C304" s="9" t="s">
        <v>781</v>
      </c>
      <c r="D304" s="9" t="s">
        <v>102</v>
      </c>
      <c r="E304" s="9" t="s">
        <v>782</v>
      </c>
      <c r="F304" s="9" t="s">
        <v>29</v>
      </c>
      <c r="G304" s="9" t="s">
        <v>30</v>
      </c>
      <c r="H304" s="9" t="s">
        <v>163</v>
      </c>
      <c r="I304" s="9" t="s">
        <v>164</v>
      </c>
      <c r="J304" s="9" t="s">
        <v>96</v>
      </c>
      <c r="K304" s="9" t="s">
        <v>1150</v>
      </c>
      <c r="L304" s="9" t="s">
        <v>46</v>
      </c>
      <c r="M304" s="9" t="s">
        <v>70</v>
      </c>
      <c r="N304" s="9" t="n">
        <v>834.75</v>
      </c>
      <c r="O304" s="9" t="n">
        <v>7</v>
      </c>
      <c r="P304" s="9" t="n">
        <v>0.15</v>
      </c>
      <c r="Q304" s="9" t="n">
        <v>83.26</v>
      </c>
    </row>
    <row r="305" customFormat="false" ht="15" hidden="false" customHeight="false" outlineLevel="0" collapsed="false">
      <c r="A305" s="9" t="s">
        <v>1151</v>
      </c>
      <c r="B305" s="9" t="s">
        <v>1152</v>
      </c>
      <c r="C305" s="9" t="s">
        <v>861</v>
      </c>
      <c r="D305" s="9" t="s">
        <v>27</v>
      </c>
      <c r="E305" s="9" t="s">
        <v>1153</v>
      </c>
      <c r="F305" s="9" t="s">
        <v>60</v>
      </c>
      <c r="G305" s="9" t="s">
        <v>30</v>
      </c>
      <c r="H305" s="9" t="s">
        <v>484</v>
      </c>
      <c r="I305" s="9" t="s">
        <v>171</v>
      </c>
      <c r="J305" s="9" t="s">
        <v>86</v>
      </c>
      <c r="K305" s="9" t="s">
        <v>1154</v>
      </c>
      <c r="L305" s="9" t="s">
        <v>46</v>
      </c>
      <c r="M305" s="9" t="s">
        <v>64</v>
      </c>
      <c r="N305" s="9" t="n">
        <v>5415.25</v>
      </c>
      <c r="O305" s="9" t="n">
        <v>5</v>
      </c>
      <c r="P305" s="9" t="n">
        <v>0</v>
      </c>
      <c r="Q305" s="9" t="n">
        <v>336.76</v>
      </c>
    </row>
    <row r="306" customFormat="false" ht="15" hidden="false" customHeight="false" outlineLevel="0" collapsed="false">
      <c r="A306" s="9" t="s">
        <v>1155</v>
      </c>
      <c r="B306" s="9" t="s">
        <v>1156</v>
      </c>
      <c r="C306" s="9" t="s">
        <v>948</v>
      </c>
      <c r="D306" s="9" t="s">
        <v>40</v>
      </c>
      <c r="E306" s="9" t="s">
        <v>1157</v>
      </c>
      <c r="F306" s="9" t="s">
        <v>29</v>
      </c>
      <c r="G306" s="9" t="s">
        <v>30</v>
      </c>
      <c r="H306" s="9" t="s">
        <v>42</v>
      </c>
      <c r="I306" s="9" t="s">
        <v>43</v>
      </c>
      <c r="J306" s="9" t="s">
        <v>44</v>
      </c>
      <c r="K306" s="9" t="s">
        <v>1158</v>
      </c>
      <c r="L306" s="9" t="s">
        <v>88</v>
      </c>
      <c r="M306" s="9" t="s">
        <v>576</v>
      </c>
      <c r="N306" s="9" t="n">
        <v>1165.08</v>
      </c>
      <c r="O306" s="9" t="n">
        <v>3</v>
      </c>
      <c r="P306" s="9" t="n">
        <v>0</v>
      </c>
      <c r="Q306" s="9" t="n">
        <v>182.31</v>
      </c>
    </row>
    <row r="307" customFormat="false" ht="15" hidden="false" customHeight="false" outlineLevel="0" collapsed="false">
      <c r="A307" s="9" t="s">
        <v>154</v>
      </c>
      <c r="B307" s="9" t="s">
        <v>155</v>
      </c>
      <c r="C307" s="9" t="s">
        <v>156</v>
      </c>
      <c r="D307" s="9" t="s">
        <v>40</v>
      </c>
      <c r="E307" s="9" t="s">
        <v>157</v>
      </c>
      <c r="F307" s="9" t="s">
        <v>83</v>
      </c>
      <c r="G307" s="9" t="s">
        <v>30</v>
      </c>
      <c r="H307" s="9" t="s">
        <v>131</v>
      </c>
      <c r="I307" s="9" t="s">
        <v>132</v>
      </c>
      <c r="J307" s="9" t="s">
        <v>86</v>
      </c>
      <c r="K307" s="9" t="s">
        <v>1159</v>
      </c>
      <c r="L307" s="9" t="s">
        <v>88</v>
      </c>
      <c r="M307" s="9" t="s">
        <v>197</v>
      </c>
      <c r="N307" s="9" t="n">
        <v>2981.79</v>
      </c>
      <c r="O307" s="9" t="n">
        <v>9</v>
      </c>
      <c r="P307" s="9" t="n">
        <v>0.7</v>
      </c>
      <c r="Q307" s="9" t="n">
        <v>-1678.19</v>
      </c>
    </row>
    <row r="308" customFormat="false" ht="15" hidden="false" customHeight="false" outlineLevel="0" collapsed="false">
      <c r="A308" s="9" t="s">
        <v>321</v>
      </c>
      <c r="B308" s="9" t="s">
        <v>322</v>
      </c>
      <c r="C308" s="9" t="s">
        <v>323</v>
      </c>
      <c r="D308" s="9" t="s">
        <v>51</v>
      </c>
      <c r="E308" s="9" t="s">
        <v>324</v>
      </c>
      <c r="F308" s="9" t="s">
        <v>60</v>
      </c>
      <c r="G308" s="9" t="s">
        <v>30</v>
      </c>
      <c r="H308" s="9" t="s">
        <v>163</v>
      </c>
      <c r="I308" s="9" t="s">
        <v>164</v>
      </c>
      <c r="J308" s="9" t="s">
        <v>96</v>
      </c>
      <c r="K308" s="9" t="s">
        <v>1160</v>
      </c>
      <c r="L308" s="9" t="s">
        <v>35</v>
      </c>
      <c r="M308" s="9" t="s">
        <v>173</v>
      </c>
      <c r="N308" s="9" t="n">
        <v>934.02</v>
      </c>
      <c r="O308" s="9" t="n">
        <v>9</v>
      </c>
      <c r="P308" s="9" t="n">
        <v>0</v>
      </c>
      <c r="Q308" s="9" t="n">
        <v>136.94</v>
      </c>
    </row>
    <row r="309" customFormat="false" ht="15" hidden="false" customHeight="false" outlineLevel="0" collapsed="false">
      <c r="A309" s="9" t="s">
        <v>753</v>
      </c>
      <c r="B309" s="9" t="s">
        <v>754</v>
      </c>
      <c r="C309" s="9" t="s">
        <v>587</v>
      </c>
      <c r="D309" s="9" t="s">
        <v>40</v>
      </c>
      <c r="E309" s="9" t="s">
        <v>755</v>
      </c>
      <c r="F309" s="9" t="s">
        <v>60</v>
      </c>
      <c r="G309" s="9" t="s">
        <v>30</v>
      </c>
      <c r="H309" s="9" t="s">
        <v>256</v>
      </c>
      <c r="I309" s="9" t="s">
        <v>32</v>
      </c>
      <c r="J309" s="9" t="s">
        <v>33</v>
      </c>
      <c r="K309" s="9" t="s">
        <v>1161</v>
      </c>
      <c r="L309" s="9" t="s">
        <v>35</v>
      </c>
      <c r="M309" s="9" t="s">
        <v>114</v>
      </c>
      <c r="N309" s="9" t="n">
        <v>98.82</v>
      </c>
      <c r="O309" s="9" t="n">
        <v>9</v>
      </c>
      <c r="P309" s="9" t="n">
        <v>0</v>
      </c>
      <c r="Q309" s="9" t="n">
        <v>28.04</v>
      </c>
    </row>
    <row r="310" customFormat="false" ht="15" hidden="false" customHeight="false" outlineLevel="0" collapsed="false">
      <c r="A310" s="9" t="s">
        <v>681</v>
      </c>
      <c r="B310" s="9" t="s">
        <v>682</v>
      </c>
      <c r="C310" s="9" t="s">
        <v>683</v>
      </c>
      <c r="D310" s="9" t="s">
        <v>40</v>
      </c>
      <c r="E310" s="9" t="s">
        <v>684</v>
      </c>
      <c r="F310" s="9" t="s">
        <v>29</v>
      </c>
      <c r="G310" s="9" t="s">
        <v>30</v>
      </c>
      <c r="H310" s="9" t="s">
        <v>308</v>
      </c>
      <c r="I310" s="9" t="s">
        <v>132</v>
      </c>
      <c r="J310" s="9" t="s">
        <v>86</v>
      </c>
      <c r="K310" s="9" t="s">
        <v>1162</v>
      </c>
      <c r="L310" s="9" t="s">
        <v>35</v>
      </c>
      <c r="M310" s="9" t="s">
        <v>114</v>
      </c>
      <c r="N310" s="9" t="n">
        <v>89.79</v>
      </c>
      <c r="O310" s="9" t="n">
        <v>3</v>
      </c>
      <c r="P310" s="9" t="n">
        <v>0.1</v>
      </c>
      <c r="Q310" s="9" t="n">
        <v>12.34</v>
      </c>
    </row>
    <row r="311" customFormat="false" ht="15" hidden="false" customHeight="false" outlineLevel="0" collapsed="false">
      <c r="A311" s="9" t="s">
        <v>794</v>
      </c>
      <c r="B311" s="9" t="s">
        <v>795</v>
      </c>
      <c r="C311" s="9" t="s">
        <v>796</v>
      </c>
      <c r="D311" s="9" t="s">
        <v>27</v>
      </c>
      <c r="E311" s="9" t="s">
        <v>483</v>
      </c>
      <c r="F311" s="9" t="s">
        <v>60</v>
      </c>
      <c r="G311" s="9" t="s">
        <v>30</v>
      </c>
      <c r="H311" s="9" t="s">
        <v>53</v>
      </c>
      <c r="I311" s="9" t="s">
        <v>43</v>
      </c>
      <c r="J311" s="9" t="s">
        <v>44</v>
      </c>
      <c r="K311" s="9" t="s">
        <v>1163</v>
      </c>
      <c r="L311" s="9" t="s">
        <v>88</v>
      </c>
      <c r="M311" s="9" t="s">
        <v>153</v>
      </c>
      <c r="N311" s="9" t="n">
        <v>120.34</v>
      </c>
      <c r="O311" s="9" t="n">
        <v>2</v>
      </c>
      <c r="P311" s="9" t="n">
        <v>0.15</v>
      </c>
      <c r="Q311" s="9" t="n">
        <v>20.1</v>
      </c>
    </row>
    <row r="312" customFormat="false" ht="15" hidden="false" customHeight="false" outlineLevel="0" collapsed="false">
      <c r="A312" s="9" t="s">
        <v>804</v>
      </c>
      <c r="B312" s="9" t="s">
        <v>805</v>
      </c>
      <c r="C312" s="9" t="s">
        <v>806</v>
      </c>
      <c r="D312" s="9" t="s">
        <v>40</v>
      </c>
      <c r="E312" s="9" t="s">
        <v>807</v>
      </c>
      <c r="F312" s="9" t="s">
        <v>29</v>
      </c>
      <c r="G312" s="9" t="s">
        <v>30</v>
      </c>
      <c r="H312" s="9" t="s">
        <v>308</v>
      </c>
      <c r="I312" s="9" t="s">
        <v>132</v>
      </c>
      <c r="J312" s="9" t="s">
        <v>86</v>
      </c>
      <c r="K312" s="9" t="s">
        <v>1164</v>
      </c>
      <c r="L312" s="9" t="s">
        <v>88</v>
      </c>
      <c r="M312" s="9" t="s">
        <v>153</v>
      </c>
      <c r="N312" s="9" t="n">
        <v>701.91</v>
      </c>
      <c r="O312" s="9" t="n">
        <v>9</v>
      </c>
      <c r="P312" s="9" t="n">
        <v>0</v>
      </c>
      <c r="Q312" s="9" t="n">
        <v>120.47</v>
      </c>
    </row>
    <row r="313" customFormat="false" ht="15" hidden="false" customHeight="false" outlineLevel="0" collapsed="false">
      <c r="A313" s="9" t="s">
        <v>1165</v>
      </c>
      <c r="B313" s="9" t="s">
        <v>1166</v>
      </c>
      <c r="C313" s="9" t="s">
        <v>1167</v>
      </c>
      <c r="D313" s="9" t="s">
        <v>102</v>
      </c>
      <c r="E313" s="9" t="s">
        <v>580</v>
      </c>
      <c r="F313" s="9" t="s">
        <v>29</v>
      </c>
      <c r="G313" s="9" t="s">
        <v>30</v>
      </c>
      <c r="H313" s="9" t="s">
        <v>163</v>
      </c>
      <c r="I313" s="9" t="s">
        <v>164</v>
      </c>
      <c r="J313" s="9" t="s">
        <v>96</v>
      </c>
      <c r="K313" s="9" t="s">
        <v>1168</v>
      </c>
      <c r="L313" s="9" t="s">
        <v>46</v>
      </c>
      <c r="M313" s="9" t="s">
        <v>70</v>
      </c>
      <c r="N313" s="9" t="n">
        <v>119.08</v>
      </c>
      <c r="O313" s="9" t="n">
        <v>1</v>
      </c>
      <c r="P313" s="9" t="n">
        <v>0.1</v>
      </c>
      <c r="Q313" s="9" t="n">
        <v>22.48</v>
      </c>
    </row>
    <row r="314" customFormat="false" ht="15" hidden="false" customHeight="false" outlineLevel="0" collapsed="false">
      <c r="A314" s="9" t="s">
        <v>1169</v>
      </c>
      <c r="B314" s="9" t="s">
        <v>1170</v>
      </c>
      <c r="C314" s="9" t="s">
        <v>292</v>
      </c>
      <c r="D314" s="9" t="s">
        <v>40</v>
      </c>
      <c r="E314" s="9" t="s">
        <v>1171</v>
      </c>
      <c r="F314" s="9" t="s">
        <v>83</v>
      </c>
      <c r="G314" s="9" t="s">
        <v>30</v>
      </c>
      <c r="H314" s="9" t="s">
        <v>308</v>
      </c>
      <c r="I314" s="9" t="s">
        <v>132</v>
      </c>
      <c r="J314" s="9" t="s">
        <v>86</v>
      </c>
      <c r="K314" s="9" t="s">
        <v>1172</v>
      </c>
      <c r="L314" s="9" t="s">
        <v>35</v>
      </c>
      <c r="M314" s="9" t="s">
        <v>114</v>
      </c>
      <c r="N314" s="9" t="n">
        <v>130.34</v>
      </c>
      <c r="O314" s="9" t="n">
        <v>7</v>
      </c>
      <c r="P314" s="9" t="n">
        <v>0</v>
      </c>
      <c r="Q314" s="9" t="n">
        <v>19.83</v>
      </c>
    </row>
    <row r="315" customFormat="false" ht="15" hidden="false" customHeight="false" outlineLevel="0" collapsed="false">
      <c r="A315" s="9" t="s">
        <v>159</v>
      </c>
      <c r="B315" s="9" t="s">
        <v>160</v>
      </c>
      <c r="C315" s="9" t="s">
        <v>161</v>
      </c>
      <c r="D315" s="9" t="s">
        <v>27</v>
      </c>
      <c r="E315" s="9" t="s">
        <v>162</v>
      </c>
      <c r="F315" s="9" t="s">
        <v>29</v>
      </c>
      <c r="G315" s="9" t="s">
        <v>30</v>
      </c>
      <c r="H315" s="9" t="s">
        <v>163</v>
      </c>
      <c r="I315" s="9" t="s">
        <v>164</v>
      </c>
      <c r="J315" s="9" t="s">
        <v>96</v>
      </c>
      <c r="K315" s="9" t="s">
        <v>1173</v>
      </c>
      <c r="L315" s="9" t="s">
        <v>46</v>
      </c>
      <c r="M315" s="9" t="s">
        <v>64</v>
      </c>
      <c r="N315" s="9" t="n">
        <v>2465.52</v>
      </c>
      <c r="O315" s="9" t="n">
        <v>2</v>
      </c>
      <c r="P315" s="9" t="n">
        <v>0</v>
      </c>
      <c r="Q315" s="9" t="n">
        <v>-35.94</v>
      </c>
    </row>
    <row r="316" customFormat="false" ht="15" hidden="false" customHeight="false" outlineLevel="0" collapsed="false">
      <c r="A316" s="9" t="s">
        <v>1174</v>
      </c>
      <c r="B316" s="9" t="s">
        <v>1137</v>
      </c>
      <c r="C316" s="9" t="s">
        <v>1175</v>
      </c>
      <c r="D316" s="9" t="s">
        <v>102</v>
      </c>
      <c r="E316" s="9" t="s">
        <v>195</v>
      </c>
      <c r="F316" s="9" t="s">
        <v>29</v>
      </c>
      <c r="G316" s="9" t="s">
        <v>30</v>
      </c>
      <c r="H316" s="9" t="s">
        <v>31</v>
      </c>
      <c r="I316" s="9" t="s">
        <v>32</v>
      </c>
      <c r="J316" s="9" t="s">
        <v>33</v>
      </c>
      <c r="K316" s="9" t="s">
        <v>1176</v>
      </c>
      <c r="L316" s="9" t="s">
        <v>46</v>
      </c>
      <c r="M316" s="9" t="s">
        <v>191</v>
      </c>
      <c r="N316" s="9" t="n">
        <v>358.46</v>
      </c>
      <c r="O316" s="9" t="n">
        <v>1</v>
      </c>
      <c r="P316" s="9" t="n">
        <v>0.1</v>
      </c>
      <c r="Q316" s="9" t="n">
        <v>115.38</v>
      </c>
    </row>
    <row r="317" customFormat="false" ht="15" hidden="false" customHeight="false" outlineLevel="0" collapsed="false">
      <c r="A317" s="9" t="s">
        <v>230</v>
      </c>
      <c r="B317" s="9" t="s">
        <v>231</v>
      </c>
      <c r="C317" s="9" t="s">
        <v>232</v>
      </c>
      <c r="D317" s="9" t="s">
        <v>40</v>
      </c>
      <c r="E317" s="9" t="s">
        <v>233</v>
      </c>
      <c r="F317" s="9" t="s">
        <v>83</v>
      </c>
      <c r="G317" s="9" t="s">
        <v>30</v>
      </c>
      <c r="H317" s="9" t="s">
        <v>131</v>
      </c>
      <c r="I317" s="9" t="s">
        <v>132</v>
      </c>
      <c r="J317" s="9" t="s">
        <v>86</v>
      </c>
      <c r="K317" s="9" t="s">
        <v>1177</v>
      </c>
      <c r="L317" s="9" t="s">
        <v>35</v>
      </c>
      <c r="M317" s="9" t="s">
        <v>173</v>
      </c>
      <c r="N317" s="9" t="n">
        <v>291.55</v>
      </c>
      <c r="O317" s="9" t="n">
        <v>5</v>
      </c>
      <c r="P317" s="9" t="n">
        <v>0</v>
      </c>
      <c r="Q317" s="9" t="n">
        <v>23.82</v>
      </c>
    </row>
    <row r="318" customFormat="false" ht="15" hidden="false" customHeight="false" outlineLevel="0" collapsed="false">
      <c r="A318" s="9" t="s">
        <v>1178</v>
      </c>
      <c r="B318" s="9" t="s">
        <v>1179</v>
      </c>
      <c r="C318" s="9" t="s">
        <v>1180</v>
      </c>
      <c r="D318" s="9" t="s">
        <v>40</v>
      </c>
      <c r="E318" s="9" t="s">
        <v>1117</v>
      </c>
      <c r="F318" s="9" t="s">
        <v>83</v>
      </c>
      <c r="G318" s="9" t="s">
        <v>30</v>
      </c>
      <c r="H318" s="9" t="s">
        <v>61</v>
      </c>
      <c r="I318" s="9" t="s">
        <v>62</v>
      </c>
      <c r="J318" s="9" t="s">
        <v>44</v>
      </c>
      <c r="K318" s="9" t="s">
        <v>1181</v>
      </c>
      <c r="L318" s="9" t="s">
        <v>88</v>
      </c>
      <c r="M318" s="9" t="s">
        <v>153</v>
      </c>
      <c r="N318" s="9" t="n">
        <v>465.9</v>
      </c>
      <c r="O318" s="9" t="n">
        <v>6</v>
      </c>
      <c r="P318" s="9" t="n">
        <v>0.15</v>
      </c>
      <c r="Q318" s="9" t="n">
        <v>96.91</v>
      </c>
    </row>
    <row r="319" customFormat="false" ht="15" hidden="false" customHeight="false" outlineLevel="0" collapsed="false">
      <c r="A319" s="9" t="s">
        <v>1182</v>
      </c>
      <c r="B319" s="9" t="s">
        <v>1183</v>
      </c>
      <c r="C319" s="9" t="s">
        <v>390</v>
      </c>
      <c r="D319" s="9" t="s">
        <v>40</v>
      </c>
      <c r="E319" s="9" t="s">
        <v>313</v>
      </c>
      <c r="F319" s="9" t="s">
        <v>60</v>
      </c>
      <c r="G319" s="9" t="s">
        <v>30</v>
      </c>
      <c r="H319" s="9" t="s">
        <v>436</v>
      </c>
      <c r="I319" s="9" t="s">
        <v>105</v>
      </c>
      <c r="J319" s="9" t="s">
        <v>44</v>
      </c>
      <c r="K319" s="9" t="s">
        <v>1184</v>
      </c>
      <c r="L319" s="9" t="s">
        <v>35</v>
      </c>
      <c r="M319" s="9" t="s">
        <v>185</v>
      </c>
      <c r="N319" s="9" t="n">
        <v>169.56</v>
      </c>
      <c r="O319" s="9" t="n">
        <v>4</v>
      </c>
      <c r="P319" s="9" t="n">
        <v>0</v>
      </c>
      <c r="Q319" s="9" t="n">
        <v>11.9</v>
      </c>
    </row>
    <row r="320" customFormat="false" ht="15" hidden="false" customHeight="false" outlineLevel="0" collapsed="false">
      <c r="A320" s="9" t="s">
        <v>1129</v>
      </c>
      <c r="B320" s="9" t="s">
        <v>735</v>
      </c>
      <c r="C320" s="9" t="s">
        <v>624</v>
      </c>
      <c r="D320" s="9" t="s">
        <v>102</v>
      </c>
      <c r="E320" s="9" t="s">
        <v>324</v>
      </c>
      <c r="F320" s="9" t="s">
        <v>83</v>
      </c>
      <c r="G320" s="9" t="s">
        <v>30</v>
      </c>
      <c r="H320" s="9" t="s">
        <v>163</v>
      </c>
      <c r="I320" s="9" t="s">
        <v>164</v>
      </c>
      <c r="J320" s="9" t="s">
        <v>96</v>
      </c>
      <c r="K320" s="9" t="s">
        <v>1185</v>
      </c>
      <c r="L320" s="9" t="s">
        <v>35</v>
      </c>
      <c r="M320" s="9" t="s">
        <v>98</v>
      </c>
      <c r="N320" s="9" t="n">
        <v>241.29</v>
      </c>
      <c r="O320" s="9" t="n">
        <v>9</v>
      </c>
      <c r="P320" s="9" t="n">
        <v>0.2</v>
      </c>
      <c r="Q320" s="9" t="n">
        <v>-8.05</v>
      </c>
    </row>
    <row r="321" customFormat="false" ht="15" hidden="false" customHeight="false" outlineLevel="0" collapsed="false">
      <c r="A321" s="9" t="s">
        <v>1155</v>
      </c>
      <c r="B321" s="9" t="s">
        <v>1156</v>
      </c>
      <c r="C321" s="9" t="s">
        <v>948</v>
      </c>
      <c r="D321" s="9" t="s">
        <v>40</v>
      </c>
      <c r="E321" s="9" t="s">
        <v>1157</v>
      </c>
      <c r="F321" s="9" t="s">
        <v>29</v>
      </c>
      <c r="G321" s="9" t="s">
        <v>30</v>
      </c>
      <c r="H321" s="9" t="s">
        <v>42</v>
      </c>
      <c r="I321" s="9" t="s">
        <v>43</v>
      </c>
      <c r="J321" s="9" t="s">
        <v>44</v>
      </c>
      <c r="K321" s="9" t="s">
        <v>1186</v>
      </c>
      <c r="L321" s="9" t="s">
        <v>35</v>
      </c>
      <c r="M321" s="9" t="s">
        <v>114</v>
      </c>
      <c r="N321" s="9" t="n">
        <v>39.98</v>
      </c>
      <c r="O321" s="9" t="n">
        <v>2</v>
      </c>
      <c r="P321" s="9" t="n">
        <v>0.1</v>
      </c>
      <c r="Q321" s="9" t="n">
        <v>11.33</v>
      </c>
    </row>
    <row r="322" customFormat="false" ht="15" hidden="false" customHeight="false" outlineLevel="0" collapsed="false">
      <c r="A322" s="9" t="s">
        <v>1187</v>
      </c>
      <c r="B322" s="9" t="s">
        <v>1060</v>
      </c>
      <c r="C322" s="9" t="s">
        <v>1188</v>
      </c>
      <c r="D322" s="9" t="s">
        <v>102</v>
      </c>
      <c r="E322" s="9" t="s">
        <v>1189</v>
      </c>
      <c r="F322" s="9" t="s">
        <v>83</v>
      </c>
      <c r="G322" s="9" t="s">
        <v>30</v>
      </c>
      <c r="H322" s="9" t="s">
        <v>42</v>
      </c>
      <c r="I322" s="9" t="s">
        <v>43</v>
      </c>
      <c r="J322" s="9" t="s">
        <v>44</v>
      </c>
      <c r="K322" s="9" t="s">
        <v>1190</v>
      </c>
      <c r="L322" s="9" t="s">
        <v>35</v>
      </c>
      <c r="M322" s="9" t="s">
        <v>356</v>
      </c>
      <c r="N322" s="9" t="n">
        <v>76.68</v>
      </c>
      <c r="O322" s="9" t="n">
        <v>9</v>
      </c>
      <c r="P322" s="9" t="n">
        <v>0</v>
      </c>
      <c r="Q322" s="9" t="n">
        <v>27.64</v>
      </c>
    </row>
    <row r="323" customFormat="false" ht="15" hidden="false" customHeight="false" outlineLevel="0" collapsed="false">
      <c r="A323" s="9" t="s">
        <v>208</v>
      </c>
      <c r="B323" s="9" t="s">
        <v>209</v>
      </c>
      <c r="C323" s="9" t="s">
        <v>210</v>
      </c>
      <c r="D323" s="9" t="s">
        <v>40</v>
      </c>
      <c r="E323" s="9" t="s">
        <v>211</v>
      </c>
      <c r="F323" s="9" t="s">
        <v>60</v>
      </c>
      <c r="G323" s="9" t="s">
        <v>30</v>
      </c>
      <c r="H323" s="9" t="s">
        <v>212</v>
      </c>
      <c r="I323" s="9" t="s">
        <v>213</v>
      </c>
      <c r="J323" s="9" t="s">
        <v>96</v>
      </c>
      <c r="K323" s="9" t="s">
        <v>1191</v>
      </c>
      <c r="L323" s="9" t="s">
        <v>88</v>
      </c>
      <c r="M323" s="9" t="s">
        <v>89</v>
      </c>
      <c r="N323" s="9" t="n">
        <v>462.57</v>
      </c>
      <c r="O323" s="9" t="n">
        <v>3</v>
      </c>
      <c r="P323" s="9" t="n">
        <v>0.8</v>
      </c>
      <c r="Q323" s="9" t="n">
        <v>-188.5</v>
      </c>
    </row>
    <row r="324" customFormat="false" ht="15" hidden="false" customHeight="false" outlineLevel="0" collapsed="false">
      <c r="A324" s="9" t="s">
        <v>1040</v>
      </c>
      <c r="B324" s="9" t="s">
        <v>874</v>
      </c>
      <c r="C324" s="9" t="s">
        <v>602</v>
      </c>
      <c r="D324" s="9" t="s">
        <v>40</v>
      </c>
      <c r="E324" s="9" t="s">
        <v>1041</v>
      </c>
      <c r="F324" s="9" t="s">
        <v>60</v>
      </c>
      <c r="G324" s="9" t="s">
        <v>30</v>
      </c>
      <c r="H324" s="9" t="s">
        <v>144</v>
      </c>
      <c r="I324" s="9" t="s">
        <v>145</v>
      </c>
      <c r="J324" s="9" t="s">
        <v>96</v>
      </c>
      <c r="K324" s="9" t="s">
        <v>1192</v>
      </c>
      <c r="L324" s="9" t="s">
        <v>35</v>
      </c>
      <c r="M324" s="9" t="s">
        <v>114</v>
      </c>
      <c r="N324" s="9" t="n">
        <v>78.12</v>
      </c>
      <c r="O324" s="9" t="n">
        <v>3</v>
      </c>
      <c r="P324" s="9" t="n">
        <v>0</v>
      </c>
      <c r="Q324" s="9" t="n">
        <v>22.78</v>
      </c>
    </row>
    <row r="325" customFormat="false" ht="15" hidden="false" customHeight="false" outlineLevel="0" collapsed="false">
      <c r="A325" s="9" t="s">
        <v>627</v>
      </c>
      <c r="B325" s="9" t="s">
        <v>628</v>
      </c>
      <c r="C325" s="9" t="s">
        <v>629</v>
      </c>
      <c r="D325" s="9" t="s">
        <v>40</v>
      </c>
      <c r="E325" s="9" t="s">
        <v>368</v>
      </c>
      <c r="F325" s="9" t="s">
        <v>60</v>
      </c>
      <c r="G325" s="9" t="s">
        <v>30</v>
      </c>
      <c r="H325" s="9" t="s">
        <v>131</v>
      </c>
      <c r="I325" s="9" t="s">
        <v>132</v>
      </c>
      <c r="J325" s="9" t="s">
        <v>86</v>
      </c>
      <c r="K325" s="9" t="s">
        <v>1193</v>
      </c>
      <c r="L325" s="9" t="s">
        <v>35</v>
      </c>
      <c r="M325" s="9" t="s">
        <v>55</v>
      </c>
      <c r="N325" s="9" t="n">
        <v>572.64</v>
      </c>
      <c r="O325" s="9" t="n">
        <v>8</v>
      </c>
      <c r="P325" s="9" t="n">
        <v>0.4</v>
      </c>
      <c r="Q325" s="9" t="n">
        <v>-115.66</v>
      </c>
    </row>
    <row r="326" customFormat="false" ht="15" hidden="false" customHeight="false" outlineLevel="0" collapsed="false">
      <c r="A326" s="9" t="s">
        <v>508</v>
      </c>
      <c r="B326" s="9" t="s">
        <v>509</v>
      </c>
      <c r="C326" s="9" t="s">
        <v>510</v>
      </c>
      <c r="D326" s="9" t="s">
        <v>51</v>
      </c>
      <c r="E326" s="9" t="s">
        <v>511</v>
      </c>
      <c r="F326" s="9" t="s">
        <v>29</v>
      </c>
      <c r="G326" s="9" t="s">
        <v>30</v>
      </c>
      <c r="H326" s="9" t="s">
        <v>266</v>
      </c>
      <c r="I326" s="9" t="s">
        <v>267</v>
      </c>
      <c r="J326" s="9" t="s">
        <v>44</v>
      </c>
      <c r="K326" s="9" t="s">
        <v>1194</v>
      </c>
      <c r="L326" s="9" t="s">
        <v>35</v>
      </c>
      <c r="M326" s="9" t="s">
        <v>36</v>
      </c>
      <c r="N326" s="9" t="n">
        <v>209.52</v>
      </c>
      <c r="O326" s="9" t="n">
        <v>8</v>
      </c>
      <c r="P326" s="9" t="n">
        <v>0</v>
      </c>
      <c r="Q326" s="9" t="n">
        <v>45.65</v>
      </c>
    </row>
    <row r="327" customFormat="false" ht="15" hidden="false" customHeight="false" outlineLevel="0" collapsed="false">
      <c r="A327" s="9" t="s">
        <v>1195</v>
      </c>
      <c r="B327" s="9" t="s">
        <v>1196</v>
      </c>
      <c r="C327" s="9" t="s">
        <v>1006</v>
      </c>
      <c r="D327" s="9" t="s">
        <v>40</v>
      </c>
      <c r="E327" s="9" t="s">
        <v>1197</v>
      </c>
      <c r="F327" s="9" t="s">
        <v>60</v>
      </c>
      <c r="G327" s="9" t="s">
        <v>30</v>
      </c>
      <c r="H327" s="9" t="s">
        <v>378</v>
      </c>
      <c r="I327" s="9" t="s">
        <v>76</v>
      </c>
      <c r="J327" s="9" t="s">
        <v>33</v>
      </c>
      <c r="K327" s="9" t="s">
        <v>1198</v>
      </c>
      <c r="L327" s="9" t="s">
        <v>35</v>
      </c>
      <c r="M327" s="9" t="s">
        <v>98</v>
      </c>
      <c r="N327" s="9" t="n">
        <v>157.04</v>
      </c>
      <c r="O327" s="9" t="n">
        <v>4</v>
      </c>
      <c r="P327" s="9" t="n">
        <v>0.1</v>
      </c>
      <c r="Q327" s="9" t="n">
        <v>-21.11</v>
      </c>
    </row>
    <row r="328" customFormat="false" ht="15" hidden="false" customHeight="false" outlineLevel="0" collapsed="false">
      <c r="A328" s="9" t="s">
        <v>1199</v>
      </c>
      <c r="B328" s="9" t="s">
        <v>1200</v>
      </c>
      <c r="C328" s="9" t="s">
        <v>1201</v>
      </c>
      <c r="D328" s="9" t="s">
        <v>102</v>
      </c>
      <c r="E328" s="9" t="s">
        <v>1202</v>
      </c>
      <c r="F328" s="9" t="s">
        <v>29</v>
      </c>
      <c r="G328" s="9" t="s">
        <v>30</v>
      </c>
      <c r="H328" s="9" t="s">
        <v>42</v>
      </c>
      <c r="I328" s="9" t="s">
        <v>43</v>
      </c>
      <c r="J328" s="9" t="s">
        <v>44</v>
      </c>
      <c r="K328" s="9" t="s">
        <v>1203</v>
      </c>
      <c r="L328" s="9" t="s">
        <v>35</v>
      </c>
      <c r="M328" s="9" t="s">
        <v>98</v>
      </c>
      <c r="N328" s="9" t="n">
        <v>25.69</v>
      </c>
      <c r="O328" s="9" t="n">
        <v>1</v>
      </c>
      <c r="P328" s="9" t="n">
        <v>0.4</v>
      </c>
      <c r="Q328" s="9" t="n">
        <v>-8.09</v>
      </c>
    </row>
    <row r="329" customFormat="false" ht="15" hidden="false" customHeight="false" outlineLevel="0" collapsed="false">
      <c r="A329" s="9" t="s">
        <v>1204</v>
      </c>
      <c r="B329" s="9" t="s">
        <v>1087</v>
      </c>
      <c r="C329" s="9" t="s">
        <v>1205</v>
      </c>
      <c r="D329" s="9" t="s">
        <v>40</v>
      </c>
      <c r="E329" s="9" t="s">
        <v>990</v>
      </c>
      <c r="F329" s="9" t="s">
        <v>83</v>
      </c>
      <c r="G329" s="9" t="s">
        <v>30</v>
      </c>
      <c r="H329" s="9" t="s">
        <v>31</v>
      </c>
      <c r="I329" s="9" t="s">
        <v>32</v>
      </c>
      <c r="J329" s="9" t="s">
        <v>33</v>
      </c>
      <c r="K329" s="9" t="s">
        <v>1206</v>
      </c>
      <c r="L329" s="9" t="s">
        <v>46</v>
      </c>
      <c r="M329" s="9" t="s">
        <v>191</v>
      </c>
      <c r="N329" s="9" t="n">
        <v>2176.58</v>
      </c>
      <c r="O329" s="9" t="n">
        <v>2</v>
      </c>
      <c r="P329" s="9" t="n">
        <v>0</v>
      </c>
      <c r="Q329" s="9" t="n">
        <v>589.14</v>
      </c>
    </row>
    <row r="330" customFormat="false" ht="15" hidden="false" customHeight="false" outlineLevel="0" collapsed="false">
      <c r="A330" s="9" t="s">
        <v>410</v>
      </c>
      <c r="B330" s="9" t="s">
        <v>411</v>
      </c>
      <c r="C330" s="9" t="s">
        <v>412</v>
      </c>
      <c r="D330" s="9" t="s">
        <v>102</v>
      </c>
      <c r="E330" s="9" t="s">
        <v>413</v>
      </c>
      <c r="F330" s="9" t="s">
        <v>83</v>
      </c>
      <c r="G330" s="9" t="s">
        <v>30</v>
      </c>
      <c r="H330" s="9" t="s">
        <v>138</v>
      </c>
      <c r="I330" s="9" t="s">
        <v>85</v>
      </c>
      <c r="J330" s="9" t="s">
        <v>86</v>
      </c>
      <c r="K330" s="9" t="s">
        <v>1207</v>
      </c>
      <c r="L330" s="9" t="s">
        <v>46</v>
      </c>
      <c r="M330" s="9" t="s">
        <v>191</v>
      </c>
      <c r="N330" s="9" t="n">
        <v>10466.46</v>
      </c>
      <c r="O330" s="9" t="n">
        <v>9</v>
      </c>
      <c r="P330" s="9" t="n">
        <v>0</v>
      </c>
      <c r="Q330" s="9" t="n">
        <v>2600.73</v>
      </c>
    </row>
    <row r="331" customFormat="false" ht="15" hidden="false" customHeight="false" outlineLevel="0" collapsed="false">
      <c r="A331" s="9" t="s">
        <v>892</v>
      </c>
      <c r="B331" s="9" t="s">
        <v>431</v>
      </c>
      <c r="C331" s="9" t="s">
        <v>893</v>
      </c>
      <c r="D331" s="9" t="s">
        <v>40</v>
      </c>
      <c r="E331" s="9" t="s">
        <v>863</v>
      </c>
      <c r="F331" s="9" t="s">
        <v>29</v>
      </c>
      <c r="G331" s="9" t="s">
        <v>30</v>
      </c>
      <c r="H331" s="9" t="s">
        <v>151</v>
      </c>
      <c r="I331" s="9" t="s">
        <v>145</v>
      </c>
      <c r="J331" s="9" t="s">
        <v>96</v>
      </c>
      <c r="K331" s="9" t="s">
        <v>1208</v>
      </c>
      <c r="L331" s="9" t="s">
        <v>35</v>
      </c>
      <c r="M331" s="9" t="s">
        <v>185</v>
      </c>
      <c r="N331" s="9" t="n">
        <v>1191.52</v>
      </c>
      <c r="O331" s="9" t="n">
        <v>8</v>
      </c>
      <c r="P331" s="9" t="n">
        <v>0.15</v>
      </c>
      <c r="Q331" s="9" t="n">
        <v>81.46</v>
      </c>
    </row>
    <row r="332" customFormat="false" ht="15" hidden="false" customHeight="false" outlineLevel="0" collapsed="false">
      <c r="A332" s="9" t="s">
        <v>269</v>
      </c>
      <c r="B332" s="9" t="s">
        <v>270</v>
      </c>
      <c r="C332" s="9" t="s">
        <v>271</v>
      </c>
      <c r="D332" s="9" t="s">
        <v>40</v>
      </c>
      <c r="E332" s="9" t="s">
        <v>272</v>
      </c>
      <c r="F332" s="9" t="s">
        <v>60</v>
      </c>
      <c r="G332" s="9" t="s">
        <v>30</v>
      </c>
      <c r="H332" s="9" t="s">
        <v>104</v>
      </c>
      <c r="I332" s="9" t="s">
        <v>105</v>
      </c>
      <c r="J332" s="9" t="s">
        <v>44</v>
      </c>
      <c r="K332" s="9" t="s">
        <v>1209</v>
      </c>
      <c r="L332" s="9" t="s">
        <v>88</v>
      </c>
      <c r="M332" s="9" t="s">
        <v>197</v>
      </c>
      <c r="N332" s="9" t="n">
        <v>571.48</v>
      </c>
      <c r="O332" s="9" t="n">
        <v>4</v>
      </c>
      <c r="P332" s="9" t="n">
        <v>0.1</v>
      </c>
      <c r="Q332" s="9" t="n">
        <v>-68.87</v>
      </c>
    </row>
    <row r="333" customFormat="false" ht="15" hidden="false" customHeight="false" outlineLevel="0" collapsed="false">
      <c r="A333" s="9" t="s">
        <v>1210</v>
      </c>
      <c r="B333" s="9" t="s">
        <v>547</v>
      </c>
      <c r="C333" s="9" t="s">
        <v>978</v>
      </c>
      <c r="D333" s="9" t="s">
        <v>40</v>
      </c>
      <c r="E333" s="9" t="s">
        <v>460</v>
      </c>
      <c r="F333" s="9" t="s">
        <v>60</v>
      </c>
      <c r="G333" s="9" t="s">
        <v>30</v>
      </c>
      <c r="H333" s="9" t="s">
        <v>131</v>
      </c>
      <c r="I333" s="9" t="s">
        <v>132</v>
      </c>
      <c r="J333" s="9" t="s">
        <v>86</v>
      </c>
      <c r="K333" s="9" t="s">
        <v>1211</v>
      </c>
      <c r="L333" s="9" t="s">
        <v>35</v>
      </c>
      <c r="M333" s="9" t="s">
        <v>114</v>
      </c>
      <c r="N333" s="9" t="n">
        <v>22.24</v>
      </c>
      <c r="O333" s="9" t="n">
        <v>1</v>
      </c>
      <c r="P333" s="9" t="n">
        <v>0</v>
      </c>
      <c r="Q333" s="9" t="n">
        <v>4.8</v>
      </c>
    </row>
    <row r="334" customFormat="false" ht="15" hidden="false" customHeight="false" outlineLevel="0" collapsed="false">
      <c r="A334" s="9" t="s">
        <v>692</v>
      </c>
      <c r="B334" s="9" t="s">
        <v>693</v>
      </c>
      <c r="C334" s="9" t="s">
        <v>73</v>
      </c>
      <c r="D334" s="9" t="s">
        <v>40</v>
      </c>
      <c r="E334" s="9" t="s">
        <v>694</v>
      </c>
      <c r="F334" s="9" t="s">
        <v>60</v>
      </c>
      <c r="G334" s="9" t="s">
        <v>30</v>
      </c>
      <c r="H334" s="9" t="s">
        <v>278</v>
      </c>
      <c r="I334" s="9" t="s">
        <v>112</v>
      </c>
      <c r="J334" s="9" t="s">
        <v>86</v>
      </c>
      <c r="K334" s="9" t="s">
        <v>1212</v>
      </c>
      <c r="L334" s="9" t="s">
        <v>35</v>
      </c>
      <c r="M334" s="9" t="s">
        <v>356</v>
      </c>
      <c r="N334" s="9" t="n">
        <v>12.14</v>
      </c>
      <c r="O334" s="9" t="n">
        <v>1</v>
      </c>
      <c r="P334" s="9" t="n">
        <v>0.1</v>
      </c>
      <c r="Q334" s="9" t="n">
        <v>3.81</v>
      </c>
    </row>
    <row r="335" customFormat="false" ht="15" hidden="false" customHeight="false" outlineLevel="0" collapsed="false">
      <c r="A335" s="9" t="s">
        <v>794</v>
      </c>
      <c r="B335" s="9" t="s">
        <v>795</v>
      </c>
      <c r="C335" s="9" t="s">
        <v>796</v>
      </c>
      <c r="D335" s="9" t="s">
        <v>27</v>
      </c>
      <c r="E335" s="9" t="s">
        <v>483</v>
      </c>
      <c r="F335" s="9" t="s">
        <v>60</v>
      </c>
      <c r="G335" s="9" t="s">
        <v>30</v>
      </c>
      <c r="H335" s="9" t="s">
        <v>53</v>
      </c>
      <c r="I335" s="9" t="s">
        <v>43</v>
      </c>
      <c r="J335" s="9" t="s">
        <v>44</v>
      </c>
      <c r="K335" s="9" t="s">
        <v>1213</v>
      </c>
      <c r="L335" s="9" t="s">
        <v>46</v>
      </c>
      <c r="M335" s="9" t="s">
        <v>70</v>
      </c>
      <c r="N335" s="9" t="n">
        <v>585.6</v>
      </c>
      <c r="O335" s="9" t="n">
        <v>6</v>
      </c>
      <c r="P335" s="9" t="n">
        <v>0</v>
      </c>
      <c r="Q335" s="9" t="n">
        <v>104.18</v>
      </c>
    </row>
    <row r="336" customFormat="false" ht="15" hidden="false" customHeight="false" outlineLevel="0" collapsed="false">
      <c r="A336" s="9" t="s">
        <v>848</v>
      </c>
      <c r="B336" s="9" t="s">
        <v>849</v>
      </c>
      <c r="C336" s="9" t="s">
        <v>510</v>
      </c>
      <c r="D336" s="9" t="s">
        <v>40</v>
      </c>
      <c r="E336" s="9" t="s">
        <v>403</v>
      </c>
      <c r="F336" s="9" t="s">
        <v>83</v>
      </c>
      <c r="G336" s="9" t="s">
        <v>30</v>
      </c>
      <c r="H336" s="9" t="s">
        <v>397</v>
      </c>
      <c r="I336" s="9" t="s">
        <v>267</v>
      </c>
      <c r="J336" s="9" t="s">
        <v>44</v>
      </c>
      <c r="K336" s="9" t="s">
        <v>1214</v>
      </c>
      <c r="L336" s="9" t="s">
        <v>35</v>
      </c>
      <c r="M336" s="9" t="s">
        <v>173</v>
      </c>
      <c r="N336" s="9" t="n">
        <v>935.52</v>
      </c>
      <c r="O336" s="9" t="n">
        <v>8</v>
      </c>
      <c r="P336" s="9" t="n">
        <v>0.1</v>
      </c>
      <c r="Q336" s="9" t="n">
        <v>89.3</v>
      </c>
    </row>
    <row r="337" customFormat="false" ht="15" hidden="false" customHeight="false" outlineLevel="0" collapsed="false">
      <c r="A337" s="9" t="s">
        <v>598</v>
      </c>
      <c r="B337" s="9" t="s">
        <v>193</v>
      </c>
      <c r="C337" s="9" t="s">
        <v>599</v>
      </c>
      <c r="D337" s="9" t="s">
        <v>102</v>
      </c>
      <c r="E337" s="9" t="s">
        <v>118</v>
      </c>
      <c r="F337" s="9" t="s">
        <v>83</v>
      </c>
      <c r="G337" s="9" t="s">
        <v>30</v>
      </c>
      <c r="H337" s="9" t="s">
        <v>250</v>
      </c>
      <c r="I337" s="9" t="s">
        <v>251</v>
      </c>
      <c r="J337" s="9" t="s">
        <v>33</v>
      </c>
      <c r="K337" s="9" t="s">
        <v>1215</v>
      </c>
      <c r="L337" s="9" t="s">
        <v>35</v>
      </c>
      <c r="M337" s="9" t="s">
        <v>78</v>
      </c>
      <c r="N337" s="9" t="n">
        <v>55.76</v>
      </c>
      <c r="O337" s="9" t="n">
        <v>4</v>
      </c>
      <c r="P337" s="9" t="n">
        <v>0</v>
      </c>
      <c r="Q337" s="9" t="n">
        <v>14.51</v>
      </c>
    </row>
    <row r="338" customFormat="false" ht="15" hidden="false" customHeight="false" outlineLevel="0" collapsed="false">
      <c r="A338" s="9" t="s">
        <v>1216</v>
      </c>
      <c r="B338" s="9" t="s">
        <v>1217</v>
      </c>
      <c r="C338" s="9" t="s">
        <v>637</v>
      </c>
      <c r="D338" s="9" t="s">
        <v>40</v>
      </c>
      <c r="E338" s="9" t="s">
        <v>1218</v>
      </c>
      <c r="F338" s="9" t="s">
        <v>29</v>
      </c>
      <c r="G338" s="9" t="s">
        <v>30</v>
      </c>
      <c r="H338" s="9" t="s">
        <v>397</v>
      </c>
      <c r="I338" s="9" t="s">
        <v>267</v>
      </c>
      <c r="J338" s="9" t="s">
        <v>44</v>
      </c>
      <c r="K338" s="9" t="s">
        <v>1219</v>
      </c>
      <c r="L338" s="9" t="s">
        <v>88</v>
      </c>
      <c r="M338" s="9" t="s">
        <v>576</v>
      </c>
      <c r="N338" s="9" t="n">
        <v>2691.99</v>
      </c>
      <c r="O338" s="9" t="n">
        <v>9</v>
      </c>
      <c r="P338" s="9" t="n">
        <v>0.8</v>
      </c>
      <c r="Q338" s="9" t="n">
        <v>-1168.27</v>
      </c>
    </row>
    <row r="339" customFormat="false" ht="15" hidden="false" customHeight="false" outlineLevel="0" collapsed="false">
      <c r="A339" s="9" t="s">
        <v>1220</v>
      </c>
      <c r="B339" s="9" t="s">
        <v>514</v>
      </c>
      <c r="C339" s="9" t="s">
        <v>488</v>
      </c>
      <c r="D339" s="9" t="s">
        <v>40</v>
      </c>
      <c r="E339" s="9" t="s">
        <v>755</v>
      </c>
      <c r="F339" s="9" t="s">
        <v>83</v>
      </c>
      <c r="G339" s="9" t="s">
        <v>30</v>
      </c>
      <c r="H339" s="9" t="s">
        <v>124</v>
      </c>
      <c r="I339" s="9" t="s">
        <v>125</v>
      </c>
      <c r="J339" s="9" t="s">
        <v>33</v>
      </c>
      <c r="K339" s="9" t="s">
        <v>1221</v>
      </c>
      <c r="L339" s="9" t="s">
        <v>35</v>
      </c>
      <c r="M339" s="9" t="s">
        <v>185</v>
      </c>
      <c r="N339" s="9" t="n">
        <v>86.75</v>
      </c>
      <c r="O339" s="9" t="n">
        <v>1</v>
      </c>
      <c r="P339" s="9" t="n">
        <v>0.1</v>
      </c>
      <c r="Q339" s="9" t="n">
        <v>8.87</v>
      </c>
    </row>
    <row r="340" customFormat="false" ht="15" hidden="false" customHeight="false" outlineLevel="0" collapsed="false">
      <c r="A340" s="9" t="s">
        <v>1222</v>
      </c>
      <c r="B340" s="9" t="s">
        <v>323</v>
      </c>
      <c r="C340" s="9" t="s">
        <v>629</v>
      </c>
      <c r="D340" s="9" t="s">
        <v>27</v>
      </c>
      <c r="E340" s="9" t="s">
        <v>228</v>
      </c>
      <c r="F340" s="9" t="s">
        <v>83</v>
      </c>
      <c r="G340" s="9" t="s">
        <v>30</v>
      </c>
      <c r="H340" s="9" t="s">
        <v>378</v>
      </c>
      <c r="I340" s="9" t="s">
        <v>76</v>
      </c>
      <c r="J340" s="9" t="s">
        <v>33</v>
      </c>
      <c r="K340" s="9" t="s">
        <v>1223</v>
      </c>
      <c r="L340" s="9" t="s">
        <v>46</v>
      </c>
      <c r="M340" s="9" t="s">
        <v>64</v>
      </c>
      <c r="N340" s="9" t="n">
        <v>12384.99</v>
      </c>
      <c r="O340" s="9" t="n">
        <v>9</v>
      </c>
      <c r="P340" s="9" t="n">
        <v>0</v>
      </c>
      <c r="Q340" s="9" t="n">
        <v>1370.97</v>
      </c>
    </row>
    <row r="341" customFormat="false" ht="15" hidden="false" customHeight="false" outlineLevel="0" collapsed="false">
      <c r="A341" s="9" t="s">
        <v>678</v>
      </c>
      <c r="B341" s="9" t="s">
        <v>322</v>
      </c>
      <c r="C341" s="9" t="s">
        <v>679</v>
      </c>
      <c r="D341" s="9" t="s">
        <v>40</v>
      </c>
      <c r="E341" s="9" t="s">
        <v>470</v>
      </c>
      <c r="F341" s="9" t="s">
        <v>83</v>
      </c>
      <c r="G341" s="9" t="s">
        <v>30</v>
      </c>
      <c r="H341" s="9" t="s">
        <v>308</v>
      </c>
      <c r="I341" s="9" t="s">
        <v>132</v>
      </c>
      <c r="J341" s="9" t="s">
        <v>86</v>
      </c>
      <c r="K341" s="9" t="s">
        <v>1224</v>
      </c>
      <c r="L341" s="9" t="s">
        <v>88</v>
      </c>
      <c r="M341" s="9" t="s">
        <v>576</v>
      </c>
      <c r="N341" s="9" t="n">
        <v>188.94</v>
      </c>
      <c r="O341" s="9" t="n">
        <v>2</v>
      </c>
      <c r="P341" s="9" t="n">
        <v>0</v>
      </c>
      <c r="Q341" s="9" t="n">
        <v>4.58</v>
      </c>
    </row>
    <row r="342" customFormat="false" ht="15" hidden="false" customHeight="false" outlineLevel="0" collapsed="false">
      <c r="A342" s="9" t="s">
        <v>1225</v>
      </c>
      <c r="B342" s="9" t="s">
        <v>1226</v>
      </c>
      <c r="C342" s="9" t="s">
        <v>1227</v>
      </c>
      <c r="D342" s="9" t="s">
        <v>40</v>
      </c>
      <c r="E342" s="9" t="s">
        <v>1228</v>
      </c>
      <c r="F342" s="9" t="s">
        <v>29</v>
      </c>
      <c r="G342" s="9" t="s">
        <v>30</v>
      </c>
      <c r="H342" s="9" t="s">
        <v>84</v>
      </c>
      <c r="I342" s="9" t="s">
        <v>85</v>
      </c>
      <c r="J342" s="9" t="s">
        <v>86</v>
      </c>
      <c r="K342" s="9" t="s">
        <v>1229</v>
      </c>
      <c r="L342" s="9" t="s">
        <v>35</v>
      </c>
      <c r="M342" s="9" t="s">
        <v>356</v>
      </c>
      <c r="N342" s="9" t="n">
        <v>29.24</v>
      </c>
      <c r="O342" s="9" t="n">
        <v>1</v>
      </c>
      <c r="P342" s="9" t="n">
        <v>0.15</v>
      </c>
      <c r="Q342" s="9" t="n">
        <v>8.28</v>
      </c>
    </row>
    <row r="343" customFormat="false" ht="15" hidden="false" customHeight="false" outlineLevel="0" collapsed="false">
      <c r="A343" s="9" t="s">
        <v>582</v>
      </c>
      <c r="B343" s="9" t="s">
        <v>583</v>
      </c>
      <c r="C343" s="9" t="s">
        <v>584</v>
      </c>
      <c r="D343" s="9" t="s">
        <v>40</v>
      </c>
      <c r="E343" s="9" t="s">
        <v>52</v>
      </c>
      <c r="F343" s="9" t="s">
        <v>29</v>
      </c>
      <c r="G343" s="9" t="s">
        <v>30</v>
      </c>
      <c r="H343" s="9" t="s">
        <v>124</v>
      </c>
      <c r="I343" s="9" t="s">
        <v>125</v>
      </c>
      <c r="J343" s="9" t="s">
        <v>33</v>
      </c>
      <c r="K343" s="9" t="s">
        <v>1230</v>
      </c>
      <c r="L343" s="9" t="s">
        <v>35</v>
      </c>
      <c r="M343" s="9" t="s">
        <v>36</v>
      </c>
      <c r="N343" s="9" t="n">
        <v>69.44</v>
      </c>
      <c r="O343" s="9" t="n">
        <v>2</v>
      </c>
      <c r="P343" s="9" t="n">
        <v>0</v>
      </c>
      <c r="Q343" s="9" t="n">
        <v>20.19</v>
      </c>
    </row>
    <row r="344" customFormat="false" ht="15" hidden="false" customHeight="false" outlineLevel="0" collapsed="false">
      <c r="A344" s="9" t="s">
        <v>416</v>
      </c>
      <c r="B344" s="9" t="s">
        <v>417</v>
      </c>
      <c r="C344" s="9" t="s">
        <v>418</v>
      </c>
      <c r="D344" s="9" t="s">
        <v>102</v>
      </c>
      <c r="E344" s="9" t="s">
        <v>419</v>
      </c>
      <c r="F344" s="9" t="s">
        <v>60</v>
      </c>
      <c r="G344" s="9" t="s">
        <v>30</v>
      </c>
      <c r="H344" s="9" t="s">
        <v>75</v>
      </c>
      <c r="I344" s="9" t="s">
        <v>76</v>
      </c>
      <c r="J344" s="9" t="s">
        <v>33</v>
      </c>
      <c r="K344" s="9" t="s">
        <v>1231</v>
      </c>
      <c r="L344" s="9" t="s">
        <v>35</v>
      </c>
      <c r="M344" s="9" t="s">
        <v>98</v>
      </c>
      <c r="N344" s="9" t="n">
        <v>255.08</v>
      </c>
      <c r="O344" s="9" t="n">
        <v>7</v>
      </c>
      <c r="P344" s="9" t="n">
        <v>0.2</v>
      </c>
      <c r="Q344" s="9" t="n">
        <v>-34.69</v>
      </c>
    </row>
    <row r="345" customFormat="false" ht="15" hidden="false" customHeight="false" outlineLevel="0" collapsed="false">
      <c r="A345" s="9" t="s">
        <v>1107</v>
      </c>
      <c r="B345" s="9" t="s">
        <v>1108</v>
      </c>
      <c r="C345" s="9" t="s">
        <v>117</v>
      </c>
      <c r="D345" s="9" t="s">
        <v>102</v>
      </c>
      <c r="E345" s="9" t="s">
        <v>1109</v>
      </c>
      <c r="F345" s="9" t="s">
        <v>60</v>
      </c>
      <c r="G345" s="9" t="s">
        <v>30</v>
      </c>
      <c r="H345" s="9" t="s">
        <v>489</v>
      </c>
      <c r="I345" s="9" t="s">
        <v>95</v>
      </c>
      <c r="J345" s="9" t="s">
        <v>96</v>
      </c>
      <c r="K345" s="9" t="s">
        <v>1232</v>
      </c>
      <c r="L345" s="9" t="s">
        <v>35</v>
      </c>
      <c r="M345" s="9" t="s">
        <v>55</v>
      </c>
      <c r="N345" s="9" t="n">
        <v>504.18</v>
      </c>
      <c r="O345" s="9" t="n">
        <v>9</v>
      </c>
      <c r="P345" s="9" t="n">
        <v>0</v>
      </c>
      <c r="Q345" s="9" t="n">
        <v>25.36</v>
      </c>
    </row>
    <row r="346" customFormat="false" ht="15" hidden="false" customHeight="false" outlineLevel="0" collapsed="false">
      <c r="A346" s="9" t="s">
        <v>1233</v>
      </c>
      <c r="B346" s="9" t="s">
        <v>1234</v>
      </c>
      <c r="C346" s="9" t="s">
        <v>1235</v>
      </c>
      <c r="D346" s="9" t="s">
        <v>40</v>
      </c>
      <c r="E346" s="9" t="s">
        <v>483</v>
      </c>
      <c r="F346" s="9" t="s">
        <v>60</v>
      </c>
      <c r="G346" s="9" t="s">
        <v>30</v>
      </c>
      <c r="H346" s="9" t="s">
        <v>42</v>
      </c>
      <c r="I346" s="9" t="s">
        <v>43</v>
      </c>
      <c r="J346" s="9" t="s">
        <v>44</v>
      </c>
      <c r="K346" s="9" t="s">
        <v>1236</v>
      </c>
      <c r="L346" s="9" t="s">
        <v>88</v>
      </c>
      <c r="M346" s="9" t="s">
        <v>153</v>
      </c>
      <c r="N346" s="9" t="n">
        <v>284.52</v>
      </c>
      <c r="O346" s="9" t="n">
        <v>3</v>
      </c>
      <c r="P346" s="9" t="n">
        <v>0</v>
      </c>
      <c r="Q346" s="9" t="n">
        <v>32.67</v>
      </c>
    </row>
    <row r="347" customFormat="false" ht="15" hidden="false" customHeight="false" outlineLevel="0" collapsed="false">
      <c r="A347" s="9" t="s">
        <v>295</v>
      </c>
      <c r="B347" s="9" t="s">
        <v>296</v>
      </c>
      <c r="C347" s="9" t="s">
        <v>248</v>
      </c>
      <c r="D347" s="9" t="s">
        <v>40</v>
      </c>
      <c r="E347" s="9" t="s">
        <v>297</v>
      </c>
      <c r="F347" s="9" t="s">
        <v>29</v>
      </c>
      <c r="G347" s="9" t="s">
        <v>30</v>
      </c>
      <c r="H347" s="9" t="s">
        <v>212</v>
      </c>
      <c r="I347" s="9" t="s">
        <v>213</v>
      </c>
      <c r="J347" s="9" t="s">
        <v>96</v>
      </c>
      <c r="K347" s="9" t="s">
        <v>1237</v>
      </c>
      <c r="L347" s="9" t="s">
        <v>35</v>
      </c>
      <c r="M347" s="9" t="s">
        <v>356</v>
      </c>
      <c r="N347" s="9" t="n">
        <v>141.04</v>
      </c>
      <c r="O347" s="9" t="n">
        <v>8</v>
      </c>
      <c r="P347" s="9" t="n">
        <v>0.1</v>
      </c>
      <c r="Q347" s="9" t="n">
        <v>43.06</v>
      </c>
    </row>
    <row r="348" customFormat="false" ht="15" hidden="false" customHeight="false" outlineLevel="0" collapsed="false">
      <c r="A348" s="9" t="s">
        <v>546</v>
      </c>
      <c r="B348" s="9" t="s">
        <v>547</v>
      </c>
      <c r="C348" s="9" t="s">
        <v>548</v>
      </c>
      <c r="D348" s="9" t="s">
        <v>27</v>
      </c>
      <c r="E348" s="9" t="s">
        <v>549</v>
      </c>
      <c r="F348" s="9" t="s">
        <v>29</v>
      </c>
      <c r="G348" s="9" t="s">
        <v>30</v>
      </c>
      <c r="H348" s="9" t="s">
        <v>94</v>
      </c>
      <c r="I348" s="9" t="s">
        <v>95</v>
      </c>
      <c r="J348" s="9" t="s">
        <v>96</v>
      </c>
      <c r="K348" s="9" t="s">
        <v>1238</v>
      </c>
      <c r="L348" s="9" t="s">
        <v>35</v>
      </c>
      <c r="M348" s="9" t="s">
        <v>98</v>
      </c>
      <c r="N348" s="9" t="n">
        <v>16.09</v>
      </c>
      <c r="O348" s="9" t="n">
        <v>1</v>
      </c>
      <c r="P348" s="9" t="n">
        <v>0.1</v>
      </c>
      <c r="Q348" s="9" t="n">
        <v>-1.78</v>
      </c>
    </row>
    <row r="349" customFormat="false" ht="15" hidden="false" customHeight="false" outlineLevel="0" collapsed="false">
      <c r="A349" s="9" t="s">
        <v>1239</v>
      </c>
      <c r="B349" s="9" t="s">
        <v>1240</v>
      </c>
      <c r="C349" s="9" t="s">
        <v>322</v>
      </c>
      <c r="D349" s="9" t="s">
        <v>51</v>
      </c>
      <c r="E349" s="9" t="s">
        <v>460</v>
      </c>
      <c r="F349" s="9" t="s">
        <v>60</v>
      </c>
      <c r="G349" s="9" t="s">
        <v>30</v>
      </c>
      <c r="H349" s="9" t="s">
        <v>206</v>
      </c>
      <c r="I349" s="9" t="s">
        <v>164</v>
      </c>
      <c r="J349" s="9" t="s">
        <v>96</v>
      </c>
      <c r="K349" s="9" t="s">
        <v>1241</v>
      </c>
      <c r="L349" s="9" t="s">
        <v>35</v>
      </c>
      <c r="M349" s="9" t="s">
        <v>78</v>
      </c>
      <c r="N349" s="9" t="n">
        <v>13.1</v>
      </c>
      <c r="O349" s="9" t="n">
        <v>1</v>
      </c>
      <c r="P349" s="9" t="n">
        <v>0.15</v>
      </c>
      <c r="Q349" s="9" t="n">
        <v>4.01</v>
      </c>
    </row>
    <row r="350" customFormat="false" ht="15" hidden="false" customHeight="false" outlineLevel="0" collapsed="false">
      <c r="A350" s="9" t="s">
        <v>1216</v>
      </c>
      <c r="B350" s="9" t="s">
        <v>1217</v>
      </c>
      <c r="C350" s="9" t="s">
        <v>637</v>
      </c>
      <c r="D350" s="9" t="s">
        <v>40</v>
      </c>
      <c r="E350" s="9" t="s">
        <v>1218</v>
      </c>
      <c r="F350" s="9" t="s">
        <v>29</v>
      </c>
      <c r="G350" s="9" t="s">
        <v>30</v>
      </c>
      <c r="H350" s="9" t="s">
        <v>397</v>
      </c>
      <c r="I350" s="9" t="s">
        <v>267</v>
      </c>
      <c r="J350" s="9" t="s">
        <v>44</v>
      </c>
      <c r="K350" s="9" t="s">
        <v>1242</v>
      </c>
      <c r="L350" s="9" t="s">
        <v>35</v>
      </c>
      <c r="M350" s="9" t="s">
        <v>55</v>
      </c>
      <c r="N350" s="9" t="n">
        <v>302.88</v>
      </c>
      <c r="O350" s="9" t="n">
        <v>8</v>
      </c>
      <c r="P350" s="9" t="n">
        <v>0.4</v>
      </c>
      <c r="Q350" s="9" t="n">
        <v>-38.54</v>
      </c>
    </row>
    <row r="351" customFormat="false" ht="15" hidden="false" customHeight="false" outlineLevel="0" collapsed="false">
      <c r="A351" s="9" t="s">
        <v>1243</v>
      </c>
      <c r="B351" s="9" t="s">
        <v>701</v>
      </c>
      <c r="C351" s="9" t="s">
        <v>914</v>
      </c>
      <c r="D351" s="9" t="s">
        <v>51</v>
      </c>
      <c r="E351" s="9" t="s">
        <v>1244</v>
      </c>
      <c r="F351" s="9" t="s">
        <v>60</v>
      </c>
      <c r="G351" s="9" t="s">
        <v>30</v>
      </c>
      <c r="H351" s="9" t="s">
        <v>212</v>
      </c>
      <c r="I351" s="9" t="s">
        <v>213</v>
      </c>
      <c r="J351" s="9" t="s">
        <v>96</v>
      </c>
      <c r="K351" s="9" t="s">
        <v>1245</v>
      </c>
      <c r="L351" s="9" t="s">
        <v>35</v>
      </c>
      <c r="M351" s="9" t="s">
        <v>185</v>
      </c>
      <c r="N351" s="9" t="n">
        <v>530.04</v>
      </c>
      <c r="O351" s="9" t="n">
        <v>6</v>
      </c>
      <c r="P351" s="9" t="n">
        <v>0.2</v>
      </c>
      <c r="Q351" s="9" t="n">
        <v>-15.12</v>
      </c>
    </row>
    <row r="352" customFormat="false" ht="15" hidden="false" customHeight="false" outlineLevel="0" collapsed="false">
      <c r="A352" s="9" t="s">
        <v>1043</v>
      </c>
      <c r="B352" s="9" t="s">
        <v>1044</v>
      </c>
      <c r="C352" s="9" t="s">
        <v>1045</v>
      </c>
      <c r="D352" s="9" t="s">
        <v>51</v>
      </c>
      <c r="E352" s="9" t="s">
        <v>724</v>
      </c>
      <c r="F352" s="9" t="s">
        <v>29</v>
      </c>
      <c r="G352" s="9" t="s">
        <v>30</v>
      </c>
      <c r="H352" s="9" t="s">
        <v>266</v>
      </c>
      <c r="I352" s="9" t="s">
        <v>267</v>
      </c>
      <c r="J352" s="9" t="s">
        <v>44</v>
      </c>
      <c r="K352" s="9" t="s">
        <v>1246</v>
      </c>
      <c r="L352" s="9" t="s">
        <v>46</v>
      </c>
      <c r="M352" s="9" t="s">
        <v>47</v>
      </c>
      <c r="N352" s="9" t="n">
        <v>6936.08</v>
      </c>
      <c r="O352" s="9" t="n">
        <v>8</v>
      </c>
      <c r="P352" s="9" t="n">
        <v>0</v>
      </c>
      <c r="Q352" s="9" t="n">
        <v>1949.52</v>
      </c>
    </row>
    <row r="353" customFormat="false" ht="15" hidden="false" customHeight="false" outlineLevel="0" collapsed="false">
      <c r="A353" s="9" t="s">
        <v>892</v>
      </c>
      <c r="B353" s="9" t="s">
        <v>431</v>
      </c>
      <c r="C353" s="9" t="s">
        <v>893</v>
      </c>
      <c r="D353" s="9" t="s">
        <v>40</v>
      </c>
      <c r="E353" s="9" t="s">
        <v>863</v>
      </c>
      <c r="F353" s="9" t="s">
        <v>29</v>
      </c>
      <c r="G353" s="9" t="s">
        <v>30</v>
      </c>
      <c r="H353" s="9" t="s">
        <v>151</v>
      </c>
      <c r="I353" s="9" t="s">
        <v>145</v>
      </c>
      <c r="J353" s="9" t="s">
        <v>96</v>
      </c>
      <c r="K353" s="9" t="s">
        <v>1247</v>
      </c>
      <c r="L353" s="9" t="s">
        <v>35</v>
      </c>
      <c r="M353" s="9" t="s">
        <v>173</v>
      </c>
      <c r="N353" s="9" t="n">
        <v>339.06</v>
      </c>
      <c r="O353" s="9" t="n">
        <v>3</v>
      </c>
      <c r="P353" s="9" t="n">
        <v>0.15</v>
      </c>
      <c r="Q353" s="9" t="n">
        <v>42.69</v>
      </c>
    </row>
    <row r="354" customFormat="false" ht="15" hidden="false" customHeight="false" outlineLevel="0" collapsed="false">
      <c r="A354" s="9" t="s">
        <v>1248</v>
      </c>
      <c r="B354" s="9" t="s">
        <v>1249</v>
      </c>
      <c r="C354" s="9" t="s">
        <v>121</v>
      </c>
      <c r="D354" s="9" t="s">
        <v>40</v>
      </c>
      <c r="E354" s="9" t="s">
        <v>1189</v>
      </c>
      <c r="F354" s="9" t="s">
        <v>29</v>
      </c>
      <c r="G354" s="9" t="s">
        <v>30</v>
      </c>
      <c r="H354" s="9" t="s">
        <v>308</v>
      </c>
      <c r="I354" s="9" t="s">
        <v>132</v>
      </c>
      <c r="J354" s="9" t="s">
        <v>86</v>
      </c>
      <c r="K354" s="9" t="s">
        <v>1250</v>
      </c>
      <c r="L354" s="9" t="s">
        <v>35</v>
      </c>
      <c r="M354" s="9" t="s">
        <v>356</v>
      </c>
      <c r="N354" s="9" t="n">
        <v>102.3</v>
      </c>
      <c r="O354" s="9" t="n">
        <v>5</v>
      </c>
      <c r="P354" s="9" t="n">
        <v>0</v>
      </c>
      <c r="Q354" s="9" t="n">
        <v>28.01</v>
      </c>
    </row>
    <row r="355" customFormat="false" ht="15" hidden="false" customHeight="false" outlineLevel="0" collapsed="false">
      <c r="A355" s="9" t="s">
        <v>1251</v>
      </c>
      <c r="B355" s="9" t="s">
        <v>820</v>
      </c>
      <c r="C355" s="9" t="s">
        <v>521</v>
      </c>
      <c r="D355" s="9" t="s">
        <v>40</v>
      </c>
      <c r="E355" s="9" t="s">
        <v>313</v>
      </c>
      <c r="F355" s="9" t="s">
        <v>60</v>
      </c>
      <c r="G355" s="9" t="s">
        <v>30</v>
      </c>
      <c r="H355" s="9" t="s">
        <v>436</v>
      </c>
      <c r="I355" s="9" t="s">
        <v>105</v>
      </c>
      <c r="J355" s="9" t="s">
        <v>44</v>
      </c>
      <c r="K355" s="9" t="s">
        <v>1252</v>
      </c>
      <c r="L355" s="9" t="s">
        <v>88</v>
      </c>
      <c r="M355" s="9" t="s">
        <v>576</v>
      </c>
      <c r="N355" s="9" t="n">
        <v>646.86</v>
      </c>
      <c r="O355" s="9" t="n">
        <v>6</v>
      </c>
      <c r="P355" s="9" t="n">
        <v>0</v>
      </c>
      <c r="Q355" s="9" t="n">
        <v>68.53</v>
      </c>
    </row>
    <row r="356" customFormat="false" ht="15" hidden="false" customHeight="false" outlineLevel="0" collapsed="false">
      <c r="A356" s="9" t="s">
        <v>1253</v>
      </c>
      <c r="B356" s="9" t="s">
        <v>1254</v>
      </c>
      <c r="C356" s="9" t="s">
        <v>390</v>
      </c>
      <c r="D356" s="9" t="s">
        <v>40</v>
      </c>
      <c r="E356" s="9" t="s">
        <v>228</v>
      </c>
      <c r="F356" s="9" t="s">
        <v>60</v>
      </c>
      <c r="G356" s="9" t="s">
        <v>30</v>
      </c>
      <c r="H356" s="9" t="s">
        <v>645</v>
      </c>
      <c r="I356" s="9" t="s">
        <v>32</v>
      </c>
      <c r="J356" s="9" t="s">
        <v>33</v>
      </c>
      <c r="K356" s="9" t="s">
        <v>1255</v>
      </c>
      <c r="L356" s="9" t="s">
        <v>88</v>
      </c>
      <c r="M356" s="9" t="s">
        <v>576</v>
      </c>
      <c r="N356" s="9" t="n">
        <v>562.52</v>
      </c>
      <c r="O356" s="9" t="n">
        <v>2</v>
      </c>
      <c r="P356" s="9" t="n">
        <v>0.1</v>
      </c>
      <c r="Q356" s="9" t="n">
        <v>56.47</v>
      </c>
    </row>
    <row r="357" customFormat="false" ht="15" hidden="false" customHeight="false" outlineLevel="0" collapsed="false">
      <c r="A357" s="9" t="s">
        <v>819</v>
      </c>
      <c r="B357" s="9" t="s">
        <v>72</v>
      </c>
      <c r="C357" s="9" t="s">
        <v>820</v>
      </c>
      <c r="D357" s="9" t="s">
        <v>40</v>
      </c>
      <c r="E357" s="9" t="s">
        <v>821</v>
      </c>
      <c r="F357" s="9" t="s">
        <v>83</v>
      </c>
      <c r="G357" s="9" t="s">
        <v>30</v>
      </c>
      <c r="H357" s="9" t="s">
        <v>53</v>
      </c>
      <c r="I357" s="9" t="s">
        <v>43</v>
      </c>
      <c r="J357" s="9" t="s">
        <v>44</v>
      </c>
      <c r="K357" s="9" t="s">
        <v>1256</v>
      </c>
      <c r="L357" s="9" t="s">
        <v>88</v>
      </c>
      <c r="M357" s="9" t="s">
        <v>89</v>
      </c>
      <c r="N357" s="9" t="n">
        <v>818.79</v>
      </c>
      <c r="O357" s="9" t="n">
        <v>3</v>
      </c>
      <c r="P357" s="9" t="n">
        <v>0.5</v>
      </c>
      <c r="Q357" s="9" t="n">
        <v>-228.58</v>
      </c>
    </row>
    <row r="358" customFormat="false" ht="15" hidden="false" customHeight="false" outlineLevel="0" collapsed="false">
      <c r="A358" s="9" t="s">
        <v>841</v>
      </c>
      <c r="B358" s="9" t="s">
        <v>615</v>
      </c>
      <c r="C358" s="9" t="s">
        <v>842</v>
      </c>
      <c r="D358" s="9" t="s">
        <v>40</v>
      </c>
      <c r="E358" s="9" t="s">
        <v>354</v>
      </c>
      <c r="F358" s="9" t="s">
        <v>29</v>
      </c>
      <c r="G358" s="9" t="s">
        <v>30</v>
      </c>
      <c r="H358" s="9" t="s">
        <v>61</v>
      </c>
      <c r="I358" s="9" t="s">
        <v>62</v>
      </c>
      <c r="J358" s="9" t="s">
        <v>44</v>
      </c>
      <c r="K358" s="9" t="s">
        <v>1257</v>
      </c>
      <c r="L358" s="9" t="s">
        <v>35</v>
      </c>
      <c r="M358" s="9" t="s">
        <v>173</v>
      </c>
      <c r="N358" s="9" t="n">
        <v>891.66</v>
      </c>
      <c r="O358" s="9" t="n">
        <v>7</v>
      </c>
      <c r="P358" s="9" t="n">
        <v>0.1</v>
      </c>
      <c r="Q358" s="9" t="n">
        <v>23.27</v>
      </c>
    </row>
    <row r="359" customFormat="false" ht="15" hidden="false" customHeight="false" outlineLevel="0" collapsed="false">
      <c r="A359" s="9" t="s">
        <v>1258</v>
      </c>
      <c r="B359" s="9" t="s">
        <v>371</v>
      </c>
      <c r="C359" s="9" t="s">
        <v>1259</v>
      </c>
      <c r="D359" s="9" t="s">
        <v>40</v>
      </c>
      <c r="E359" s="9" t="s">
        <v>1068</v>
      </c>
      <c r="F359" s="9" t="s">
        <v>60</v>
      </c>
      <c r="G359" s="9" t="s">
        <v>30</v>
      </c>
      <c r="H359" s="9" t="s">
        <v>332</v>
      </c>
      <c r="I359" s="9" t="s">
        <v>105</v>
      </c>
      <c r="J359" s="9" t="s">
        <v>44</v>
      </c>
      <c r="K359" s="9" t="s">
        <v>1260</v>
      </c>
      <c r="L359" s="9" t="s">
        <v>35</v>
      </c>
      <c r="M359" s="9" t="s">
        <v>173</v>
      </c>
      <c r="N359" s="9" t="n">
        <v>109.25</v>
      </c>
      <c r="O359" s="9" t="n">
        <v>1</v>
      </c>
      <c r="P359" s="9" t="n">
        <v>0.1</v>
      </c>
      <c r="Q359" s="9" t="n">
        <v>8.86</v>
      </c>
    </row>
    <row r="360" customFormat="false" ht="15" hidden="false" customHeight="false" outlineLevel="0" collapsed="false">
      <c r="A360" s="9" t="s">
        <v>666</v>
      </c>
      <c r="B360" s="9" t="s">
        <v>667</v>
      </c>
      <c r="C360" s="9" t="s">
        <v>668</v>
      </c>
      <c r="D360" s="9" t="s">
        <v>102</v>
      </c>
      <c r="E360" s="9" t="s">
        <v>451</v>
      </c>
      <c r="F360" s="9" t="s">
        <v>29</v>
      </c>
      <c r="G360" s="9" t="s">
        <v>30</v>
      </c>
      <c r="H360" s="9" t="s">
        <v>212</v>
      </c>
      <c r="I360" s="9" t="s">
        <v>213</v>
      </c>
      <c r="J360" s="9" t="s">
        <v>96</v>
      </c>
      <c r="K360" s="9" t="s">
        <v>1261</v>
      </c>
      <c r="L360" s="9" t="s">
        <v>88</v>
      </c>
      <c r="M360" s="9" t="s">
        <v>153</v>
      </c>
      <c r="N360" s="9" t="n">
        <v>50.75</v>
      </c>
      <c r="O360" s="9" t="n">
        <v>1</v>
      </c>
      <c r="P360" s="9" t="n">
        <v>0</v>
      </c>
      <c r="Q360" s="9" t="n">
        <v>9.99</v>
      </c>
    </row>
    <row r="361" customFormat="false" ht="15" hidden="false" customHeight="false" outlineLevel="0" collapsed="false">
      <c r="A361" s="9" t="s">
        <v>241</v>
      </c>
      <c r="B361" s="9" t="s">
        <v>242</v>
      </c>
      <c r="C361" s="9" t="s">
        <v>243</v>
      </c>
      <c r="D361" s="9" t="s">
        <v>40</v>
      </c>
      <c r="E361" s="9" t="s">
        <v>244</v>
      </c>
      <c r="F361" s="9" t="s">
        <v>29</v>
      </c>
      <c r="G361" s="9" t="s">
        <v>30</v>
      </c>
      <c r="H361" s="9" t="s">
        <v>94</v>
      </c>
      <c r="I361" s="9" t="s">
        <v>95</v>
      </c>
      <c r="J361" s="9" t="s">
        <v>96</v>
      </c>
      <c r="K361" s="9" t="s">
        <v>1262</v>
      </c>
      <c r="L361" s="9" t="s">
        <v>88</v>
      </c>
      <c r="M361" s="9" t="s">
        <v>197</v>
      </c>
      <c r="N361" s="9" t="n">
        <v>463.31</v>
      </c>
      <c r="O361" s="9" t="n">
        <v>1</v>
      </c>
      <c r="P361" s="9" t="n">
        <v>0.8</v>
      </c>
      <c r="Q361" s="9" t="n">
        <v>-269.69</v>
      </c>
    </row>
    <row r="362" customFormat="false" ht="15" hidden="false" customHeight="false" outlineLevel="0" collapsed="false">
      <c r="A362" s="9" t="s">
        <v>1263</v>
      </c>
      <c r="B362" s="9" t="s">
        <v>767</v>
      </c>
      <c r="C362" s="9" t="s">
        <v>1264</v>
      </c>
      <c r="D362" s="9" t="s">
        <v>102</v>
      </c>
      <c r="E362" s="9" t="s">
        <v>1265</v>
      </c>
      <c r="F362" s="9" t="s">
        <v>29</v>
      </c>
      <c r="G362" s="9" t="s">
        <v>30</v>
      </c>
      <c r="H362" s="9" t="s">
        <v>53</v>
      </c>
      <c r="I362" s="9" t="s">
        <v>43</v>
      </c>
      <c r="J362" s="9" t="s">
        <v>44</v>
      </c>
      <c r="K362" s="9" t="s">
        <v>1266</v>
      </c>
      <c r="L362" s="9" t="s">
        <v>35</v>
      </c>
      <c r="M362" s="9" t="s">
        <v>185</v>
      </c>
      <c r="N362" s="9" t="n">
        <v>224.8</v>
      </c>
      <c r="O362" s="9" t="n">
        <v>2</v>
      </c>
      <c r="P362" s="9" t="n">
        <v>0.15</v>
      </c>
      <c r="Q362" s="9" t="n">
        <v>27.34</v>
      </c>
    </row>
    <row r="363" customFormat="false" ht="15" hidden="false" customHeight="false" outlineLevel="0" collapsed="false">
      <c r="A363" s="9" t="s">
        <v>1267</v>
      </c>
      <c r="B363" s="9" t="s">
        <v>1268</v>
      </c>
      <c r="C363" s="9" t="s">
        <v>1269</v>
      </c>
      <c r="D363" s="9" t="s">
        <v>40</v>
      </c>
      <c r="E363" s="9" t="s">
        <v>1270</v>
      </c>
      <c r="F363" s="9" t="s">
        <v>83</v>
      </c>
      <c r="G363" s="9" t="s">
        <v>30</v>
      </c>
      <c r="H363" s="9" t="s">
        <v>131</v>
      </c>
      <c r="I363" s="9" t="s">
        <v>132</v>
      </c>
      <c r="J363" s="9" t="s">
        <v>86</v>
      </c>
      <c r="K363" s="9" t="s">
        <v>1271</v>
      </c>
      <c r="L363" s="9" t="s">
        <v>46</v>
      </c>
      <c r="M363" s="9" t="s">
        <v>70</v>
      </c>
      <c r="N363" s="9" t="n">
        <v>680.32</v>
      </c>
      <c r="O363" s="9" t="n">
        <v>8</v>
      </c>
      <c r="P363" s="9" t="n">
        <v>0</v>
      </c>
      <c r="Q363" s="9" t="n">
        <v>197.7</v>
      </c>
    </row>
    <row r="364" customFormat="false" ht="15" hidden="false" customHeight="false" outlineLevel="0" collapsed="false">
      <c r="A364" s="9" t="s">
        <v>508</v>
      </c>
      <c r="B364" s="9" t="s">
        <v>509</v>
      </c>
      <c r="C364" s="9" t="s">
        <v>510</v>
      </c>
      <c r="D364" s="9" t="s">
        <v>51</v>
      </c>
      <c r="E364" s="9" t="s">
        <v>511</v>
      </c>
      <c r="F364" s="9" t="s">
        <v>29</v>
      </c>
      <c r="G364" s="9" t="s">
        <v>30</v>
      </c>
      <c r="H364" s="9" t="s">
        <v>266</v>
      </c>
      <c r="I364" s="9" t="s">
        <v>267</v>
      </c>
      <c r="J364" s="9" t="s">
        <v>44</v>
      </c>
      <c r="K364" s="9" t="s">
        <v>1272</v>
      </c>
      <c r="L364" s="9" t="s">
        <v>46</v>
      </c>
      <c r="M364" s="9" t="s">
        <v>191</v>
      </c>
      <c r="N364" s="9" t="n">
        <v>1271.1</v>
      </c>
      <c r="O364" s="9" t="n">
        <v>3</v>
      </c>
      <c r="P364" s="9" t="n">
        <v>0</v>
      </c>
      <c r="Q364" s="9" t="n">
        <v>463.15</v>
      </c>
    </row>
    <row r="365" customFormat="false" ht="15" hidden="false" customHeight="false" outlineLevel="0" collapsed="false">
      <c r="A365" s="9" t="s">
        <v>1273</v>
      </c>
      <c r="B365" s="9" t="s">
        <v>1274</v>
      </c>
      <c r="C365" s="9" t="s">
        <v>762</v>
      </c>
      <c r="D365" s="9" t="s">
        <v>51</v>
      </c>
      <c r="E365" s="9" t="s">
        <v>1275</v>
      </c>
      <c r="F365" s="9" t="s">
        <v>29</v>
      </c>
      <c r="G365" s="9" t="s">
        <v>30</v>
      </c>
      <c r="H365" s="9" t="s">
        <v>212</v>
      </c>
      <c r="I365" s="9" t="s">
        <v>213</v>
      </c>
      <c r="J365" s="9" t="s">
        <v>96</v>
      </c>
      <c r="K365" s="9" t="s">
        <v>1276</v>
      </c>
      <c r="L365" s="9" t="s">
        <v>35</v>
      </c>
      <c r="M365" s="9" t="s">
        <v>185</v>
      </c>
      <c r="N365" s="9" t="n">
        <v>196.84</v>
      </c>
      <c r="O365" s="9" t="n">
        <v>2</v>
      </c>
      <c r="P365" s="9" t="n">
        <v>0</v>
      </c>
      <c r="Q365" s="9" t="n">
        <v>20.72</v>
      </c>
    </row>
    <row r="366" customFormat="false" ht="15" hidden="false" customHeight="false" outlineLevel="0" collapsed="false">
      <c r="A366" s="9" t="s">
        <v>1277</v>
      </c>
      <c r="B366" s="9" t="s">
        <v>463</v>
      </c>
      <c r="C366" s="9" t="s">
        <v>1278</v>
      </c>
      <c r="D366" s="9" t="s">
        <v>40</v>
      </c>
      <c r="E366" s="9" t="s">
        <v>928</v>
      </c>
      <c r="F366" s="9" t="s">
        <v>29</v>
      </c>
      <c r="G366" s="9" t="s">
        <v>30</v>
      </c>
      <c r="H366" s="9" t="s">
        <v>42</v>
      </c>
      <c r="I366" s="9" t="s">
        <v>43</v>
      </c>
      <c r="J366" s="9" t="s">
        <v>44</v>
      </c>
      <c r="K366" s="9" t="s">
        <v>1279</v>
      </c>
      <c r="L366" s="9" t="s">
        <v>35</v>
      </c>
      <c r="M366" s="9" t="s">
        <v>356</v>
      </c>
      <c r="N366" s="9" t="n">
        <v>151.41</v>
      </c>
      <c r="O366" s="9" t="n">
        <v>7</v>
      </c>
      <c r="P366" s="9" t="n">
        <v>0</v>
      </c>
      <c r="Q366" s="9" t="n">
        <v>46.12</v>
      </c>
    </row>
    <row r="367" customFormat="false" ht="15" hidden="false" customHeight="false" outlineLevel="0" collapsed="false">
      <c r="A367" s="9" t="s">
        <v>410</v>
      </c>
      <c r="B367" s="9" t="s">
        <v>411</v>
      </c>
      <c r="C367" s="9" t="s">
        <v>412</v>
      </c>
      <c r="D367" s="9" t="s">
        <v>102</v>
      </c>
      <c r="E367" s="9" t="s">
        <v>413</v>
      </c>
      <c r="F367" s="9" t="s">
        <v>83</v>
      </c>
      <c r="G367" s="9" t="s">
        <v>30</v>
      </c>
      <c r="H367" s="9" t="s">
        <v>138</v>
      </c>
      <c r="I367" s="9" t="s">
        <v>85</v>
      </c>
      <c r="J367" s="9" t="s">
        <v>86</v>
      </c>
      <c r="K367" s="9" t="s">
        <v>1280</v>
      </c>
      <c r="L367" s="9" t="s">
        <v>88</v>
      </c>
      <c r="M367" s="9" t="s">
        <v>153</v>
      </c>
      <c r="N367" s="9" t="n">
        <v>364.8</v>
      </c>
      <c r="O367" s="9" t="n">
        <v>8</v>
      </c>
      <c r="P367" s="9" t="n">
        <v>0.1</v>
      </c>
      <c r="Q367" s="9" t="n">
        <v>45.63</v>
      </c>
    </row>
    <row r="368" customFormat="false" ht="15" hidden="false" customHeight="false" outlineLevel="0" collapsed="false">
      <c r="A368" s="9" t="s">
        <v>1281</v>
      </c>
      <c r="B368" s="9" t="s">
        <v>1282</v>
      </c>
      <c r="C368" s="9" t="s">
        <v>1283</v>
      </c>
      <c r="D368" s="9" t="s">
        <v>51</v>
      </c>
      <c r="E368" s="9" t="s">
        <v>1284</v>
      </c>
      <c r="F368" s="9" t="s">
        <v>60</v>
      </c>
      <c r="G368" s="9" t="s">
        <v>30</v>
      </c>
      <c r="H368" s="9" t="s">
        <v>61</v>
      </c>
      <c r="I368" s="9" t="s">
        <v>62</v>
      </c>
      <c r="J368" s="9" t="s">
        <v>44</v>
      </c>
      <c r="K368" s="9" t="s">
        <v>1285</v>
      </c>
      <c r="L368" s="9" t="s">
        <v>88</v>
      </c>
      <c r="M368" s="9" t="s">
        <v>197</v>
      </c>
      <c r="N368" s="9" t="n">
        <v>427.88</v>
      </c>
      <c r="O368" s="9" t="n">
        <v>2</v>
      </c>
      <c r="P368" s="9" t="n">
        <v>0.1</v>
      </c>
      <c r="Q368" s="9" t="n">
        <v>-86.7</v>
      </c>
    </row>
    <row r="369" customFormat="false" ht="15" hidden="false" customHeight="false" outlineLevel="0" collapsed="false">
      <c r="A369" s="9" t="s">
        <v>1286</v>
      </c>
      <c r="B369" s="9" t="s">
        <v>578</v>
      </c>
      <c r="C369" s="9" t="s">
        <v>72</v>
      </c>
      <c r="D369" s="9" t="s">
        <v>27</v>
      </c>
      <c r="E369" s="9" t="s">
        <v>553</v>
      </c>
      <c r="F369" s="9" t="s">
        <v>29</v>
      </c>
      <c r="G369" s="9" t="s">
        <v>30</v>
      </c>
      <c r="H369" s="9" t="s">
        <v>42</v>
      </c>
      <c r="I369" s="9" t="s">
        <v>43</v>
      </c>
      <c r="J369" s="9" t="s">
        <v>44</v>
      </c>
      <c r="K369" s="9" t="s">
        <v>1287</v>
      </c>
      <c r="L369" s="9" t="s">
        <v>35</v>
      </c>
      <c r="M369" s="9" t="s">
        <v>55</v>
      </c>
      <c r="N369" s="9" t="n">
        <v>190.25</v>
      </c>
      <c r="O369" s="9" t="n">
        <v>5</v>
      </c>
      <c r="P369" s="9" t="n">
        <v>0.15</v>
      </c>
      <c r="Q369" s="9" t="n">
        <v>-6.85</v>
      </c>
    </row>
    <row r="370" customFormat="false" ht="15" hidden="false" customHeight="false" outlineLevel="0" collapsed="false">
      <c r="A370" s="9" t="s">
        <v>815</v>
      </c>
      <c r="B370" s="9" t="s">
        <v>142</v>
      </c>
      <c r="C370" s="9" t="s">
        <v>816</v>
      </c>
      <c r="D370" s="9" t="s">
        <v>40</v>
      </c>
      <c r="E370" s="9" t="s">
        <v>817</v>
      </c>
      <c r="F370" s="9" t="s">
        <v>83</v>
      </c>
      <c r="G370" s="9" t="s">
        <v>30</v>
      </c>
      <c r="H370" s="9" t="s">
        <v>163</v>
      </c>
      <c r="I370" s="9" t="s">
        <v>164</v>
      </c>
      <c r="J370" s="9" t="s">
        <v>96</v>
      </c>
      <c r="K370" s="9" t="s">
        <v>1288</v>
      </c>
      <c r="L370" s="9" t="s">
        <v>88</v>
      </c>
      <c r="M370" s="9" t="s">
        <v>153</v>
      </c>
      <c r="N370" s="9" t="n">
        <v>105.45</v>
      </c>
      <c r="O370" s="9" t="n">
        <v>5</v>
      </c>
      <c r="P370" s="9" t="n">
        <v>0</v>
      </c>
      <c r="Q370" s="9" t="n">
        <v>10.93</v>
      </c>
    </row>
    <row r="371" customFormat="false" ht="15" hidden="false" customHeight="false" outlineLevel="0" collapsed="false">
      <c r="A371" s="9" t="s">
        <v>737</v>
      </c>
      <c r="B371" s="9" t="s">
        <v>738</v>
      </c>
      <c r="C371" s="9" t="s">
        <v>739</v>
      </c>
      <c r="D371" s="9" t="s">
        <v>40</v>
      </c>
      <c r="E371" s="9" t="s">
        <v>740</v>
      </c>
      <c r="F371" s="9" t="s">
        <v>29</v>
      </c>
      <c r="G371" s="9" t="s">
        <v>30</v>
      </c>
      <c r="H371" s="9" t="s">
        <v>239</v>
      </c>
      <c r="I371" s="9" t="s">
        <v>213</v>
      </c>
      <c r="J371" s="9" t="s">
        <v>96</v>
      </c>
      <c r="K371" s="9" t="s">
        <v>1289</v>
      </c>
      <c r="L371" s="9" t="s">
        <v>35</v>
      </c>
      <c r="M371" s="9" t="s">
        <v>114</v>
      </c>
      <c r="N371" s="9" t="n">
        <v>30.2</v>
      </c>
      <c r="O371" s="9" t="n">
        <v>2</v>
      </c>
      <c r="P371" s="9" t="n">
        <v>0</v>
      </c>
      <c r="Q371" s="9" t="n">
        <v>8.04</v>
      </c>
    </row>
    <row r="372" customFormat="false" ht="15" hidden="false" customHeight="false" outlineLevel="0" collapsed="false">
      <c r="A372" s="9" t="s">
        <v>1290</v>
      </c>
      <c r="B372" s="9" t="s">
        <v>1291</v>
      </c>
      <c r="C372" s="9" t="s">
        <v>366</v>
      </c>
      <c r="D372" s="9" t="s">
        <v>40</v>
      </c>
      <c r="E372" s="9" t="s">
        <v>694</v>
      </c>
      <c r="F372" s="9" t="s">
        <v>83</v>
      </c>
      <c r="G372" s="9" t="s">
        <v>30</v>
      </c>
      <c r="H372" s="9" t="s">
        <v>75</v>
      </c>
      <c r="I372" s="9" t="s">
        <v>76</v>
      </c>
      <c r="J372" s="9" t="s">
        <v>33</v>
      </c>
      <c r="K372" s="9" t="s">
        <v>1292</v>
      </c>
      <c r="L372" s="9" t="s">
        <v>88</v>
      </c>
      <c r="M372" s="9" t="s">
        <v>576</v>
      </c>
      <c r="N372" s="9" t="n">
        <v>562.35</v>
      </c>
      <c r="O372" s="9" t="n">
        <v>5</v>
      </c>
      <c r="P372" s="9" t="n">
        <v>0</v>
      </c>
      <c r="Q372" s="9" t="n">
        <v>70.95</v>
      </c>
    </row>
    <row r="373" customFormat="false" ht="15" hidden="false" customHeight="false" outlineLevel="0" collapsed="false">
      <c r="A373" s="9" t="s">
        <v>1293</v>
      </c>
      <c r="B373" s="9" t="s">
        <v>1121</v>
      </c>
      <c r="C373" s="9" t="s">
        <v>1278</v>
      </c>
      <c r="D373" s="9" t="s">
        <v>40</v>
      </c>
      <c r="E373" s="9" t="s">
        <v>565</v>
      </c>
      <c r="F373" s="9" t="s">
        <v>29</v>
      </c>
      <c r="G373" s="9" t="s">
        <v>30</v>
      </c>
      <c r="H373" s="9" t="s">
        <v>436</v>
      </c>
      <c r="I373" s="9" t="s">
        <v>105</v>
      </c>
      <c r="J373" s="9" t="s">
        <v>44</v>
      </c>
      <c r="K373" s="9" t="s">
        <v>1294</v>
      </c>
      <c r="L373" s="9" t="s">
        <v>88</v>
      </c>
      <c r="M373" s="9" t="s">
        <v>576</v>
      </c>
      <c r="N373" s="9" t="n">
        <v>982.71</v>
      </c>
      <c r="O373" s="9" t="n">
        <v>9</v>
      </c>
      <c r="P373" s="9" t="n">
        <v>0.15</v>
      </c>
      <c r="Q373" s="9" t="n">
        <v>8.95</v>
      </c>
    </row>
    <row r="374" customFormat="false" ht="15" hidden="false" customHeight="false" outlineLevel="0" collapsed="false">
      <c r="A374" s="9" t="s">
        <v>1295</v>
      </c>
      <c r="B374" s="9" t="s">
        <v>918</v>
      </c>
      <c r="C374" s="9" t="s">
        <v>676</v>
      </c>
      <c r="D374" s="9" t="s">
        <v>27</v>
      </c>
      <c r="E374" s="9" t="s">
        <v>881</v>
      </c>
      <c r="F374" s="9" t="s">
        <v>60</v>
      </c>
      <c r="G374" s="9" t="s">
        <v>30</v>
      </c>
      <c r="H374" s="9" t="s">
        <v>256</v>
      </c>
      <c r="I374" s="9" t="s">
        <v>32</v>
      </c>
      <c r="J374" s="9" t="s">
        <v>33</v>
      </c>
      <c r="K374" s="9" t="s">
        <v>1296</v>
      </c>
      <c r="L374" s="9" t="s">
        <v>46</v>
      </c>
      <c r="M374" s="9" t="s">
        <v>64</v>
      </c>
      <c r="N374" s="9" t="n">
        <v>5254.02</v>
      </c>
      <c r="O374" s="9" t="n">
        <v>3</v>
      </c>
      <c r="P374" s="9" t="n">
        <v>0.15</v>
      </c>
      <c r="Q374" s="9" t="n">
        <v>78.95</v>
      </c>
    </row>
    <row r="375" customFormat="false" ht="15" hidden="false" customHeight="false" outlineLevel="0" collapsed="false">
      <c r="A375" s="9" t="s">
        <v>582</v>
      </c>
      <c r="B375" s="9" t="s">
        <v>583</v>
      </c>
      <c r="C375" s="9" t="s">
        <v>584</v>
      </c>
      <c r="D375" s="9" t="s">
        <v>40</v>
      </c>
      <c r="E375" s="9" t="s">
        <v>52</v>
      </c>
      <c r="F375" s="9" t="s">
        <v>29</v>
      </c>
      <c r="G375" s="9" t="s">
        <v>30</v>
      </c>
      <c r="H375" s="9" t="s">
        <v>124</v>
      </c>
      <c r="I375" s="9" t="s">
        <v>125</v>
      </c>
      <c r="J375" s="9" t="s">
        <v>33</v>
      </c>
      <c r="K375" s="9" t="s">
        <v>1297</v>
      </c>
      <c r="L375" s="9" t="s">
        <v>35</v>
      </c>
      <c r="M375" s="9" t="s">
        <v>114</v>
      </c>
      <c r="N375" s="9" t="n">
        <v>90.1</v>
      </c>
      <c r="O375" s="9" t="n">
        <v>5</v>
      </c>
      <c r="P375" s="9" t="n">
        <v>0</v>
      </c>
      <c r="Q375" s="9" t="n">
        <v>27.51</v>
      </c>
    </row>
    <row r="376" customFormat="false" ht="15" hidden="false" customHeight="false" outlineLevel="0" collapsed="false">
      <c r="A376" s="9" t="s">
        <v>426</v>
      </c>
      <c r="B376" s="9" t="s">
        <v>362</v>
      </c>
      <c r="C376" s="9" t="s">
        <v>263</v>
      </c>
      <c r="D376" s="9" t="s">
        <v>51</v>
      </c>
      <c r="E376" s="9" t="s">
        <v>307</v>
      </c>
      <c r="F376" s="9" t="s">
        <v>83</v>
      </c>
      <c r="G376" s="9" t="s">
        <v>30</v>
      </c>
      <c r="H376" s="9" t="s">
        <v>138</v>
      </c>
      <c r="I376" s="9" t="s">
        <v>85</v>
      </c>
      <c r="J376" s="9" t="s">
        <v>86</v>
      </c>
      <c r="K376" s="9" t="s">
        <v>1298</v>
      </c>
      <c r="L376" s="9" t="s">
        <v>35</v>
      </c>
      <c r="M376" s="9" t="s">
        <v>78</v>
      </c>
      <c r="N376" s="9" t="n">
        <v>42.21</v>
      </c>
      <c r="O376" s="9" t="n">
        <v>3</v>
      </c>
      <c r="P376" s="9" t="n">
        <v>0</v>
      </c>
      <c r="Q376" s="9" t="n">
        <v>15.67</v>
      </c>
    </row>
    <row r="379" customFormat="false" ht="15" hidden="false" customHeight="false" outlineLevel="0" collapsed="false">
      <c r="A379" s="10" t="s">
        <v>1299</v>
      </c>
    </row>
    <row r="380" customFormat="false" ht="15" hidden="false" customHeight="false" outlineLevel="0" collapsed="false">
      <c r="A380" s="10" t="s">
        <v>1300</v>
      </c>
    </row>
    <row r="382" customFormat="false" ht="15" hidden="false" customHeight="false" outlineLevel="0" collapsed="false">
      <c r="A382" s="11" t="s">
        <v>1301</v>
      </c>
    </row>
  </sheetData>
  <conditionalFormatting sqref="A2:Q376">
    <cfRule type="expression" priority="2" aboveAverage="0" equalAverage="0" bottom="0" percent="0" rank="0" text="" dxfId="5">
      <formula>AND($P2&gt;0.2,$Q2&lt;0)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1302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1303</v>
      </c>
      <c r="B2" s="2"/>
      <c r="C2" s="2"/>
      <c r="D2" s="2"/>
      <c r="E2" s="2"/>
    </row>
    <row r="4" customFormat="false" ht="15" hidden="false" customHeight="false" outlineLevel="0" collapsed="false">
      <c r="A4" s="8" t="s">
        <v>16</v>
      </c>
      <c r="B4" s="8" t="s">
        <v>2</v>
      </c>
      <c r="C4" s="8" t="s">
        <v>3</v>
      </c>
      <c r="D4" s="8" t="s">
        <v>1304</v>
      </c>
      <c r="E4" s="8" t="s">
        <v>1305</v>
      </c>
    </row>
    <row r="5" customFormat="false" ht="15" hidden="false" customHeight="false" outlineLevel="0" collapsed="false">
      <c r="A5" s="12" t="s">
        <v>44</v>
      </c>
      <c r="B5" s="13" t="n">
        <f aca="false">SUMIFS(RawData_Cleaned!N:N,RawData_Cleaned!J:J,A5)</f>
        <v>84888.59</v>
      </c>
      <c r="C5" s="13" t="n">
        <f aca="false">SUMIFS(RawData_Cleaned!Q:Q,RawData_Cleaned!J:J,A5)</f>
        <v>2782.65</v>
      </c>
      <c r="D5" s="14" t="n">
        <f aca="false">COUNTIFS(RawData_Cleaned!J:J,A5)</f>
        <v>98</v>
      </c>
      <c r="E5" s="15" t="n">
        <f aca="false">C5/B5</f>
        <v>0.0327800237935393</v>
      </c>
    </row>
    <row r="6" customFormat="false" ht="15" hidden="false" customHeight="false" outlineLevel="0" collapsed="false">
      <c r="A6" s="12" t="s">
        <v>86</v>
      </c>
      <c r="B6" s="13" t="n">
        <f aca="false">SUMIFS(RawData_Cleaned!N:N,RawData_Cleaned!J:J,A6)</f>
        <v>129349.9</v>
      </c>
      <c r="C6" s="13" t="n">
        <f aca="false">SUMIFS(RawData_Cleaned!Q:Q,RawData_Cleaned!J:J,A6)</f>
        <v>6944.33</v>
      </c>
      <c r="D6" s="14" t="n">
        <f aca="false">COUNTIFS(RawData_Cleaned!J:J,A6)</f>
        <v>93</v>
      </c>
      <c r="E6" s="15" t="n">
        <f aca="false">C6/B6</f>
        <v>0.0536863963559307</v>
      </c>
    </row>
    <row r="7" customFormat="false" ht="15" hidden="false" customHeight="false" outlineLevel="0" collapsed="false">
      <c r="A7" s="12" t="s">
        <v>96</v>
      </c>
      <c r="B7" s="13" t="n">
        <f aca="false">SUMIFS(RawData_Cleaned!N:N,RawData_Cleaned!J:J,A7)</f>
        <v>72473.36</v>
      </c>
      <c r="C7" s="13" t="n">
        <f aca="false">SUMIFS(RawData_Cleaned!Q:Q,RawData_Cleaned!J:J,A7)</f>
        <v>-604.81</v>
      </c>
      <c r="D7" s="14" t="n">
        <f aca="false">COUNTIFS(RawData_Cleaned!J:J,A7)</f>
        <v>110</v>
      </c>
      <c r="E7" s="15" t="n">
        <f aca="false">C7/B7</f>
        <v>-0.00834527335285683</v>
      </c>
    </row>
    <row r="8" customFormat="false" ht="15" hidden="false" customHeight="false" outlineLevel="0" collapsed="false">
      <c r="A8" s="12" t="s">
        <v>33</v>
      </c>
      <c r="B8" s="13" t="n">
        <f aca="false">SUMIFS(RawData_Cleaned!N:N,RawData_Cleaned!J:J,A8)</f>
        <v>101193.07</v>
      </c>
      <c r="C8" s="13" t="n">
        <f aca="false">SUMIFS(RawData_Cleaned!Q:Q,RawData_Cleaned!J:J,A8)</f>
        <v>7023.98</v>
      </c>
      <c r="D8" s="14" t="n">
        <f aca="false">COUNTIFS(RawData_Cleaned!J:J,A8)</f>
        <v>74</v>
      </c>
      <c r="E8" s="15" t="n">
        <f aca="false">C8/B8</f>
        <v>0.0694116701865059</v>
      </c>
    </row>
    <row r="9" customFormat="false" ht="15" hidden="false" customHeight="false" outlineLevel="0" collapsed="false">
      <c r="A9" s="16" t="s">
        <v>1306</v>
      </c>
      <c r="B9" s="17" t="n">
        <f aca="false">SUM(B5:B8)</f>
        <v>387904.92</v>
      </c>
      <c r="C9" s="17" t="n">
        <f aca="false">SUM(C5:C8)</f>
        <v>16146.15</v>
      </c>
      <c r="D9" s="16" t="n">
        <f aca="false">SUM(D5:D8)</f>
        <v>375</v>
      </c>
    </row>
    <row r="11" customFormat="false" ht="15" hidden="false" customHeight="false" outlineLevel="0" collapsed="false">
      <c r="A11" s="7" t="s">
        <v>1307</v>
      </c>
      <c r="B11" s="18" t="str">
        <f aca="false">INDEX(A5:A8,MATCH(MAX(C5:C8),C5:C8,0))</f>
        <v>West</v>
      </c>
    </row>
  </sheetData>
  <mergeCells count="2">
    <mergeCell ref="A1:E1"/>
    <mergeCell ref="A2:E2"/>
  </mergeCells>
  <conditionalFormatting sqref="A5:E8">
    <cfRule type="expression" priority="2" aboveAverage="0" equalAverage="0" bottom="0" percent="0" rank="0" text="" dxfId="6">
      <formula>$C5=MAX($C$5:$C$8)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1308</v>
      </c>
      <c r="B1" s="1"/>
      <c r="C1" s="1"/>
      <c r="D1" s="1"/>
    </row>
    <row r="3" customFormat="false" ht="15" hidden="false" customHeight="false" outlineLevel="0" collapsed="false">
      <c r="A3" s="8" t="s">
        <v>18</v>
      </c>
      <c r="B3" s="8" t="s">
        <v>2</v>
      </c>
      <c r="C3" s="8" t="s">
        <v>3</v>
      </c>
      <c r="D3" s="8" t="s">
        <v>1304</v>
      </c>
    </row>
    <row r="4" customFormat="false" ht="15" hidden="false" customHeight="false" outlineLevel="0" collapsed="false">
      <c r="A4" s="19" t="s">
        <v>88</v>
      </c>
      <c r="B4" s="13" t="n">
        <f aca="false">SUMIFS(RawData_Cleaned!N:N,RawData_Cleaned!L:L,A4)</f>
        <v>91154.9</v>
      </c>
      <c r="C4" s="13" t="n">
        <f aca="false">SUMIFS(RawData_Cleaned!Q:Q,RawData_Cleaned!L:L,A4)</f>
        <v>-8401.64</v>
      </c>
      <c r="D4" s="19" t="n">
        <f aca="false">COUNTIFS(RawData_Cleaned!L:L,A4)</f>
        <v>94</v>
      </c>
    </row>
    <row r="5" customFormat="false" ht="15" hidden="false" customHeight="false" outlineLevel="0" collapsed="false">
      <c r="A5" s="19" t="s">
        <v>35</v>
      </c>
      <c r="B5" s="13" t="n">
        <f aca="false">SUMIFS(RawData_Cleaned!N:N,RawData_Cleaned!L:L,A5)</f>
        <v>48004.94</v>
      </c>
      <c r="C5" s="13" t="n">
        <f aca="false">SUMIFS(RawData_Cleaned!Q:Q,RawData_Cleaned!L:L,A5)</f>
        <v>4374.11</v>
      </c>
      <c r="D5" s="19" t="n">
        <f aca="false">COUNTIFS(RawData_Cleaned!L:L,A5)</f>
        <v>207</v>
      </c>
    </row>
    <row r="6" customFormat="false" ht="15" hidden="false" customHeight="false" outlineLevel="0" collapsed="false">
      <c r="A6" s="19" t="s">
        <v>46</v>
      </c>
      <c r="B6" s="13" t="n">
        <f aca="false">SUMIFS(RawData_Cleaned!N:N,RawData_Cleaned!L:L,A6)</f>
        <v>248745.08</v>
      </c>
      <c r="C6" s="13" t="n">
        <f aca="false">SUMIFS(RawData_Cleaned!Q:Q,RawData_Cleaned!L:L,A6)</f>
        <v>20173.68</v>
      </c>
      <c r="D6" s="19" t="n">
        <f aca="false">COUNTIFS(RawData_Cleaned!L:L,A6)</f>
        <v>74</v>
      </c>
    </row>
    <row r="9" customFormat="false" ht="15" hidden="false" customHeight="false" outlineLevel="0" collapsed="false">
      <c r="A9" s="8" t="s">
        <v>19</v>
      </c>
      <c r="B9" s="8" t="s">
        <v>2</v>
      </c>
      <c r="C9" s="8" t="s">
        <v>3</v>
      </c>
    </row>
    <row r="10" customFormat="false" ht="15" hidden="false" customHeight="false" outlineLevel="0" collapsed="false">
      <c r="A10" s="19" t="s">
        <v>70</v>
      </c>
      <c r="B10" s="13" t="n">
        <f aca="false">SUMIFS(RawData_Cleaned!N:N,RawData_Cleaned!M:M,A10)</f>
        <v>6066</v>
      </c>
      <c r="C10" s="13" t="n">
        <f aca="false">SUMIFS(RawData_Cleaned!Q:Q,RawData_Cleaned!M:M,A10)</f>
        <v>900.81</v>
      </c>
    </row>
    <row r="11" customFormat="false" ht="15" hidden="false" customHeight="false" outlineLevel="0" collapsed="false">
      <c r="A11" s="19" t="s">
        <v>185</v>
      </c>
      <c r="B11" s="13" t="n">
        <f aca="false">SUMIFS(RawData_Cleaned!N:N,RawData_Cleaned!M:M,A11)</f>
        <v>17727.74</v>
      </c>
      <c r="C11" s="13" t="n">
        <f aca="false">SUMIFS(RawData_Cleaned!Q:Q,RawData_Cleaned!M:M,A11)</f>
        <v>1700.84</v>
      </c>
    </row>
    <row r="12" customFormat="false" ht="15" hidden="false" customHeight="false" outlineLevel="0" collapsed="false">
      <c r="A12" s="19" t="s">
        <v>114</v>
      </c>
      <c r="B12" s="13" t="n">
        <f aca="false">SUMIFS(RawData_Cleaned!N:N,RawData_Cleaned!M:M,A12)</f>
        <v>1874.72</v>
      </c>
      <c r="C12" s="13" t="n">
        <f aca="false">SUMIFS(RawData_Cleaned!Q:Q,RawData_Cleaned!M:M,A12)</f>
        <v>357.34</v>
      </c>
    </row>
    <row r="13" customFormat="false" ht="15" hidden="false" customHeight="false" outlineLevel="0" collapsed="false">
      <c r="A13" s="19" t="s">
        <v>98</v>
      </c>
      <c r="B13" s="13" t="n">
        <f aca="false">SUMIFS(RawData_Cleaned!N:N,RawData_Cleaned!M:M,A13)</f>
        <v>2405.16</v>
      </c>
      <c r="C13" s="13" t="n">
        <f aca="false">SUMIFS(RawData_Cleaned!Q:Q,RawData_Cleaned!M:M,A13)</f>
        <v>-453.78</v>
      </c>
    </row>
    <row r="14" customFormat="false" ht="15" hidden="false" customHeight="false" outlineLevel="0" collapsed="false">
      <c r="A14" s="19" t="s">
        <v>89</v>
      </c>
      <c r="B14" s="13" t="n">
        <f aca="false">SUMIFS(RawData_Cleaned!N:N,RawData_Cleaned!M:M,A14)</f>
        <v>23226.9</v>
      </c>
      <c r="C14" s="13" t="n">
        <f aca="false">SUMIFS(RawData_Cleaned!Q:Q,RawData_Cleaned!M:M,A14)</f>
        <v>-2433.45</v>
      </c>
    </row>
    <row r="15" customFormat="false" ht="15" hidden="false" customHeight="false" outlineLevel="0" collapsed="false">
      <c r="A15" s="19" t="s">
        <v>576</v>
      </c>
      <c r="B15" s="13" t="n">
        <f aca="false">SUMIFS(RawData_Cleaned!N:N,RawData_Cleaned!M:M,A15)</f>
        <v>28440.49</v>
      </c>
      <c r="C15" s="13" t="n">
        <f aca="false">SUMIFS(RawData_Cleaned!Q:Q,RawData_Cleaned!M:M,A15)</f>
        <v>-877.21</v>
      </c>
    </row>
    <row r="16" customFormat="false" ht="15" hidden="false" customHeight="false" outlineLevel="0" collapsed="false">
      <c r="A16" s="19" t="s">
        <v>191</v>
      </c>
      <c r="B16" s="13" t="n">
        <f aca="false">SUMIFS(RawData_Cleaned!N:N,RawData_Cleaned!M:M,A16)</f>
        <v>76194.61</v>
      </c>
      <c r="C16" s="13" t="n">
        <f aca="false">SUMIFS(RawData_Cleaned!Q:Q,RawData_Cleaned!M:M,A16)</f>
        <v>18908.82</v>
      </c>
    </row>
    <row r="17" customFormat="false" ht="15" hidden="false" customHeight="false" outlineLevel="0" collapsed="false">
      <c r="A17" s="19" t="s">
        <v>356</v>
      </c>
      <c r="B17" s="13" t="n">
        <f aca="false">SUMIFS(RawData_Cleaned!N:N,RawData_Cleaned!M:M,A17)</f>
        <v>2244.74</v>
      </c>
      <c r="C17" s="13" t="n">
        <f aca="false">SUMIFS(RawData_Cleaned!Q:Q,RawData_Cleaned!M:M,A17)</f>
        <v>612.34</v>
      </c>
    </row>
    <row r="18" customFormat="false" ht="15" hidden="false" customHeight="false" outlineLevel="0" collapsed="false">
      <c r="A18" s="19" t="s">
        <v>179</v>
      </c>
      <c r="B18" s="13" t="n">
        <f aca="false">SUMIFS(RawData_Cleaned!N:N,RawData_Cleaned!M:M,A18)</f>
        <v>1363.23</v>
      </c>
      <c r="C18" s="13" t="n">
        <f aca="false">SUMIFS(RawData_Cleaned!Q:Q,RawData_Cleaned!M:M,A18)</f>
        <v>306.74</v>
      </c>
    </row>
    <row r="19" customFormat="false" ht="15" hidden="false" customHeight="false" outlineLevel="0" collapsed="false">
      <c r="A19" s="19" t="s">
        <v>153</v>
      </c>
      <c r="B19" s="13" t="n">
        <f aca="false">SUMIFS(RawData_Cleaned!N:N,RawData_Cleaned!M:M,A19)</f>
        <v>10504.73</v>
      </c>
      <c r="C19" s="13" t="n">
        <f aca="false">SUMIFS(RawData_Cleaned!Q:Q,RawData_Cleaned!M:M,A19)</f>
        <v>1733.88</v>
      </c>
    </row>
    <row r="20" customFormat="false" ht="15" hidden="false" customHeight="false" outlineLevel="0" collapsed="false">
      <c r="A20" s="19" t="s">
        <v>78</v>
      </c>
      <c r="B20" s="13" t="n">
        <f aca="false">SUMIFS(RawData_Cleaned!N:N,RawData_Cleaned!M:M,A20)</f>
        <v>1183.94</v>
      </c>
      <c r="C20" s="13" t="n">
        <f aca="false">SUMIFS(RawData_Cleaned!Q:Q,RawData_Cleaned!M:M,A20)</f>
        <v>343.82</v>
      </c>
    </row>
    <row r="21" customFormat="false" ht="15" hidden="false" customHeight="false" outlineLevel="0" collapsed="false">
      <c r="A21" s="19" t="s">
        <v>64</v>
      </c>
      <c r="B21" s="13" t="n">
        <f aca="false">SUMIFS(RawData_Cleaned!N:N,RawData_Cleaned!M:M,A21)</f>
        <v>111788.44</v>
      </c>
      <c r="C21" s="13" t="n">
        <f aca="false">SUMIFS(RawData_Cleaned!Q:Q,RawData_Cleaned!M:M,A21)</f>
        <v>-3922.22</v>
      </c>
    </row>
    <row r="22" customFormat="false" ht="15" hidden="false" customHeight="false" outlineLevel="0" collapsed="false">
      <c r="A22" s="19" t="s">
        <v>36</v>
      </c>
      <c r="B22" s="13" t="n">
        <f aca="false">SUMIFS(RawData_Cleaned!N:N,RawData_Cleaned!M:M,A22)</f>
        <v>2662.29</v>
      </c>
      <c r="C22" s="13" t="n">
        <f aca="false">SUMIFS(RawData_Cleaned!Q:Q,RawData_Cleaned!M:M,A22)</f>
        <v>649.85</v>
      </c>
    </row>
    <row r="23" customFormat="false" ht="15" hidden="false" customHeight="false" outlineLevel="0" collapsed="false">
      <c r="A23" s="19" t="s">
        <v>47</v>
      </c>
      <c r="B23" s="13" t="n">
        <f aca="false">SUMIFS(RawData_Cleaned!N:N,RawData_Cleaned!M:M,A23)</f>
        <v>54696.03</v>
      </c>
      <c r="C23" s="13" t="n">
        <f aca="false">SUMIFS(RawData_Cleaned!Q:Q,RawData_Cleaned!M:M,A23)</f>
        <v>4286.27</v>
      </c>
    </row>
    <row r="24" customFormat="false" ht="15" hidden="false" customHeight="false" outlineLevel="0" collapsed="false">
      <c r="A24" s="19" t="s">
        <v>173</v>
      </c>
      <c r="B24" s="13" t="n">
        <f aca="false">SUMIFS(RawData_Cleaned!N:N,RawData_Cleaned!M:M,A24)</f>
        <v>11665.87</v>
      </c>
      <c r="C24" s="13" t="n">
        <f aca="false">SUMIFS(RawData_Cleaned!Q:Q,RawData_Cleaned!M:M,A24)</f>
        <v>909.02</v>
      </c>
    </row>
    <row r="25" customFormat="false" ht="15" hidden="false" customHeight="false" outlineLevel="0" collapsed="false">
      <c r="A25" s="19" t="s">
        <v>55</v>
      </c>
      <c r="B25" s="13" t="n">
        <f aca="false">SUMIFS(RawData_Cleaned!N:N,RawData_Cleaned!M:M,A25)</f>
        <v>6877.25</v>
      </c>
      <c r="C25" s="13" t="n">
        <f aca="false">SUMIFS(RawData_Cleaned!Q:Q,RawData_Cleaned!M:M,A25)</f>
        <v>-52.06</v>
      </c>
    </row>
    <row r="26" customFormat="false" ht="15" hidden="false" customHeight="false" outlineLevel="0" collapsed="false">
      <c r="A26" s="19" t="s">
        <v>197</v>
      </c>
      <c r="B26" s="13" t="n">
        <f aca="false">SUMIFS(RawData_Cleaned!N:N,RawData_Cleaned!M:M,A26)</f>
        <v>28982.78</v>
      </c>
      <c r="C26" s="13" t="n">
        <f aca="false">SUMIFS(RawData_Cleaned!Q:Q,RawData_Cleaned!M:M,A26)</f>
        <v>-6824.86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1309</v>
      </c>
      <c r="B1" s="1"/>
      <c r="C1" s="1"/>
    </row>
    <row r="2" customFormat="false" ht="15" hidden="false" customHeight="false" outlineLevel="0" collapsed="false">
      <c r="A2" s="10" t="s">
        <v>1310</v>
      </c>
    </row>
    <row r="3" customFormat="false" ht="15" hidden="false" customHeight="false" outlineLevel="0" collapsed="false">
      <c r="A3" s="8" t="s">
        <v>1311</v>
      </c>
      <c r="B3" s="8" t="s">
        <v>19</v>
      </c>
      <c r="C3" s="8" t="s">
        <v>3</v>
      </c>
    </row>
    <row r="4" customFormat="false" ht="15" hidden="false" customHeight="false" outlineLevel="0" collapsed="false">
      <c r="A4" s="19" t="n">
        <v>1</v>
      </c>
      <c r="B4" s="19" t="str">
        <f aca="false">INDEX(Category_SubCategory!$A$10:$A$26,MATCH(C4,Category_SubCategory!$C$10:$C$26,0))</f>
        <v>Copiers</v>
      </c>
      <c r="C4" s="13" t="n">
        <f aca="false">LARGE(Category_SubCategory!$C$10:$C$26,1)</f>
        <v>18908.82</v>
      </c>
    </row>
    <row r="5" customFormat="false" ht="15" hidden="false" customHeight="false" outlineLevel="0" collapsed="false">
      <c r="A5" s="19" t="n">
        <v>2</v>
      </c>
      <c r="B5" s="19" t="str">
        <f aca="false">INDEX(Category_SubCategory!$A$10:$A$26,MATCH(C5,Category_SubCategory!$C$10:$C$26,0))</f>
        <v>Phones</v>
      </c>
      <c r="C5" s="13" t="n">
        <f aca="false">LARGE(Category_SubCategory!$C$10:$C$26,2)</f>
        <v>4286.27</v>
      </c>
    </row>
    <row r="6" customFormat="false" ht="15" hidden="false" customHeight="false" outlineLevel="0" collapsed="false">
      <c r="A6" s="19" t="n">
        <v>3</v>
      </c>
      <c r="B6" s="19" t="str">
        <f aca="false">INDEX(Category_SubCategory!$A$10:$A$26,MATCH(C6,Category_SubCategory!$C$10:$C$26,0))</f>
        <v>Furnishings</v>
      </c>
      <c r="C6" s="13" t="n">
        <f aca="false">LARGE(Category_SubCategory!$C$10:$C$26,3)</f>
        <v>1733.88</v>
      </c>
    </row>
    <row r="7" customFormat="false" ht="15" hidden="false" customHeight="false" outlineLevel="0" collapsed="false">
      <c r="A7" s="19" t="n">
        <v>4</v>
      </c>
      <c r="B7" s="19" t="str">
        <f aca="false">INDEX(Category_SubCategory!$A$10:$A$26,MATCH(C7,Category_SubCategory!$C$10:$C$26,0))</f>
        <v>Appliances</v>
      </c>
      <c r="C7" s="13" t="n">
        <f aca="false">LARGE(Category_SubCategory!$C$10:$C$26,4)</f>
        <v>1700.84</v>
      </c>
    </row>
    <row r="8" customFormat="false" ht="15" hidden="false" customHeight="false" outlineLevel="0" collapsed="false">
      <c r="A8" s="19" t="n">
        <v>5</v>
      </c>
      <c r="B8" s="19" t="str">
        <f aca="false">INDEX(Category_SubCategory!$A$10:$A$26,MATCH(C8,Category_SubCategory!$C$10:$C$26,0))</f>
        <v>Storage</v>
      </c>
      <c r="C8" s="13" t="n">
        <f aca="false">LARGE(Category_SubCategory!$C$10:$C$26,5)</f>
        <v>909.02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2026-08-08T06:38:32Z</dcterms:created>
  <dc:creator>openpyxl</dc:creator>
  <dc:description/>
  <dc:language>en-US</dc:language>
  <cp:lastModifiedBy/>
  <dcterms:modified xsi:type="dcterms:W3CDTF">2026-08-08T06:38:38Z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