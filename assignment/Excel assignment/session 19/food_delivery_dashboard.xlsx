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rdersData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<sst xmlns="http://schemas.openxmlformats.org/spreadsheetml/2006/main" count="259" uniqueCount="32">
  <si>
    <t xml:space="preserve">🍽️  ZOMATO-STYLE FOOD DELIVERY ANALYTICS DASHBOARD</t>
  </si>
  <si>
    <t xml:space="preserve">Jan – Jun · Order Volume, Cuisine Mix &amp; Revenue Trends</t>
  </si>
  <si>
    <t xml:space="preserve">KPIs</t>
  </si>
  <si>
    <t xml:space="preserve">MIN ORDER VALUE</t>
  </si>
  <si>
    <t xml:space="preserve">MAX ORDER VALUE</t>
  </si>
  <si>
    <t xml:space="preserve">AVERAGE ORDER VALUE</t>
  </si>
  <si>
    <t xml:space="preserve">TOTAL ORDERS</t>
  </si>
  <si>
    <t xml:space="preserve">TRENDS</t>
  </si>
  <si>
    <t xml:space="preserve">INSIGHTS</t>
  </si>
  <si>
    <t xml:space="preserve">• Indian cuisine drives the largest share of orders — prioritize it for promo placement.</t>
  </si>
  <si>
    <t xml:space="preserve">• Order volume dipped in months where 'Decrease' (red) bars appear — investigate churn or competitor promos in those months.</t>
  </si>
  <si>
    <t xml:space="preserve">• Average order value sits well above the minimum, suggesting upsell prompts (combo offers) could push more orders toward the max range.</t>
  </si>
  <si>
    <t xml:space="preserve">Order ID</t>
  </si>
  <si>
    <t xml:space="preserve">Cuisine</t>
  </si>
  <si>
    <t xml:space="preserve">Order Amount (₹)</t>
  </si>
  <si>
    <t xml:space="preserve">Month</t>
  </si>
  <si>
    <t xml:space="preserve">Chinese</t>
  </si>
  <si>
    <t xml:space="preserve">Jan</t>
  </si>
  <si>
    <t xml:space="preserve">Mexican</t>
  </si>
  <si>
    <t xml:space="preserve">Italian</t>
  </si>
  <si>
    <t xml:space="preserve">Indian</t>
  </si>
  <si>
    <t xml:space="preserve">Continental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</si>
  <si>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</si>
  <si>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</si>
  <si>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</si>
  <si>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</si>
  <si>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</si>
  <si>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Total Orders (Count)</t>
  </si>
  <si>
    <t xml:space="preserve">Change vs Prev Month</t>
  </si>
  <si>
    <t xml:space="preserve">Base (invisible)</t>
  </si>
  <si>
    <t xml:space="preserve">Increase</t>
  </si>
  <si>
    <t xml:space="preserve">Decrease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</si>
</sst>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#,##0"/>
    <numFmt numFmtId="167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B3B3B3"/>
      <name val="Arial"/>
      <family val="0"/>
      <charset val="1"/>
    </font>
    <font>
      <b val="true"/>
      <sz val="12"/>
      <color rgb="FF1DB954"/>
      <name val="Arial"/>
      <family val="0"/>
      <charset val="1"/>
    </font>
    <font>
      <b val="true"/>
      <sz val="11"/>
      <color rgb="FFB3B3B3"/>
      <name val="Arial"/>
      <family val="0"/>
      <charset val="1"/>
    </font>
    <font>
      <b val="true"/>
      <sz val="20"/>
      <color rgb="FF1DB954"/>
      <name val="Arial"/>
      <family val="0"/>
      <charset val="1"/>
    </font>
    <font>
      <b val="true"/>
      <sz val="20"/>
      <color rgb="FF1ED76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91414"/>
        <bgColor rgb="FF282828"/>
      </patternFill>
    </fill>
    <fill>
      <patternFill patternType="solid">
        <fgColor rgb="FF282828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1ED76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1DB954"/>
      <rgbColor rgb="FF191414"/>
      <rgbColor rgb="FF333300"/>
      <rgbColor rgb="FF993300"/>
      <rgbColor rgb="FFE63946"/>
      <rgbColor rgb="FF333399"/>
      <rgbColor rgb="FF2828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Share by Cuisine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Summary!B1</c:f>
              <c:strCache>
                <c:ptCount val="1"/>
                <c:pt idx="0">
                  <c:v>Total Orders (Count)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Summary!$A$2:$A$6</c:f>
              <c:strCache>
                <c:ptCount val="5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  <c:pt idx="3">
                  <c:v>Mexican</c:v>
                </c:pt>
                <c:pt idx="4">
                  <c:v>Continental</c:v>
                </c:pt>
              </c:strCache>
            </c:strRef>
          </c:cat>
          <c:val>
            <c:numRef>
              <c:f>Summary!$B$2:$B$6</c:f>
              <c:numCache>
                <c:formatCode>General</c:formatCode>
                <c:ptCount val="5"/>
                <c:pt idx="0">
                  <c:v>51</c:v>
                </c:pt>
                <c:pt idx="1">
                  <c:v>19</c:v>
                </c:pt>
                <c:pt idx="2">
                  <c:v>14</c:v>
                </c:pt>
                <c:pt idx="3">
                  <c:v>13</c:v>
                </c:pt>
                <c:pt idx="4">
                  <c:v>15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Month-on-Month Order Volume (Waterfall)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Summary!D8</c:f>
              <c:strCache>
                <c:ptCount val="1"/>
                <c:pt idx="0">
                  <c:v>Base (invisible)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Summary!$D$9:$D$14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15</c:v>
                </c:pt>
                <c:pt idx="3">
                  <c:v>15</c:v>
                </c:pt>
                <c:pt idx="4">
                  <c:v>18</c:v>
                </c:pt>
                <c:pt idx="5">
                  <c:v>18</c:v>
                </c:pt>
              </c:numCache>
            </c:numRef>
          </c:val>
        </c:ser>
        <c:ser>
          <c:idx val="1"/>
          <c:order val="1"/>
          <c:tx>
            <c:strRef>
              <c:f>Summary!E8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1db95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Summary!$E$9:$E$14</c:f>
              <c:numCache>
                <c:formatCode>General</c:formatCode>
                <c:ptCount val="6"/>
                <c:pt idx="0">
                  <c:v>18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Summary!F8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e639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Summary!$F$9:$F$14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</c:numCache>
            </c:numRef>
          </c:val>
        </c:ser>
        <c:gapWidth val="150"/>
        <c:overlap val="100"/>
        <c:axId val="73124862"/>
        <c:axId val="33460548"/>
      </c:barChart>
      <c:catAx>
        <c:axId val="73124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60548"/>
        <c:crosses val="autoZero"/>
        <c:auto val="1"/>
        <c:lblAlgn val="ctr"/>
        <c:lblOffset val="100"/>
        <c:noMultiLvlLbl val="0"/>
      </c:catAx>
      <c:valAx>
        <c:axId val="334605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24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5</xdr:col>
      <xdr:colOff>90360</xdr:colOff>
      <xdr:row>26</xdr:row>
      <xdr:rowOff>21960</xdr:rowOff>
    </xdr:to>
    <xdr:graphicFrame>
      <xdr:nvGraphicFramePr>
        <xdr:cNvPr id="0" name="Chart 1"/>
        <xdr:cNvGraphicFramePr/>
      </xdr:nvGraphicFramePr>
      <xdr:xfrm>
        <a:off x="0" y="22669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12</xdr:col>
      <xdr:colOff>810720</xdr:colOff>
      <xdr:row>26</xdr:row>
      <xdr:rowOff>21960</xdr:rowOff>
    </xdr:to>
    <xdr:graphicFrame>
      <xdr:nvGraphicFramePr>
        <xdr:cNvPr id="1" name="Chart 2"/>
        <xdr:cNvGraphicFramePr/>
      </xdr:nvGraphicFramePr>
      <xdr:xfrm>
        <a:off x="5920920" y="22669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15" hidden="false" customHeight="false" outlineLevel="0" collapsed="false">
      <c r="A6" s="5" t="s">
        <v>3</v>
      </c>
      <c r="B6" s="5"/>
      <c r="C6" s="5"/>
      <c r="D6" s="5"/>
      <c r="E6" s="5" t="s">
        <v>4</v>
      </c>
      <c r="F6" s="5"/>
      <c r="G6" s="5"/>
      <c r="H6" s="5"/>
      <c r="I6" s="5" t="s">
        <v>5</v>
      </c>
      <c r="J6" s="5"/>
      <c r="K6" s="5"/>
      <c r="L6" s="5"/>
      <c r="M6" s="5" t="s">
        <v>6</v>
      </c>
      <c r="N6" s="5"/>
      <c r="O6" s="5"/>
      <c r="P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6" t="n">
        <f aca="false">MIN(OrdersData!C2:C113)</f>
        <v>183.59</v>
      </c>
      <c r="B8" s="6"/>
      <c r="C8" s="6"/>
      <c r="D8" s="6"/>
      <c r="E8" s="7" t="n">
        <f aca="false">MAX(OrdersData!C2:C113)</f>
        <v>934.51</v>
      </c>
      <c r="F8" s="7"/>
      <c r="G8" s="7"/>
      <c r="H8" s="7"/>
      <c r="I8" s="8" t="n">
        <f aca="false">AVERAGE(OrdersData!C2:C113)</f>
        <v>587.353303571429</v>
      </c>
      <c r="J8" s="8"/>
      <c r="K8" s="8"/>
      <c r="L8" s="8"/>
      <c r="M8" s="9" t="n">
        <f aca="false">COUNTA(OrdersData!A2:A113)</f>
        <v>112</v>
      </c>
      <c r="N8" s="9"/>
      <c r="O8" s="9"/>
      <c r="P8" s="9"/>
    </row>
    <row r="9" customFormat="false" ht="15" hidden="false" customHeight="false" outlineLevel="0" collapsed="false">
      <c r="A9" s="6"/>
      <c r="B9" s="6"/>
      <c r="C9" s="6"/>
      <c r="D9" s="6"/>
      <c r="E9" s="7"/>
      <c r="F9" s="7"/>
      <c r="G9" s="7"/>
      <c r="H9" s="7"/>
      <c r="I9" s="8"/>
      <c r="J9" s="8"/>
      <c r="K9" s="8"/>
      <c r="L9" s="8"/>
      <c r="M9" s="9"/>
      <c r="N9" s="9"/>
      <c r="O9" s="9"/>
      <c r="P9" s="9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5" hidden="false" customHeight="false" outlineLevel="0" collapsed="false">
      <c r="A11" s="4" t="s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5" hidden="false" customHeight="false" outlineLevel="0" collapsed="false">
      <c r="A29" s="4" t="s">
        <v>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customFormat="false" ht="18" hidden="false" customHeight="true" outlineLevel="0" collapsed="false">
      <c r="A30" s="10" t="s">
        <v>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customFormat="false" ht="18" hidden="false" customHeight="true" outlineLevel="0" collapsed="false">
      <c r="A31" s="10" t="s">
        <v>10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customFormat="false" ht="18" hidden="false" customHeight="true" outlineLevel="0" collapsed="false">
      <c r="A32" s="10" t="s">
        <v>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</sheetData>
  <mergeCells count="16">
    <mergeCell ref="A1:P2"/>
    <mergeCell ref="A3:P3"/>
    <mergeCell ref="A5:P5"/>
    <mergeCell ref="A6:D7"/>
    <mergeCell ref="E6:H7"/>
    <mergeCell ref="I6:L7"/>
    <mergeCell ref="M6:P7"/>
    <mergeCell ref="A8:D9"/>
    <mergeCell ref="E8:H9"/>
    <mergeCell ref="I8:L9"/>
    <mergeCell ref="M8:P9"/>
    <mergeCell ref="A11:P11"/>
    <mergeCell ref="A29:P29"/>
    <mergeCell ref="A30:P30"/>
    <mergeCell ref="A31:P31"/>
    <mergeCell ref="A32:P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1" t="s">
        <v>12</v>
      </c>
      <c r="B1" s="11" t="s">
        <v>13</v>
      </c>
      <c r="C1" s="11" t="s">
        <v>14</v>
      </c>
      <c r="D1" s="11" t="s">
        <v>15</v>
      </c>
    </row>
    <row r="2" customFormat="false" ht="15" hidden="false" customHeight="false" outlineLevel="0" collapsed="false">
      <c r="A2" s="12" t="n">
        <v>8001</v>
      </c>
      <c r="B2" s="12" t="s">
        <v>16</v>
      </c>
      <c r="C2" s="13" t="n">
        <v>280.43</v>
      </c>
      <c r="D2" s="12" t="s">
        <v>17</v>
      </c>
    </row>
    <row r="3" customFormat="false" ht="15" hidden="false" customHeight="false" outlineLevel="0" collapsed="false">
      <c r="A3" s="12" t="n">
        <v>8002</v>
      </c>
      <c r="B3" s="12" t="s">
        <v>18</v>
      </c>
      <c r="C3" s="13" t="n">
        <v>545.02</v>
      </c>
      <c r="D3" s="12" t="s">
        <v>17</v>
      </c>
    </row>
    <row r="4" customFormat="false" ht="15" hidden="false" customHeight="false" outlineLevel="0" collapsed="false">
      <c r="A4" s="12" t="n">
        <v>8003</v>
      </c>
      <c r="B4" s="12" t="s">
        <v>16</v>
      </c>
      <c r="C4" s="13" t="n">
        <v>646.31</v>
      </c>
      <c r="D4" s="12" t="s">
        <v>17</v>
      </c>
    </row>
    <row r="5" customFormat="false" ht="15" hidden="false" customHeight="false" outlineLevel="0" collapsed="false">
      <c r="A5" s="12" t="n">
        <v>8004</v>
      </c>
      <c r="B5" s="12" t="s">
        <v>18</v>
      </c>
      <c r="C5" s="13" t="n">
        <v>541.31</v>
      </c>
      <c r="D5" s="12" t="s">
        <v>17</v>
      </c>
    </row>
    <row r="6" customFormat="false" ht="15" hidden="false" customHeight="false" outlineLevel="0" collapsed="false">
      <c r="A6" s="12" t="n">
        <v>8005</v>
      </c>
      <c r="B6" s="12" t="s">
        <v>16</v>
      </c>
      <c r="C6" s="13" t="n">
        <v>327.64</v>
      </c>
      <c r="D6" s="12" t="s">
        <v>17</v>
      </c>
    </row>
    <row r="7" customFormat="false" ht="15" hidden="false" customHeight="false" outlineLevel="0" collapsed="false">
      <c r="A7" s="12" t="n">
        <v>8006</v>
      </c>
      <c r="B7" s="12" t="s">
        <v>19</v>
      </c>
      <c r="C7" s="13" t="n">
        <v>596.55</v>
      </c>
      <c r="D7" s="12" t="s">
        <v>17</v>
      </c>
    </row>
    <row r="8" customFormat="false" ht="15" hidden="false" customHeight="false" outlineLevel="0" collapsed="false">
      <c r="A8" s="12" t="n">
        <v>8007</v>
      </c>
      <c r="B8" s="12" t="s">
        <v>16</v>
      </c>
      <c r="C8" s="13" t="n">
        <v>485.79</v>
      </c>
      <c r="D8" s="12" t="s">
        <v>17</v>
      </c>
    </row>
    <row r="9" customFormat="false" ht="15" hidden="false" customHeight="false" outlineLevel="0" collapsed="false">
      <c r="A9" s="12" t="n">
        <v>8008</v>
      </c>
      <c r="B9" s="12" t="s">
        <v>18</v>
      </c>
      <c r="C9" s="13" t="n">
        <v>358.58</v>
      </c>
      <c r="D9" s="12" t="s">
        <v>17</v>
      </c>
    </row>
    <row r="10" customFormat="false" ht="15" hidden="false" customHeight="false" outlineLevel="0" collapsed="false">
      <c r="A10" s="12" t="n">
        <v>8009</v>
      </c>
      <c r="B10" s="12" t="s">
        <v>20</v>
      </c>
      <c r="C10" s="13" t="n">
        <v>892.89</v>
      </c>
      <c r="D10" s="12" t="s">
        <v>17</v>
      </c>
    </row>
    <row r="11" customFormat="false" ht="15" hidden="false" customHeight="false" outlineLevel="0" collapsed="false">
      <c r="A11" s="12" t="n">
        <v>8010</v>
      </c>
      <c r="B11" s="12" t="s">
        <v>20</v>
      </c>
      <c r="C11" s="13" t="n">
        <v>191.66</v>
      </c>
      <c r="D11" s="12" t="s">
        <v>17</v>
      </c>
    </row>
    <row r="12" customFormat="false" ht="15" hidden="false" customHeight="false" outlineLevel="0" collapsed="false">
      <c r="A12" s="12" t="n">
        <v>8011</v>
      </c>
      <c r="B12" s="12" t="s">
        <v>19</v>
      </c>
      <c r="C12" s="13" t="n">
        <v>302.74</v>
      </c>
      <c r="D12" s="12" t="s">
        <v>17</v>
      </c>
    </row>
    <row r="13" customFormat="false" ht="15" hidden="false" customHeight="false" outlineLevel="0" collapsed="false">
      <c r="A13" s="12" t="n">
        <v>8012</v>
      </c>
      <c r="B13" s="12" t="s">
        <v>21</v>
      </c>
      <c r="C13" s="13" t="n">
        <v>212.95</v>
      </c>
      <c r="D13" s="12" t="s">
        <v>17</v>
      </c>
    </row>
    <row r="14" customFormat="false" ht="15" hidden="false" customHeight="false" outlineLevel="0" collapsed="false">
      <c r="A14" s="12" t="n">
        <v>8013</v>
      </c>
      <c r="B14" s="12" t="s">
        <v>19</v>
      </c>
      <c r="C14" s="13" t="n">
        <v>814.15</v>
      </c>
      <c r="D14" s="12" t="s">
        <v>17</v>
      </c>
    </row>
    <row r="15" customFormat="false" ht="15" hidden="false" customHeight="false" outlineLevel="0" collapsed="false">
      <c r="A15" s="12" t="n">
        <v>8014</v>
      </c>
      <c r="B15" s="12" t="s">
        <v>20</v>
      </c>
      <c r="C15" s="13" t="n">
        <v>637.96</v>
      </c>
      <c r="D15" s="12" t="s">
        <v>17</v>
      </c>
    </row>
    <row r="16" customFormat="false" ht="15" hidden="false" customHeight="false" outlineLevel="0" collapsed="false">
      <c r="A16" s="12" t="n">
        <v>8015</v>
      </c>
      <c r="B16" s="12" t="s">
        <v>21</v>
      </c>
      <c r="C16" s="13" t="n">
        <v>478.46</v>
      </c>
      <c r="D16" s="12" t="s">
        <v>17</v>
      </c>
    </row>
    <row r="17" customFormat="false" ht="15" hidden="false" customHeight="false" outlineLevel="0" collapsed="false">
      <c r="A17" s="12" t="n">
        <v>8016</v>
      </c>
      <c r="B17" s="12" t="s">
        <v>19</v>
      </c>
      <c r="C17" s="13" t="n">
        <v>508.74</v>
      </c>
      <c r="D17" s="12" t="s">
        <v>17</v>
      </c>
    </row>
    <row r="18" customFormat="false" ht="15" hidden="false" customHeight="false" outlineLevel="0" collapsed="false">
      <c r="A18" s="12" t="n">
        <v>8017</v>
      </c>
      <c r="B18" s="12" t="s">
        <v>19</v>
      </c>
      <c r="C18" s="13" t="n">
        <v>624.22</v>
      </c>
      <c r="D18" s="12" t="s">
        <v>17</v>
      </c>
    </row>
    <row r="19" customFormat="false" ht="15" hidden="false" customHeight="false" outlineLevel="0" collapsed="false">
      <c r="A19" s="12" t="n">
        <v>8018</v>
      </c>
      <c r="B19" s="12" t="s">
        <v>21</v>
      </c>
      <c r="C19" s="13" t="n">
        <v>283.29</v>
      </c>
      <c r="D19" s="12" t="s">
        <v>17</v>
      </c>
    </row>
    <row r="20" customFormat="false" ht="15" hidden="false" customHeight="false" outlineLevel="0" collapsed="false">
      <c r="A20" s="12" t="n">
        <v>8019</v>
      </c>
      <c r="B20" s="12" t="s">
        <v>20</v>
      </c>
      <c r="C20" s="13" t="n">
        <v>284.7</v>
      </c>
      <c r="D20" s="12" t="s">
        <v>22</v>
      </c>
    </row>
    <row r="21" customFormat="false" ht="15" hidden="false" customHeight="false" outlineLevel="0" collapsed="false">
      <c r="A21" s="12" t="n">
        <v>8020</v>
      </c>
      <c r="B21" s="12" t="s">
        <v>20</v>
      </c>
      <c r="C21" s="13" t="n">
        <v>923.42</v>
      </c>
      <c r="D21" s="12" t="s">
        <v>22</v>
      </c>
    </row>
    <row r="22" customFormat="false" ht="15" hidden="false" customHeight="false" outlineLevel="0" collapsed="false">
      <c r="A22" s="12" t="n">
        <v>8021</v>
      </c>
      <c r="B22" s="12" t="s">
        <v>16</v>
      </c>
      <c r="C22" s="13" t="n">
        <v>662.52</v>
      </c>
      <c r="D22" s="12" t="s">
        <v>22</v>
      </c>
    </row>
    <row r="23" customFormat="false" ht="15" hidden="false" customHeight="false" outlineLevel="0" collapsed="false">
      <c r="A23" s="12" t="n">
        <v>8022</v>
      </c>
      <c r="B23" s="12" t="s">
        <v>20</v>
      </c>
      <c r="C23" s="13" t="n">
        <v>570.58</v>
      </c>
      <c r="D23" s="12" t="s">
        <v>22</v>
      </c>
    </row>
    <row r="24" customFormat="false" ht="15" hidden="false" customHeight="false" outlineLevel="0" collapsed="false">
      <c r="A24" s="12" t="n">
        <v>8023</v>
      </c>
      <c r="B24" s="12" t="s">
        <v>20</v>
      </c>
      <c r="C24" s="13" t="n">
        <v>450.2</v>
      </c>
      <c r="D24" s="12" t="s">
        <v>22</v>
      </c>
    </row>
    <row r="25" customFormat="false" ht="15" hidden="false" customHeight="false" outlineLevel="0" collapsed="false">
      <c r="A25" s="12" t="n">
        <v>8024</v>
      </c>
      <c r="B25" s="12" t="s">
        <v>16</v>
      </c>
      <c r="C25" s="13" t="n">
        <v>629.87</v>
      </c>
      <c r="D25" s="12" t="s">
        <v>22</v>
      </c>
    </row>
    <row r="26" customFormat="false" ht="15" hidden="false" customHeight="false" outlineLevel="0" collapsed="false">
      <c r="A26" s="12" t="n">
        <v>8025</v>
      </c>
      <c r="B26" s="12" t="s">
        <v>18</v>
      </c>
      <c r="C26" s="13" t="n">
        <v>705.13</v>
      </c>
      <c r="D26" s="12" t="s">
        <v>22</v>
      </c>
    </row>
    <row r="27" customFormat="false" ht="15" hidden="false" customHeight="false" outlineLevel="0" collapsed="false">
      <c r="A27" s="12" t="n">
        <v>8026</v>
      </c>
      <c r="B27" s="12" t="s">
        <v>21</v>
      </c>
      <c r="C27" s="13" t="n">
        <v>839.43</v>
      </c>
      <c r="D27" s="12" t="s">
        <v>22</v>
      </c>
    </row>
    <row r="28" customFormat="false" ht="15" hidden="false" customHeight="false" outlineLevel="0" collapsed="false">
      <c r="A28" s="12" t="n">
        <v>8027</v>
      </c>
      <c r="B28" s="12" t="s">
        <v>21</v>
      </c>
      <c r="C28" s="13" t="n">
        <v>696.88</v>
      </c>
      <c r="D28" s="12" t="s">
        <v>22</v>
      </c>
    </row>
    <row r="29" customFormat="false" ht="15" hidden="false" customHeight="false" outlineLevel="0" collapsed="false">
      <c r="A29" s="12" t="n">
        <v>8028</v>
      </c>
      <c r="B29" s="12" t="s">
        <v>20</v>
      </c>
      <c r="C29" s="13" t="n">
        <v>842.69</v>
      </c>
      <c r="D29" s="12" t="s">
        <v>22</v>
      </c>
    </row>
    <row r="30" customFormat="false" ht="15" hidden="false" customHeight="false" outlineLevel="0" collapsed="false">
      <c r="A30" s="12" t="n">
        <v>8029</v>
      </c>
      <c r="B30" s="12" t="s">
        <v>21</v>
      </c>
      <c r="C30" s="13" t="n">
        <v>876.62</v>
      </c>
      <c r="D30" s="12" t="s">
        <v>22</v>
      </c>
    </row>
    <row r="31" customFormat="false" ht="15" hidden="false" customHeight="false" outlineLevel="0" collapsed="false">
      <c r="A31" s="12" t="n">
        <v>8030</v>
      </c>
      <c r="B31" s="12" t="s">
        <v>16</v>
      </c>
      <c r="C31" s="13" t="n">
        <v>729.64</v>
      </c>
      <c r="D31" s="12" t="s">
        <v>22</v>
      </c>
    </row>
    <row r="32" customFormat="false" ht="15" hidden="false" customHeight="false" outlineLevel="0" collapsed="false">
      <c r="A32" s="12" t="n">
        <v>8031</v>
      </c>
      <c r="B32" s="12" t="s">
        <v>20</v>
      </c>
      <c r="C32" s="13" t="n">
        <v>820.34</v>
      </c>
      <c r="D32" s="12" t="s">
        <v>22</v>
      </c>
    </row>
    <row r="33" customFormat="false" ht="15" hidden="false" customHeight="false" outlineLevel="0" collapsed="false">
      <c r="A33" s="12" t="n">
        <v>8032</v>
      </c>
      <c r="B33" s="12" t="s">
        <v>16</v>
      </c>
      <c r="C33" s="13" t="n">
        <v>399.42</v>
      </c>
      <c r="D33" s="12" t="s">
        <v>22</v>
      </c>
    </row>
    <row r="34" customFormat="false" ht="15" hidden="false" customHeight="false" outlineLevel="0" collapsed="false">
      <c r="A34" s="12" t="n">
        <v>8033</v>
      </c>
      <c r="B34" s="12" t="s">
        <v>20</v>
      </c>
      <c r="C34" s="13" t="n">
        <v>837.54</v>
      </c>
      <c r="D34" s="12" t="s">
        <v>22</v>
      </c>
    </row>
    <row r="35" customFormat="false" ht="15" hidden="false" customHeight="false" outlineLevel="0" collapsed="false">
      <c r="A35" s="12" t="n">
        <v>8034</v>
      </c>
      <c r="B35" s="12" t="s">
        <v>21</v>
      </c>
      <c r="C35" s="13" t="n">
        <v>248.16</v>
      </c>
      <c r="D35" s="12" t="s">
        <v>22</v>
      </c>
    </row>
    <row r="36" customFormat="false" ht="15" hidden="false" customHeight="false" outlineLevel="0" collapsed="false">
      <c r="A36" s="12" t="n">
        <v>8035</v>
      </c>
      <c r="B36" s="12" t="s">
        <v>18</v>
      </c>
      <c r="C36" s="13" t="n">
        <v>496.06</v>
      </c>
      <c r="D36" s="12" t="s">
        <v>22</v>
      </c>
    </row>
    <row r="37" customFormat="false" ht="15" hidden="false" customHeight="false" outlineLevel="0" collapsed="false">
      <c r="A37" s="12" t="n">
        <v>8036</v>
      </c>
      <c r="B37" s="12" t="s">
        <v>20</v>
      </c>
      <c r="C37" s="13" t="n">
        <v>406.3</v>
      </c>
      <c r="D37" s="12" t="s">
        <v>22</v>
      </c>
    </row>
    <row r="38" customFormat="false" ht="15" hidden="false" customHeight="false" outlineLevel="0" collapsed="false">
      <c r="A38" s="12" t="n">
        <v>8037</v>
      </c>
      <c r="B38" s="12" t="s">
        <v>19</v>
      </c>
      <c r="C38" s="13" t="n">
        <v>852.03</v>
      </c>
      <c r="D38" s="12" t="s">
        <v>22</v>
      </c>
    </row>
    <row r="39" customFormat="false" ht="15" hidden="false" customHeight="false" outlineLevel="0" collapsed="false">
      <c r="A39" s="12" t="n">
        <v>8038</v>
      </c>
      <c r="B39" s="12" t="s">
        <v>20</v>
      </c>
      <c r="C39" s="13" t="n">
        <v>653.19</v>
      </c>
      <c r="D39" s="12" t="s">
        <v>22</v>
      </c>
    </row>
    <row r="40" customFormat="false" ht="15" hidden="false" customHeight="false" outlineLevel="0" collapsed="false">
      <c r="A40" s="12" t="n">
        <v>8039</v>
      </c>
      <c r="B40" s="12" t="s">
        <v>20</v>
      </c>
      <c r="C40" s="13" t="n">
        <v>631.51</v>
      </c>
      <c r="D40" s="12" t="s">
        <v>23</v>
      </c>
    </row>
    <row r="41" customFormat="false" ht="15" hidden="false" customHeight="false" outlineLevel="0" collapsed="false">
      <c r="A41" s="12" t="n">
        <v>8040</v>
      </c>
      <c r="B41" s="12" t="s">
        <v>16</v>
      </c>
      <c r="C41" s="13" t="n">
        <v>889.85</v>
      </c>
      <c r="D41" s="12" t="s">
        <v>23</v>
      </c>
    </row>
    <row r="42" customFormat="false" ht="15" hidden="false" customHeight="false" outlineLevel="0" collapsed="false">
      <c r="A42" s="12" t="n">
        <v>8041</v>
      </c>
      <c r="B42" s="12" t="s">
        <v>20</v>
      </c>
      <c r="C42" s="13" t="n">
        <v>361.68</v>
      </c>
      <c r="D42" s="12" t="s">
        <v>23</v>
      </c>
    </row>
    <row r="43" customFormat="false" ht="15" hidden="false" customHeight="false" outlineLevel="0" collapsed="false">
      <c r="A43" s="12" t="n">
        <v>8042</v>
      </c>
      <c r="B43" s="12" t="s">
        <v>20</v>
      </c>
      <c r="C43" s="13" t="n">
        <v>185.57</v>
      </c>
      <c r="D43" s="12" t="s">
        <v>23</v>
      </c>
    </row>
    <row r="44" customFormat="false" ht="15" hidden="false" customHeight="false" outlineLevel="0" collapsed="false">
      <c r="A44" s="12" t="n">
        <v>8043</v>
      </c>
      <c r="B44" s="12" t="s">
        <v>20</v>
      </c>
      <c r="C44" s="13" t="n">
        <v>592.4</v>
      </c>
      <c r="D44" s="12" t="s">
        <v>23</v>
      </c>
    </row>
    <row r="45" customFormat="false" ht="15" hidden="false" customHeight="false" outlineLevel="0" collapsed="false">
      <c r="A45" s="12" t="n">
        <v>8044</v>
      </c>
      <c r="B45" s="12" t="s">
        <v>21</v>
      </c>
      <c r="C45" s="13" t="n">
        <v>928</v>
      </c>
      <c r="D45" s="12" t="s">
        <v>23</v>
      </c>
    </row>
    <row r="46" customFormat="false" ht="15" hidden="false" customHeight="false" outlineLevel="0" collapsed="false">
      <c r="A46" s="12" t="n">
        <v>8045</v>
      </c>
      <c r="B46" s="12" t="s">
        <v>20</v>
      </c>
      <c r="C46" s="13" t="n">
        <v>382.8</v>
      </c>
      <c r="D46" s="12" t="s">
        <v>23</v>
      </c>
    </row>
    <row r="47" customFormat="false" ht="15" hidden="false" customHeight="false" outlineLevel="0" collapsed="false">
      <c r="A47" s="12" t="n">
        <v>8046</v>
      </c>
      <c r="B47" s="12" t="s">
        <v>19</v>
      </c>
      <c r="C47" s="13" t="n">
        <v>934.51</v>
      </c>
      <c r="D47" s="12" t="s">
        <v>23</v>
      </c>
    </row>
    <row r="48" customFormat="false" ht="15" hidden="false" customHeight="false" outlineLevel="0" collapsed="false">
      <c r="A48" s="12" t="n">
        <v>8047</v>
      </c>
      <c r="B48" s="12" t="s">
        <v>20</v>
      </c>
      <c r="C48" s="13" t="n">
        <v>457.35</v>
      </c>
      <c r="D48" s="12" t="s">
        <v>23</v>
      </c>
    </row>
    <row r="49" customFormat="false" ht="15" hidden="false" customHeight="false" outlineLevel="0" collapsed="false">
      <c r="A49" s="12" t="n">
        <v>8048</v>
      </c>
      <c r="B49" s="12" t="s">
        <v>20</v>
      </c>
      <c r="C49" s="13" t="n">
        <v>843.51</v>
      </c>
      <c r="D49" s="12" t="s">
        <v>23</v>
      </c>
    </row>
    <row r="50" customFormat="false" ht="15" hidden="false" customHeight="false" outlineLevel="0" collapsed="false">
      <c r="A50" s="12" t="n">
        <v>8049</v>
      </c>
      <c r="B50" s="12" t="s">
        <v>20</v>
      </c>
      <c r="C50" s="13" t="n">
        <v>849.82</v>
      </c>
      <c r="D50" s="12" t="s">
        <v>23</v>
      </c>
    </row>
    <row r="51" customFormat="false" ht="15" hidden="false" customHeight="false" outlineLevel="0" collapsed="false">
      <c r="A51" s="12" t="n">
        <v>8050</v>
      </c>
      <c r="B51" s="12" t="s">
        <v>20</v>
      </c>
      <c r="C51" s="13" t="n">
        <v>847.46</v>
      </c>
      <c r="D51" s="12" t="s">
        <v>23</v>
      </c>
    </row>
    <row r="52" customFormat="false" ht="15" hidden="false" customHeight="false" outlineLevel="0" collapsed="false">
      <c r="A52" s="12" t="n">
        <v>8051</v>
      </c>
      <c r="B52" s="12" t="s">
        <v>19</v>
      </c>
      <c r="C52" s="13" t="n">
        <v>258.98</v>
      </c>
      <c r="D52" s="12" t="s">
        <v>23</v>
      </c>
    </row>
    <row r="53" customFormat="false" ht="15" hidden="false" customHeight="false" outlineLevel="0" collapsed="false">
      <c r="A53" s="12" t="n">
        <v>8052</v>
      </c>
      <c r="B53" s="12" t="s">
        <v>21</v>
      </c>
      <c r="C53" s="13" t="n">
        <v>804.86</v>
      </c>
      <c r="D53" s="12" t="s">
        <v>23</v>
      </c>
    </row>
    <row r="54" customFormat="false" ht="15" hidden="false" customHeight="false" outlineLevel="0" collapsed="false">
      <c r="A54" s="12" t="n">
        <v>8053</v>
      </c>
      <c r="B54" s="12" t="s">
        <v>20</v>
      </c>
      <c r="C54" s="13" t="n">
        <v>668.4</v>
      </c>
      <c r="D54" s="12" t="s">
        <v>23</v>
      </c>
    </row>
    <row r="55" customFormat="false" ht="15" hidden="false" customHeight="false" outlineLevel="0" collapsed="false">
      <c r="A55" s="12" t="n">
        <v>8054</v>
      </c>
      <c r="B55" s="12" t="s">
        <v>21</v>
      </c>
      <c r="C55" s="13" t="n">
        <v>516.83</v>
      </c>
      <c r="D55" s="12" t="s">
        <v>24</v>
      </c>
    </row>
    <row r="56" customFormat="false" ht="15" hidden="false" customHeight="false" outlineLevel="0" collapsed="false">
      <c r="A56" s="12" t="n">
        <v>8055</v>
      </c>
      <c r="B56" s="12" t="s">
        <v>20</v>
      </c>
      <c r="C56" s="13" t="n">
        <v>413.3</v>
      </c>
      <c r="D56" s="12" t="s">
        <v>24</v>
      </c>
    </row>
    <row r="57" customFormat="false" ht="15" hidden="false" customHeight="false" outlineLevel="0" collapsed="false">
      <c r="A57" s="12" t="n">
        <v>8056</v>
      </c>
      <c r="B57" s="12" t="s">
        <v>20</v>
      </c>
      <c r="C57" s="13" t="n">
        <v>787.07</v>
      </c>
      <c r="D57" s="12" t="s">
        <v>24</v>
      </c>
    </row>
    <row r="58" customFormat="false" ht="15" hidden="false" customHeight="false" outlineLevel="0" collapsed="false">
      <c r="A58" s="12" t="n">
        <v>8057</v>
      </c>
      <c r="B58" s="12" t="s">
        <v>21</v>
      </c>
      <c r="C58" s="13" t="n">
        <v>422.45</v>
      </c>
      <c r="D58" s="12" t="s">
        <v>24</v>
      </c>
    </row>
    <row r="59" customFormat="false" ht="15" hidden="false" customHeight="false" outlineLevel="0" collapsed="false">
      <c r="A59" s="12" t="n">
        <v>8058</v>
      </c>
      <c r="B59" s="12" t="s">
        <v>20</v>
      </c>
      <c r="C59" s="13" t="n">
        <v>633.69</v>
      </c>
      <c r="D59" s="12" t="s">
        <v>24</v>
      </c>
    </row>
    <row r="60" customFormat="false" ht="15" hidden="false" customHeight="false" outlineLevel="0" collapsed="false">
      <c r="A60" s="12" t="n">
        <v>8059</v>
      </c>
      <c r="B60" s="12" t="s">
        <v>20</v>
      </c>
      <c r="C60" s="13" t="n">
        <v>667.82</v>
      </c>
      <c r="D60" s="12" t="s">
        <v>24</v>
      </c>
    </row>
    <row r="61" customFormat="false" ht="15" hidden="false" customHeight="false" outlineLevel="0" collapsed="false">
      <c r="A61" s="12" t="n">
        <v>8060</v>
      </c>
      <c r="B61" s="12" t="s">
        <v>20</v>
      </c>
      <c r="C61" s="13" t="n">
        <v>451.75</v>
      </c>
      <c r="D61" s="12" t="s">
        <v>24</v>
      </c>
    </row>
    <row r="62" customFormat="false" ht="15" hidden="false" customHeight="false" outlineLevel="0" collapsed="false">
      <c r="A62" s="12" t="n">
        <v>8061</v>
      </c>
      <c r="B62" s="12" t="s">
        <v>18</v>
      </c>
      <c r="C62" s="13" t="n">
        <v>648.83</v>
      </c>
      <c r="D62" s="12" t="s">
        <v>24</v>
      </c>
    </row>
    <row r="63" customFormat="false" ht="15" hidden="false" customHeight="false" outlineLevel="0" collapsed="false">
      <c r="A63" s="12" t="n">
        <v>8062</v>
      </c>
      <c r="B63" s="12" t="s">
        <v>20</v>
      </c>
      <c r="C63" s="13" t="n">
        <v>556.92</v>
      </c>
      <c r="D63" s="12" t="s">
        <v>24</v>
      </c>
    </row>
    <row r="64" customFormat="false" ht="15" hidden="false" customHeight="false" outlineLevel="0" collapsed="false">
      <c r="A64" s="12" t="n">
        <v>8063</v>
      </c>
      <c r="B64" s="12" t="s">
        <v>16</v>
      </c>
      <c r="C64" s="13" t="n">
        <v>915.23</v>
      </c>
      <c r="D64" s="12" t="s">
        <v>24</v>
      </c>
    </row>
    <row r="65" customFormat="false" ht="15" hidden="false" customHeight="false" outlineLevel="0" collapsed="false">
      <c r="A65" s="12" t="n">
        <v>8064</v>
      </c>
      <c r="B65" s="12" t="s">
        <v>20</v>
      </c>
      <c r="C65" s="13" t="n">
        <v>464.26</v>
      </c>
      <c r="D65" s="12" t="s">
        <v>24</v>
      </c>
    </row>
    <row r="66" customFormat="false" ht="15" hidden="false" customHeight="false" outlineLevel="0" collapsed="false">
      <c r="A66" s="12" t="n">
        <v>8065</v>
      </c>
      <c r="B66" s="12" t="s">
        <v>19</v>
      </c>
      <c r="C66" s="13" t="n">
        <v>409.95</v>
      </c>
      <c r="D66" s="12" t="s">
        <v>24</v>
      </c>
    </row>
    <row r="67" customFormat="false" ht="15" hidden="false" customHeight="false" outlineLevel="0" collapsed="false">
      <c r="A67" s="12" t="n">
        <v>8066</v>
      </c>
      <c r="B67" s="12" t="s">
        <v>16</v>
      </c>
      <c r="C67" s="13" t="n">
        <v>316.61</v>
      </c>
      <c r="D67" s="12" t="s">
        <v>24</v>
      </c>
    </row>
    <row r="68" customFormat="false" ht="15" hidden="false" customHeight="false" outlineLevel="0" collapsed="false">
      <c r="A68" s="12" t="n">
        <v>8067</v>
      </c>
      <c r="B68" s="12" t="s">
        <v>20</v>
      </c>
      <c r="C68" s="13" t="n">
        <v>763.74</v>
      </c>
      <c r="D68" s="12" t="s">
        <v>24</v>
      </c>
    </row>
    <row r="69" customFormat="false" ht="15" hidden="false" customHeight="false" outlineLevel="0" collapsed="false">
      <c r="A69" s="12" t="n">
        <v>8068</v>
      </c>
      <c r="B69" s="12" t="s">
        <v>18</v>
      </c>
      <c r="C69" s="13" t="n">
        <v>383.39</v>
      </c>
      <c r="D69" s="12" t="s">
        <v>24</v>
      </c>
    </row>
    <row r="70" customFormat="false" ht="15" hidden="false" customHeight="false" outlineLevel="0" collapsed="false">
      <c r="A70" s="12" t="n">
        <v>8069</v>
      </c>
      <c r="B70" s="12" t="s">
        <v>19</v>
      </c>
      <c r="C70" s="13" t="n">
        <v>260.75</v>
      </c>
      <c r="D70" s="12" t="s">
        <v>24</v>
      </c>
    </row>
    <row r="71" customFormat="false" ht="15" hidden="false" customHeight="false" outlineLevel="0" collapsed="false">
      <c r="A71" s="12" t="n">
        <v>8070</v>
      </c>
      <c r="B71" s="12" t="s">
        <v>18</v>
      </c>
      <c r="C71" s="13" t="n">
        <v>927.96</v>
      </c>
      <c r="D71" s="12" t="s">
        <v>24</v>
      </c>
    </row>
    <row r="72" customFormat="false" ht="15" hidden="false" customHeight="false" outlineLevel="0" collapsed="false">
      <c r="A72" s="12" t="n">
        <v>8071</v>
      </c>
      <c r="B72" s="12" t="s">
        <v>19</v>
      </c>
      <c r="C72" s="13" t="n">
        <v>281.19</v>
      </c>
      <c r="D72" s="12" t="s">
        <v>24</v>
      </c>
    </row>
    <row r="73" customFormat="false" ht="15" hidden="false" customHeight="false" outlineLevel="0" collapsed="false">
      <c r="A73" s="12" t="n">
        <v>8072</v>
      </c>
      <c r="B73" s="12" t="s">
        <v>20</v>
      </c>
      <c r="C73" s="13" t="n">
        <v>798.93</v>
      </c>
      <c r="D73" s="12" t="s">
        <v>25</v>
      </c>
    </row>
    <row r="74" customFormat="false" ht="15" hidden="false" customHeight="false" outlineLevel="0" collapsed="false">
      <c r="A74" s="12" t="n">
        <v>8073</v>
      </c>
      <c r="B74" s="12" t="s">
        <v>20</v>
      </c>
      <c r="C74" s="13" t="n">
        <v>324.29</v>
      </c>
      <c r="D74" s="12" t="s">
        <v>25</v>
      </c>
    </row>
    <row r="75" customFormat="false" ht="15" hidden="false" customHeight="false" outlineLevel="0" collapsed="false">
      <c r="A75" s="12" t="n">
        <v>8074</v>
      </c>
      <c r="B75" s="12" t="s">
        <v>16</v>
      </c>
      <c r="C75" s="13" t="n">
        <v>717.51</v>
      </c>
      <c r="D75" s="12" t="s">
        <v>25</v>
      </c>
    </row>
    <row r="76" customFormat="false" ht="15" hidden="false" customHeight="false" outlineLevel="0" collapsed="false">
      <c r="A76" s="12" t="n">
        <v>8075</v>
      </c>
      <c r="B76" s="12" t="s">
        <v>20</v>
      </c>
      <c r="C76" s="13" t="n">
        <v>427.91</v>
      </c>
      <c r="D76" s="12" t="s">
        <v>25</v>
      </c>
    </row>
    <row r="77" customFormat="false" ht="15" hidden="false" customHeight="false" outlineLevel="0" collapsed="false">
      <c r="A77" s="12" t="n">
        <v>8076</v>
      </c>
      <c r="B77" s="12" t="s">
        <v>20</v>
      </c>
      <c r="C77" s="13" t="n">
        <v>821.82</v>
      </c>
      <c r="D77" s="12" t="s">
        <v>25</v>
      </c>
    </row>
    <row r="78" customFormat="false" ht="15" hidden="false" customHeight="false" outlineLevel="0" collapsed="false">
      <c r="A78" s="12" t="n">
        <v>8077</v>
      </c>
      <c r="B78" s="12" t="s">
        <v>16</v>
      </c>
      <c r="C78" s="13" t="n">
        <v>838.76</v>
      </c>
      <c r="D78" s="12" t="s">
        <v>25</v>
      </c>
    </row>
    <row r="79" customFormat="false" ht="15" hidden="false" customHeight="false" outlineLevel="0" collapsed="false">
      <c r="A79" s="12" t="n">
        <v>8078</v>
      </c>
      <c r="B79" s="12" t="s">
        <v>20</v>
      </c>
      <c r="C79" s="13" t="n">
        <v>439.27</v>
      </c>
      <c r="D79" s="12" t="s">
        <v>25</v>
      </c>
    </row>
    <row r="80" customFormat="false" ht="15" hidden="false" customHeight="false" outlineLevel="0" collapsed="false">
      <c r="A80" s="12" t="n">
        <v>8079</v>
      </c>
      <c r="B80" s="12" t="s">
        <v>19</v>
      </c>
      <c r="C80" s="13" t="n">
        <v>861.37</v>
      </c>
      <c r="D80" s="12" t="s">
        <v>25</v>
      </c>
    </row>
    <row r="81" customFormat="false" ht="15" hidden="false" customHeight="false" outlineLevel="0" collapsed="false">
      <c r="A81" s="12" t="n">
        <v>8080</v>
      </c>
      <c r="B81" s="12" t="s">
        <v>16</v>
      </c>
      <c r="C81" s="13" t="n">
        <v>353.27</v>
      </c>
      <c r="D81" s="12" t="s">
        <v>25</v>
      </c>
    </row>
    <row r="82" customFormat="false" ht="15" hidden="false" customHeight="false" outlineLevel="0" collapsed="false">
      <c r="A82" s="12" t="n">
        <v>8081</v>
      </c>
      <c r="B82" s="12" t="s">
        <v>20</v>
      </c>
      <c r="C82" s="13" t="n">
        <v>587.81</v>
      </c>
      <c r="D82" s="12" t="s">
        <v>25</v>
      </c>
    </row>
    <row r="83" customFormat="false" ht="15" hidden="false" customHeight="false" outlineLevel="0" collapsed="false">
      <c r="A83" s="12" t="n">
        <v>8082</v>
      </c>
      <c r="B83" s="12" t="s">
        <v>20</v>
      </c>
      <c r="C83" s="13" t="n">
        <v>801.22</v>
      </c>
      <c r="D83" s="12" t="s">
        <v>25</v>
      </c>
    </row>
    <row r="84" customFormat="false" ht="15" hidden="false" customHeight="false" outlineLevel="0" collapsed="false">
      <c r="A84" s="12" t="n">
        <v>8083</v>
      </c>
      <c r="B84" s="12" t="s">
        <v>18</v>
      </c>
      <c r="C84" s="13" t="n">
        <v>321.36</v>
      </c>
      <c r="D84" s="12" t="s">
        <v>25</v>
      </c>
    </row>
    <row r="85" customFormat="false" ht="15" hidden="false" customHeight="false" outlineLevel="0" collapsed="false">
      <c r="A85" s="12" t="n">
        <v>8084</v>
      </c>
      <c r="B85" s="12" t="s">
        <v>20</v>
      </c>
      <c r="C85" s="13" t="n">
        <v>801.56</v>
      </c>
      <c r="D85" s="12" t="s">
        <v>25</v>
      </c>
    </row>
    <row r="86" customFormat="false" ht="15" hidden="false" customHeight="false" outlineLevel="0" collapsed="false">
      <c r="A86" s="12" t="n">
        <v>8085</v>
      </c>
      <c r="B86" s="12" t="s">
        <v>19</v>
      </c>
      <c r="C86" s="13" t="n">
        <v>800.82</v>
      </c>
      <c r="D86" s="12" t="s">
        <v>25</v>
      </c>
    </row>
    <row r="87" customFormat="false" ht="15" hidden="false" customHeight="false" outlineLevel="0" collapsed="false">
      <c r="A87" s="12" t="n">
        <v>8086</v>
      </c>
      <c r="B87" s="12" t="s">
        <v>20</v>
      </c>
      <c r="C87" s="13" t="n">
        <v>279.86</v>
      </c>
      <c r="D87" s="12" t="s">
        <v>25</v>
      </c>
    </row>
    <row r="88" customFormat="false" ht="15" hidden="false" customHeight="false" outlineLevel="0" collapsed="false">
      <c r="A88" s="12" t="n">
        <v>8087</v>
      </c>
      <c r="B88" s="12" t="s">
        <v>20</v>
      </c>
      <c r="C88" s="13" t="n">
        <v>791.27</v>
      </c>
      <c r="D88" s="12" t="s">
        <v>25</v>
      </c>
    </row>
    <row r="89" customFormat="false" ht="15" hidden="false" customHeight="false" outlineLevel="0" collapsed="false">
      <c r="A89" s="12" t="n">
        <v>8088</v>
      </c>
      <c r="B89" s="12" t="s">
        <v>20</v>
      </c>
      <c r="C89" s="13" t="n">
        <v>446.69</v>
      </c>
      <c r="D89" s="12" t="s">
        <v>25</v>
      </c>
    </row>
    <row r="90" customFormat="false" ht="15" hidden="false" customHeight="false" outlineLevel="0" collapsed="false">
      <c r="A90" s="12" t="n">
        <v>8089</v>
      </c>
      <c r="B90" s="12" t="s">
        <v>16</v>
      </c>
      <c r="C90" s="13" t="n">
        <v>503.22</v>
      </c>
      <c r="D90" s="12" t="s">
        <v>25</v>
      </c>
    </row>
    <row r="91" customFormat="false" ht="15" hidden="false" customHeight="false" outlineLevel="0" collapsed="false">
      <c r="A91" s="12" t="n">
        <v>8090</v>
      </c>
      <c r="B91" s="12" t="s">
        <v>16</v>
      </c>
      <c r="C91" s="13" t="n">
        <v>888.87</v>
      </c>
      <c r="D91" s="12" t="s">
        <v>25</v>
      </c>
    </row>
    <row r="92" customFormat="false" ht="15" hidden="false" customHeight="false" outlineLevel="0" collapsed="false">
      <c r="A92" s="12" t="n">
        <v>8091</v>
      </c>
      <c r="B92" s="12" t="s">
        <v>20</v>
      </c>
      <c r="C92" s="13" t="n">
        <v>183.59</v>
      </c>
      <c r="D92" s="12" t="s">
        <v>25</v>
      </c>
    </row>
    <row r="93" customFormat="false" ht="15" hidden="false" customHeight="false" outlineLevel="0" collapsed="false">
      <c r="A93" s="12" t="n">
        <v>8092</v>
      </c>
      <c r="B93" s="12" t="s">
        <v>21</v>
      </c>
      <c r="C93" s="13" t="n">
        <v>857.58</v>
      </c>
      <c r="D93" s="12" t="s">
        <v>25</v>
      </c>
    </row>
    <row r="94" customFormat="false" ht="15" hidden="false" customHeight="false" outlineLevel="0" collapsed="false">
      <c r="A94" s="12" t="n">
        <v>8093</v>
      </c>
      <c r="B94" s="12" t="s">
        <v>21</v>
      </c>
      <c r="C94" s="13" t="n">
        <v>514.45</v>
      </c>
      <c r="D94" s="12" t="s">
        <v>25</v>
      </c>
    </row>
    <row r="95" customFormat="false" ht="15" hidden="false" customHeight="false" outlineLevel="0" collapsed="false">
      <c r="A95" s="12" t="n">
        <v>8094</v>
      </c>
      <c r="B95" s="12" t="s">
        <v>21</v>
      </c>
      <c r="C95" s="13" t="n">
        <v>894.08</v>
      </c>
      <c r="D95" s="12" t="s">
        <v>25</v>
      </c>
    </row>
    <row r="96" customFormat="false" ht="15" hidden="false" customHeight="false" outlineLevel="0" collapsed="false">
      <c r="A96" s="12" t="n">
        <v>8095</v>
      </c>
      <c r="B96" s="12" t="s">
        <v>20</v>
      </c>
      <c r="C96" s="13" t="n">
        <v>531.64</v>
      </c>
      <c r="D96" s="12" t="s">
        <v>26</v>
      </c>
    </row>
    <row r="97" customFormat="false" ht="15" hidden="false" customHeight="false" outlineLevel="0" collapsed="false">
      <c r="A97" s="12" t="n">
        <v>8096</v>
      </c>
      <c r="B97" s="12" t="s">
        <v>19</v>
      </c>
      <c r="C97" s="13" t="n">
        <v>755.97</v>
      </c>
      <c r="D97" s="12" t="s">
        <v>26</v>
      </c>
    </row>
    <row r="98" customFormat="false" ht="15" hidden="false" customHeight="false" outlineLevel="0" collapsed="false">
      <c r="A98" s="12" t="n">
        <v>8097</v>
      </c>
      <c r="B98" s="12" t="s">
        <v>21</v>
      </c>
      <c r="C98" s="13" t="n">
        <v>598.77</v>
      </c>
      <c r="D98" s="12" t="s">
        <v>26</v>
      </c>
    </row>
    <row r="99" customFormat="false" ht="15" hidden="false" customHeight="false" outlineLevel="0" collapsed="false">
      <c r="A99" s="12" t="n">
        <v>8098</v>
      </c>
      <c r="B99" s="12" t="s">
        <v>18</v>
      </c>
      <c r="C99" s="13" t="n">
        <v>843.38</v>
      </c>
      <c r="D99" s="12" t="s">
        <v>26</v>
      </c>
    </row>
    <row r="100" customFormat="false" ht="15" hidden="false" customHeight="false" outlineLevel="0" collapsed="false">
      <c r="A100" s="12" t="n">
        <v>8099</v>
      </c>
      <c r="B100" s="12" t="s">
        <v>18</v>
      </c>
      <c r="C100" s="13" t="n">
        <v>927.64</v>
      </c>
      <c r="D100" s="12" t="s">
        <v>26</v>
      </c>
    </row>
    <row r="101" customFormat="false" ht="15" hidden="false" customHeight="false" outlineLevel="0" collapsed="false">
      <c r="A101" s="12" t="n">
        <v>8100</v>
      </c>
      <c r="B101" s="12" t="s">
        <v>20</v>
      </c>
      <c r="C101" s="13" t="n">
        <v>368.29</v>
      </c>
      <c r="D101" s="12" t="s">
        <v>26</v>
      </c>
    </row>
    <row r="102" customFormat="false" ht="15" hidden="false" customHeight="false" outlineLevel="0" collapsed="false">
      <c r="A102" s="12" t="n">
        <v>8101</v>
      </c>
      <c r="B102" s="12" t="s">
        <v>20</v>
      </c>
      <c r="C102" s="13" t="n">
        <v>798.27</v>
      </c>
      <c r="D102" s="12" t="s">
        <v>26</v>
      </c>
    </row>
    <row r="103" customFormat="false" ht="15" hidden="false" customHeight="false" outlineLevel="0" collapsed="false">
      <c r="A103" s="12" t="n">
        <v>8102</v>
      </c>
      <c r="B103" s="12" t="s">
        <v>16</v>
      </c>
      <c r="C103" s="13" t="n">
        <v>332.82</v>
      </c>
      <c r="D103" s="12" t="s">
        <v>26</v>
      </c>
    </row>
    <row r="104" customFormat="false" ht="15" hidden="false" customHeight="false" outlineLevel="0" collapsed="false">
      <c r="A104" s="12" t="n">
        <v>8103</v>
      </c>
      <c r="B104" s="12" t="s">
        <v>18</v>
      </c>
      <c r="C104" s="13" t="n">
        <v>511.01</v>
      </c>
      <c r="D104" s="12" t="s">
        <v>26</v>
      </c>
    </row>
    <row r="105" customFormat="false" ht="15" hidden="false" customHeight="false" outlineLevel="0" collapsed="false">
      <c r="A105" s="12" t="n">
        <v>8104</v>
      </c>
      <c r="B105" s="12" t="s">
        <v>20</v>
      </c>
      <c r="C105" s="13" t="n">
        <v>550.41</v>
      </c>
      <c r="D105" s="12" t="s">
        <v>26</v>
      </c>
    </row>
    <row r="106" customFormat="false" ht="15" hidden="false" customHeight="false" outlineLevel="0" collapsed="false">
      <c r="A106" s="12" t="n">
        <v>8105</v>
      </c>
      <c r="B106" s="12" t="s">
        <v>20</v>
      </c>
      <c r="C106" s="13" t="n">
        <v>567.45</v>
      </c>
      <c r="D106" s="12" t="s">
        <v>26</v>
      </c>
    </row>
    <row r="107" customFormat="false" ht="15" hidden="false" customHeight="false" outlineLevel="0" collapsed="false">
      <c r="A107" s="12" t="n">
        <v>8106</v>
      </c>
      <c r="B107" s="12" t="s">
        <v>20</v>
      </c>
      <c r="C107" s="13" t="n">
        <v>195.28</v>
      </c>
      <c r="D107" s="12" t="s">
        <v>26</v>
      </c>
    </row>
    <row r="108" customFormat="false" ht="15" hidden="false" customHeight="false" outlineLevel="0" collapsed="false">
      <c r="A108" s="12" t="n">
        <v>8107</v>
      </c>
      <c r="B108" s="12" t="s">
        <v>16</v>
      </c>
      <c r="C108" s="13" t="n">
        <v>221</v>
      </c>
      <c r="D108" s="12" t="s">
        <v>26</v>
      </c>
    </row>
    <row r="109" customFormat="false" ht="15" hidden="false" customHeight="false" outlineLevel="0" collapsed="false">
      <c r="A109" s="12" t="n">
        <v>8108</v>
      </c>
      <c r="B109" s="12" t="s">
        <v>18</v>
      </c>
      <c r="C109" s="13" t="n">
        <v>267.46</v>
      </c>
      <c r="D109" s="12" t="s">
        <v>26</v>
      </c>
    </row>
    <row r="110" customFormat="false" ht="15" hidden="false" customHeight="false" outlineLevel="0" collapsed="false">
      <c r="A110" s="12" t="n">
        <v>8109</v>
      </c>
      <c r="B110" s="12" t="s">
        <v>20</v>
      </c>
      <c r="C110" s="13" t="n">
        <v>928.43</v>
      </c>
      <c r="D110" s="12" t="s">
        <v>26</v>
      </c>
    </row>
    <row r="111" customFormat="false" ht="15" hidden="false" customHeight="false" outlineLevel="0" collapsed="false">
      <c r="A111" s="12" t="n">
        <v>8110</v>
      </c>
      <c r="B111" s="12" t="s">
        <v>16</v>
      </c>
      <c r="C111" s="13" t="n">
        <v>804.89</v>
      </c>
      <c r="D111" s="12" t="s">
        <v>26</v>
      </c>
    </row>
    <row r="112" customFormat="false" ht="15" hidden="false" customHeight="false" outlineLevel="0" collapsed="false">
      <c r="A112" s="12" t="n">
        <v>8111</v>
      </c>
      <c r="B112" s="12" t="s">
        <v>20</v>
      </c>
      <c r="C112" s="13" t="n">
        <v>350.02</v>
      </c>
      <c r="D112" s="12" t="s">
        <v>26</v>
      </c>
    </row>
    <row r="113" customFormat="false" ht="15" hidden="false" customHeight="false" outlineLevel="0" collapsed="false">
      <c r="A113" s="12" t="n">
        <v>8112</v>
      </c>
      <c r="B113" s="12" t="s">
        <v>20</v>
      </c>
      <c r="C113" s="13" t="n">
        <v>863.48</v>
      </c>
      <c r="D113" s="1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1" t="s">
        <v>13</v>
      </c>
      <c r="B1" s="11" t="s">
        <v>27</v>
      </c>
    </row>
    <row r="2" customFormat="false" ht="15" hidden="false" customHeight="false" outlineLevel="0" collapsed="false">
      <c r="A2" s="12" t="s">
        <v>20</v>
      </c>
      <c r="B2" s="12" t="n">
        <f aca="false">COUNTIF(OrdersData!B2:B113,A2)</f>
        <v>51</v>
      </c>
    </row>
    <row r="3" customFormat="false" ht="15" hidden="false" customHeight="false" outlineLevel="0" collapsed="false">
      <c r="A3" s="12" t="s">
        <v>16</v>
      </c>
      <c r="B3" s="12" t="n">
        <f aca="false">COUNTIF(OrdersData!B2:B113,A3)</f>
        <v>19</v>
      </c>
    </row>
    <row r="4" customFormat="false" ht="15" hidden="false" customHeight="false" outlineLevel="0" collapsed="false">
      <c r="A4" s="12" t="s">
        <v>19</v>
      </c>
      <c r="B4" s="12" t="n">
        <f aca="false">COUNTIF(OrdersData!B2:B113,A4)</f>
        <v>14</v>
      </c>
    </row>
    <row r="5" customFormat="false" ht="15" hidden="false" customHeight="false" outlineLevel="0" collapsed="false">
      <c r="A5" s="12" t="s">
        <v>18</v>
      </c>
      <c r="B5" s="12" t="n">
        <f aca="false">COUNTIF(OrdersData!B2:B113,A5)</f>
        <v>13</v>
      </c>
    </row>
    <row r="6" customFormat="false" ht="15" hidden="false" customHeight="false" outlineLevel="0" collapsed="false">
      <c r="A6" s="12" t="s">
        <v>21</v>
      </c>
      <c r="B6" s="12" t="n">
        <f aca="false">COUNTIF(OrdersData!B2:B113,A6)</f>
        <v>15</v>
      </c>
    </row>
    <row r="8" customFormat="false" ht="15" hidden="false" customHeight="false" outlineLevel="0" collapsed="false">
      <c r="A8" s="11" t="s">
        <v>15</v>
      </c>
      <c r="B8" s="11" t="s">
        <v>27</v>
      </c>
      <c r="C8" s="11" t="s">
        <v>28</v>
      </c>
      <c r="D8" s="11" t="s">
        <v>29</v>
      </c>
      <c r="E8" s="11" t="s">
        <v>30</v>
      </c>
      <c r="F8" s="11" t="s">
        <v>31</v>
      </c>
    </row>
    <row r="9" customFormat="false" ht="15" hidden="false" customHeight="false" outlineLevel="0" collapsed="false">
      <c r="A9" s="12" t="s">
        <v>17</v>
      </c>
      <c r="B9" s="12" t="n">
        <f aca="false">COUNTIF(OrdersData!D2:D113,A9)</f>
        <v>18</v>
      </c>
      <c r="C9" s="12" t="n">
        <v>0</v>
      </c>
      <c r="D9" s="12" t="n">
        <v>0</v>
      </c>
      <c r="E9" s="12" t="n">
        <f aca="false">B9</f>
        <v>18</v>
      </c>
      <c r="F9" s="12" t="n">
        <v>0</v>
      </c>
    </row>
    <row r="10" customFormat="false" ht="15" hidden="false" customHeight="false" outlineLevel="0" collapsed="false">
      <c r="A10" s="12" t="s">
        <v>22</v>
      </c>
      <c r="B10" s="12" t="n">
        <f aca="false">COUNTIF(OrdersData!D2:D113,A10)</f>
        <v>20</v>
      </c>
      <c r="C10" s="12" t="n">
        <f aca="false">B10-B9</f>
        <v>2</v>
      </c>
      <c r="D10" s="12" t="n">
        <f aca="false">IF(C10&gt;=0,B9,B10)</f>
        <v>18</v>
      </c>
      <c r="E10" s="12" t="n">
        <f aca="false">IF(C10&gt;=0,C10,0)</f>
        <v>2</v>
      </c>
      <c r="F10" s="12" t="n">
        <f aca="false">IF(C10&lt;0,-C10,0)</f>
        <v>0</v>
      </c>
    </row>
    <row r="11" customFormat="false" ht="15" hidden="false" customHeight="false" outlineLevel="0" collapsed="false">
      <c r="A11" s="12" t="s">
        <v>23</v>
      </c>
      <c r="B11" s="12" t="n">
        <f aca="false">COUNTIF(OrdersData!D2:D113,A11)</f>
        <v>15</v>
      </c>
      <c r="C11" s="12" t="n">
        <f aca="false">B11-B10</f>
        <v>-5</v>
      </c>
      <c r="D11" s="12" t="n">
        <f aca="false">IF(C11&gt;=0,B10,B11)</f>
        <v>15</v>
      </c>
      <c r="E11" s="12" t="n">
        <f aca="false">IF(C11&gt;=0,C11,0)</f>
        <v>0</v>
      </c>
      <c r="F11" s="12" t="n">
        <f aca="false">IF(C11&lt;0,-C11,0)</f>
        <v>5</v>
      </c>
    </row>
    <row r="12" customFormat="false" ht="15" hidden="false" customHeight="false" outlineLevel="0" collapsed="false">
      <c r="A12" s="12" t="s">
        <v>24</v>
      </c>
      <c r="B12" s="12" t="n">
        <f aca="false">COUNTIF(OrdersData!D2:D113,A12)</f>
        <v>18</v>
      </c>
      <c r="C12" s="12" t="n">
        <f aca="false">B12-B11</f>
        <v>3</v>
      </c>
      <c r="D12" s="12" t="n">
        <f aca="false">IF(C12&gt;=0,B11,B12)</f>
        <v>15</v>
      </c>
      <c r="E12" s="12" t="n">
        <f aca="false">IF(C12&gt;=0,C12,0)</f>
        <v>3</v>
      </c>
      <c r="F12" s="12" t="n">
        <f aca="false">IF(C12&lt;0,-C12,0)</f>
        <v>0</v>
      </c>
    </row>
    <row r="13" customFormat="false" ht="15" hidden="false" customHeight="false" outlineLevel="0" collapsed="false">
      <c r="A13" s="12" t="s">
        <v>25</v>
      </c>
      <c r="B13" s="12" t="n">
        <f aca="false">COUNTIF(OrdersData!D2:D113,A13)</f>
        <v>23</v>
      </c>
      <c r="C13" s="12" t="n">
        <f aca="false">B13-B12</f>
        <v>5</v>
      </c>
      <c r="D13" s="12" t="n">
        <f aca="false">IF(C13&gt;=0,B12,B13)</f>
        <v>18</v>
      </c>
      <c r="E13" s="12" t="n">
        <f aca="false">IF(C13&gt;=0,C13,0)</f>
        <v>5</v>
      </c>
      <c r="F13" s="12" t="n">
        <f aca="false">IF(C13&lt;0,-C13,0)</f>
        <v>0</v>
      </c>
    </row>
    <row r="14" customFormat="false" ht="15" hidden="false" customHeight="false" outlineLevel="0" collapsed="false">
      <c r="A14" s="12" t="s">
        <v>26</v>
      </c>
      <c r="B14" s="12" t="n">
        <f aca="false">COUNTIF(OrdersData!D2:D113,A14)</f>
        <v>18</v>
      </c>
      <c r="C14" s="12" t="n">
        <f aca="false">B14-B13</f>
        <v>-5</v>
      </c>
      <c r="D14" s="12" t="n">
        <f aca="false">IF(C14&gt;=0,B13,B14)</f>
        <v>18</v>
      </c>
      <c r="E14" s="12" t="n">
        <f aca="false">IF(C14&gt;=0,C14,0)</f>
        <v>0</v>
      </c>
      <c r="F14" s="12" t="n">
        <f aca="false">IF(C14&lt;0,-C14,0)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2026-08-08T05:45:01Z</dcterms:created>
  <dc:creator>openpyxl</dc:creator>
  <dc:description/>
  <dc:language>en-US</dc:language>
  <cp:lastModifiedBy/>
  <dcterms:modified xsi:type="dcterms:W3CDTF">2026-08-08T05:45:34Z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