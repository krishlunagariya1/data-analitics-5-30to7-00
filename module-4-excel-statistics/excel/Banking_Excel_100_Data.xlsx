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ta-analitics-5-30to7-00\module-4-excel-statistics\excel\"/>
    </mc:Choice>
  </mc:AlternateContent>
  <xr:revisionPtr revIDLastSave="0" documentId="13_ncr:1_{B28033EE-ABC6-445F-B2B7-DA0CA892306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Employees" sheetId="1" r:id="rId1"/>
    <sheet name="Transaction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02" i="2" l="1"/>
  <c r="B16" i="3"/>
  <c r="B7" i="3"/>
  <c r="F102" i="2"/>
  <c r="B14" i="3"/>
  <c r="B2" i="3"/>
  <c r="B11" i="3"/>
  <c r="B10" i="3"/>
  <c r="B9" i="3"/>
  <c r="B8" i="3"/>
  <c r="B3" i="3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G2" i="2"/>
  <c r="B4" i="3" s="1"/>
</calcChain>
</file>

<file path=xl/sharedStrings.xml><?xml version="1.0" encoding="utf-8"?>
<sst xmlns="http://schemas.openxmlformats.org/spreadsheetml/2006/main" count="626" uniqueCount="424">
  <si>
    <t>EmpID</t>
  </si>
  <si>
    <t>Employee Name</t>
  </si>
  <si>
    <t>Department</t>
  </si>
  <si>
    <t>Salary</t>
  </si>
  <si>
    <t>E001</t>
  </si>
  <si>
    <t>Employee 1</t>
  </si>
  <si>
    <t>IT</t>
  </si>
  <si>
    <t>E002</t>
  </si>
  <si>
    <t>Employee 2</t>
  </si>
  <si>
    <t>HR</t>
  </si>
  <si>
    <t>E003</t>
  </si>
  <si>
    <t>Employee 3</t>
  </si>
  <si>
    <t>Loans</t>
  </si>
  <si>
    <t>E004</t>
  </si>
  <si>
    <t>Employee 4</t>
  </si>
  <si>
    <t>Operations</t>
  </si>
  <si>
    <t>E005</t>
  </si>
  <si>
    <t>Employee 5</t>
  </si>
  <si>
    <t>E006</t>
  </si>
  <si>
    <t>Employee 6</t>
  </si>
  <si>
    <t>E007</t>
  </si>
  <si>
    <t>Employee 7</t>
  </si>
  <si>
    <t>E008</t>
  </si>
  <si>
    <t>Employee 8</t>
  </si>
  <si>
    <t>E009</t>
  </si>
  <si>
    <t>Employee 9</t>
  </si>
  <si>
    <t>E010</t>
  </si>
  <si>
    <t>Employee 10</t>
  </si>
  <si>
    <t>E011</t>
  </si>
  <si>
    <t>Employee 11</t>
  </si>
  <si>
    <t>E012</t>
  </si>
  <si>
    <t>Employee 12</t>
  </si>
  <si>
    <t>E013</t>
  </si>
  <si>
    <t>Employee 13</t>
  </si>
  <si>
    <t>E014</t>
  </si>
  <si>
    <t>Employee 14</t>
  </si>
  <si>
    <t>E015</t>
  </si>
  <si>
    <t>Employee 15</t>
  </si>
  <si>
    <t>E016</t>
  </si>
  <si>
    <t>Employee 16</t>
  </si>
  <si>
    <t>Accounts</t>
  </si>
  <si>
    <t>E017</t>
  </si>
  <si>
    <t>Employee 17</t>
  </si>
  <si>
    <t>E018</t>
  </si>
  <si>
    <t>Employee 18</t>
  </si>
  <si>
    <t>E019</t>
  </si>
  <si>
    <t>Employee 19</t>
  </si>
  <si>
    <t>E020</t>
  </si>
  <si>
    <t>Employee 20</t>
  </si>
  <si>
    <t>E021</t>
  </si>
  <si>
    <t>Employee 21</t>
  </si>
  <si>
    <t>E022</t>
  </si>
  <si>
    <t>Employee 22</t>
  </si>
  <si>
    <t>E023</t>
  </si>
  <si>
    <t>Employee 23</t>
  </si>
  <si>
    <t>E024</t>
  </si>
  <si>
    <t>Employee 24</t>
  </si>
  <si>
    <t>E025</t>
  </si>
  <si>
    <t>Employee 25</t>
  </si>
  <si>
    <t>E026</t>
  </si>
  <si>
    <t>Employee 26</t>
  </si>
  <si>
    <t>E027</t>
  </si>
  <si>
    <t>Employee 27</t>
  </si>
  <si>
    <t>E028</t>
  </si>
  <si>
    <t>Employee 28</t>
  </si>
  <si>
    <t>E029</t>
  </si>
  <si>
    <t>Employee 29</t>
  </si>
  <si>
    <t>E030</t>
  </si>
  <si>
    <t>Employee 30</t>
  </si>
  <si>
    <t>E031</t>
  </si>
  <si>
    <t>Employee 31</t>
  </si>
  <si>
    <t>E032</t>
  </si>
  <si>
    <t>Employee 32</t>
  </si>
  <si>
    <t>E033</t>
  </si>
  <si>
    <t>Employee 33</t>
  </si>
  <si>
    <t>E034</t>
  </si>
  <si>
    <t>Employee 34</t>
  </si>
  <si>
    <t>E035</t>
  </si>
  <si>
    <t>Employee 35</t>
  </si>
  <si>
    <t>E036</t>
  </si>
  <si>
    <t>Employee 36</t>
  </si>
  <si>
    <t>E037</t>
  </si>
  <si>
    <t>Employee 37</t>
  </si>
  <si>
    <t>E038</t>
  </si>
  <si>
    <t>Employee 38</t>
  </si>
  <si>
    <t>E039</t>
  </si>
  <si>
    <t>Employee 39</t>
  </si>
  <si>
    <t>E040</t>
  </si>
  <si>
    <t>Employee 40</t>
  </si>
  <si>
    <t>E041</t>
  </si>
  <si>
    <t>Employee 41</t>
  </si>
  <si>
    <t>E042</t>
  </si>
  <si>
    <t>Employee 42</t>
  </si>
  <si>
    <t>E043</t>
  </si>
  <si>
    <t>Employee 43</t>
  </si>
  <si>
    <t>E044</t>
  </si>
  <si>
    <t>Employee 44</t>
  </si>
  <si>
    <t>E045</t>
  </si>
  <si>
    <t>Employee 45</t>
  </si>
  <si>
    <t>E046</t>
  </si>
  <si>
    <t>Employee 46</t>
  </si>
  <si>
    <t>E047</t>
  </si>
  <si>
    <t>Employee 47</t>
  </si>
  <si>
    <t>E048</t>
  </si>
  <si>
    <t>Employee 48</t>
  </si>
  <si>
    <t>E049</t>
  </si>
  <si>
    <t>Employee 49</t>
  </si>
  <si>
    <t>E050</t>
  </si>
  <si>
    <t>Employee 50</t>
  </si>
  <si>
    <t>E051</t>
  </si>
  <si>
    <t>Employee 51</t>
  </si>
  <si>
    <t>E052</t>
  </si>
  <si>
    <t>Employee 52</t>
  </si>
  <si>
    <t>E053</t>
  </si>
  <si>
    <t>Employee 53</t>
  </si>
  <si>
    <t>E054</t>
  </si>
  <si>
    <t>Employee 54</t>
  </si>
  <si>
    <t>E055</t>
  </si>
  <si>
    <t>Employee 55</t>
  </si>
  <si>
    <t>E056</t>
  </si>
  <si>
    <t>Employee 56</t>
  </si>
  <si>
    <t>E057</t>
  </si>
  <si>
    <t>Employee 57</t>
  </si>
  <si>
    <t>E058</t>
  </si>
  <si>
    <t>Employee 58</t>
  </si>
  <si>
    <t>E059</t>
  </si>
  <si>
    <t>Employee 59</t>
  </si>
  <si>
    <t>E060</t>
  </si>
  <si>
    <t>Employee 60</t>
  </si>
  <si>
    <t>E061</t>
  </si>
  <si>
    <t>Employee 61</t>
  </si>
  <si>
    <t>E062</t>
  </si>
  <si>
    <t>Employee 62</t>
  </si>
  <si>
    <t>E063</t>
  </si>
  <si>
    <t>Employee 63</t>
  </si>
  <si>
    <t>E064</t>
  </si>
  <si>
    <t>Employee 64</t>
  </si>
  <si>
    <t>E065</t>
  </si>
  <si>
    <t>Employee 65</t>
  </si>
  <si>
    <t>E066</t>
  </si>
  <si>
    <t>Employee 66</t>
  </si>
  <si>
    <t>E067</t>
  </si>
  <si>
    <t>Employee 67</t>
  </si>
  <si>
    <t>E068</t>
  </si>
  <si>
    <t>Employee 68</t>
  </si>
  <si>
    <t>E069</t>
  </si>
  <si>
    <t>Employee 69</t>
  </si>
  <si>
    <t>E070</t>
  </si>
  <si>
    <t>Employee 70</t>
  </si>
  <si>
    <t>E071</t>
  </si>
  <si>
    <t>Employee 71</t>
  </si>
  <si>
    <t>E072</t>
  </si>
  <si>
    <t>Employee 72</t>
  </si>
  <si>
    <t>E073</t>
  </si>
  <si>
    <t>Employee 73</t>
  </si>
  <si>
    <t>E074</t>
  </si>
  <si>
    <t>Employee 74</t>
  </si>
  <si>
    <t>E075</t>
  </si>
  <si>
    <t>Employee 75</t>
  </si>
  <si>
    <t>E076</t>
  </si>
  <si>
    <t>Employee 76</t>
  </si>
  <si>
    <t>E077</t>
  </si>
  <si>
    <t>Employee 77</t>
  </si>
  <si>
    <t>E078</t>
  </si>
  <si>
    <t>Employee 78</t>
  </si>
  <si>
    <t>E079</t>
  </si>
  <si>
    <t>Employee 79</t>
  </si>
  <si>
    <t>E080</t>
  </si>
  <si>
    <t>Employee 80</t>
  </si>
  <si>
    <t>E081</t>
  </si>
  <si>
    <t>Employee 81</t>
  </si>
  <si>
    <t>E082</t>
  </si>
  <si>
    <t>Employee 82</t>
  </si>
  <si>
    <t>E083</t>
  </si>
  <si>
    <t>Employee 83</t>
  </si>
  <si>
    <t>E084</t>
  </si>
  <si>
    <t>Employee 84</t>
  </si>
  <si>
    <t>E085</t>
  </si>
  <si>
    <t>Employee 85</t>
  </si>
  <si>
    <t>E086</t>
  </si>
  <si>
    <t>Employee 86</t>
  </si>
  <si>
    <t>E087</t>
  </si>
  <si>
    <t>Employee 87</t>
  </si>
  <si>
    <t>E088</t>
  </si>
  <si>
    <t>Employee 88</t>
  </si>
  <si>
    <t>E089</t>
  </si>
  <si>
    <t>Employee 89</t>
  </si>
  <si>
    <t>E090</t>
  </si>
  <si>
    <t>Employee 90</t>
  </si>
  <si>
    <t>E091</t>
  </si>
  <si>
    <t>Employee 91</t>
  </si>
  <si>
    <t>E092</t>
  </si>
  <si>
    <t>Employee 92</t>
  </si>
  <si>
    <t>E093</t>
  </si>
  <si>
    <t>Employee 93</t>
  </si>
  <si>
    <t>E094</t>
  </si>
  <si>
    <t>Employee 94</t>
  </si>
  <si>
    <t>E095</t>
  </si>
  <si>
    <t>Employee 95</t>
  </si>
  <si>
    <t>E096</t>
  </si>
  <si>
    <t>Employee 96</t>
  </si>
  <si>
    <t>E097</t>
  </si>
  <si>
    <t>Employee 97</t>
  </si>
  <si>
    <t>E098</t>
  </si>
  <si>
    <t>Employee 98</t>
  </si>
  <si>
    <t>E099</t>
  </si>
  <si>
    <t>Employee 99</t>
  </si>
  <si>
    <t>E100</t>
  </si>
  <si>
    <t>Employee 100</t>
  </si>
  <si>
    <t>TxnID</t>
  </si>
  <si>
    <t>Date</t>
  </si>
  <si>
    <t>Customer</t>
  </si>
  <si>
    <t>Revenue</t>
  </si>
  <si>
    <t>Expense</t>
  </si>
  <si>
    <t>Profit/Loss</t>
  </si>
  <si>
    <t>T001</t>
  </si>
  <si>
    <t>Customer 1</t>
  </si>
  <si>
    <t>T002</t>
  </si>
  <si>
    <t>Customer 2</t>
  </si>
  <si>
    <t>T003</t>
  </si>
  <si>
    <t>Customer 3</t>
  </si>
  <si>
    <t>T004</t>
  </si>
  <si>
    <t>Customer 4</t>
  </si>
  <si>
    <t>T005</t>
  </si>
  <si>
    <t>Customer 5</t>
  </si>
  <si>
    <t>T006</t>
  </si>
  <si>
    <t>Customer 6</t>
  </si>
  <si>
    <t>T007</t>
  </si>
  <si>
    <t>Customer 7</t>
  </si>
  <si>
    <t>T008</t>
  </si>
  <si>
    <t>Customer 8</t>
  </si>
  <si>
    <t>T009</t>
  </si>
  <si>
    <t>Customer 9</t>
  </si>
  <si>
    <t>T010</t>
  </si>
  <si>
    <t>Customer 10</t>
  </si>
  <si>
    <t>T011</t>
  </si>
  <si>
    <t>Customer 11</t>
  </si>
  <si>
    <t>T012</t>
  </si>
  <si>
    <t>Customer 12</t>
  </si>
  <si>
    <t>T013</t>
  </si>
  <si>
    <t>Customer 13</t>
  </si>
  <si>
    <t>T014</t>
  </si>
  <si>
    <t>Customer 14</t>
  </si>
  <si>
    <t>T015</t>
  </si>
  <si>
    <t>Customer 15</t>
  </si>
  <si>
    <t>T016</t>
  </si>
  <si>
    <t>Customer 16</t>
  </si>
  <si>
    <t>T017</t>
  </si>
  <si>
    <t>Customer 17</t>
  </si>
  <si>
    <t>T018</t>
  </si>
  <si>
    <t>Customer 18</t>
  </si>
  <si>
    <t>T019</t>
  </si>
  <si>
    <t>Customer 19</t>
  </si>
  <si>
    <t>T020</t>
  </si>
  <si>
    <t>Customer 20</t>
  </si>
  <si>
    <t>T021</t>
  </si>
  <si>
    <t>Customer 21</t>
  </si>
  <si>
    <t>T022</t>
  </si>
  <si>
    <t>Customer 22</t>
  </si>
  <si>
    <t>T023</t>
  </si>
  <si>
    <t>Customer 23</t>
  </si>
  <si>
    <t>T024</t>
  </si>
  <si>
    <t>Customer 24</t>
  </si>
  <si>
    <t>T025</t>
  </si>
  <si>
    <t>Customer 25</t>
  </si>
  <si>
    <t>T026</t>
  </si>
  <si>
    <t>Customer 26</t>
  </si>
  <si>
    <t>T027</t>
  </si>
  <si>
    <t>Customer 27</t>
  </si>
  <si>
    <t>T028</t>
  </si>
  <si>
    <t>Customer 28</t>
  </si>
  <si>
    <t>T029</t>
  </si>
  <si>
    <t>Customer 29</t>
  </si>
  <si>
    <t>T030</t>
  </si>
  <si>
    <t>Customer 30</t>
  </si>
  <si>
    <t>T031</t>
  </si>
  <si>
    <t>Customer 31</t>
  </si>
  <si>
    <t>T032</t>
  </si>
  <si>
    <t>Customer 32</t>
  </si>
  <si>
    <t>T033</t>
  </si>
  <si>
    <t>Customer 33</t>
  </si>
  <si>
    <t>T034</t>
  </si>
  <si>
    <t>Customer 34</t>
  </si>
  <si>
    <t>T035</t>
  </si>
  <si>
    <t>Customer 35</t>
  </si>
  <si>
    <t>T036</t>
  </si>
  <si>
    <t>Customer 36</t>
  </si>
  <si>
    <t>T037</t>
  </si>
  <si>
    <t>Customer 37</t>
  </si>
  <si>
    <t>T038</t>
  </si>
  <si>
    <t>Customer 38</t>
  </si>
  <si>
    <t>T039</t>
  </si>
  <si>
    <t>Customer 39</t>
  </si>
  <si>
    <t>T040</t>
  </si>
  <si>
    <t>Customer 40</t>
  </si>
  <si>
    <t>T041</t>
  </si>
  <si>
    <t>Customer 41</t>
  </si>
  <si>
    <t>T042</t>
  </si>
  <si>
    <t>Customer 42</t>
  </si>
  <si>
    <t>T043</t>
  </si>
  <si>
    <t>Customer 43</t>
  </si>
  <si>
    <t>T044</t>
  </si>
  <si>
    <t>Customer 44</t>
  </si>
  <si>
    <t>T045</t>
  </si>
  <si>
    <t>Customer 45</t>
  </si>
  <si>
    <t>T046</t>
  </si>
  <si>
    <t>Customer 46</t>
  </si>
  <si>
    <t>T047</t>
  </si>
  <si>
    <t>Customer 47</t>
  </si>
  <si>
    <t>T048</t>
  </si>
  <si>
    <t>Customer 48</t>
  </si>
  <si>
    <t>T049</t>
  </si>
  <si>
    <t>Customer 49</t>
  </si>
  <si>
    <t>T050</t>
  </si>
  <si>
    <t>Customer 50</t>
  </si>
  <si>
    <t>T051</t>
  </si>
  <si>
    <t>Customer 51</t>
  </si>
  <si>
    <t>T052</t>
  </si>
  <si>
    <t>Customer 52</t>
  </si>
  <si>
    <t>T053</t>
  </si>
  <si>
    <t>Customer 53</t>
  </si>
  <si>
    <t>T054</t>
  </si>
  <si>
    <t>Customer 54</t>
  </si>
  <si>
    <t>T055</t>
  </si>
  <si>
    <t>Customer 55</t>
  </si>
  <si>
    <t>T056</t>
  </si>
  <si>
    <t>Customer 56</t>
  </si>
  <si>
    <t>T057</t>
  </si>
  <si>
    <t>Customer 57</t>
  </si>
  <si>
    <t>T058</t>
  </si>
  <si>
    <t>Customer 58</t>
  </si>
  <si>
    <t>T059</t>
  </si>
  <si>
    <t>Customer 59</t>
  </si>
  <si>
    <t>T060</t>
  </si>
  <si>
    <t>Customer 60</t>
  </si>
  <si>
    <t>T061</t>
  </si>
  <si>
    <t>Customer 61</t>
  </si>
  <si>
    <t>T062</t>
  </si>
  <si>
    <t>Customer 62</t>
  </si>
  <si>
    <t>T063</t>
  </si>
  <si>
    <t>Customer 63</t>
  </si>
  <si>
    <t>T064</t>
  </si>
  <si>
    <t>Customer 64</t>
  </si>
  <si>
    <t>T065</t>
  </si>
  <si>
    <t>Customer 65</t>
  </si>
  <si>
    <t>T066</t>
  </si>
  <si>
    <t>Customer 66</t>
  </si>
  <si>
    <t>T067</t>
  </si>
  <si>
    <t>Customer 67</t>
  </si>
  <si>
    <t>T068</t>
  </si>
  <si>
    <t>Customer 68</t>
  </si>
  <si>
    <t>T069</t>
  </si>
  <si>
    <t>Customer 69</t>
  </si>
  <si>
    <t>T070</t>
  </si>
  <si>
    <t>Customer 70</t>
  </si>
  <si>
    <t>T071</t>
  </si>
  <si>
    <t>Customer 71</t>
  </si>
  <si>
    <t>T072</t>
  </si>
  <si>
    <t>Customer 72</t>
  </si>
  <si>
    <t>T073</t>
  </si>
  <si>
    <t>Customer 73</t>
  </si>
  <si>
    <t>T074</t>
  </si>
  <si>
    <t>Customer 74</t>
  </si>
  <si>
    <t>T075</t>
  </si>
  <si>
    <t>Customer 75</t>
  </si>
  <si>
    <t>T076</t>
  </si>
  <si>
    <t>Customer 76</t>
  </si>
  <si>
    <t>T077</t>
  </si>
  <si>
    <t>Customer 77</t>
  </si>
  <si>
    <t>T078</t>
  </si>
  <si>
    <t>Customer 78</t>
  </si>
  <si>
    <t>T079</t>
  </si>
  <si>
    <t>Customer 79</t>
  </si>
  <si>
    <t>T080</t>
  </si>
  <si>
    <t>Customer 80</t>
  </si>
  <si>
    <t>T081</t>
  </si>
  <si>
    <t>Customer 81</t>
  </si>
  <si>
    <t>T082</t>
  </si>
  <si>
    <t>Customer 82</t>
  </si>
  <si>
    <t>T083</t>
  </si>
  <si>
    <t>Customer 83</t>
  </si>
  <si>
    <t>T084</t>
  </si>
  <si>
    <t>Customer 84</t>
  </si>
  <si>
    <t>T085</t>
  </si>
  <si>
    <t>Customer 85</t>
  </si>
  <si>
    <t>T086</t>
  </si>
  <si>
    <t>Customer 86</t>
  </si>
  <si>
    <t>T087</t>
  </si>
  <si>
    <t>Customer 87</t>
  </si>
  <si>
    <t>T088</t>
  </si>
  <si>
    <t>Customer 88</t>
  </si>
  <si>
    <t>T089</t>
  </si>
  <si>
    <t>Customer 89</t>
  </si>
  <si>
    <t>T090</t>
  </si>
  <si>
    <t>Customer 90</t>
  </si>
  <si>
    <t>T091</t>
  </si>
  <si>
    <t>Customer 91</t>
  </si>
  <si>
    <t>T092</t>
  </si>
  <si>
    <t>Customer 92</t>
  </si>
  <si>
    <t>T093</t>
  </si>
  <si>
    <t>Customer 93</t>
  </si>
  <si>
    <t>T094</t>
  </si>
  <si>
    <t>Customer 94</t>
  </si>
  <si>
    <t>T095</t>
  </si>
  <si>
    <t>Customer 95</t>
  </si>
  <si>
    <t>T096</t>
  </si>
  <si>
    <t>Customer 96</t>
  </si>
  <si>
    <t>T097</t>
  </si>
  <si>
    <t>Customer 97</t>
  </si>
  <si>
    <t>T098</t>
  </si>
  <si>
    <t>Customer 98</t>
  </si>
  <si>
    <t>T099</t>
  </si>
  <si>
    <t>Customer 99</t>
  </si>
  <si>
    <t>T100</t>
  </si>
  <si>
    <t>Customer 100</t>
  </si>
  <si>
    <t>Metric</t>
  </si>
  <si>
    <t>Value</t>
  </si>
  <si>
    <t>Total Revenue</t>
  </si>
  <si>
    <t>Total Expense</t>
  </si>
  <si>
    <t>Total Profit/Loss</t>
  </si>
  <si>
    <t>Total Salary</t>
  </si>
  <si>
    <t>Total revenu</t>
  </si>
  <si>
    <t>Formula total revenue</t>
  </si>
  <si>
    <t>Formula of department of salary 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</si>
</sst>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7" borderId="0" xfId="0" applyFont="1" applyFill="1"/>
    <xf numFmtId="0" fontId="2" fillId="6" borderId="0" xfId="0" applyFont="1" applyFill="1"/>
    <xf numFmtId="0" fontId="3" fillId="8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workbookViewId="0"/>
  </sheetViews>
  <sheetFormatPr defaultRowHeight="14.4" x14ac:dyDescent="0.3"/>
  <cols>
    <col min="1" max="1" width="18" customWidth="1"/>
    <col min="2" max="2" width="18.77734375" customWidth="1"/>
    <col min="3" max="3" width="14.5546875" customWidth="1"/>
    <col min="4" max="4" width="14.332031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>
        <v>71277</v>
      </c>
    </row>
    <row r="3" spans="1:4" x14ac:dyDescent="0.3">
      <c r="A3" t="s">
        <v>7</v>
      </c>
      <c r="B3" t="s">
        <v>8</v>
      </c>
      <c r="C3" t="s">
        <v>9</v>
      </c>
      <c r="D3">
        <v>81140</v>
      </c>
    </row>
    <row r="4" spans="1:4" x14ac:dyDescent="0.3">
      <c r="A4" t="s">
        <v>10</v>
      </c>
      <c r="B4" t="s">
        <v>11</v>
      </c>
      <c r="C4" t="s">
        <v>12</v>
      </c>
      <c r="D4">
        <v>56801</v>
      </c>
    </row>
    <row r="5" spans="1:4" x14ac:dyDescent="0.3">
      <c r="A5" t="s">
        <v>13</v>
      </c>
      <c r="B5" t="s">
        <v>14</v>
      </c>
      <c r="C5" t="s">
        <v>15</v>
      </c>
      <c r="D5">
        <v>76431</v>
      </c>
    </row>
    <row r="6" spans="1:4" x14ac:dyDescent="0.3">
      <c r="A6" t="s">
        <v>16</v>
      </c>
      <c r="B6" t="s">
        <v>17</v>
      </c>
      <c r="C6" t="s">
        <v>15</v>
      </c>
      <c r="D6">
        <v>59686</v>
      </c>
    </row>
    <row r="7" spans="1:4" x14ac:dyDescent="0.3">
      <c r="A7" t="s">
        <v>18</v>
      </c>
      <c r="B7" t="s">
        <v>19</v>
      </c>
      <c r="C7" t="s">
        <v>12</v>
      </c>
      <c r="D7">
        <v>63531</v>
      </c>
    </row>
    <row r="8" spans="1:4" x14ac:dyDescent="0.3">
      <c r="A8" t="s">
        <v>20</v>
      </c>
      <c r="B8" t="s">
        <v>21</v>
      </c>
      <c r="C8" t="s">
        <v>12</v>
      </c>
      <c r="D8">
        <v>86125</v>
      </c>
    </row>
    <row r="9" spans="1:4" x14ac:dyDescent="0.3">
      <c r="A9" t="s">
        <v>22</v>
      </c>
      <c r="B9" t="s">
        <v>23</v>
      </c>
      <c r="C9" t="s">
        <v>15</v>
      </c>
      <c r="D9">
        <v>62443</v>
      </c>
    </row>
    <row r="10" spans="1:4" x14ac:dyDescent="0.3">
      <c r="A10" t="s">
        <v>24</v>
      </c>
      <c r="B10" t="s">
        <v>25</v>
      </c>
      <c r="C10" t="s">
        <v>9</v>
      </c>
      <c r="D10">
        <v>65849</v>
      </c>
    </row>
    <row r="11" spans="1:4" x14ac:dyDescent="0.3">
      <c r="A11" t="s">
        <v>26</v>
      </c>
      <c r="B11" t="s">
        <v>27</v>
      </c>
      <c r="C11" t="s">
        <v>12</v>
      </c>
      <c r="D11">
        <v>74635</v>
      </c>
    </row>
    <row r="12" spans="1:4" x14ac:dyDescent="0.3">
      <c r="A12" t="s">
        <v>28</v>
      </c>
      <c r="B12" t="s">
        <v>29</v>
      </c>
      <c r="C12" t="s">
        <v>9</v>
      </c>
      <c r="D12">
        <v>77717</v>
      </c>
    </row>
    <row r="13" spans="1:4" x14ac:dyDescent="0.3">
      <c r="A13" t="s">
        <v>30</v>
      </c>
      <c r="B13" t="s">
        <v>31</v>
      </c>
      <c r="C13" t="s">
        <v>6</v>
      </c>
      <c r="D13">
        <v>74859</v>
      </c>
    </row>
    <row r="14" spans="1:4" x14ac:dyDescent="0.3">
      <c r="A14" t="s">
        <v>32</v>
      </c>
      <c r="B14" t="s">
        <v>33</v>
      </c>
      <c r="C14" t="s">
        <v>9</v>
      </c>
      <c r="D14">
        <v>54425</v>
      </c>
    </row>
    <row r="15" spans="1:4" x14ac:dyDescent="0.3">
      <c r="A15" t="s">
        <v>34</v>
      </c>
      <c r="B15" t="s">
        <v>35</v>
      </c>
      <c r="C15" t="s">
        <v>12</v>
      </c>
      <c r="D15">
        <v>76660</v>
      </c>
    </row>
    <row r="16" spans="1:4" x14ac:dyDescent="0.3">
      <c r="A16" t="s">
        <v>36</v>
      </c>
      <c r="B16" t="s">
        <v>37</v>
      </c>
      <c r="C16" t="s">
        <v>15</v>
      </c>
      <c r="D16">
        <v>71715</v>
      </c>
    </row>
    <row r="17" spans="1:4" x14ac:dyDescent="0.3">
      <c r="A17" t="s">
        <v>38</v>
      </c>
      <c r="B17" t="s">
        <v>39</v>
      </c>
      <c r="C17" t="s">
        <v>40</v>
      </c>
      <c r="D17">
        <v>68429</v>
      </c>
    </row>
    <row r="18" spans="1:4" x14ac:dyDescent="0.3">
      <c r="A18" t="s">
        <v>41</v>
      </c>
      <c r="B18" t="s">
        <v>42</v>
      </c>
      <c r="C18" t="s">
        <v>9</v>
      </c>
      <c r="D18">
        <v>25073</v>
      </c>
    </row>
    <row r="19" spans="1:4" x14ac:dyDescent="0.3">
      <c r="A19" t="s">
        <v>43</v>
      </c>
      <c r="B19" t="s">
        <v>44</v>
      </c>
      <c r="C19" t="s">
        <v>9</v>
      </c>
      <c r="D19">
        <v>42741</v>
      </c>
    </row>
    <row r="20" spans="1:4" x14ac:dyDescent="0.3">
      <c r="A20" t="s">
        <v>45</v>
      </c>
      <c r="B20" t="s">
        <v>46</v>
      </c>
      <c r="C20" t="s">
        <v>40</v>
      </c>
      <c r="D20">
        <v>25988</v>
      </c>
    </row>
    <row r="21" spans="1:4" x14ac:dyDescent="0.3">
      <c r="A21" t="s">
        <v>47</v>
      </c>
      <c r="B21" t="s">
        <v>48</v>
      </c>
      <c r="C21" t="s">
        <v>40</v>
      </c>
      <c r="D21">
        <v>37109</v>
      </c>
    </row>
    <row r="22" spans="1:4" x14ac:dyDescent="0.3">
      <c r="A22" t="s">
        <v>49</v>
      </c>
      <c r="B22" t="s">
        <v>50</v>
      </c>
      <c r="C22" t="s">
        <v>9</v>
      </c>
      <c r="D22">
        <v>32329</v>
      </c>
    </row>
    <row r="23" spans="1:4" x14ac:dyDescent="0.3">
      <c r="A23" t="s">
        <v>51</v>
      </c>
      <c r="B23" t="s">
        <v>52</v>
      </c>
      <c r="C23" t="s">
        <v>15</v>
      </c>
      <c r="D23">
        <v>34178</v>
      </c>
    </row>
    <row r="24" spans="1:4" x14ac:dyDescent="0.3">
      <c r="A24" t="s">
        <v>53</v>
      </c>
      <c r="B24" t="s">
        <v>54</v>
      </c>
      <c r="C24" t="s">
        <v>9</v>
      </c>
      <c r="D24">
        <v>52533</v>
      </c>
    </row>
    <row r="25" spans="1:4" x14ac:dyDescent="0.3">
      <c r="A25" t="s">
        <v>55</v>
      </c>
      <c r="B25" t="s">
        <v>56</v>
      </c>
      <c r="C25" t="s">
        <v>6</v>
      </c>
      <c r="D25">
        <v>67057</v>
      </c>
    </row>
    <row r="26" spans="1:4" x14ac:dyDescent="0.3">
      <c r="A26" t="s">
        <v>57</v>
      </c>
      <c r="B26" t="s">
        <v>58</v>
      </c>
      <c r="C26" t="s">
        <v>40</v>
      </c>
      <c r="D26">
        <v>27946</v>
      </c>
    </row>
    <row r="27" spans="1:4" x14ac:dyDescent="0.3">
      <c r="A27" t="s">
        <v>59</v>
      </c>
      <c r="B27" t="s">
        <v>60</v>
      </c>
      <c r="C27" t="s">
        <v>40</v>
      </c>
      <c r="D27">
        <v>69348</v>
      </c>
    </row>
    <row r="28" spans="1:4" x14ac:dyDescent="0.3">
      <c r="A28" t="s">
        <v>61</v>
      </c>
      <c r="B28" t="s">
        <v>62</v>
      </c>
      <c r="C28" t="s">
        <v>40</v>
      </c>
      <c r="D28">
        <v>25139</v>
      </c>
    </row>
    <row r="29" spans="1:4" x14ac:dyDescent="0.3">
      <c r="A29" t="s">
        <v>63</v>
      </c>
      <c r="B29" t="s">
        <v>64</v>
      </c>
      <c r="C29" t="s">
        <v>12</v>
      </c>
      <c r="D29">
        <v>36750</v>
      </c>
    </row>
    <row r="30" spans="1:4" x14ac:dyDescent="0.3">
      <c r="A30" t="s">
        <v>65</v>
      </c>
      <c r="B30" t="s">
        <v>66</v>
      </c>
      <c r="C30" t="s">
        <v>9</v>
      </c>
      <c r="D30">
        <v>64333</v>
      </c>
    </row>
    <row r="31" spans="1:4" x14ac:dyDescent="0.3">
      <c r="A31" t="s">
        <v>67</v>
      </c>
      <c r="B31" t="s">
        <v>68</v>
      </c>
      <c r="C31" t="s">
        <v>9</v>
      </c>
      <c r="D31">
        <v>43036</v>
      </c>
    </row>
    <row r="32" spans="1:4" x14ac:dyDescent="0.3">
      <c r="A32" t="s">
        <v>69</v>
      </c>
      <c r="B32" t="s">
        <v>70</v>
      </c>
      <c r="C32" t="s">
        <v>40</v>
      </c>
      <c r="D32">
        <v>34535</v>
      </c>
    </row>
    <row r="33" spans="1:4" x14ac:dyDescent="0.3">
      <c r="A33" t="s">
        <v>71</v>
      </c>
      <c r="B33" t="s">
        <v>72</v>
      </c>
      <c r="C33" t="s">
        <v>12</v>
      </c>
      <c r="D33">
        <v>84002</v>
      </c>
    </row>
    <row r="34" spans="1:4" x14ac:dyDescent="0.3">
      <c r="A34" t="s">
        <v>73</v>
      </c>
      <c r="B34" t="s">
        <v>74</v>
      </c>
      <c r="C34" t="s">
        <v>40</v>
      </c>
      <c r="D34">
        <v>70844</v>
      </c>
    </row>
    <row r="35" spans="1:4" x14ac:dyDescent="0.3">
      <c r="A35" t="s">
        <v>75</v>
      </c>
      <c r="B35" t="s">
        <v>76</v>
      </c>
      <c r="C35" t="s">
        <v>9</v>
      </c>
      <c r="D35">
        <v>71995</v>
      </c>
    </row>
    <row r="36" spans="1:4" x14ac:dyDescent="0.3">
      <c r="A36" t="s">
        <v>77</v>
      </c>
      <c r="B36" t="s">
        <v>78</v>
      </c>
      <c r="C36" t="s">
        <v>40</v>
      </c>
      <c r="D36">
        <v>64324</v>
      </c>
    </row>
    <row r="37" spans="1:4" x14ac:dyDescent="0.3">
      <c r="A37" t="s">
        <v>79</v>
      </c>
      <c r="B37" t="s">
        <v>80</v>
      </c>
      <c r="C37" t="s">
        <v>40</v>
      </c>
      <c r="D37">
        <v>38881</v>
      </c>
    </row>
    <row r="38" spans="1:4" x14ac:dyDescent="0.3">
      <c r="A38" t="s">
        <v>81</v>
      </c>
      <c r="B38" t="s">
        <v>82</v>
      </c>
      <c r="C38" t="s">
        <v>9</v>
      </c>
      <c r="D38">
        <v>77492</v>
      </c>
    </row>
    <row r="39" spans="1:4" x14ac:dyDescent="0.3">
      <c r="A39" t="s">
        <v>83</v>
      </c>
      <c r="B39" t="s">
        <v>84</v>
      </c>
      <c r="C39" t="s">
        <v>15</v>
      </c>
      <c r="D39">
        <v>65884</v>
      </c>
    </row>
    <row r="40" spans="1:4" x14ac:dyDescent="0.3">
      <c r="A40" t="s">
        <v>85</v>
      </c>
      <c r="B40" t="s">
        <v>86</v>
      </c>
      <c r="C40" t="s">
        <v>12</v>
      </c>
      <c r="D40">
        <v>45735</v>
      </c>
    </row>
    <row r="41" spans="1:4" x14ac:dyDescent="0.3">
      <c r="A41" t="s">
        <v>87</v>
      </c>
      <c r="B41" t="s">
        <v>88</v>
      </c>
      <c r="C41" t="s">
        <v>15</v>
      </c>
      <c r="D41">
        <v>82922</v>
      </c>
    </row>
    <row r="42" spans="1:4" x14ac:dyDescent="0.3">
      <c r="A42" t="s">
        <v>89</v>
      </c>
      <c r="B42" t="s">
        <v>90</v>
      </c>
      <c r="C42" t="s">
        <v>40</v>
      </c>
      <c r="D42">
        <v>31845</v>
      </c>
    </row>
    <row r="43" spans="1:4" x14ac:dyDescent="0.3">
      <c r="A43" t="s">
        <v>91</v>
      </c>
      <c r="B43" t="s">
        <v>92</v>
      </c>
      <c r="C43" t="s">
        <v>15</v>
      </c>
      <c r="D43">
        <v>51659</v>
      </c>
    </row>
    <row r="44" spans="1:4" x14ac:dyDescent="0.3">
      <c r="A44" t="s">
        <v>93</v>
      </c>
      <c r="B44" t="s">
        <v>94</v>
      </c>
      <c r="C44" t="s">
        <v>40</v>
      </c>
      <c r="D44">
        <v>66924</v>
      </c>
    </row>
    <row r="45" spans="1:4" x14ac:dyDescent="0.3">
      <c r="A45" t="s">
        <v>95</v>
      </c>
      <c r="B45" t="s">
        <v>96</v>
      </c>
      <c r="C45" t="s">
        <v>9</v>
      </c>
      <c r="D45">
        <v>53777</v>
      </c>
    </row>
    <row r="46" spans="1:4" x14ac:dyDescent="0.3">
      <c r="A46" t="s">
        <v>97</v>
      </c>
      <c r="B46" t="s">
        <v>98</v>
      </c>
      <c r="C46" t="s">
        <v>15</v>
      </c>
      <c r="D46">
        <v>56803</v>
      </c>
    </row>
    <row r="47" spans="1:4" x14ac:dyDescent="0.3">
      <c r="A47" t="s">
        <v>99</v>
      </c>
      <c r="B47" t="s">
        <v>100</v>
      </c>
      <c r="C47" t="s">
        <v>12</v>
      </c>
      <c r="D47">
        <v>38206</v>
      </c>
    </row>
    <row r="48" spans="1:4" x14ac:dyDescent="0.3">
      <c r="A48" t="s">
        <v>101</v>
      </c>
      <c r="B48" t="s">
        <v>102</v>
      </c>
      <c r="C48" t="s">
        <v>6</v>
      </c>
      <c r="D48">
        <v>89620</v>
      </c>
    </row>
    <row r="49" spans="1:4" x14ac:dyDescent="0.3">
      <c r="A49" t="s">
        <v>103</v>
      </c>
      <c r="B49" t="s">
        <v>104</v>
      </c>
      <c r="C49" t="s">
        <v>9</v>
      </c>
      <c r="D49">
        <v>75269</v>
      </c>
    </row>
    <row r="50" spans="1:4" x14ac:dyDescent="0.3">
      <c r="A50" t="s">
        <v>105</v>
      </c>
      <c r="B50" t="s">
        <v>106</v>
      </c>
      <c r="C50" t="s">
        <v>15</v>
      </c>
      <c r="D50">
        <v>45979</v>
      </c>
    </row>
    <row r="51" spans="1:4" x14ac:dyDescent="0.3">
      <c r="A51" t="s">
        <v>107</v>
      </c>
      <c r="B51" t="s">
        <v>108</v>
      </c>
      <c r="C51" t="s">
        <v>9</v>
      </c>
      <c r="D51">
        <v>26170</v>
      </c>
    </row>
    <row r="52" spans="1:4" x14ac:dyDescent="0.3">
      <c r="A52" t="s">
        <v>109</v>
      </c>
      <c r="B52" t="s">
        <v>110</v>
      </c>
      <c r="C52" t="s">
        <v>15</v>
      </c>
      <c r="D52">
        <v>81193</v>
      </c>
    </row>
    <row r="53" spans="1:4" x14ac:dyDescent="0.3">
      <c r="A53" t="s">
        <v>111</v>
      </c>
      <c r="B53" t="s">
        <v>112</v>
      </c>
      <c r="C53" t="s">
        <v>12</v>
      </c>
      <c r="D53">
        <v>72602</v>
      </c>
    </row>
    <row r="54" spans="1:4" x14ac:dyDescent="0.3">
      <c r="A54" t="s">
        <v>113</v>
      </c>
      <c r="B54" t="s">
        <v>114</v>
      </c>
      <c r="C54" t="s">
        <v>9</v>
      </c>
      <c r="D54">
        <v>67322</v>
      </c>
    </row>
    <row r="55" spans="1:4" x14ac:dyDescent="0.3">
      <c r="A55" t="s">
        <v>115</v>
      </c>
      <c r="B55" t="s">
        <v>116</v>
      </c>
      <c r="C55" t="s">
        <v>9</v>
      </c>
      <c r="D55">
        <v>88689</v>
      </c>
    </row>
    <row r="56" spans="1:4" x14ac:dyDescent="0.3">
      <c r="A56" t="s">
        <v>117</v>
      </c>
      <c r="B56" t="s">
        <v>118</v>
      </c>
      <c r="C56" t="s">
        <v>15</v>
      </c>
      <c r="D56">
        <v>67981</v>
      </c>
    </row>
    <row r="57" spans="1:4" x14ac:dyDescent="0.3">
      <c r="A57" t="s">
        <v>119</v>
      </c>
      <c r="B57" t="s">
        <v>120</v>
      </c>
      <c r="C57" t="s">
        <v>9</v>
      </c>
      <c r="D57">
        <v>79397</v>
      </c>
    </row>
    <row r="58" spans="1:4" x14ac:dyDescent="0.3">
      <c r="A58" t="s">
        <v>121</v>
      </c>
      <c r="B58" t="s">
        <v>122</v>
      </c>
      <c r="C58" t="s">
        <v>9</v>
      </c>
      <c r="D58">
        <v>36764</v>
      </c>
    </row>
    <row r="59" spans="1:4" x14ac:dyDescent="0.3">
      <c r="A59" t="s">
        <v>123</v>
      </c>
      <c r="B59" t="s">
        <v>124</v>
      </c>
      <c r="C59" t="s">
        <v>40</v>
      </c>
      <c r="D59">
        <v>82591</v>
      </c>
    </row>
    <row r="60" spans="1:4" x14ac:dyDescent="0.3">
      <c r="A60" t="s">
        <v>125</v>
      </c>
      <c r="B60" t="s">
        <v>126</v>
      </c>
      <c r="C60" t="s">
        <v>15</v>
      </c>
      <c r="D60">
        <v>52908</v>
      </c>
    </row>
    <row r="61" spans="1:4" x14ac:dyDescent="0.3">
      <c r="A61" t="s">
        <v>127</v>
      </c>
      <c r="B61" t="s">
        <v>128</v>
      </c>
      <c r="C61" t="s">
        <v>6</v>
      </c>
      <c r="D61">
        <v>72228</v>
      </c>
    </row>
    <row r="62" spans="1:4" x14ac:dyDescent="0.3">
      <c r="A62" t="s">
        <v>129</v>
      </c>
      <c r="B62" t="s">
        <v>130</v>
      </c>
      <c r="C62" t="s">
        <v>40</v>
      </c>
      <c r="D62">
        <v>68723</v>
      </c>
    </row>
    <row r="63" spans="1:4" x14ac:dyDescent="0.3">
      <c r="A63" t="s">
        <v>131</v>
      </c>
      <c r="B63" t="s">
        <v>132</v>
      </c>
      <c r="C63" t="s">
        <v>40</v>
      </c>
      <c r="D63">
        <v>61403</v>
      </c>
    </row>
    <row r="64" spans="1:4" x14ac:dyDescent="0.3">
      <c r="A64" t="s">
        <v>133</v>
      </c>
      <c r="B64" t="s">
        <v>134</v>
      </c>
      <c r="C64" t="s">
        <v>6</v>
      </c>
      <c r="D64">
        <v>49591</v>
      </c>
    </row>
    <row r="65" spans="1:4" x14ac:dyDescent="0.3">
      <c r="A65" t="s">
        <v>135</v>
      </c>
      <c r="B65" t="s">
        <v>136</v>
      </c>
      <c r="C65" t="s">
        <v>6</v>
      </c>
      <c r="D65">
        <v>82518</v>
      </c>
    </row>
    <row r="66" spans="1:4" x14ac:dyDescent="0.3">
      <c r="A66" t="s">
        <v>137</v>
      </c>
      <c r="B66" t="s">
        <v>138</v>
      </c>
      <c r="C66" t="s">
        <v>12</v>
      </c>
      <c r="D66">
        <v>39335</v>
      </c>
    </row>
    <row r="67" spans="1:4" x14ac:dyDescent="0.3">
      <c r="A67" t="s">
        <v>139</v>
      </c>
      <c r="B67" t="s">
        <v>140</v>
      </c>
      <c r="C67" t="s">
        <v>6</v>
      </c>
      <c r="D67">
        <v>51420</v>
      </c>
    </row>
    <row r="68" spans="1:4" x14ac:dyDescent="0.3">
      <c r="A68" t="s">
        <v>141</v>
      </c>
      <c r="B68" t="s">
        <v>142</v>
      </c>
      <c r="C68" t="s">
        <v>6</v>
      </c>
      <c r="D68">
        <v>62436</v>
      </c>
    </row>
    <row r="69" spans="1:4" x14ac:dyDescent="0.3">
      <c r="A69" t="s">
        <v>143</v>
      </c>
      <c r="B69" t="s">
        <v>144</v>
      </c>
      <c r="C69" t="s">
        <v>40</v>
      </c>
      <c r="D69">
        <v>75251</v>
      </c>
    </row>
    <row r="70" spans="1:4" x14ac:dyDescent="0.3">
      <c r="A70" t="s">
        <v>145</v>
      </c>
      <c r="B70" t="s">
        <v>146</v>
      </c>
      <c r="C70" t="s">
        <v>15</v>
      </c>
      <c r="D70">
        <v>58258</v>
      </c>
    </row>
    <row r="71" spans="1:4" x14ac:dyDescent="0.3">
      <c r="A71" t="s">
        <v>147</v>
      </c>
      <c r="B71" t="s">
        <v>148</v>
      </c>
      <c r="C71" t="s">
        <v>15</v>
      </c>
      <c r="D71">
        <v>55794</v>
      </c>
    </row>
    <row r="72" spans="1:4" x14ac:dyDescent="0.3">
      <c r="A72" t="s">
        <v>149</v>
      </c>
      <c r="B72" t="s">
        <v>150</v>
      </c>
      <c r="C72" t="s">
        <v>12</v>
      </c>
      <c r="D72">
        <v>89317</v>
      </c>
    </row>
    <row r="73" spans="1:4" x14ac:dyDescent="0.3">
      <c r="A73" t="s">
        <v>151</v>
      </c>
      <c r="B73" t="s">
        <v>152</v>
      </c>
      <c r="C73" t="s">
        <v>12</v>
      </c>
      <c r="D73">
        <v>28783</v>
      </c>
    </row>
    <row r="74" spans="1:4" x14ac:dyDescent="0.3">
      <c r="A74" t="s">
        <v>153</v>
      </c>
      <c r="B74" t="s">
        <v>154</v>
      </c>
      <c r="C74" t="s">
        <v>15</v>
      </c>
      <c r="D74">
        <v>71484</v>
      </c>
    </row>
    <row r="75" spans="1:4" x14ac:dyDescent="0.3">
      <c r="A75" t="s">
        <v>155</v>
      </c>
      <c r="B75" t="s">
        <v>156</v>
      </c>
      <c r="C75" t="s">
        <v>9</v>
      </c>
      <c r="D75">
        <v>33515</v>
      </c>
    </row>
    <row r="76" spans="1:4" x14ac:dyDescent="0.3">
      <c r="A76" t="s">
        <v>157</v>
      </c>
      <c r="B76" t="s">
        <v>158</v>
      </c>
      <c r="C76" t="s">
        <v>6</v>
      </c>
      <c r="D76">
        <v>44227</v>
      </c>
    </row>
    <row r="77" spans="1:4" x14ac:dyDescent="0.3">
      <c r="A77" t="s">
        <v>159</v>
      </c>
      <c r="B77" t="s">
        <v>160</v>
      </c>
      <c r="C77" t="s">
        <v>12</v>
      </c>
      <c r="D77">
        <v>87292</v>
      </c>
    </row>
    <row r="78" spans="1:4" x14ac:dyDescent="0.3">
      <c r="A78" t="s">
        <v>161</v>
      </c>
      <c r="B78" t="s">
        <v>162</v>
      </c>
      <c r="C78" t="s">
        <v>40</v>
      </c>
      <c r="D78">
        <v>86778</v>
      </c>
    </row>
    <row r="79" spans="1:4" x14ac:dyDescent="0.3">
      <c r="A79" t="s">
        <v>163</v>
      </c>
      <c r="B79" t="s">
        <v>164</v>
      </c>
      <c r="C79" t="s">
        <v>9</v>
      </c>
      <c r="D79">
        <v>68779</v>
      </c>
    </row>
    <row r="80" spans="1:4" x14ac:dyDescent="0.3">
      <c r="A80" t="s">
        <v>165</v>
      </c>
      <c r="B80" t="s">
        <v>166</v>
      </c>
      <c r="C80" t="s">
        <v>6</v>
      </c>
      <c r="D80">
        <v>50698</v>
      </c>
    </row>
    <row r="81" spans="1:4" x14ac:dyDescent="0.3">
      <c r="A81" t="s">
        <v>167</v>
      </c>
      <c r="B81" t="s">
        <v>168</v>
      </c>
      <c r="C81" t="s">
        <v>12</v>
      </c>
      <c r="D81">
        <v>48909</v>
      </c>
    </row>
    <row r="82" spans="1:4" x14ac:dyDescent="0.3">
      <c r="A82" t="s">
        <v>169</v>
      </c>
      <c r="B82" t="s">
        <v>170</v>
      </c>
      <c r="C82" t="s">
        <v>40</v>
      </c>
      <c r="D82">
        <v>51345</v>
      </c>
    </row>
    <row r="83" spans="1:4" x14ac:dyDescent="0.3">
      <c r="A83" t="s">
        <v>171</v>
      </c>
      <c r="B83" t="s">
        <v>172</v>
      </c>
      <c r="C83" t="s">
        <v>12</v>
      </c>
      <c r="D83">
        <v>71637</v>
      </c>
    </row>
    <row r="84" spans="1:4" x14ac:dyDescent="0.3">
      <c r="A84" t="s">
        <v>173</v>
      </c>
      <c r="B84" t="s">
        <v>174</v>
      </c>
      <c r="C84" t="s">
        <v>9</v>
      </c>
      <c r="D84">
        <v>69707</v>
      </c>
    </row>
    <row r="85" spans="1:4" x14ac:dyDescent="0.3">
      <c r="A85" t="s">
        <v>175</v>
      </c>
      <c r="B85" t="s">
        <v>176</v>
      </c>
      <c r="C85" t="s">
        <v>40</v>
      </c>
      <c r="D85">
        <v>43846</v>
      </c>
    </row>
    <row r="86" spans="1:4" x14ac:dyDescent="0.3">
      <c r="A86" t="s">
        <v>177</v>
      </c>
      <c r="B86" t="s">
        <v>178</v>
      </c>
      <c r="C86" t="s">
        <v>6</v>
      </c>
      <c r="D86">
        <v>64497</v>
      </c>
    </row>
    <row r="87" spans="1:4" x14ac:dyDescent="0.3">
      <c r="A87" t="s">
        <v>179</v>
      </c>
      <c r="B87" t="s">
        <v>180</v>
      </c>
      <c r="C87" t="s">
        <v>12</v>
      </c>
      <c r="D87">
        <v>25428</v>
      </c>
    </row>
    <row r="88" spans="1:4" x14ac:dyDescent="0.3">
      <c r="A88" t="s">
        <v>181</v>
      </c>
      <c r="B88" t="s">
        <v>182</v>
      </c>
      <c r="C88" t="s">
        <v>12</v>
      </c>
      <c r="D88">
        <v>27237</v>
      </c>
    </row>
    <row r="89" spans="1:4" x14ac:dyDescent="0.3">
      <c r="A89" t="s">
        <v>183</v>
      </c>
      <c r="B89" t="s">
        <v>184</v>
      </c>
      <c r="C89" t="s">
        <v>15</v>
      </c>
      <c r="D89">
        <v>37028</v>
      </c>
    </row>
    <row r="90" spans="1:4" x14ac:dyDescent="0.3">
      <c r="A90" t="s">
        <v>185</v>
      </c>
      <c r="B90" t="s">
        <v>186</v>
      </c>
      <c r="C90" t="s">
        <v>15</v>
      </c>
      <c r="D90">
        <v>88124</v>
      </c>
    </row>
    <row r="91" spans="1:4" x14ac:dyDescent="0.3">
      <c r="A91" t="s">
        <v>187</v>
      </c>
      <c r="B91" t="s">
        <v>188</v>
      </c>
      <c r="C91" t="s">
        <v>9</v>
      </c>
      <c r="D91">
        <v>45940</v>
      </c>
    </row>
    <row r="92" spans="1:4" x14ac:dyDescent="0.3">
      <c r="A92" t="s">
        <v>189</v>
      </c>
      <c r="B92" t="s">
        <v>190</v>
      </c>
      <c r="C92" t="s">
        <v>12</v>
      </c>
      <c r="D92">
        <v>26805</v>
      </c>
    </row>
    <row r="93" spans="1:4" x14ac:dyDescent="0.3">
      <c r="A93" t="s">
        <v>191</v>
      </c>
      <c r="B93" t="s">
        <v>192</v>
      </c>
      <c r="C93" t="s">
        <v>6</v>
      </c>
      <c r="D93">
        <v>31525</v>
      </c>
    </row>
    <row r="94" spans="1:4" x14ac:dyDescent="0.3">
      <c r="A94" t="s">
        <v>193</v>
      </c>
      <c r="B94" t="s">
        <v>194</v>
      </c>
      <c r="C94" t="s">
        <v>12</v>
      </c>
      <c r="D94">
        <v>88645</v>
      </c>
    </row>
    <row r="95" spans="1:4" x14ac:dyDescent="0.3">
      <c r="A95" t="s">
        <v>195</v>
      </c>
      <c r="B95" t="s">
        <v>196</v>
      </c>
      <c r="C95" t="s">
        <v>40</v>
      </c>
      <c r="D95">
        <v>46989</v>
      </c>
    </row>
    <row r="96" spans="1:4" x14ac:dyDescent="0.3">
      <c r="A96" t="s">
        <v>197</v>
      </c>
      <c r="B96" t="s">
        <v>198</v>
      </c>
      <c r="C96" t="s">
        <v>6</v>
      </c>
      <c r="D96">
        <v>52944</v>
      </c>
    </row>
    <row r="97" spans="1:4" x14ac:dyDescent="0.3">
      <c r="A97" t="s">
        <v>199</v>
      </c>
      <c r="B97" t="s">
        <v>200</v>
      </c>
      <c r="C97" t="s">
        <v>9</v>
      </c>
      <c r="D97">
        <v>62416</v>
      </c>
    </row>
    <row r="98" spans="1:4" x14ac:dyDescent="0.3">
      <c r="A98" t="s">
        <v>201</v>
      </c>
      <c r="B98" t="s">
        <v>202</v>
      </c>
      <c r="C98" t="s">
        <v>6</v>
      </c>
      <c r="D98">
        <v>76218</v>
      </c>
    </row>
    <row r="99" spans="1:4" x14ac:dyDescent="0.3">
      <c r="A99" t="s">
        <v>203</v>
      </c>
      <c r="B99" t="s">
        <v>204</v>
      </c>
      <c r="C99" t="s">
        <v>12</v>
      </c>
      <c r="D99">
        <v>46906</v>
      </c>
    </row>
    <row r="100" spans="1:4" x14ac:dyDescent="0.3">
      <c r="A100" t="s">
        <v>205</v>
      </c>
      <c r="B100" t="s">
        <v>206</v>
      </c>
      <c r="C100" t="s">
        <v>9</v>
      </c>
      <c r="D100">
        <v>29647</v>
      </c>
    </row>
    <row r="101" spans="1:4" x14ac:dyDescent="0.3">
      <c r="A101" t="s">
        <v>207</v>
      </c>
      <c r="B101" t="s">
        <v>208</v>
      </c>
      <c r="C101" t="s">
        <v>12</v>
      </c>
      <c r="D101">
        <v>73508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2"/>
  <sheetViews>
    <sheetView tabSelected="1" topLeftCell="A86" workbookViewId="0">
      <selection activeCell="E103" sqref="E103"/>
    </sheetView>
  </sheetViews>
  <sheetFormatPr defaultRowHeight="14.4" x14ac:dyDescent="0.3"/>
  <cols>
    <col min="1" max="1" width="13.88671875" customWidth="1"/>
    <col min="2" max="2" width="16" customWidth="1"/>
    <col min="3" max="3" width="16.77734375" customWidth="1"/>
    <col min="4" max="4" width="11.88671875" customWidth="1"/>
    <col min="5" max="5" width="13.109375" customWidth="1"/>
    <col min="6" max="6" width="14.33203125" customWidth="1"/>
    <col min="7" max="7" width="16.5546875" customWidth="1"/>
  </cols>
  <sheetData>
    <row r="1" spans="1:7" x14ac:dyDescent="0.3">
      <c r="A1" s="9" t="s">
        <v>209</v>
      </c>
      <c r="B1" s="9" t="s">
        <v>210</v>
      </c>
      <c r="C1" s="9" t="s">
        <v>211</v>
      </c>
      <c r="D1" s="9" t="s">
        <v>2</v>
      </c>
      <c r="E1" s="9" t="s">
        <v>212</v>
      </c>
      <c r="F1" s="9" t="s">
        <v>213</v>
      </c>
      <c r="G1" s="9" t="s">
        <v>214</v>
      </c>
    </row>
    <row r="2" spans="1:7" x14ac:dyDescent="0.3">
      <c r="A2" t="s">
        <v>215</v>
      </c>
      <c r="B2" s="2">
        <v>46025</v>
      </c>
      <c r="C2" t="s">
        <v>216</v>
      </c>
      <c r="D2" t="s">
        <v>6</v>
      </c>
      <c r="E2">
        <v>43371</v>
      </c>
      <c r="F2">
        <v>48231</v>
      </c>
      <c r="G2">
        <f t="shared" ref="G2:G33" si="0">E2-F2</f>
        <v>-4860</v>
      </c>
    </row>
    <row r="3" spans="1:7" x14ac:dyDescent="0.3">
      <c r="A3" t="s">
        <v>217</v>
      </c>
      <c r="B3" s="2">
        <v>46026</v>
      </c>
      <c r="C3" t="s">
        <v>218</v>
      </c>
      <c r="D3" t="s">
        <v>15</v>
      </c>
      <c r="E3">
        <v>48260</v>
      </c>
      <c r="F3">
        <v>29673</v>
      </c>
      <c r="G3">
        <f t="shared" si="0"/>
        <v>18587</v>
      </c>
    </row>
    <row r="4" spans="1:7" x14ac:dyDescent="0.3">
      <c r="A4" t="s">
        <v>219</v>
      </c>
      <c r="B4" s="2">
        <v>46027</v>
      </c>
      <c r="C4" t="s">
        <v>220</v>
      </c>
      <c r="D4" t="s">
        <v>9</v>
      </c>
      <c r="E4">
        <v>59644</v>
      </c>
      <c r="F4">
        <v>40579</v>
      </c>
      <c r="G4">
        <f t="shared" si="0"/>
        <v>19065</v>
      </c>
    </row>
    <row r="5" spans="1:7" x14ac:dyDescent="0.3">
      <c r="A5" t="s">
        <v>221</v>
      </c>
      <c r="B5" s="2">
        <v>46028</v>
      </c>
      <c r="C5" t="s">
        <v>222</v>
      </c>
      <c r="D5" t="s">
        <v>9</v>
      </c>
      <c r="E5">
        <v>82963</v>
      </c>
      <c r="F5">
        <v>62900</v>
      </c>
      <c r="G5">
        <f t="shared" si="0"/>
        <v>20063</v>
      </c>
    </row>
    <row r="6" spans="1:7" x14ac:dyDescent="0.3">
      <c r="A6" t="s">
        <v>223</v>
      </c>
      <c r="B6" s="2">
        <v>46029</v>
      </c>
      <c r="C6" t="s">
        <v>224</v>
      </c>
      <c r="D6" t="s">
        <v>40</v>
      </c>
      <c r="E6">
        <v>86752</v>
      </c>
      <c r="F6">
        <v>68259</v>
      </c>
      <c r="G6">
        <f t="shared" si="0"/>
        <v>18493</v>
      </c>
    </row>
    <row r="7" spans="1:7" x14ac:dyDescent="0.3">
      <c r="A7" t="s">
        <v>225</v>
      </c>
      <c r="B7" s="2">
        <v>46030</v>
      </c>
      <c r="C7" t="s">
        <v>226</v>
      </c>
      <c r="D7" t="s">
        <v>40</v>
      </c>
      <c r="E7">
        <v>94843</v>
      </c>
      <c r="F7">
        <v>16435</v>
      </c>
      <c r="G7">
        <f t="shared" si="0"/>
        <v>78408</v>
      </c>
    </row>
    <row r="8" spans="1:7" x14ac:dyDescent="0.3">
      <c r="A8" t="s">
        <v>227</v>
      </c>
      <c r="B8" s="2">
        <v>46031</v>
      </c>
      <c r="C8" t="s">
        <v>228</v>
      </c>
      <c r="D8" t="s">
        <v>40</v>
      </c>
      <c r="E8">
        <v>37164</v>
      </c>
      <c r="F8">
        <v>37576</v>
      </c>
      <c r="G8">
        <f t="shared" si="0"/>
        <v>-412</v>
      </c>
    </row>
    <row r="9" spans="1:7" x14ac:dyDescent="0.3">
      <c r="A9" t="s">
        <v>229</v>
      </c>
      <c r="B9" s="2">
        <v>46032</v>
      </c>
      <c r="C9" t="s">
        <v>230</v>
      </c>
      <c r="D9" t="s">
        <v>6</v>
      </c>
      <c r="E9">
        <v>57653</v>
      </c>
      <c r="F9">
        <v>38067</v>
      </c>
      <c r="G9">
        <f t="shared" si="0"/>
        <v>19586</v>
      </c>
    </row>
    <row r="10" spans="1:7" x14ac:dyDescent="0.3">
      <c r="A10" t="s">
        <v>231</v>
      </c>
      <c r="B10" s="2">
        <v>46033</v>
      </c>
      <c r="C10" t="s">
        <v>232</v>
      </c>
      <c r="D10" t="s">
        <v>9</v>
      </c>
      <c r="E10">
        <v>72681</v>
      </c>
      <c r="F10">
        <v>69278</v>
      </c>
      <c r="G10">
        <f t="shared" si="0"/>
        <v>3403</v>
      </c>
    </row>
    <row r="11" spans="1:7" x14ac:dyDescent="0.3">
      <c r="A11" t="s">
        <v>233</v>
      </c>
      <c r="B11" s="2">
        <v>46034</v>
      </c>
      <c r="C11" t="s">
        <v>234</v>
      </c>
      <c r="D11" t="s">
        <v>12</v>
      </c>
      <c r="E11">
        <v>98322</v>
      </c>
      <c r="F11">
        <v>27501</v>
      </c>
      <c r="G11">
        <f t="shared" si="0"/>
        <v>70821</v>
      </c>
    </row>
    <row r="12" spans="1:7" x14ac:dyDescent="0.3">
      <c r="A12" t="s">
        <v>235</v>
      </c>
      <c r="B12" s="2">
        <v>46035</v>
      </c>
      <c r="C12" t="s">
        <v>236</v>
      </c>
      <c r="D12" t="s">
        <v>15</v>
      </c>
      <c r="E12">
        <v>44337</v>
      </c>
      <c r="F12">
        <v>58036</v>
      </c>
      <c r="G12">
        <f t="shared" si="0"/>
        <v>-13699</v>
      </c>
    </row>
    <row r="13" spans="1:7" x14ac:dyDescent="0.3">
      <c r="A13" t="s">
        <v>237</v>
      </c>
      <c r="B13" s="2">
        <v>46036</v>
      </c>
      <c r="C13" t="s">
        <v>238</v>
      </c>
      <c r="D13" t="s">
        <v>15</v>
      </c>
      <c r="E13">
        <v>20251</v>
      </c>
      <c r="F13">
        <v>5456</v>
      </c>
      <c r="G13">
        <f t="shared" si="0"/>
        <v>14795</v>
      </c>
    </row>
    <row r="14" spans="1:7" x14ac:dyDescent="0.3">
      <c r="A14" t="s">
        <v>239</v>
      </c>
      <c r="B14" s="2">
        <v>46037</v>
      </c>
      <c r="C14" t="s">
        <v>240</v>
      </c>
      <c r="D14" t="s">
        <v>9</v>
      </c>
      <c r="E14">
        <v>25905</v>
      </c>
      <c r="F14">
        <v>12256</v>
      </c>
      <c r="G14">
        <f t="shared" si="0"/>
        <v>13649</v>
      </c>
    </row>
    <row r="15" spans="1:7" x14ac:dyDescent="0.3">
      <c r="A15" t="s">
        <v>241</v>
      </c>
      <c r="B15" s="2">
        <v>46038</v>
      </c>
      <c r="C15" t="s">
        <v>242</v>
      </c>
      <c r="D15" t="s">
        <v>12</v>
      </c>
      <c r="E15">
        <v>49524</v>
      </c>
      <c r="F15">
        <v>38889</v>
      </c>
      <c r="G15">
        <f t="shared" si="0"/>
        <v>10635</v>
      </c>
    </row>
    <row r="16" spans="1:7" x14ac:dyDescent="0.3">
      <c r="A16" t="s">
        <v>243</v>
      </c>
      <c r="B16" s="2">
        <v>46039</v>
      </c>
      <c r="C16" t="s">
        <v>244</v>
      </c>
      <c r="D16" t="s">
        <v>9</v>
      </c>
      <c r="E16">
        <v>10847</v>
      </c>
      <c r="F16">
        <v>44080</v>
      </c>
      <c r="G16">
        <f t="shared" si="0"/>
        <v>-33233</v>
      </c>
    </row>
    <row r="17" spans="1:7" x14ac:dyDescent="0.3">
      <c r="A17" t="s">
        <v>245</v>
      </c>
      <c r="B17" s="2">
        <v>46040</v>
      </c>
      <c r="C17" t="s">
        <v>246</v>
      </c>
      <c r="D17" t="s">
        <v>12</v>
      </c>
      <c r="E17">
        <v>94398</v>
      </c>
      <c r="F17">
        <v>48217</v>
      </c>
      <c r="G17">
        <f t="shared" si="0"/>
        <v>46181</v>
      </c>
    </row>
    <row r="18" spans="1:7" x14ac:dyDescent="0.3">
      <c r="A18" t="s">
        <v>247</v>
      </c>
      <c r="B18" s="2">
        <v>46041</v>
      </c>
      <c r="C18" t="s">
        <v>248</v>
      </c>
      <c r="D18" t="s">
        <v>12</v>
      </c>
      <c r="E18">
        <v>51797</v>
      </c>
      <c r="F18">
        <v>27144</v>
      </c>
      <c r="G18">
        <f t="shared" si="0"/>
        <v>24653</v>
      </c>
    </row>
    <row r="19" spans="1:7" x14ac:dyDescent="0.3">
      <c r="A19" t="s">
        <v>249</v>
      </c>
      <c r="B19" s="2">
        <v>46042</v>
      </c>
      <c r="C19" t="s">
        <v>250</v>
      </c>
      <c r="D19" t="s">
        <v>40</v>
      </c>
      <c r="E19">
        <v>12458</v>
      </c>
      <c r="F19">
        <v>38945</v>
      </c>
      <c r="G19">
        <f t="shared" si="0"/>
        <v>-26487</v>
      </c>
    </row>
    <row r="20" spans="1:7" x14ac:dyDescent="0.3">
      <c r="A20" t="s">
        <v>251</v>
      </c>
      <c r="B20" s="2">
        <v>46043</v>
      </c>
      <c r="C20" t="s">
        <v>252</v>
      </c>
      <c r="D20" t="s">
        <v>9</v>
      </c>
      <c r="E20">
        <v>94947</v>
      </c>
      <c r="F20">
        <v>37549</v>
      </c>
      <c r="G20">
        <f t="shared" si="0"/>
        <v>57398</v>
      </c>
    </row>
    <row r="21" spans="1:7" x14ac:dyDescent="0.3">
      <c r="A21" t="s">
        <v>253</v>
      </c>
      <c r="B21" s="2">
        <v>46044</v>
      </c>
      <c r="C21" t="s">
        <v>254</v>
      </c>
      <c r="D21" t="s">
        <v>12</v>
      </c>
      <c r="E21">
        <v>49851</v>
      </c>
      <c r="F21">
        <v>58863</v>
      </c>
      <c r="G21">
        <f t="shared" si="0"/>
        <v>-9012</v>
      </c>
    </row>
    <row r="22" spans="1:7" x14ac:dyDescent="0.3">
      <c r="A22" t="s">
        <v>255</v>
      </c>
      <c r="B22" s="2">
        <v>46045</v>
      </c>
      <c r="C22" t="s">
        <v>256</v>
      </c>
      <c r="D22" t="s">
        <v>12</v>
      </c>
      <c r="E22">
        <v>26442</v>
      </c>
      <c r="F22">
        <v>53778</v>
      </c>
      <c r="G22">
        <f t="shared" si="0"/>
        <v>-27336</v>
      </c>
    </row>
    <row r="23" spans="1:7" x14ac:dyDescent="0.3">
      <c r="A23" t="s">
        <v>257</v>
      </c>
      <c r="B23" s="2">
        <v>46046</v>
      </c>
      <c r="C23" t="s">
        <v>258</v>
      </c>
      <c r="D23" t="s">
        <v>9</v>
      </c>
      <c r="E23">
        <v>11819</v>
      </c>
      <c r="F23">
        <v>6283</v>
      </c>
      <c r="G23">
        <f t="shared" si="0"/>
        <v>5536</v>
      </c>
    </row>
    <row r="24" spans="1:7" x14ac:dyDescent="0.3">
      <c r="A24" t="s">
        <v>259</v>
      </c>
      <c r="B24" s="2">
        <v>46047</v>
      </c>
      <c r="C24" t="s">
        <v>260</v>
      </c>
      <c r="D24" t="s">
        <v>9</v>
      </c>
      <c r="E24">
        <v>48857</v>
      </c>
      <c r="F24">
        <v>38041</v>
      </c>
      <c r="G24">
        <f t="shared" si="0"/>
        <v>10816</v>
      </c>
    </row>
    <row r="25" spans="1:7" x14ac:dyDescent="0.3">
      <c r="A25" t="s">
        <v>261</v>
      </c>
      <c r="B25" s="2">
        <v>46048</v>
      </c>
      <c r="C25" t="s">
        <v>262</v>
      </c>
      <c r="D25" t="s">
        <v>9</v>
      </c>
      <c r="E25">
        <v>29797</v>
      </c>
      <c r="F25">
        <v>40684</v>
      </c>
      <c r="G25">
        <f t="shared" si="0"/>
        <v>-10887</v>
      </c>
    </row>
    <row r="26" spans="1:7" x14ac:dyDescent="0.3">
      <c r="A26" t="s">
        <v>263</v>
      </c>
      <c r="B26" s="2">
        <v>46049</v>
      </c>
      <c r="C26" t="s">
        <v>264</v>
      </c>
      <c r="D26" t="s">
        <v>9</v>
      </c>
      <c r="E26">
        <v>51485</v>
      </c>
      <c r="F26">
        <v>27195</v>
      </c>
      <c r="G26">
        <f t="shared" si="0"/>
        <v>24290</v>
      </c>
    </row>
    <row r="27" spans="1:7" x14ac:dyDescent="0.3">
      <c r="A27" t="s">
        <v>265</v>
      </c>
      <c r="B27" s="2">
        <v>46050</v>
      </c>
      <c r="C27" t="s">
        <v>266</v>
      </c>
      <c r="D27" t="s">
        <v>15</v>
      </c>
      <c r="E27">
        <v>15408</v>
      </c>
      <c r="F27">
        <v>40050</v>
      </c>
      <c r="G27">
        <f t="shared" si="0"/>
        <v>-24642</v>
      </c>
    </row>
    <row r="28" spans="1:7" x14ac:dyDescent="0.3">
      <c r="A28" t="s">
        <v>267</v>
      </c>
      <c r="B28" s="2">
        <v>46051</v>
      </c>
      <c r="C28" t="s">
        <v>268</v>
      </c>
      <c r="D28" t="s">
        <v>6</v>
      </c>
      <c r="E28">
        <v>47665</v>
      </c>
      <c r="F28">
        <v>6980</v>
      </c>
      <c r="G28">
        <f t="shared" si="0"/>
        <v>40685</v>
      </c>
    </row>
    <row r="29" spans="1:7" x14ac:dyDescent="0.3">
      <c r="A29" t="s">
        <v>269</v>
      </c>
      <c r="B29" s="2">
        <v>46052</v>
      </c>
      <c r="C29" t="s">
        <v>270</v>
      </c>
      <c r="D29" t="s">
        <v>12</v>
      </c>
      <c r="E29">
        <v>20371</v>
      </c>
      <c r="F29">
        <v>37098</v>
      </c>
      <c r="G29">
        <f t="shared" si="0"/>
        <v>-16727</v>
      </c>
    </row>
    <row r="30" spans="1:7" x14ac:dyDescent="0.3">
      <c r="A30" t="s">
        <v>271</v>
      </c>
      <c r="B30" s="2">
        <v>46053</v>
      </c>
      <c r="C30" t="s">
        <v>272</v>
      </c>
      <c r="D30" t="s">
        <v>6</v>
      </c>
      <c r="E30">
        <v>54695</v>
      </c>
      <c r="F30">
        <v>10250</v>
      </c>
      <c r="G30">
        <f t="shared" si="0"/>
        <v>44445</v>
      </c>
    </row>
    <row r="31" spans="1:7" x14ac:dyDescent="0.3">
      <c r="A31" t="s">
        <v>273</v>
      </c>
      <c r="B31" s="2">
        <v>46054</v>
      </c>
      <c r="C31" t="s">
        <v>274</v>
      </c>
      <c r="D31" t="s">
        <v>9</v>
      </c>
      <c r="E31">
        <v>92959</v>
      </c>
      <c r="F31">
        <v>59967</v>
      </c>
      <c r="G31">
        <f t="shared" si="0"/>
        <v>32992</v>
      </c>
    </row>
    <row r="32" spans="1:7" x14ac:dyDescent="0.3">
      <c r="A32" t="s">
        <v>275</v>
      </c>
      <c r="B32" s="2">
        <v>46055</v>
      </c>
      <c r="C32" t="s">
        <v>276</v>
      </c>
      <c r="D32" t="s">
        <v>15</v>
      </c>
      <c r="E32">
        <v>72449</v>
      </c>
      <c r="F32">
        <v>16203</v>
      </c>
      <c r="G32">
        <f t="shared" si="0"/>
        <v>56246</v>
      </c>
    </row>
    <row r="33" spans="1:7" x14ac:dyDescent="0.3">
      <c r="A33" t="s">
        <v>277</v>
      </c>
      <c r="B33" s="2">
        <v>46056</v>
      </c>
      <c r="C33" t="s">
        <v>278</v>
      </c>
      <c r="D33" t="s">
        <v>12</v>
      </c>
      <c r="E33">
        <v>22630</v>
      </c>
      <c r="F33">
        <v>29989</v>
      </c>
      <c r="G33">
        <f t="shared" si="0"/>
        <v>-7359</v>
      </c>
    </row>
    <row r="34" spans="1:7" x14ac:dyDescent="0.3">
      <c r="A34" t="s">
        <v>279</v>
      </c>
      <c r="B34" s="2">
        <v>46057</v>
      </c>
      <c r="C34" t="s">
        <v>280</v>
      </c>
      <c r="D34" t="s">
        <v>15</v>
      </c>
      <c r="E34">
        <v>31825</v>
      </c>
      <c r="F34">
        <v>13620</v>
      </c>
      <c r="G34">
        <f t="shared" ref="G34:G65" si="1">E34-F34</f>
        <v>18205</v>
      </c>
    </row>
    <row r="35" spans="1:7" x14ac:dyDescent="0.3">
      <c r="A35" t="s">
        <v>281</v>
      </c>
      <c r="B35" s="2">
        <v>46058</v>
      </c>
      <c r="C35" t="s">
        <v>282</v>
      </c>
      <c r="D35" t="s">
        <v>9</v>
      </c>
      <c r="E35">
        <v>90931</v>
      </c>
      <c r="F35">
        <v>21730</v>
      </c>
      <c r="G35">
        <f t="shared" si="1"/>
        <v>69201</v>
      </c>
    </row>
    <row r="36" spans="1:7" x14ac:dyDescent="0.3">
      <c r="A36" t="s">
        <v>283</v>
      </c>
      <c r="B36" s="2">
        <v>46059</v>
      </c>
      <c r="C36" t="s">
        <v>284</v>
      </c>
      <c r="D36" t="s">
        <v>6</v>
      </c>
      <c r="E36">
        <v>53706</v>
      </c>
      <c r="F36">
        <v>15775</v>
      </c>
      <c r="G36">
        <f t="shared" si="1"/>
        <v>37931</v>
      </c>
    </row>
    <row r="37" spans="1:7" x14ac:dyDescent="0.3">
      <c r="A37" t="s">
        <v>285</v>
      </c>
      <c r="B37" s="2">
        <v>46060</v>
      </c>
      <c r="C37" t="s">
        <v>286</v>
      </c>
      <c r="D37" t="s">
        <v>40</v>
      </c>
      <c r="E37">
        <v>85418</v>
      </c>
      <c r="F37">
        <v>63726</v>
      </c>
      <c r="G37">
        <f t="shared" si="1"/>
        <v>21692</v>
      </c>
    </row>
    <row r="38" spans="1:7" x14ac:dyDescent="0.3">
      <c r="A38" t="s">
        <v>287</v>
      </c>
      <c r="B38" s="2">
        <v>46061</v>
      </c>
      <c r="C38" t="s">
        <v>288</v>
      </c>
      <c r="D38" t="s">
        <v>9</v>
      </c>
      <c r="E38">
        <v>88399</v>
      </c>
      <c r="F38">
        <v>17499</v>
      </c>
      <c r="G38">
        <f t="shared" si="1"/>
        <v>70900</v>
      </c>
    </row>
    <row r="39" spans="1:7" x14ac:dyDescent="0.3">
      <c r="A39" t="s">
        <v>289</v>
      </c>
      <c r="B39" s="2">
        <v>46062</v>
      </c>
      <c r="C39" t="s">
        <v>290</v>
      </c>
      <c r="D39" t="s">
        <v>6</v>
      </c>
      <c r="E39">
        <v>45145</v>
      </c>
      <c r="F39">
        <v>62566</v>
      </c>
      <c r="G39">
        <f t="shared" si="1"/>
        <v>-17421</v>
      </c>
    </row>
    <row r="40" spans="1:7" x14ac:dyDescent="0.3">
      <c r="A40" t="s">
        <v>291</v>
      </c>
      <c r="B40" s="2">
        <v>46063</v>
      </c>
      <c r="C40" t="s">
        <v>292</v>
      </c>
      <c r="D40" t="s">
        <v>40</v>
      </c>
      <c r="E40">
        <v>91208</v>
      </c>
      <c r="F40">
        <v>28879</v>
      </c>
      <c r="G40">
        <f t="shared" si="1"/>
        <v>62329</v>
      </c>
    </row>
    <row r="41" spans="1:7" x14ac:dyDescent="0.3">
      <c r="A41" t="s">
        <v>293</v>
      </c>
      <c r="B41" s="2">
        <v>46064</v>
      </c>
      <c r="C41" t="s">
        <v>294</v>
      </c>
      <c r="D41" t="s">
        <v>15</v>
      </c>
      <c r="E41">
        <v>63865</v>
      </c>
      <c r="F41">
        <v>30793</v>
      </c>
      <c r="G41">
        <f t="shared" si="1"/>
        <v>33072</v>
      </c>
    </row>
    <row r="42" spans="1:7" x14ac:dyDescent="0.3">
      <c r="A42" t="s">
        <v>295</v>
      </c>
      <c r="B42" s="2">
        <v>46065</v>
      </c>
      <c r="C42" t="s">
        <v>296</v>
      </c>
      <c r="D42" t="s">
        <v>12</v>
      </c>
      <c r="E42">
        <v>60616</v>
      </c>
      <c r="F42">
        <v>41537</v>
      </c>
      <c r="G42">
        <f t="shared" si="1"/>
        <v>19079</v>
      </c>
    </row>
    <row r="43" spans="1:7" x14ac:dyDescent="0.3">
      <c r="A43" t="s">
        <v>297</v>
      </c>
      <c r="B43" s="2">
        <v>46066</v>
      </c>
      <c r="C43" t="s">
        <v>298</v>
      </c>
      <c r="D43" t="s">
        <v>6</v>
      </c>
      <c r="E43">
        <v>47444</v>
      </c>
      <c r="F43">
        <v>46076</v>
      </c>
      <c r="G43">
        <f t="shared" si="1"/>
        <v>1368</v>
      </c>
    </row>
    <row r="44" spans="1:7" x14ac:dyDescent="0.3">
      <c r="A44" t="s">
        <v>299</v>
      </c>
      <c r="B44" s="2">
        <v>46067</v>
      </c>
      <c r="C44" t="s">
        <v>300</v>
      </c>
      <c r="D44" t="s">
        <v>12</v>
      </c>
      <c r="E44">
        <v>79519</v>
      </c>
      <c r="F44">
        <v>67343</v>
      </c>
      <c r="G44">
        <f t="shared" si="1"/>
        <v>12176</v>
      </c>
    </row>
    <row r="45" spans="1:7" x14ac:dyDescent="0.3">
      <c r="A45" t="s">
        <v>301</v>
      </c>
      <c r="B45" s="2">
        <v>46068</v>
      </c>
      <c r="C45" t="s">
        <v>302</v>
      </c>
      <c r="D45" t="s">
        <v>12</v>
      </c>
      <c r="E45">
        <v>92993</v>
      </c>
      <c r="F45">
        <v>33078</v>
      </c>
      <c r="G45">
        <f t="shared" si="1"/>
        <v>59915</v>
      </c>
    </row>
    <row r="46" spans="1:7" x14ac:dyDescent="0.3">
      <c r="A46" t="s">
        <v>303</v>
      </c>
      <c r="B46" s="2">
        <v>46069</v>
      </c>
      <c r="C46" t="s">
        <v>304</v>
      </c>
      <c r="D46" t="s">
        <v>9</v>
      </c>
      <c r="E46">
        <v>58631</v>
      </c>
      <c r="F46">
        <v>67193</v>
      </c>
      <c r="G46">
        <f t="shared" si="1"/>
        <v>-8562</v>
      </c>
    </row>
    <row r="47" spans="1:7" x14ac:dyDescent="0.3">
      <c r="A47" t="s">
        <v>305</v>
      </c>
      <c r="B47" s="2">
        <v>46070</v>
      </c>
      <c r="C47" t="s">
        <v>306</v>
      </c>
      <c r="D47" t="s">
        <v>9</v>
      </c>
      <c r="E47">
        <v>52310</v>
      </c>
      <c r="F47">
        <v>35544</v>
      </c>
      <c r="G47">
        <f t="shared" si="1"/>
        <v>16766</v>
      </c>
    </row>
    <row r="48" spans="1:7" x14ac:dyDescent="0.3">
      <c r="A48" t="s">
        <v>307</v>
      </c>
      <c r="B48" s="2">
        <v>46071</v>
      </c>
      <c r="C48" t="s">
        <v>308</v>
      </c>
      <c r="D48" t="s">
        <v>12</v>
      </c>
      <c r="E48">
        <v>59375</v>
      </c>
      <c r="F48">
        <v>40181</v>
      </c>
      <c r="G48">
        <f t="shared" si="1"/>
        <v>19194</v>
      </c>
    </row>
    <row r="49" spans="1:7" x14ac:dyDescent="0.3">
      <c r="A49" t="s">
        <v>309</v>
      </c>
      <c r="B49" s="2">
        <v>46072</v>
      </c>
      <c r="C49" t="s">
        <v>310</v>
      </c>
      <c r="D49" t="s">
        <v>6</v>
      </c>
      <c r="E49">
        <v>19006</v>
      </c>
      <c r="F49">
        <v>18325</v>
      </c>
      <c r="G49">
        <f t="shared" si="1"/>
        <v>681</v>
      </c>
    </row>
    <row r="50" spans="1:7" x14ac:dyDescent="0.3">
      <c r="A50" t="s">
        <v>311</v>
      </c>
      <c r="B50" s="2">
        <v>46073</v>
      </c>
      <c r="C50" t="s">
        <v>312</v>
      </c>
      <c r="D50" t="s">
        <v>6</v>
      </c>
      <c r="E50">
        <v>99218</v>
      </c>
      <c r="F50">
        <v>66803</v>
      </c>
      <c r="G50">
        <f t="shared" si="1"/>
        <v>32415</v>
      </c>
    </row>
    <row r="51" spans="1:7" x14ac:dyDescent="0.3">
      <c r="A51" t="s">
        <v>313</v>
      </c>
      <c r="B51" s="2">
        <v>46074</v>
      </c>
      <c r="C51" t="s">
        <v>314</v>
      </c>
      <c r="D51" t="s">
        <v>6</v>
      </c>
      <c r="E51">
        <v>91868</v>
      </c>
      <c r="F51">
        <v>50398</v>
      </c>
      <c r="G51">
        <f t="shared" si="1"/>
        <v>41470</v>
      </c>
    </row>
    <row r="52" spans="1:7" x14ac:dyDescent="0.3">
      <c r="A52" t="s">
        <v>315</v>
      </c>
      <c r="B52" s="2">
        <v>46075</v>
      </c>
      <c r="C52" t="s">
        <v>316</v>
      </c>
      <c r="D52" t="s">
        <v>15</v>
      </c>
      <c r="E52">
        <v>21938</v>
      </c>
      <c r="F52">
        <v>24237</v>
      </c>
      <c r="G52">
        <f t="shared" si="1"/>
        <v>-2299</v>
      </c>
    </row>
    <row r="53" spans="1:7" x14ac:dyDescent="0.3">
      <c r="A53" t="s">
        <v>317</v>
      </c>
      <c r="B53" s="2">
        <v>46076</v>
      </c>
      <c r="C53" t="s">
        <v>318</v>
      </c>
      <c r="D53" t="s">
        <v>12</v>
      </c>
      <c r="E53">
        <v>47928</v>
      </c>
      <c r="F53">
        <v>62081</v>
      </c>
      <c r="G53">
        <f t="shared" si="1"/>
        <v>-14153</v>
      </c>
    </row>
    <row r="54" spans="1:7" x14ac:dyDescent="0.3">
      <c r="A54" t="s">
        <v>319</v>
      </c>
      <c r="B54" s="2">
        <v>46077</v>
      </c>
      <c r="C54" t="s">
        <v>320</v>
      </c>
      <c r="D54" t="s">
        <v>12</v>
      </c>
      <c r="E54">
        <v>57342</v>
      </c>
      <c r="F54">
        <v>48576</v>
      </c>
      <c r="G54">
        <f t="shared" si="1"/>
        <v>8766</v>
      </c>
    </row>
    <row r="55" spans="1:7" x14ac:dyDescent="0.3">
      <c r="A55" t="s">
        <v>321</v>
      </c>
      <c r="B55" s="2">
        <v>46078</v>
      </c>
      <c r="C55" t="s">
        <v>322</v>
      </c>
      <c r="D55" t="s">
        <v>15</v>
      </c>
      <c r="E55">
        <v>36582</v>
      </c>
      <c r="F55">
        <v>42441</v>
      </c>
      <c r="G55">
        <f t="shared" si="1"/>
        <v>-5859</v>
      </c>
    </row>
    <row r="56" spans="1:7" x14ac:dyDescent="0.3">
      <c r="A56" t="s">
        <v>323</v>
      </c>
      <c r="B56" s="2">
        <v>46079</v>
      </c>
      <c r="C56" t="s">
        <v>324</v>
      </c>
      <c r="D56" t="s">
        <v>6</v>
      </c>
      <c r="E56">
        <v>53938</v>
      </c>
      <c r="F56">
        <v>30942</v>
      </c>
      <c r="G56">
        <f t="shared" si="1"/>
        <v>22996</v>
      </c>
    </row>
    <row r="57" spans="1:7" x14ac:dyDescent="0.3">
      <c r="A57" t="s">
        <v>325</v>
      </c>
      <c r="B57" s="2">
        <v>46080</v>
      </c>
      <c r="C57" t="s">
        <v>326</v>
      </c>
      <c r="D57" t="s">
        <v>12</v>
      </c>
      <c r="E57">
        <v>76643</v>
      </c>
      <c r="F57">
        <v>52943</v>
      </c>
      <c r="G57">
        <f t="shared" si="1"/>
        <v>23700</v>
      </c>
    </row>
    <row r="58" spans="1:7" x14ac:dyDescent="0.3">
      <c r="A58" t="s">
        <v>327</v>
      </c>
      <c r="B58" s="2">
        <v>46081</v>
      </c>
      <c r="C58" t="s">
        <v>328</v>
      </c>
      <c r="D58" t="s">
        <v>6</v>
      </c>
      <c r="E58">
        <v>94544</v>
      </c>
      <c r="F58">
        <v>42062</v>
      </c>
      <c r="G58">
        <f t="shared" si="1"/>
        <v>52482</v>
      </c>
    </row>
    <row r="59" spans="1:7" x14ac:dyDescent="0.3">
      <c r="A59" t="s">
        <v>329</v>
      </c>
      <c r="B59" s="2">
        <v>46082</v>
      </c>
      <c r="C59" t="s">
        <v>330</v>
      </c>
      <c r="D59" t="s">
        <v>9</v>
      </c>
      <c r="E59">
        <v>32215</v>
      </c>
      <c r="F59">
        <v>43506</v>
      </c>
      <c r="G59">
        <f t="shared" si="1"/>
        <v>-11291</v>
      </c>
    </row>
    <row r="60" spans="1:7" x14ac:dyDescent="0.3">
      <c r="A60" t="s">
        <v>331</v>
      </c>
      <c r="B60" s="2">
        <v>46083</v>
      </c>
      <c r="C60" t="s">
        <v>332</v>
      </c>
      <c r="D60" t="s">
        <v>9</v>
      </c>
      <c r="E60">
        <v>41821</v>
      </c>
      <c r="F60">
        <v>53371</v>
      </c>
      <c r="G60">
        <f t="shared" si="1"/>
        <v>-11550</v>
      </c>
    </row>
    <row r="61" spans="1:7" x14ac:dyDescent="0.3">
      <c r="A61" t="s">
        <v>333</v>
      </c>
      <c r="B61" s="2">
        <v>46084</v>
      </c>
      <c r="C61" t="s">
        <v>334</v>
      </c>
      <c r="D61" t="s">
        <v>12</v>
      </c>
      <c r="E61">
        <v>76930</v>
      </c>
      <c r="F61">
        <v>8466</v>
      </c>
      <c r="G61">
        <f t="shared" si="1"/>
        <v>68464</v>
      </c>
    </row>
    <row r="62" spans="1:7" x14ac:dyDescent="0.3">
      <c r="A62" t="s">
        <v>335</v>
      </c>
      <c r="B62" s="2">
        <v>46085</v>
      </c>
      <c r="C62" t="s">
        <v>336</v>
      </c>
      <c r="D62" t="s">
        <v>15</v>
      </c>
      <c r="E62">
        <v>98747</v>
      </c>
      <c r="F62">
        <v>69483</v>
      </c>
      <c r="G62">
        <f t="shared" si="1"/>
        <v>29264</v>
      </c>
    </row>
    <row r="63" spans="1:7" x14ac:dyDescent="0.3">
      <c r="A63" t="s">
        <v>337</v>
      </c>
      <c r="B63" s="2">
        <v>46086</v>
      </c>
      <c r="C63" t="s">
        <v>338</v>
      </c>
      <c r="D63" t="s">
        <v>15</v>
      </c>
      <c r="E63">
        <v>44333</v>
      </c>
      <c r="F63">
        <v>32715</v>
      </c>
      <c r="G63">
        <f t="shared" si="1"/>
        <v>11618</v>
      </c>
    </row>
    <row r="64" spans="1:7" x14ac:dyDescent="0.3">
      <c r="A64" t="s">
        <v>339</v>
      </c>
      <c r="B64" s="2">
        <v>46087</v>
      </c>
      <c r="C64" t="s">
        <v>340</v>
      </c>
      <c r="D64" t="s">
        <v>9</v>
      </c>
      <c r="E64">
        <v>67327</v>
      </c>
      <c r="F64">
        <v>47909</v>
      </c>
      <c r="G64">
        <f t="shared" si="1"/>
        <v>19418</v>
      </c>
    </row>
    <row r="65" spans="1:7" x14ac:dyDescent="0.3">
      <c r="A65" t="s">
        <v>341</v>
      </c>
      <c r="B65" s="2">
        <v>46088</v>
      </c>
      <c r="C65" t="s">
        <v>342</v>
      </c>
      <c r="D65" t="s">
        <v>12</v>
      </c>
      <c r="E65">
        <v>43055</v>
      </c>
      <c r="F65">
        <v>63875</v>
      </c>
      <c r="G65">
        <f t="shared" si="1"/>
        <v>-20820</v>
      </c>
    </row>
    <row r="66" spans="1:7" x14ac:dyDescent="0.3">
      <c r="A66" t="s">
        <v>343</v>
      </c>
      <c r="B66" s="2">
        <v>46089</v>
      </c>
      <c r="C66" t="s">
        <v>344</v>
      </c>
      <c r="D66" t="s">
        <v>12</v>
      </c>
      <c r="E66">
        <v>88916</v>
      </c>
      <c r="F66">
        <v>65136</v>
      </c>
      <c r="G66">
        <f t="shared" ref="G66:G97" si="2">E66-F66</f>
        <v>23780</v>
      </c>
    </row>
    <row r="67" spans="1:7" x14ac:dyDescent="0.3">
      <c r="A67" t="s">
        <v>345</v>
      </c>
      <c r="B67" s="2">
        <v>46090</v>
      </c>
      <c r="C67" t="s">
        <v>346</v>
      </c>
      <c r="D67" t="s">
        <v>15</v>
      </c>
      <c r="E67">
        <v>75557</v>
      </c>
      <c r="F67">
        <v>55275</v>
      </c>
      <c r="G67">
        <f t="shared" si="2"/>
        <v>20282</v>
      </c>
    </row>
    <row r="68" spans="1:7" x14ac:dyDescent="0.3">
      <c r="A68" t="s">
        <v>347</v>
      </c>
      <c r="B68" s="2">
        <v>46091</v>
      </c>
      <c r="C68" t="s">
        <v>348</v>
      </c>
      <c r="D68" t="s">
        <v>12</v>
      </c>
      <c r="E68">
        <v>18228</v>
      </c>
      <c r="F68">
        <v>18780</v>
      </c>
      <c r="G68">
        <f t="shared" si="2"/>
        <v>-552</v>
      </c>
    </row>
    <row r="69" spans="1:7" x14ac:dyDescent="0.3">
      <c r="A69" t="s">
        <v>349</v>
      </c>
      <c r="B69" s="2">
        <v>46092</v>
      </c>
      <c r="C69" t="s">
        <v>350</v>
      </c>
      <c r="D69" t="s">
        <v>12</v>
      </c>
      <c r="E69">
        <v>53129</v>
      </c>
      <c r="F69">
        <v>44788</v>
      </c>
      <c r="G69">
        <f t="shared" si="2"/>
        <v>8341</v>
      </c>
    </row>
    <row r="70" spans="1:7" x14ac:dyDescent="0.3">
      <c r="A70" t="s">
        <v>351</v>
      </c>
      <c r="B70" s="2">
        <v>46093</v>
      </c>
      <c r="C70" t="s">
        <v>352</v>
      </c>
      <c r="D70" t="s">
        <v>15</v>
      </c>
      <c r="E70">
        <v>14693</v>
      </c>
      <c r="F70">
        <v>52407</v>
      </c>
      <c r="G70">
        <f t="shared" si="2"/>
        <v>-37714</v>
      </c>
    </row>
    <row r="71" spans="1:7" x14ac:dyDescent="0.3">
      <c r="A71" t="s">
        <v>353</v>
      </c>
      <c r="B71" s="2">
        <v>46094</v>
      </c>
      <c r="C71" t="s">
        <v>354</v>
      </c>
      <c r="D71" t="s">
        <v>40</v>
      </c>
      <c r="E71">
        <v>60384</v>
      </c>
      <c r="F71">
        <v>21275</v>
      </c>
      <c r="G71">
        <f t="shared" si="2"/>
        <v>39109</v>
      </c>
    </row>
    <row r="72" spans="1:7" x14ac:dyDescent="0.3">
      <c r="A72" t="s">
        <v>355</v>
      </c>
      <c r="B72" s="2">
        <v>46095</v>
      </c>
      <c r="C72" t="s">
        <v>356</v>
      </c>
      <c r="D72" t="s">
        <v>9</v>
      </c>
      <c r="E72">
        <v>64357</v>
      </c>
      <c r="F72">
        <v>40235</v>
      </c>
      <c r="G72">
        <f t="shared" si="2"/>
        <v>24122</v>
      </c>
    </row>
    <row r="73" spans="1:7" x14ac:dyDescent="0.3">
      <c r="A73" t="s">
        <v>357</v>
      </c>
      <c r="B73" s="2">
        <v>46096</v>
      </c>
      <c r="C73" t="s">
        <v>358</v>
      </c>
      <c r="D73" t="s">
        <v>12</v>
      </c>
      <c r="E73">
        <v>51951</v>
      </c>
      <c r="F73">
        <v>66352</v>
      </c>
      <c r="G73">
        <f t="shared" si="2"/>
        <v>-14401</v>
      </c>
    </row>
    <row r="74" spans="1:7" x14ac:dyDescent="0.3">
      <c r="A74" t="s">
        <v>359</v>
      </c>
      <c r="B74" s="2">
        <v>46097</v>
      </c>
      <c r="C74" t="s">
        <v>360</v>
      </c>
      <c r="D74" t="s">
        <v>40</v>
      </c>
      <c r="E74">
        <v>83872</v>
      </c>
      <c r="F74">
        <v>41882</v>
      </c>
      <c r="G74">
        <f t="shared" si="2"/>
        <v>41990</v>
      </c>
    </row>
    <row r="75" spans="1:7" x14ac:dyDescent="0.3">
      <c r="A75" t="s">
        <v>361</v>
      </c>
      <c r="B75" s="2">
        <v>46098</v>
      </c>
      <c r="C75" t="s">
        <v>362</v>
      </c>
      <c r="D75" t="s">
        <v>15</v>
      </c>
      <c r="E75">
        <v>85043</v>
      </c>
      <c r="F75">
        <v>20585</v>
      </c>
      <c r="G75">
        <f t="shared" si="2"/>
        <v>64458</v>
      </c>
    </row>
    <row r="76" spans="1:7" x14ac:dyDescent="0.3">
      <c r="A76" t="s">
        <v>363</v>
      </c>
      <c r="B76" s="2">
        <v>46099</v>
      </c>
      <c r="C76" t="s">
        <v>364</v>
      </c>
      <c r="D76" t="s">
        <v>12</v>
      </c>
      <c r="E76">
        <v>54504</v>
      </c>
      <c r="F76">
        <v>23928</v>
      </c>
      <c r="G76">
        <f t="shared" si="2"/>
        <v>30576</v>
      </c>
    </row>
    <row r="77" spans="1:7" x14ac:dyDescent="0.3">
      <c r="A77" t="s">
        <v>365</v>
      </c>
      <c r="B77" s="2">
        <v>46100</v>
      </c>
      <c r="C77" t="s">
        <v>366</v>
      </c>
      <c r="D77" t="s">
        <v>12</v>
      </c>
      <c r="E77">
        <v>90941</v>
      </c>
      <c r="F77">
        <v>39935</v>
      </c>
      <c r="G77">
        <f t="shared" si="2"/>
        <v>51006</v>
      </c>
    </row>
    <row r="78" spans="1:7" x14ac:dyDescent="0.3">
      <c r="A78" t="s">
        <v>367</v>
      </c>
      <c r="B78" s="2">
        <v>46101</v>
      </c>
      <c r="C78" t="s">
        <v>368</v>
      </c>
      <c r="D78" t="s">
        <v>6</v>
      </c>
      <c r="E78">
        <v>71689</v>
      </c>
      <c r="F78">
        <v>19322</v>
      </c>
      <c r="G78">
        <f t="shared" si="2"/>
        <v>52367</v>
      </c>
    </row>
    <row r="79" spans="1:7" x14ac:dyDescent="0.3">
      <c r="A79" t="s">
        <v>369</v>
      </c>
      <c r="B79" s="2">
        <v>46102</v>
      </c>
      <c r="C79" t="s">
        <v>370</v>
      </c>
      <c r="D79" t="s">
        <v>40</v>
      </c>
      <c r="E79">
        <v>20605</v>
      </c>
      <c r="F79">
        <v>32169</v>
      </c>
      <c r="G79">
        <f t="shared" si="2"/>
        <v>-11564</v>
      </c>
    </row>
    <row r="80" spans="1:7" x14ac:dyDescent="0.3">
      <c r="A80" t="s">
        <v>371</v>
      </c>
      <c r="B80" s="2">
        <v>46103</v>
      </c>
      <c r="C80" t="s">
        <v>372</v>
      </c>
      <c r="D80" t="s">
        <v>9</v>
      </c>
      <c r="E80">
        <v>87598</v>
      </c>
      <c r="F80">
        <v>16316</v>
      </c>
      <c r="G80">
        <f t="shared" si="2"/>
        <v>71282</v>
      </c>
    </row>
    <row r="81" spans="1:7" x14ac:dyDescent="0.3">
      <c r="A81" t="s">
        <v>373</v>
      </c>
      <c r="B81" s="2">
        <v>46104</v>
      </c>
      <c r="C81" t="s">
        <v>374</v>
      </c>
      <c r="D81" t="s">
        <v>6</v>
      </c>
      <c r="E81">
        <v>39833</v>
      </c>
      <c r="F81">
        <v>62331</v>
      </c>
      <c r="G81">
        <f t="shared" si="2"/>
        <v>-22498</v>
      </c>
    </row>
    <row r="82" spans="1:7" x14ac:dyDescent="0.3">
      <c r="A82" t="s">
        <v>375</v>
      </c>
      <c r="B82" s="2">
        <v>46105</v>
      </c>
      <c r="C82" t="s">
        <v>376</v>
      </c>
      <c r="D82" t="s">
        <v>40</v>
      </c>
      <c r="E82">
        <v>98687</v>
      </c>
      <c r="F82">
        <v>29021</v>
      </c>
      <c r="G82">
        <f t="shared" si="2"/>
        <v>69666</v>
      </c>
    </row>
    <row r="83" spans="1:7" x14ac:dyDescent="0.3">
      <c r="A83" t="s">
        <v>377</v>
      </c>
      <c r="B83" s="2">
        <v>46106</v>
      </c>
      <c r="C83" t="s">
        <v>378</v>
      </c>
      <c r="D83" t="s">
        <v>6</v>
      </c>
      <c r="E83">
        <v>10205</v>
      </c>
      <c r="F83">
        <v>16020</v>
      </c>
      <c r="G83">
        <f t="shared" si="2"/>
        <v>-5815</v>
      </c>
    </row>
    <row r="84" spans="1:7" x14ac:dyDescent="0.3">
      <c r="A84" t="s">
        <v>379</v>
      </c>
      <c r="B84" s="2">
        <v>46107</v>
      </c>
      <c r="C84" t="s">
        <v>380</v>
      </c>
      <c r="D84" t="s">
        <v>40</v>
      </c>
      <c r="E84">
        <v>43825</v>
      </c>
      <c r="F84">
        <v>40911</v>
      </c>
      <c r="G84">
        <f t="shared" si="2"/>
        <v>2914</v>
      </c>
    </row>
    <row r="85" spans="1:7" x14ac:dyDescent="0.3">
      <c r="A85" t="s">
        <v>381</v>
      </c>
      <c r="B85" s="2">
        <v>46108</v>
      </c>
      <c r="C85" t="s">
        <v>382</v>
      </c>
      <c r="D85" t="s">
        <v>6</v>
      </c>
      <c r="E85">
        <v>73838</v>
      </c>
      <c r="F85">
        <v>20238</v>
      </c>
      <c r="G85">
        <f t="shared" si="2"/>
        <v>53600</v>
      </c>
    </row>
    <row r="86" spans="1:7" x14ac:dyDescent="0.3">
      <c r="A86" t="s">
        <v>383</v>
      </c>
      <c r="B86" s="2">
        <v>46109</v>
      </c>
      <c r="C86" t="s">
        <v>384</v>
      </c>
      <c r="D86" t="s">
        <v>9</v>
      </c>
      <c r="E86">
        <v>52550</v>
      </c>
      <c r="F86">
        <v>40195</v>
      </c>
      <c r="G86">
        <f t="shared" si="2"/>
        <v>12355</v>
      </c>
    </row>
    <row r="87" spans="1:7" x14ac:dyDescent="0.3">
      <c r="A87" t="s">
        <v>385</v>
      </c>
      <c r="B87" s="2">
        <v>46110</v>
      </c>
      <c r="C87" t="s">
        <v>386</v>
      </c>
      <c r="D87" t="s">
        <v>40</v>
      </c>
      <c r="E87">
        <v>63775</v>
      </c>
      <c r="F87">
        <v>59807</v>
      </c>
      <c r="G87">
        <f t="shared" si="2"/>
        <v>3968</v>
      </c>
    </row>
    <row r="88" spans="1:7" x14ac:dyDescent="0.3">
      <c r="A88" t="s">
        <v>387</v>
      </c>
      <c r="B88" s="2">
        <v>46111</v>
      </c>
      <c r="C88" t="s">
        <v>388</v>
      </c>
      <c r="D88" t="s">
        <v>6</v>
      </c>
      <c r="E88">
        <v>39905</v>
      </c>
      <c r="F88">
        <v>11154</v>
      </c>
      <c r="G88">
        <f t="shared" si="2"/>
        <v>28751</v>
      </c>
    </row>
    <row r="89" spans="1:7" x14ac:dyDescent="0.3">
      <c r="A89" t="s">
        <v>389</v>
      </c>
      <c r="B89" s="2">
        <v>46112</v>
      </c>
      <c r="C89" t="s">
        <v>390</v>
      </c>
      <c r="D89" t="s">
        <v>12</v>
      </c>
      <c r="E89">
        <v>69062</v>
      </c>
      <c r="F89">
        <v>58744</v>
      </c>
      <c r="G89">
        <f t="shared" si="2"/>
        <v>10318</v>
      </c>
    </row>
    <row r="90" spans="1:7" x14ac:dyDescent="0.3">
      <c r="A90" t="s">
        <v>391</v>
      </c>
      <c r="B90" s="2">
        <v>46113</v>
      </c>
      <c r="C90" t="s">
        <v>392</v>
      </c>
      <c r="D90" t="s">
        <v>12</v>
      </c>
      <c r="E90">
        <v>57571</v>
      </c>
      <c r="F90">
        <v>10380</v>
      </c>
      <c r="G90">
        <f t="shared" si="2"/>
        <v>47191</v>
      </c>
    </row>
    <row r="91" spans="1:7" x14ac:dyDescent="0.3">
      <c r="A91" t="s">
        <v>393</v>
      </c>
      <c r="B91" s="2">
        <v>46114</v>
      </c>
      <c r="C91" t="s">
        <v>394</v>
      </c>
      <c r="D91" t="s">
        <v>15</v>
      </c>
      <c r="E91">
        <v>22144</v>
      </c>
      <c r="F91">
        <v>13543</v>
      </c>
      <c r="G91">
        <f t="shared" si="2"/>
        <v>8601</v>
      </c>
    </row>
    <row r="92" spans="1:7" x14ac:dyDescent="0.3">
      <c r="A92" t="s">
        <v>395</v>
      </c>
      <c r="B92" s="2">
        <v>46115</v>
      </c>
      <c r="C92" t="s">
        <v>396</v>
      </c>
      <c r="D92" t="s">
        <v>9</v>
      </c>
      <c r="E92">
        <v>32103</v>
      </c>
      <c r="F92">
        <v>50070</v>
      </c>
      <c r="G92">
        <f t="shared" si="2"/>
        <v>-17967</v>
      </c>
    </row>
    <row r="93" spans="1:7" x14ac:dyDescent="0.3">
      <c r="A93" t="s">
        <v>397</v>
      </c>
      <c r="B93" s="2">
        <v>46116</v>
      </c>
      <c r="C93" t="s">
        <v>398</v>
      </c>
      <c r="D93" t="s">
        <v>6</v>
      </c>
      <c r="E93">
        <v>80688</v>
      </c>
      <c r="F93">
        <v>10965</v>
      </c>
      <c r="G93">
        <f t="shared" si="2"/>
        <v>69723</v>
      </c>
    </row>
    <row r="94" spans="1:7" x14ac:dyDescent="0.3">
      <c r="A94" t="s">
        <v>399</v>
      </c>
      <c r="B94" s="2">
        <v>46117</v>
      </c>
      <c r="C94" t="s">
        <v>400</v>
      </c>
      <c r="D94" t="s">
        <v>6</v>
      </c>
      <c r="E94">
        <v>13232</v>
      </c>
      <c r="F94">
        <v>13438</v>
      </c>
      <c r="G94">
        <f t="shared" si="2"/>
        <v>-206</v>
      </c>
    </row>
    <row r="95" spans="1:7" x14ac:dyDescent="0.3">
      <c r="A95" t="s">
        <v>401</v>
      </c>
      <c r="B95" s="2">
        <v>46118</v>
      </c>
      <c r="C95" t="s">
        <v>402</v>
      </c>
      <c r="D95" t="s">
        <v>6</v>
      </c>
      <c r="E95">
        <v>17661</v>
      </c>
      <c r="F95">
        <v>11990</v>
      </c>
      <c r="G95">
        <f t="shared" si="2"/>
        <v>5671</v>
      </c>
    </row>
    <row r="96" spans="1:7" x14ac:dyDescent="0.3">
      <c r="A96" t="s">
        <v>403</v>
      </c>
      <c r="B96" s="2">
        <v>46119</v>
      </c>
      <c r="C96" t="s">
        <v>404</v>
      </c>
      <c r="D96" t="s">
        <v>12</v>
      </c>
      <c r="E96">
        <v>85728</v>
      </c>
      <c r="F96">
        <v>9929</v>
      </c>
      <c r="G96">
        <f t="shared" si="2"/>
        <v>75799</v>
      </c>
    </row>
    <row r="97" spans="1:7" x14ac:dyDescent="0.3">
      <c r="A97" t="s">
        <v>405</v>
      </c>
      <c r="B97" s="2">
        <v>46120</v>
      </c>
      <c r="C97" t="s">
        <v>406</v>
      </c>
      <c r="D97" t="s">
        <v>40</v>
      </c>
      <c r="E97">
        <v>36458</v>
      </c>
      <c r="F97">
        <v>21467</v>
      </c>
      <c r="G97">
        <f t="shared" si="2"/>
        <v>14991</v>
      </c>
    </row>
    <row r="98" spans="1:7" x14ac:dyDescent="0.3">
      <c r="A98" t="s">
        <v>407</v>
      </c>
      <c r="B98" s="2">
        <v>46121</v>
      </c>
      <c r="C98" t="s">
        <v>408</v>
      </c>
      <c r="D98" t="s">
        <v>40</v>
      </c>
      <c r="E98">
        <v>85952</v>
      </c>
      <c r="F98">
        <v>64569</v>
      </c>
      <c r="G98">
        <f t="shared" ref="G98:G129" si="3">E98-F98</f>
        <v>21383</v>
      </c>
    </row>
    <row r="99" spans="1:7" x14ac:dyDescent="0.3">
      <c r="A99" t="s">
        <v>409</v>
      </c>
      <c r="B99" s="2">
        <v>46122</v>
      </c>
      <c r="C99" t="s">
        <v>410</v>
      </c>
      <c r="D99" t="s">
        <v>12</v>
      </c>
      <c r="E99">
        <v>12782</v>
      </c>
      <c r="F99">
        <v>10884</v>
      </c>
      <c r="G99">
        <f t="shared" si="3"/>
        <v>1898</v>
      </c>
    </row>
    <row r="100" spans="1:7" x14ac:dyDescent="0.3">
      <c r="A100" t="s">
        <v>411</v>
      </c>
      <c r="B100" s="2">
        <v>46123</v>
      </c>
      <c r="C100" t="s">
        <v>412</v>
      </c>
      <c r="D100" t="s">
        <v>12</v>
      </c>
      <c r="E100">
        <v>71343</v>
      </c>
      <c r="F100">
        <v>66838</v>
      </c>
      <c r="G100">
        <f t="shared" si="3"/>
        <v>4505</v>
      </c>
    </row>
    <row r="101" spans="1:7" x14ac:dyDescent="0.3">
      <c r="A101" t="s">
        <v>413</v>
      </c>
      <c r="B101" s="2">
        <v>46124</v>
      </c>
      <c r="C101" t="s">
        <v>414</v>
      </c>
      <c r="D101" t="s">
        <v>12</v>
      </c>
      <c r="E101">
        <v>53249</v>
      </c>
      <c r="F101">
        <v>67417</v>
      </c>
      <c r="G101">
        <f t="shared" si="3"/>
        <v>-14168</v>
      </c>
    </row>
    <row r="102" spans="1:7" x14ac:dyDescent="0.3">
      <c r="D102" s="4" t="s">
        <v>421</v>
      </c>
      <c r="E102" s="4">
        <f>SUM(E2:E101)</f>
        <v>5617423</v>
      </c>
      <c r="F102" s="4">
        <f>SUM(F2:F101)</f>
        <v>3766421</v>
      </c>
      <c r="G102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>
      <selection activeCell="B16" sqref="B16"/>
    </sheetView>
  </sheetViews>
  <sheetFormatPr defaultRowHeight="14.4" x14ac:dyDescent="0.3"/>
  <cols>
    <col min="1" max="1" width="33.77734375" customWidth="1"/>
    <col min="2" max="2" width="15.44140625" customWidth="1"/>
  </cols>
  <sheetData>
    <row r="1" spans="1:2" x14ac:dyDescent="0.3">
      <c r="A1" s="3" t="s">
        <v>415</v>
      </c>
      <c r="B1" s="3" t="s">
        <v>416</v>
      </c>
    </row>
    <row r="2" spans="1:2" x14ac:dyDescent="0.3">
      <c r="A2" t="s">
        <v>417</v>
      </c>
      <c r="B2">
        <f>SUM(Transactions!E2:E101)</f>
        <v>5617423</v>
      </c>
    </row>
    <row r="3" spans="1:2" x14ac:dyDescent="0.3">
      <c r="A3" t="s">
        <v>418</v>
      </c>
      <c r="B3">
        <f>SUM(Transactions!F2:F101)</f>
        <v>3766421</v>
      </c>
    </row>
    <row r="4" spans="1:2" x14ac:dyDescent="0.3">
      <c r="A4" s="4" t="s">
        <v>419</v>
      </c>
      <c r="B4" s="4">
        <f>SUM(Transactions!G2:G101)</f>
        <v>1851002</v>
      </c>
    </row>
    <row r="6" spans="1:2" x14ac:dyDescent="0.3">
      <c r="A6" s="6" t="s">
        <v>2</v>
      </c>
      <c r="B6" s="6" t="s">
        <v>420</v>
      </c>
    </row>
    <row r="7" spans="1:2" x14ac:dyDescent="0.3">
      <c r="A7" t="s">
        <v>12</v>
      </c>
      <c r="B7">
        <f>SUMIF(Employees!C:C,A7,Employees!D:D)</f>
        <v>1288849</v>
      </c>
    </row>
    <row r="8" spans="1:2" x14ac:dyDescent="0.3">
      <c r="A8" t="s">
        <v>40</v>
      </c>
      <c r="B8">
        <f>SUMIF(Employees!C:C,A8,Employees!D:D)</f>
        <v>1078238</v>
      </c>
    </row>
    <row r="9" spans="1:2" x14ac:dyDescent="0.3">
      <c r="A9" t="s">
        <v>15</v>
      </c>
      <c r="B9">
        <f>SUMIF(Employees!C:C,A9,Employees!D:D)</f>
        <v>1120470</v>
      </c>
    </row>
    <row r="10" spans="1:2" x14ac:dyDescent="0.3">
      <c r="A10" t="s">
        <v>6</v>
      </c>
      <c r="B10">
        <f>SUMIF(Employees!C:C,A10,Employees!D:D)</f>
        <v>941115</v>
      </c>
    </row>
    <row r="11" spans="1:2" x14ac:dyDescent="0.3">
      <c r="A11" t="s">
        <v>9</v>
      </c>
      <c r="B11">
        <f>SUMIF(Employees!C:C,A11,Employees!D:D)</f>
        <v>1426055</v>
      </c>
    </row>
    <row r="14" spans="1:2" x14ac:dyDescent="0.3">
      <c r="A14" s="5" t="s">
        <v>422</v>
      </c>
      <c r="B14" s="5">
        <f>SUM(Transactions!E2:E101)</f>
        <v>5617423</v>
      </c>
    </row>
    <row r="16" spans="1:2" x14ac:dyDescent="0.3">
      <c r="A16" s="7" t="s">
        <v>423</v>
      </c>
      <c r="B16" s="8">
        <f>SUMIF(Employees!C:C,A7,Employees!D:D)</f>
        <v>1288849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Transactions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 lunagariya</cp:lastModifiedBy>
  <dcterms:created xsi:type="dcterms:W3CDTF">2026-06-23T12:00:07Z</dcterms:created>
  <dcterms:modified xsi:type="dcterms:W3CDTF">2026-06-23T13:01:43Z</dcterms:modified>
</cp:coreProperties>
</file>